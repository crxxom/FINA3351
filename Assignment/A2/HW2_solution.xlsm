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8623" codeName="{499AFE36-ED4D-9D94-70EF-1DFAAA4259C6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D:\Dropbox\Teaching\1.SpreadsheetModeling\2024Sprint_UG\Assignments\"/>
    </mc:Choice>
  </mc:AlternateContent>
  <xr:revisionPtr revIDLastSave="0" documentId="13_ncr:1_{2432661C-C9AE-4C96-82B7-5E19FAEBF882}" xr6:coauthVersionLast="47" xr6:coauthVersionMax="47" xr10:uidLastSave="{00000000-0000-0000-0000-000000000000}"/>
  <bookViews>
    <workbookView xWindow="-28920" yWindow="-120" windowWidth="29040" windowHeight="15840" activeTab="5" xr2:uid="{4A6C1C2D-FCAB-411E-8C42-03AC2781D5B0}"/>
  </bookViews>
  <sheets>
    <sheet name="Inputs" sheetId="1" r:id="rId1"/>
    <sheet name="Historical_Data" sheetId="2" r:id="rId2"/>
    <sheet name="4-week TBill" sheetId="6" r:id="rId3"/>
    <sheet name="Stock simulation" sheetId="4" r:id="rId4"/>
    <sheet name="Portfolio parameter" sheetId="3" r:id="rId5"/>
    <sheet name="Portfolio simulation" sheetId="5" r:id="rId6"/>
  </sheets>
  <functionGroups builtInGroupCount="19"/>
  <definedNames>
    <definedName name="_xleta.AVERAGE" hidden="1" xlm="1">#NAME?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5" i="5" l="1" a="1"/>
  <c r="F5" i="5" s="1"/>
  <c r="L26" i="3"/>
  <c r="J26" i="3"/>
  <c r="L20" i="3"/>
  <c r="J20" i="3"/>
  <c r="J16" i="3" a="1"/>
  <c r="J16" i="3" l="1"/>
  <c r="J27" i="3" l="1" a="1"/>
  <c r="J27" i="3" s="1"/>
  <c r="J22" i="3" a="1"/>
  <c r="J22" i="3" s="1"/>
  <c r="D4" i="3" l="1"/>
  <c r="D5" i="3"/>
  <c r="D6" i="3"/>
  <c r="D7" i="3"/>
  <c r="D8" i="3"/>
  <c r="D9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107" i="3"/>
  <c r="D108" i="3"/>
  <c r="D109" i="3"/>
  <c r="D110" i="3"/>
  <c r="D111" i="3"/>
  <c r="D112" i="3"/>
  <c r="D113" i="3"/>
  <c r="D114" i="3"/>
  <c r="D115" i="3"/>
  <c r="D116" i="3"/>
  <c r="D117" i="3"/>
  <c r="D118" i="3"/>
  <c r="D119" i="3"/>
  <c r="D120" i="3"/>
  <c r="D121" i="3"/>
  <c r="D122" i="3"/>
  <c r="D123" i="3"/>
  <c r="D3" i="3"/>
  <c r="C4" i="3"/>
  <c r="C5" i="3"/>
  <c r="C6" i="3"/>
  <c r="C7" i="3"/>
  <c r="C8" i="3"/>
  <c r="C9" i="3"/>
  <c r="C10" i="3"/>
  <c r="C11" i="3"/>
  <c r="C12" i="3"/>
  <c r="C13" i="3"/>
  <c r="C14" i="3"/>
  <c r="C15" i="3"/>
  <c r="C16" i="3"/>
  <c r="C17" i="3"/>
  <c r="C18" i="3"/>
  <c r="C19" i="3"/>
  <c r="C20" i="3"/>
  <c r="C21" i="3"/>
  <c r="C22" i="3"/>
  <c r="C23" i="3"/>
  <c r="C24" i="3"/>
  <c r="C25" i="3"/>
  <c r="C26" i="3"/>
  <c r="C27" i="3"/>
  <c r="C28" i="3"/>
  <c r="C29" i="3"/>
  <c r="C30" i="3"/>
  <c r="C31" i="3"/>
  <c r="C32" i="3"/>
  <c r="C33" i="3"/>
  <c r="C34" i="3"/>
  <c r="C35" i="3"/>
  <c r="C36" i="3"/>
  <c r="C37" i="3"/>
  <c r="C38" i="3"/>
  <c r="C39" i="3"/>
  <c r="C40" i="3"/>
  <c r="C41" i="3"/>
  <c r="C42" i="3"/>
  <c r="C43" i="3"/>
  <c r="C44" i="3"/>
  <c r="C45" i="3"/>
  <c r="C46" i="3"/>
  <c r="C47" i="3"/>
  <c r="C48" i="3"/>
  <c r="C49" i="3"/>
  <c r="C50" i="3"/>
  <c r="C51" i="3"/>
  <c r="C52" i="3"/>
  <c r="C53" i="3"/>
  <c r="C54" i="3"/>
  <c r="C55" i="3"/>
  <c r="C56" i="3"/>
  <c r="C57" i="3"/>
  <c r="C58" i="3"/>
  <c r="C59" i="3"/>
  <c r="C60" i="3"/>
  <c r="C61" i="3"/>
  <c r="C62" i="3"/>
  <c r="C63" i="3"/>
  <c r="C64" i="3"/>
  <c r="C65" i="3"/>
  <c r="C66" i="3"/>
  <c r="C67" i="3"/>
  <c r="C68" i="3"/>
  <c r="C69" i="3"/>
  <c r="C70" i="3"/>
  <c r="C71" i="3"/>
  <c r="C72" i="3"/>
  <c r="C73" i="3"/>
  <c r="C74" i="3"/>
  <c r="C75" i="3"/>
  <c r="C76" i="3"/>
  <c r="C77" i="3"/>
  <c r="C78" i="3"/>
  <c r="C79" i="3"/>
  <c r="C80" i="3"/>
  <c r="C81" i="3"/>
  <c r="C82" i="3"/>
  <c r="C83" i="3"/>
  <c r="C84" i="3"/>
  <c r="C85" i="3"/>
  <c r="C86" i="3"/>
  <c r="C87" i="3"/>
  <c r="C88" i="3"/>
  <c r="C89" i="3"/>
  <c r="C90" i="3"/>
  <c r="C91" i="3"/>
  <c r="C92" i="3"/>
  <c r="C93" i="3"/>
  <c r="C94" i="3"/>
  <c r="C95" i="3"/>
  <c r="C96" i="3"/>
  <c r="C97" i="3"/>
  <c r="C98" i="3"/>
  <c r="C99" i="3"/>
  <c r="C100" i="3"/>
  <c r="C101" i="3"/>
  <c r="C102" i="3"/>
  <c r="C103" i="3"/>
  <c r="C104" i="3"/>
  <c r="C105" i="3"/>
  <c r="C106" i="3"/>
  <c r="C107" i="3"/>
  <c r="C108" i="3"/>
  <c r="C109" i="3"/>
  <c r="C110" i="3"/>
  <c r="C111" i="3"/>
  <c r="C112" i="3"/>
  <c r="C113" i="3"/>
  <c r="C114" i="3"/>
  <c r="C115" i="3"/>
  <c r="C116" i="3"/>
  <c r="C117" i="3"/>
  <c r="C118" i="3"/>
  <c r="C119" i="3"/>
  <c r="C120" i="3"/>
  <c r="C121" i="3"/>
  <c r="C122" i="3"/>
  <c r="C123" i="3"/>
  <c r="C3" i="3"/>
  <c r="K6" i="4" l="1" a="1"/>
  <c r="K6" i="4" s="1"/>
  <c r="I6" i="4" a="1"/>
  <c r="I6" i="4" s="1"/>
  <c r="G6" i="4" a="1"/>
  <c r="G6" i="4" s="1"/>
  <c r="G11" i="3"/>
  <c r="G19" i="3"/>
  <c r="G23" i="3"/>
  <c r="G31" i="3"/>
  <c r="G35" i="3"/>
  <c r="G42" i="3"/>
  <c r="G47" i="3"/>
  <c r="G54" i="3"/>
  <c r="G59" i="3"/>
  <c r="G66" i="3"/>
  <c r="G71" i="3"/>
  <c r="G78" i="3"/>
  <c r="G83" i="3"/>
  <c r="G90" i="3"/>
  <c r="G95" i="3"/>
  <c r="G102" i="3"/>
  <c r="G107" i="3"/>
  <c r="G114" i="3"/>
  <c r="G119" i="3"/>
  <c r="F5" i="3"/>
  <c r="F10" i="3"/>
  <c r="F17" i="3"/>
  <c r="F22" i="3"/>
  <c r="F29" i="3"/>
  <c r="F34" i="3"/>
  <c r="F41" i="3"/>
  <c r="F46" i="3"/>
  <c r="F53" i="3"/>
  <c r="F58" i="3"/>
  <c r="F65" i="3"/>
  <c r="F70" i="3"/>
  <c r="F77" i="3"/>
  <c r="F82" i="3"/>
  <c r="F89" i="3"/>
  <c r="F94" i="3"/>
  <c r="F101" i="3"/>
  <c r="F106" i="3"/>
  <c r="F113" i="3"/>
  <c r="F118" i="3"/>
  <c r="B4" i="3"/>
  <c r="B5" i="3"/>
  <c r="E5" i="3" s="1"/>
  <c r="B6" i="3"/>
  <c r="E6" i="3" s="1"/>
  <c r="B7" i="3"/>
  <c r="E7" i="3" s="1"/>
  <c r="B8" i="3"/>
  <c r="E8" i="3" s="1"/>
  <c r="B9" i="3"/>
  <c r="E9" i="3" s="1"/>
  <c r="B10" i="3"/>
  <c r="E10" i="3" s="1"/>
  <c r="B11" i="3"/>
  <c r="E11" i="3" s="1"/>
  <c r="B12" i="3"/>
  <c r="E12" i="3" s="1"/>
  <c r="B13" i="3"/>
  <c r="E13" i="3" s="1"/>
  <c r="B14" i="3"/>
  <c r="E14" i="3" s="1"/>
  <c r="B15" i="3"/>
  <c r="E15" i="3" s="1"/>
  <c r="B16" i="3"/>
  <c r="E16" i="3" s="1"/>
  <c r="B17" i="3"/>
  <c r="B18" i="3"/>
  <c r="E18" i="3" s="1"/>
  <c r="B19" i="3"/>
  <c r="E19" i="3" s="1"/>
  <c r="B20" i="3"/>
  <c r="E20" i="3" s="1"/>
  <c r="B21" i="3"/>
  <c r="E21" i="3" s="1"/>
  <c r="B22" i="3"/>
  <c r="E22" i="3" s="1"/>
  <c r="B23" i="3"/>
  <c r="E23" i="3" s="1"/>
  <c r="B24" i="3"/>
  <c r="E24" i="3" s="1"/>
  <c r="B25" i="3"/>
  <c r="E25" i="3" s="1"/>
  <c r="B26" i="3"/>
  <c r="E26" i="3" s="1"/>
  <c r="B27" i="3"/>
  <c r="E27" i="3" s="1"/>
  <c r="B28" i="3"/>
  <c r="E28" i="3" s="1"/>
  <c r="B29" i="3"/>
  <c r="E29" i="3" s="1"/>
  <c r="B30" i="3"/>
  <c r="E30" i="3" s="1"/>
  <c r="B31" i="3"/>
  <c r="E31" i="3" s="1"/>
  <c r="B32" i="3"/>
  <c r="E32" i="3" s="1"/>
  <c r="B33" i="3"/>
  <c r="E33" i="3" s="1"/>
  <c r="B34" i="3"/>
  <c r="E34" i="3" s="1"/>
  <c r="B35" i="3"/>
  <c r="E35" i="3" s="1"/>
  <c r="B36" i="3"/>
  <c r="E36" i="3" s="1"/>
  <c r="B37" i="3"/>
  <c r="B38" i="3"/>
  <c r="B39" i="3"/>
  <c r="E39" i="3" s="1"/>
  <c r="B40" i="3"/>
  <c r="E40" i="3" s="1"/>
  <c r="B41" i="3"/>
  <c r="E41" i="3" s="1"/>
  <c r="B42" i="3"/>
  <c r="E42" i="3" s="1"/>
  <c r="B43" i="3"/>
  <c r="E43" i="3" s="1"/>
  <c r="B44" i="3"/>
  <c r="E44" i="3" s="1"/>
  <c r="B45" i="3"/>
  <c r="E45" i="3" s="1"/>
  <c r="B46" i="3"/>
  <c r="E46" i="3" s="1"/>
  <c r="B47" i="3"/>
  <c r="E47" i="3" s="1"/>
  <c r="B48" i="3"/>
  <c r="E48" i="3" s="1"/>
  <c r="B49" i="3"/>
  <c r="E49" i="3" s="1"/>
  <c r="B50" i="3"/>
  <c r="E50" i="3" s="1"/>
  <c r="B51" i="3"/>
  <c r="E51" i="3" s="1"/>
  <c r="B52" i="3"/>
  <c r="E52" i="3" s="1"/>
  <c r="B53" i="3"/>
  <c r="E53" i="3" s="1"/>
  <c r="B54" i="3"/>
  <c r="E54" i="3" s="1"/>
  <c r="B55" i="3"/>
  <c r="E55" i="3" s="1"/>
  <c r="B56" i="3"/>
  <c r="E56" i="3" s="1"/>
  <c r="B57" i="3"/>
  <c r="B58" i="3"/>
  <c r="E58" i="3" s="1"/>
  <c r="B59" i="3"/>
  <c r="B60" i="3"/>
  <c r="E60" i="3" s="1"/>
  <c r="B61" i="3"/>
  <c r="E61" i="3" s="1"/>
  <c r="B62" i="3"/>
  <c r="E62" i="3" s="1"/>
  <c r="B63" i="3"/>
  <c r="E63" i="3" s="1"/>
  <c r="B64" i="3"/>
  <c r="E64" i="3" s="1"/>
  <c r="B65" i="3"/>
  <c r="E65" i="3" s="1"/>
  <c r="B66" i="3"/>
  <c r="E66" i="3" s="1"/>
  <c r="B67" i="3"/>
  <c r="E67" i="3" s="1"/>
  <c r="B68" i="3"/>
  <c r="E68" i="3" s="1"/>
  <c r="B69" i="3"/>
  <c r="E69" i="3" s="1"/>
  <c r="B70" i="3"/>
  <c r="E70" i="3" s="1"/>
  <c r="B71" i="3"/>
  <c r="E71" i="3" s="1"/>
  <c r="B72" i="3"/>
  <c r="E72" i="3" s="1"/>
  <c r="B73" i="3"/>
  <c r="E73" i="3" s="1"/>
  <c r="B74" i="3"/>
  <c r="E74" i="3" s="1"/>
  <c r="B75" i="3"/>
  <c r="E75" i="3" s="1"/>
  <c r="B76" i="3"/>
  <c r="E76" i="3" s="1"/>
  <c r="B77" i="3"/>
  <c r="B78" i="3"/>
  <c r="E78" i="3" s="1"/>
  <c r="B79" i="3"/>
  <c r="E79" i="3" s="1"/>
  <c r="B80" i="3"/>
  <c r="E80" i="3" s="1"/>
  <c r="B81" i="3"/>
  <c r="E81" i="3" s="1"/>
  <c r="B82" i="3"/>
  <c r="E82" i="3" s="1"/>
  <c r="B83" i="3"/>
  <c r="E83" i="3" s="1"/>
  <c r="B84" i="3"/>
  <c r="E84" i="3" s="1"/>
  <c r="B85" i="3"/>
  <c r="E85" i="3" s="1"/>
  <c r="B86" i="3"/>
  <c r="E86" i="3" s="1"/>
  <c r="B87" i="3"/>
  <c r="E87" i="3" s="1"/>
  <c r="B88" i="3"/>
  <c r="E88" i="3" s="1"/>
  <c r="B89" i="3"/>
  <c r="E89" i="3" s="1"/>
  <c r="B90" i="3"/>
  <c r="E90" i="3" s="1"/>
  <c r="B91" i="3"/>
  <c r="E91" i="3" s="1"/>
  <c r="B92" i="3"/>
  <c r="E92" i="3" s="1"/>
  <c r="B93" i="3"/>
  <c r="E93" i="3" s="1"/>
  <c r="B94" i="3"/>
  <c r="B95" i="3"/>
  <c r="E95" i="3" s="1"/>
  <c r="B96" i="3"/>
  <c r="E96" i="3" s="1"/>
  <c r="B97" i="3"/>
  <c r="B98" i="3"/>
  <c r="E98" i="3" s="1"/>
  <c r="B99" i="3"/>
  <c r="E99" i="3" s="1"/>
  <c r="B100" i="3"/>
  <c r="E100" i="3" s="1"/>
  <c r="B101" i="3"/>
  <c r="E101" i="3" s="1"/>
  <c r="B102" i="3"/>
  <c r="E102" i="3" s="1"/>
  <c r="B103" i="3"/>
  <c r="E103" i="3" s="1"/>
  <c r="B104" i="3"/>
  <c r="E104" i="3" s="1"/>
  <c r="B105" i="3"/>
  <c r="E105" i="3" s="1"/>
  <c r="B106" i="3"/>
  <c r="E106" i="3" s="1"/>
  <c r="B107" i="3"/>
  <c r="E107" i="3" s="1"/>
  <c r="B108" i="3"/>
  <c r="E108" i="3" s="1"/>
  <c r="B109" i="3"/>
  <c r="E109" i="3" s="1"/>
  <c r="B110" i="3"/>
  <c r="E110" i="3" s="1"/>
  <c r="B111" i="3"/>
  <c r="E111" i="3" s="1"/>
  <c r="B112" i="3"/>
  <c r="E112" i="3" s="1"/>
  <c r="B113" i="3"/>
  <c r="E113" i="3" s="1"/>
  <c r="B114" i="3"/>
  <c r="E114" i="3" s="1"/>
  <c r="B115" i="3"/>
  <c r="E115" i="3" s="1"/>
  <c r="B116" i="3"/>
  <c r="E116" i="3" s="1"/>
  <c r="B117" i="3"/>
  <c r="B118" i="3"/>
  <c r="E118" i="3" s="1"/>
  <c r="B119" i="3"/>
  <c r="E119" i="3" s="1"/>
  <c r="B120" i="3"/>
  <c r="E120" i="3" s="1"/>
  <c r="B121" i="3"/>
  <c r="E121" i="3" s="1"/>
  <c r="B122" i="3"/>
  <c r="E122" i="3" s="1"/>
  <c r="B123" i="3"/>
  <c r="B3" i="3"/>
  <c r="A4" i="3"/>
  <c r="A5" i="3"/>
  <c r="A6" i="3"/>
  <c r="A7" i="3"/>
  <c r="A8" i="3"/>
  <c r="A9" i="3"/>
  <c r="A10" i="3"/>
  <c r="A11" i="3"/>
  <c r="A12" i="3"/>
  <c r="A13" i="3"/>
  <c r="A14" i="3"/>
  <c r="A15" i="3"/>
  <c r="A16" i="3"/>
  <c r="A17" i="3"/>
  <c r="A18" i="3"/>
  <c r="A19" i="3"/>
  <c r="A20" i="3"/>
  <c r="A21" i="3"/>
  <c r="A22" i="3"/>
  <c r="A23" i="3"/>
  <c r="A24" i="3"/>
  <c r="A25" i="3"/>
  <c r="A26" i="3"/>
  <c r="A27" i="3"/>
  <c r="A28" i="3"/>
  <c r="A29" i="3"/>
  <c r="A30" i="3"/>
  <c r="A31" i="3"/>
  <c r="A32" i="3"/>
  <c r="A33" i="3"/>
  <c r="A34" i="3"/>
  <c r="A35" i="3"/>
  <c r="A36" i="3"/>
  <c r="A37" i="3"/>
  <c r="A38" i="3"/>
  <c r="A39" i="3"/>
  <c r="A40" i="3"/>
  <c r="A41" i="3"/>
  <c r="A42" i="3"/>
  <c r="A43" i="3"/>
  <c r="A44" i="3"/>
  <c r="A45" i="3"/>
  <c r="A46" i="3"/>
  <c r="A47" i="3"/>
  <c r="A48" i="3"/>
  <c r="A49" i="3"/>
  <c r="A50" i="3"/>
  <c r="A51" i="3"/>
  <c r="A52" i="3"/>
  <c r="A53" i="3"/>
  <c r="A54" i="3"/>
  <c r="A55" i="3"/>
  <c r="A56" i="3"/>
  <c r="A57" i="3"/>
  <c r="A58" i="3"/>
  <c r="A59" i="3"/>
  <c r="A60" i="3"/>
  <c r="A61" i="3"/>
  <c r="A62" i="3"/>
  <c r="A63" i="3"/>
  <c r="A64" i="3"/>
  <c r="A65" i="3"/>
  <c r="A66" i="3"/>
  <c r="A67" i="3"/>
  <c r="A68" i="3"/>
  <c r="A69" i="3"/>
  <c r="A70" i="3"/>
  <c r="A71" i="3"/>
  <c r="A72" i="3"/>
  <c r="A73" i="3"/>
  <c r="A74" i="3"/>
  <c r="A75" i="3"/>
  <c r="A76" i="3"/>
  <c r="A77" i="3"/>
  <c r="A78" i="3"/>
  <c r="A79" i="3"/>
  <c r="A80" i="3"/>
  <c r="A81" i="3"/>
  <c r="A82" i="3"/>
  <c r="A83" i="3"/>
  <c r="A84" i="3"/>
  <c r="A85" i="3"/>
  <c r="A86" i="3"/>
  <c r="A87" i="3"/>
  <c r="A88" i="3"/>
  <c r="A89" i="3"/>
  <c r="A90" i="3"/>
  <c r="A91" i="3"/>
  <c r="A92" i="3"/>
  <c r="A93" i="3"/>
  <c r="A94" i="3"/>
  <c r="A95" i="3"/>
  <c r="A96" i="3"/>
  <c r="A97" i="3"/>
  <c r="A98" i="3"/>
  <c r="A99" i="3"/>
  <c r="A100" i="3"/>
  <c r="A101" i="3"/>
  <c r="A102" i="3"/>
  <c r="A103" i="3"/>
  <c r="A104" i="3"/>
  <c r="A105" i="3"/>
  <c r="A106" i="3"/>
  <c r="A107" i="3"/>
  <c r="A108" i="3"/>
  <c r="A109" i="3"/>
  <c r="A110" i="3"/>
  <c r="A111" i="3"/>
  <c r="A112" i="3"/>
  <c r="A113" i="3"/>
  <c r="A114" i="3"/>
  <c r="A115" i="3"/>
  <c r="A116" i="3"/>
  <c r="A117" i="3"/>
  <c r="A118" i="3"/>
  <c r="A119" i="3"/>
  <c r="A120" i="3"/>
  <c r="A121" i="3"/>
  <c r="A122" i="3"/>
  <c r="A123" i="3"/>
  <c r="A3" i="3"/>
  <c r="E59" i="3" l="1"/>
  <c r="J5" i="3"/>
  <c r="R5" i="3" s="1"/>
  <c r="E123" i="3"/>
  <c r="E38" i="3"/>
  <c r="E94" i="3"/>
  <c r="E117" i="3"/>
  <c r="E97" i="3"/>
  <c r="E77" i="3"/>
  <c r="E57" i="3"/>
  <c r="E37" i="3"/>
  <c r="E17" i="3"/>
  <c r="F121" i="3"/>
  <c r="F109" i="3"/>
  <c r="F97" i="3"/>
  <c r="F85" i="3"/>
  <c r="F73" i="3"/>
  <c r="F61" i="3"/>
  <c r="F114" i="3"/>
  <c r="F102" i="3"/>
  <c r="F90" i="3"/>
  <c r="F78" i="3"/>
  <c r="F66" i="3"/>
  <c r="F54" i="3"/>
  <c r="F18" i="3"/>
  <c r="F6" i="3"/>
  <c r="G115" i="3"/>
  <c r="G103" i="3"/>
  <c r="G91" i="3"/>
  <c r="G79" i="3"/>
  <c r="G67" i="3"/>
  <c r="G55" i="3"/>
  <c r="G43" i="3"/>
  <c r="G30" i="3"/>
  <c r="F49" i="3"/>
  <c r="F37" i="3"/>
  <c r="F25" i="3"/>
  <c r="F13" i="3"/>
  <c r="G122" i="3"/>
  <c r="G110" i="3"/>
  <c r="G98" i="3"/>
  <c r="G86" i="3"/>
  <c r="G74" i="3"/>
  <c r="G62" i="3"/>
  <c r="G50" i="3"/>
  <c r="G38" i="3"/>
  <c r="G26" i="3"/>
  <c r="G14" i="3"/>
  <c r="F107" i="3"/>
  <c r="F23" i="3"/>
  <c r="F42" i="3"/>
  <c r="F30" i="3"/>
  <c r="G7" i="3"/>
  <c r="F123" i="3"/>
  <c r="F111" i="3"/>
  <c r="F99" i="3"/>
  <c r="F87" i="3"/>
  <c r="F75" i="3"/>
  <c r="F63" i="3"/>
  <c r="F51" i="3"/>
  <c r="F39" i="3"/>
  <c r="F27" i="3"/>
  <c r="F15" i="3"/>
  <c r="G112" i="3"/>
  <c r="G100" i="3"/>
  <c r="G88" i="3"/>
  <c r="G76" i="3"/>
  <c r="G64" i="3"/>
  <c r="G52" i="3"/>
  <c r="G40" i="3"/>
  <c r="G28" i="3"/>
  <c r="G16" i="3"/>
  <c r="F120" i="3"/>
  <c r="F108" i="3"/>
  <c r="F96" i="3"/>
  <c r="F84" i="3"/>
  <c r="F72" i="3"/>
  <c r="F60" i="3"/>
  <c r="F48" i="3"/>
  <c r="F36" i="3"/>
  <c r="F24" i="3"/>
  <c r="F12" i="3"/>
  <c r="G121" i="3"/>
  <c r="G109" i="3"/>
  <c r="G97" i="3"/>
  <c r="G85" i="3"/>
  <c r="G73" i="3"/>
  <c r="G61" i="3"/>
  <c r="G49" i="3"/>
  <c r="G37" i="3"/>
  <c r="G25" i="3"/>
  <c r="G13" i="3"/>
  <c r="F19" i="3"/>
  <c r="F117" i="3"/>
  <c r="F105" i="3"/>
  <c r="F93" i="3"/>
  <c r="F81" i="3"/>
  <c r="F69" i="3"/>
  <c r="F57" i="3"/>
  <c r="F45" i="3"/>
  <c r="F33" i="3"/>
  <c r="F21" i="3"/>
  <c r="F9" i="3"/>
  <c r="G118" i="3"/>
  <c r="G106" i="3"/>
  <c r="G94" i="3"/>
  <c r="G82" i="3"/>
  <c r="G70" i="3"/>
  <c r="G58" i="3"/>
  <c r="G46" i="3"/>
  <c r="G34" i="3"/>
  <c r="G22" i="3"/>
  <c r="G10" i="3"/>
  <c r="F115" i="3"/>
  <c r="F103" i="3"/>
  <c r="F91" i="3"/>
  <c r="F67" i="3"/>
  <c r="F55" i="3"/>
  <c r="F43" i="3"/>
  <c r="F31" i="3"/>
  <c r="F7" i="3"/>
  <c r="G18" i="3"/>
  <c r="G6" i="3"/>
  <c r="F122" i="3"/>
  <c r="F110" i="3"/>
  <c r="F98" i="3"/>
  <c r="F86" i="3"/>
  <c r="F74" i="3"/>
  <c r="F62" i="3"/>
  <c r="F50" i="3"/>
  <c r="F38" i="3"/>
  <c r="F26" i="3"/>
  <c r="F14" i="3"/>
  <c r="G123" i="3"/>
  <c r="G111" i="3"/>
  <c r="G99" i="3"/>
  <c r="G87" i="3"/>
  <c r="G75" i="3"/>
  <c r="G63" i="3"/>
  <c r="G51" i="3"/>
  <c r="G39" i="3"/>
  <c r="G27" i="3"/>
  <c r="G15" i="3"/>
  <c r="F79" i="3"/>
  <c r="F119" i="3"/>
  <c r="F95" i="3"/>
  <c r="F83" i="3"/>
  <c r="F71" i="3"/>
  <c r="F59" i="3"/>
  <c r="F47" i="3"/>
  <c r="F35" i="3"/>
  <c r="F11" i="3"/>
  <c r="G4" i="3"/>
  <c r="F112" i="3"/>
  <c r="F100" i="3"/>
  <c r="F88" i="3"/>
  <c r="F76" i="3"/>
  <c r="F64" i="3"/>
  <c r="F52" i="3"/>
  <c r="F40" i="3"/>
  <c r="F28" i="3"/>
  <c r="F16" i="3"/>
  <c r="G113" i="3"/>
  <c r="G101" i="3"/>
  <c r="G89" i="3"/>
  <c r="G77" i="3"/>
  <c r="G65" i="3"/>
  <c r="G53" i="3"/>
  <c r="G41" i="3"/>
  <c r="G29" i="3"/>
  <c r="G17" i="3"/>
  <c r="G5" i="3"/>
  <c r="K5" i="3"/>
  <c r="S5" i="3" s="1"/>
  <c r="L5" i="3"/>
  <c r="T5" i="3" s="1"/>
  <c r="G120" i="3"/>
  <c r="G108" i="3"/>
  <c r="G96" i="3"/>
  <c r="G84" i="3"/>
  <c r="G72" i="3"/>
  <c r="G60" i="3"/>
  <c r="G48" i="3"/>
  <c r="G36" i="3"/>
  <c r="G24" i="3"/>
  <c r="G12" i="3"/>
  <c r="F116" i="3"/>
  <c r="F104" i="3"/>
  <c r="F92" i="3"/>
  <c r="F80" i="3"/>
  <c r="F68" i="3"/>
  <c r="F56" i="3"/>
  <c r="F44" i="3"/>
  <c r="F32" i="3"/>
  <c r="F20" i="3"/>
  <c r="F8" i="3"/>
  <c r="G117" i="3"/>
  <c r="G105" i="3"/>
  <c r="G93" i="3"/>
  <c r="G81" i="3"/>
  <c r="G69" i="3"/>
  <c r="G57" i="3"/>
  <c r="G45" i="3"/>
  <c r="G33" i="3"/>
  <c r="G21" i="3"/>
  <c r="G9" i="3"/>
  <c r="G116" i="3"/>
  <c r="G104" i="3"/>
  <c r="G92" i="3"/>
  <c r="G80" i="3"/>
  <c r="G68" i="3"/>
  <c r="G56" i="3"/>
  <c r="G44" i="3"/>
  <c r="G32" i="3"/>
  <c r="G20" i="3"/>
  <c r="G8" i="3"/>
  <c r="F4" i="3"/>
  <c r="E4" i="3"/>
  <c r="J11" i="3" a="1"/>
  <c r="J11" i="3" l="1"/>
  <c r="L6" i="3"/>
  <c r="L7" i="3"/>
  <c r="K6" i="3"/>
  <c r="K7" i="3"/>
  <c r="J6" i="3"/>
  <c r="J7" i="3"/>
  <c r="O8" i="3" a="1"/>
  <c r="O9" i="3" a="1"/>
  <c r="O6" i="3" a="1"/>
  <c r="O7" i="3" a="1"/>
  <c r="O6" i="3" l="1"/>
  <c r="R6" i="3" s="1"/>
  <c r="O9" i="3"/>
  <c r="O8" i="3"/>
  <c r="O7" i="3"/>
  <c r="T6" i="3"/>
  <c r="T7" i="3" s="1"/>
  <c r="T8" i="3" s="1"/>
  <c r="T9" i="3" s="1"/>
  <c r="S6" i="3"/>
  <c r="S7" i="3" s="1"/>
  <c r="S8" i="3" s="1"/>
  <c r="S9" i="3" s="1"/>
  <c r="R7" i="3" l="1"/>
  <c r="R8" i="3" s="1"/>
  <c r="R9" i="3" s="1"/>
  <c r="V5" i="3"/>
  <c r="W5" i="3"/>
  <c r="U5" i="3" l="1"/>
  <c r="X6" i="3" l="1"/>
  <c r="X5" i="3"/>
  <c r="V6" i="3" l="1"/>
  <c r="W6" i="3"/>
  <c r="U6" i="3"/>
  <c r="X7" i="3"/>
  <c r="U7" i="3" l="1"/>
  <c r="V7" i="3"/>
  <c r="W7" i="3"/>
  <c r="X8" i="3" l="1"/>
  <c r="V8" i="3" s="1"/>
  <c r="U8" i="3" l="1"/>
  <c r="W8" i="3"/>
  <c r="X9" i="3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<sst xmlns="http://schemas.openxmlformats.org/spreadsheetml/2006/main" count="482" uniqueCount="62">
  <si>
    <t>Download Historical Stock Data from Yahoo!Finance</t>
    <phoneticPr fontId="3" type="noConversion"/>
  </si>
  <si>
    <t>Starting Date</t>
    <phoneticPr fontId="3" type="noConversion"/>
  </si>
  <si>
    <t>End Date</t>
    <phoneticPr fontId="3" type="noConversion"/>
  </si>
  <si>
    <t>Ticker Symbol of Stock</t>
    <phoneticPr fontId="3" type="noConversion"/>
  </si>
  <si>
    <r>
      <t>(</t>
    </r>
    <r>
      <rPr>
        <i/>
        <sz val="11"/>
        <color theme="1"/>
        <rFont val="Calibri"/>
        <family val="2"/>
      </rPr>
      <t>Note: Must enter data Frequency in B3, Starting Date in B4, End Date in B5, Ticker symbol from cell A8. Worksheet name must be "Inputs"</t>
    </r>
    <r>
      <rPr>
        <sz val="11"/>
        <color theme="1"/>
        <rFont val="Calibri"/>
        <family val="2"/>
        <charset val="134"/>
      </rPr>
      <t>)</t>
    </r>
    <phoneticPr fontId="3" type="noConversion"/>
  </si>
  <si>
    <t>Period (Daily, Weekly, Monthly)</t>
    <phoneticPr fontId="3" type="noConversion"/>
  </si>
  <si>
    <t>IBM</t>
  </si>
  <si>
    <t>IBM</t>
    <phoneticPr fontId="3" type="noConversion"/>
  </si>
  <si>
    <t>PG</t>
  </si>
  <si>
    <t>PG</t>
    <phoneticPr fontId="3" type="noConversion"/>
  </si>
  <si>
    <t>Monthly</t>
    <phoneticPr fontId="3" type="noConversion"/>
  </si>
  <si>
    <t>Date</t>
  </si>
  <si>
    <t>Open</t>
  </si>
  <si>
    <t>High</t>
  </si>
  <si>
    <t>Low</t>
  </si>
  <si>
    <t>Close</t>
  </si>
  <si>
    <t>Adj Close</t>
  </si>
  <si>
    <t>Volume</t>
  </si>
  <si>
    <t>Ticker</t>
  </si>
  <si>
    <t>Date</t>
    <phoneticPr fontId="3" type="noConversion"/>
  </si>
  <si>
    <t>Log returns</t>
    <phoneticPr fontId="3" type="noConversion"/>
  </si>
  <si>
    <t>Adjusted Close Price</t>
    <phoneticPr fontId="3" type="noConversion"/>
  </si>
  <si>
    <t>mu</t>
    <phoneticPr fontId="3" type="noConversion"/>
  </si>
  <si>
    <t>sigma</t>
    <phoneticPr fontId="3" type="noConversion"/>
  </si>
  <si>
    <t>dt</t>
    <phoneticPr fontId="3" type="noConversion"/>
  </si>
  <si>
    <t>Initial Price</t>
    <phoneticPr fontId="3" type="noConversion"/>
  </si>
  <si>
    <t>Initial investment</t>
    <phoneticPr fontId="3" type="noConversion"/>
  </si>
  <si>
    <t>Simulation #</t>
    <phoneticPr fontId="3" type="noConversion"/>
  </si>
  <si>
    <t>Bin</t>
  </si>
  <si>
    <t>Frequency</t>
  </si>
  <si>
    <t>Stock Price Frequency Table:</t>
    <phoneticPr fontId="3" type="noConversion"/>
  </si>
  <si>
    <t>Portfolio</t>
    <phoneticPr fontId="3" type="noConversion"/>
  </si>
  <si>
    <t>Portfolio Value Frequency Table:</t>
    <phoneticPr fontId="3" type="noConversion"/>
  </si>
  <si>
    <t>more</t>
    <phoneticPr fontId="3" type="noConversion"/>
  </si>
  <si>
    <t>XOM</t>
  </si>
  <si>
    <t>Inputs of GBM Model and Portfolio Construction:</t>
  </si>
  <si>
    <t>Correlation matrix</t>
  </si>
  <si>
    <t>weight of optimal risk portfolio</t>
  </si>
  <si>
    <t>risk-free rate</t>
  </si>
  <si>
    <t>FRED Graph Observations</t>
  </si>
  <si>
    <t>Federal Reserve Economic Data, Federal Reserve Bank of St. Louis</t>
  </si>
  <si>
    <t>Link: https://fred.stlouisfed.org</t>
  </si>
  <si>
    <t>Help: https://fredhelp.stlouisfed.org</t>
  </si>
  <si>
    <t>This data may be copyrighted. Please refer to the Terms of Use: https://fred.stlouisfed.org/legal#fred-terms-faq</t>
  </si>
  <si>
    <t>File Created: 2025-04-09 1:58 am CDT</t>
  </si>
  <si>
    <t>DTB4WK</t>
  </si>
  <si>
    <t>observation_date</t>
  </si>
  <si>
    <t>TB4WK</t>
  </si>
  <si>
    <r>
      <rPr>
        <sz val="11"/>
        <color rgb="FFFF0000"/>
        <rFont val="Calibri"/>
        <family val="2"/>
      </rPr>
      <t>4-Week Treasury Bill</t>
    </r>
    <r>
      <rPr>
        <sz val="11"/>
        <color theme="1"/>
        <rFont val="Calibri"/>
        <family val="2"/>
      </rPr>
      <t xml:space="preserve"> Secondary Market Rate, Discount Basis, Percent, </t>
    </r>
    <r>
      <rPr>
        <sz val="11"/>
        <color rgb="FFFF0000"/>
        <rFont val="Calibri"/>
        <family val="2"/>
      </rPr>
      <t>Daily</t>
    </r>
    <r>
      <rPr>
        <sz val="11"/>
        <color theme="1"/>
        <rFont val="Calibri"/>
        <family val="2"/>
      </rPr>
      <t>, Not Seasonally Adjusted</t>
    </r>
  </si>
  <si>
    <r>
      <rPr>
        <sz val="11"/>
        <color rgb="FFFF0000"/>
        <rFont val="Calibri"/>
        <family val="2"/>
      </rPr>
      <t>4-Week Treasury Bill</t>
    </r>
    <r>
      <rPr>
        <sz val="11"/>
        <color theme="1"/>
        <rFont val="Calibri"/>
        <family val="2"/>
      </rPr>
      <t xml:space="preserve"> Secondary Market Rate, Discount Basis, Percent, </t>
    </r>
    <r>
      <rPr>
        <sz val="11"/>
        <color rgb="FFFF0000"/>
        <rFont val="Calibri"/>
        <family val="2"/>
      </rPr>
      <t>Monthly</t>
    </r>
    <r>
      <rPr>
        <sz val="11"/>
        <color theme="1"/>
        <rFont val="Calibri"/>
        <family val="2"/>
      </rPr>
      <t>, Not Seasonally Adjusted</t>
    </r>
  </si>
  <si>
    <t>Date:</t>
  </si>
  <si>
    <t>Correlated shocks</t>
  </si>
  <si>
    <t>Stock prices</t>
  </si>
  <si>
    <t>Number of shares</t>
  </si>
  <si>
    <t>Portfolio value</t>
  </si>
  <si>
    <t>Simulate portfolio value one year later for 5000 times:</t>
  </si>
  <si>
    <t>Variance-Covariance matrix</t>
    <phoneticPr fontId="3" type="noConversion"/>
  </si>
  <si>
    <t>We may also use daily updated 4-week Treasury Bill rate data ("DTB4WK").</t>
    <phoneticPr fontId="3" type="noConversion"/>
  </si>
  <si>
    <t>We choose the rate on the last day of December, 2023.</t>
    <phoneticPr fontId="3" type="noConversion"/>
  </si>
  <si>
    <t xml:space="preserve"> </t>
    <phoneticPr fontId="3" type="noConversion"/>
  </si>
  <si>
    <t>Simulate stock prices one year later for 5000 times:</t>
    <phoneticPr fontId="3" type="noConversion"/>
  </si>
  <si>
    <r>
      <t>(</t>
    </r>
    <r>
      <rPr>
        <i/>
        <sz val="11"/>
        <color rgb="FFFF0000"/>
        <rFont val="Calibri"/>
        <family val="2"/>
      </rPr>
      <t>time unit is 1 month</t>
    </r>
    <r>
      <rPr>
        <sz val="11"/>
        <color rgb="FFFF0000"/>
        <rFont val="Calibri"/>
        <family val="2"/>
      </rPr>
      <t>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</si>
</sst>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yyyy\-mm\-dd;@"/>
    <numFmt numFmtId="165" formatCode="0.00000"/>
    <numFmt numFmtId="166" formatCode="0.0000"/>
    <numFmt numFmtId="167" formatCode="0.000"/>
    <numFmt numFmtId="168" formatCode="yyyy\-mm\-dd"/>
    <numFmt numFmtId="169" formatCode="0.0%"/>
  </numFmts>
  <fonts count="16">
    <font>
      <sz val="11"/>
      <color theme="1"/>
      <name val="Calibri"/>
      <family val="2"/>
      <charset val="134"/>
    </font>
    <font>
      <sz val="11"/>
      <color theme="1"/>
      <name val="Aptos Narrow"/>
      <family val="2"/>
      <scheme val="minor"/>
    </font>
    <font>
      <b/>
      <sz val="14"/>
      <color theme="1"/>
      <name val="Calibri"/>
      <family val="2"/>
    </font>
    <font>
      <sz val="9"/>
      <name val="Calibri"/>
      <family val="2"/>
      <charset val="134"/>
    </font>
    <font>
      <b/>
      <sz val="11"/>
      <color theme="1"/>
      <name val="Calibri"/>
      <family val="2"/>
    </font>
    <font>
      <sz val="11"/>
      <color rgb="FF0070C0"/>
      <name val="Calibri"/>
      <family val="2"/>
    </font>
    <font>
      <i/>
      <sz val="11"/>
      <color theme="1"/>
      <name val="Calibri"/>
      <family val="2"/>
    </font>
    <font>
      <sz val="11"/>
      <color rgb="FF000000"/>
      <name val="Calibri"/>
      <family val="2"/>
    </font>
    <font>
      <sz val="11"/>
      <color theme="1"/>
      <name val="Calibri"/>
      <family val="2"/>
      <charset val="134"/>
    </font>
    <font>
      <sz val="11"/>
      <color theme="1"/>
      <name val="Calibri"/>
      <family val="2"/>
    </font>
    <font>
      <sz val="11"/>
      <color rgb="FFFF0000"/>
      <name val="Calibri"/>
      <family val="2"/>
    </font>
    <font>
      <sz val="11"/>
      <name val="Calibri"/>
      <family val="2"/>
    </font>
    <font>
      <sz val="11"/>
      <color rgb="FFFF0000"/>
      <name val="Calibri"/>
      <family val="2"/>
      <charset val="134"/>
    </font>
    <font>
      <b/>
      <sz val="11"/>
      <name val="Calibri"/>
      <family val="2"/>
    </font>
    <font>
      <i/>
      <sz val="11"/>
      <color rgb="FFFF0000"/>
      <name val="Calibri"/>
      <family val="2"/>
    </font>
    <font>
      <i/>
      <sz val="11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3">
    <xf numFmtId="0" fontId="0" fillId="0" borderId="0">
      <alignment vertical="center"/>
    </xf>
    <xf numFmtId="9" fontId="8" fillId="0" borderId="0" applyFont="0" applyFill="0" applyBorder="0" applyAlignment="0" applyProtection="0">
      <alignment vertical="center"/>
    </xf>
    <xf numFmtId="0" fontId="1" fillId="0" borderId="0"/>
  </cellStyleXfs>
  <cellXfs count="63">
    <xf numFmtId="0" fontId="0" fillId="0" borderId="0" xfId="0">
      <alignment vertical="center"/>
    </xf>
    <xf numFmtId="0" fontId="2" fillId="0" borderId="0" xfId="0" applyFont="1">
      <alignment vertical="center"/>
    </xf>
    <xf numFmtId="0" fontId="4" fillId="0" borderId="0" xfId="0" applyFont="1">
      <alignment vertical="center"/>
    </xf>
    <xf numFmtId="164" fontId="5" fillId="0" borderId="0" xfId="0" applyNumberFormat="1" applyFont="1">
      <alignment vertical="center"/>
    </xf>
    <xf numFmtId="0" fontId="5" fillId="0" borderId="0" xfId="0" applyFont="1">
      <alignment vertical="center"/>
    </xf>
    <xf numFmtId="14" fontId="0" fillId="0" borderId="0" xfId="0" applyNumberFormat="1">
      <alignment vertical="center"/>
    </xf>
    <xf numFmtId="0" fontId="0" fillId="0" borderId="5" xfId="0" applyBorder="1">
      <alignment vertical="center"/>
    </xf>
    <xf numFmtId="0" fontId="0" fillId="0" borderId="8" xfId="0" applyBorder="1">
      <alignment vertical="center"/>
    </xf>
    <xf numFmtId="0" fontId="0" fillId="0" borderId="4" xfId="0" applyBorder="1">
      <alignment vertical="center"/>
    </xf>
    <xf numFmtId="165" fontId="0" fillId="0" borderId="5" xfId="0" applyNumberFormat="1" applyBorder="1">
      <alignment vertical="center"/>
    </xf>
    <xf numFmtId="0" fontId="9" fillId="0" borderId="0" xfId="0" applyFont="1" applyAlignment="1"/>
    <xf numFmtId="0" fontId="9" fillId="0" borderId="0" xfId="0" applyFont="1">
      <alignment vertical="center"/>
    </xf>
    <xf numFmtId="167" fontId="0" fillId="0" borderId="0" xfId="0" applyNumberFormat="1">
      <alignment vertical="center"/>
    </xf>
    <xf numFmtId="0" fontId="9" fillId="0" borderId="4" xfId="0" applyFont="1" applyBorder="1" applyAlignment="1"/>
    <xf numFmtId="0" fontId="9" fillId="0" borderId="6" xfId="0" applyFont="1" applyBorder="1" applyAlignment="1"/>
    <xf numFmtId="0" fontId="4" fillId="0" borderId="0" xfId="0" applyFont="1" applyAlignment="1"/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9" fillId="0" borderId="5" xfId="0" applyFont="1" applyBorder="1" applyAlignment="1"/>
    <xf numFmtId="0" fontId="4" fillId="0" borderId="0" xfId="0" applyFont="1" applyAlignment="1">
      <alignment horizontal="center" vertical="center"/>
    </xf>
    <xf numFmtId="0" fontId="4" fillId="0" borderId="1" xfId="0" applyFont="1" applyBorder="1" applyAlignment="1">
      <alignment horizontal="center" vertical="top"/>
    </xf>
    <xf numFmtId="168" fontId="9" fillId="0" borderId="0" xfId="0" applyNumberFormat="1" applyFont="1" applyAlignment="1"/>
    <xf numFmtId="2" fontId="9" fillId="0" borderId="0" xfId="0" applyNumberFormat="1" applyFont="1" applyAlignment="1"/>
    <xf numFmtId="168" fontId="9" fillId="2" borderId="0" xfId="0" applyNumberFormat="1" applyFont="1" applyFill="1" applyAlignment="1"/>
    <xf numFmtId="2" fontId="9" fillId="2" borderId="0" xfId="0" applyNumberFormat="1" applyFont="1" applyFill="1" applyAlignment="1"/>
    <xf numFmtId="0" fontId="6" fillId="0" borderId="0" xfId="0" applyFont="1">
      <alignment vertical="center"/>
    </xf>
    <xf numFmtId="0" fontId="4" fillId="0" borderId="11" xfId="0" applyFont="1" applyBorder="1" applyAlignment="1">
      <alignment horizontal="center" vertical="center"/>
    </xf>
    <xf numFmtId="0" fontId="4" fillId="0" borderId="3" xfId="0" applyFont="1" applyBorder="1" applyAlignment="1">
      <alignment horizontal="center" vertical="center"/>
    </xf>
    <xf numFmtId="0" fontId="4" fillId="0" borderId="4" xfId="0" applyFont="1" applyBorder="1">
      <alignment vertical="center"/>
    </xf>
    <xf numFmtId="0" fontId="4" fillId="0" borderId="5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4" xfId="0" applyFont="1" applyBorder="1" applyAlignment="1">
      <alignment horizontal="left" vertical="center"/>
    </xf>
    <xf numFmtId="14" fontId="6" fillId="0" borderId="5" xfId="0" applyNumberFormat="1" applyFont="1" applyBorder="1">
      <alignment vertical="center"/>
    </xf>
    <xf numFmtId="0" fontId="4" fillId="0" borderId="6" xfId="0" applyFont="1" applyBorder="1">
      <alignment vertical="center"/>
    </xf>
    <xf numFmtId="169" fontId="0" fillId="0" borderId="7" xfId="1" applyNumberFormat="1" applyFont="1" applyBorder="1">
      <alignment vertical="center"/>
    </xf>
    <xf numFmtId="169" fontId="0" fillId="0" borderId="8" xfId="1" applyNumberFormat="1" applyFont="1" applyBorder="1">
      <alignment vertical="center"/>
    </xf>
    <xf numFmtId="14" fontId="11" fillId="0" borderId="0" xfId="0" applyNumberFormat="1" applyFont="1">
      <alignment vertical="center"/>
    </xf>
    <xf numFmtId="2" fontId="0" fillId="0" borderId="0" xfId="0" applyNumberFormat="1">
      <alignment vertical="center"/>
    </xf>
    <xf numFmtId="166" fontId="0" fillId="0" borderId="0" xfId="0" applyNumberFormat="1">
      <alignment vertical="center"/>
    </xf>
    <xf numFmtId="2" fontId="0" fillId="2" borderId="0" xfId="0" applyNumberFormat="1" applyFill="1">
      <alignment vertical="center"/>
    </xf>
    <xf numFmtId="2" fontId="0" fillId="0" borderId="5" xfId="0" applyNumberFormat="1" applyBorder="1">
      <alignment vertical="center"/>
    </xf>
    <xf numFmtId="166" fontId="0" fillId="0" borderId="5" xfId="0" applyNumberFormat="1" applyBorder="1">
      <alignment vertical="center"/>
    </xf>
    <xf numFmtId="165" fontId="0" fillId="0" borderId="0" xfId="0" applyNumberFormat="1">
      <alignment vertical="center"/>
    </xf>
    <xf numFmtId="0" fontId="6" fillId="0" borderId="0" xfId="0" applyFont="1" applyAlignment="1">
      <alignment horizontal="right" vertical="center"/>
    </xf>
    <xf numFmtId="166" fontId="12" fillId="0" borderId="0" xfId="0" applyNumberFormat="1" applyFont="1">
      <alignment vertical="center"/>
    </xf>
    <xf numFmtId="0" fontId="11" fillId="0" borderId="2" xfId="0" applyFont="1" applyBorder="1">
      <alignment vertical="center"/>
    </xf>
    <xf numFmtId="0" fontId="11" fillId="0" borderId="11" xfId="0" applyFont="1" applyBorder="1">
      <alignment vertical="center"/>
    </xf>
    <xf numFmtId="0" fontId="11" fillId="0" borderId="3" xfId="0" applyFont="1" applyBorder="1">
      <alignment vertical="center"/>
    </xf>
    <xf numFmtId="0" fontId="11" fillId="0" borderId="4" xfId="0" applyFont="1" applyBorder="1">
      <alignment vertical="center"/>
    </xf>
    <xf numFmtId="0" fontId="11" fillId="0" borderId="0" xfId="0" applyFont="1">
      <alignment vertical="center"/>
    </xf>
    <xf numFmtId="0" fontId="11" fillId="0" borderId="5" xfId="0" applyFont="1" applyBorder="1">
      <alignment vertical="center"/>
    </xf>
    <xf numFmtId="0" fontId="13" fillId="0" borderId="4" xfId="0" applyFont="1" applyBorder="1" applyAlignment="1">
      <alignment horizontal="left" vertical="center"/>
    </xf>
    <xf numFmtId="0" fontId="13" fillId="0" borderId="6" xfId="0" applyFont="1" applyBorder="1">
      <alignment vertical="center"/>
    </xf>
    <xf numFmtId="169" fontId="11" fillId="0" borderId="7" xfId="1" applyNumberFormat="1" applyFont="1" applyBorder="1">
      <alignment vertical="center"/>
    </xf>
    <xf numFmtId="169" fontId="11" fillId="0" borderId="8" xfId="1" applyNumberFormat="1" applyFont="1" applyBorder="1">
      <alignment vertical="center"/>
    </xf>
    <xf numFmtId="0" fontId="4" fillId="0" borderId="9" xfId="0" applyFont="1" applyBorder="1" applyAlignment="1">
      <alignment horizontal="center" vertical="center"/>
    </xf>
    <xf numFmtId="0" fontId="4" fillId="0" borderId="10" xfId="0" applyFont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14" fontId="13" fillId="0" borderId="2" xfId="0" applyNumberFormat="1" applyFont="1" applyBorder="1">
      <alignment vertical="center"/>
    </xf>
    <xf numFmtId="0" fontId="10" fillId="0" borderId="0" xfId="0" applyFont="1">
      <alignment vertical="center"/>
    </xf>
    <xf numFmtId="166" fontId="10" fillId="0" borderId="0" xfId="0" applyNumberFormat="1" applyFont="1">
      <alignment vertical="center"/>
    </xf>
    <xf numFmtId="0" fontId="15" fillId="0" borderId="0" xfId="0" applyFont="1" applyAlignment="1">
      <alignment horizontal="right" vertical="center"/>
    </xf>
    <xf numFmtId="14" fontId="15" fillId="0" borderId="5" xfId="0" applyNumberFormat="1" applyFont="1" applyBorder="1">
      <alignment vertical="center"/>
    </xf>
  </cellXfs>
  <cellStyles count="3">
    <cellStyle name="Normal" xfId="0" builtinId="0"/>
    <cellStyle name="Normal 2" xfId="2" xr:uid="{B04820CA-37C4-4AC6-8F8E-A21D030F353B}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eetMetadata" Target="metadata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Histogram of IBM Stock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E2841">
                <a:lumMod val="20000"/>
                <a:lumOff val="80000"/>
              </a:srgbClr>
            </a:solidFill>
            <a:ln w="9525" cap="flat" cmpd="sng" algn="ctr">
              <a:solidFill>
                <a:srgbClr val="0E2841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Ref>
              <c:f>'Stock simulation'!$F$6:$F$31</c:f>
              <c:strCache>
                <c:ptCount val="26"/>
                <c:pt idx="0">
                  <c:v>60</c:v>
                </c:pt>
                <c:pt idx="1">
                  <c:v>75</c:v>
                </c:pt>
                <c:pt idx="2">
                  <c:v>90</c:v>
                </c:pt>
                <c:pt idx="3">
                  <c:v>105</c:v>
                </c:pt>
                <c:pt idx="4">
                  <c:v>120</c:v>
                </c:pt>
                <c:pt idx="5">
                  <c:v>135</c:v>
                </c:pt>
                <c:pt idx="6">
                  <c:v>150</c:v>
                </c:pt>
                <c:pt idx="7">
                  <c:v>165</c:v>
                </c:pt>
                <c:pt idx="8">
                  <c:v>180</c:v>
                </c:pt>
                <c:pt idx="9">
                  <c:v>195</c:v>
                </c:pt>
                <c:pt idx="10">
                  <c:v>210</c:v>
                </c:pt>
                <c:pt idx="11">
                  <c:v>225</c:v>
                </c:pt>
                <c:pt idx="12">
                  <c:v>240</c:v>
                </c:pt>
                <c:pt idx="13">
                  <c:v>255</c:v>
                </c:pt>
                <c:pt idx="14">
                  <c:v>270</c:v>
                </c:pt>
                <c:pt idx="15">
                  <c:v>285</c:v>
                </c:pt>
                <c:pt idx="16">
                  <c:v>300</c:v>
                </c:pt>
                <c:pt idx="17">
                  <c:v>315</c:v>
                </c:pt>
                <c:pt idx="18">
                  <c:v>330</c:v>
                </c:pt>
                <c:pt idx="19">
                  <c:v>345</c:v>
                </c:pt>
                <c:pt idx="20">
                  <c:v>360</c:v>
                </c:pt>
                <c:pt idx="21">
                  <c:v>375</c:v>
                </c:pt>
                <c:pt idx="22">
                  <c:v>390</c:v>
                </c:pt>
                <c:pt idx="23">
                  <c:v>405</c:v>
                </c:pt>
                <c:pt idx="24">
                  <c:v>420</c:v>
                </c:pt>
                <c:pt idx="25">
                  <c:v>more</c:v>
                </c:pt>
              </c:strCache>
            </c:strRef>
          </c:cat>
          <c:val>
            <c:numRef>
              <c:f>'Stock simulation'!$G$6:$G$31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32</c:v>
                </c:pt>
                <c:pt idx="3">
                  <c:v>118</c:v>
                </c:pt>
                <c:pt idx="4">
                  <c:v>355</c:v>
                </c:pt>
                <c:pt idx="5">
                  <c:v>643</c:v>
                </c:pt>
                <c:pt idx="6">
                  <c:v>861</c:v>
                </c:pt>
                <c:pt idx="7">
                  <c:v>850</c:v>
                </c:pt>
                <c:pt idx="8">
                  <c:v>617</c:v>
                </c:pt>
                <c:pt idx="9">
                  <c:v>466</c:v>
                </c:pt>
                <c:pt idx="10">
                  <c:v>353</c:v>
                </c:pt>
                <c:pt idx="11">
                  <c:v>290</c:v>
                </c:pt>
                <c:pt idx="12">
                  <c:v>176</c:v>
                </c:pt>
                <c:pt idx="13">
                  <c:v>114</c:v>
                </c:pt>
                <c:pt idx="14">
                  <c:v>60</c:v>
                </c:pt>
                <c:pt idx="15">
                  <c:v>25</c:v>
                </c:pt>
                <c:pt idx="16">
                  <c:v>16</c:v>
                </c:pt>
                <c:pt idx="17">
                  <c:v>20</c:v>
                </c:pt>
                <c:pt idx="18">
                  <c:v>0</c:v>
                </c:pt>
                <c:pt idx="19">
                  <c:v>4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66-47C5-8734-B1021CA9F4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2025238672"/>
        <c:axId val="2025238192"/>
      </c:barChart>
      <c:catAx>
        <c:axId val="20252386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238192"/>
        <c:crosses val="autoZero"/>
        <c:auto val="1"/>
        <c:lblAlgn val="ctr"/>
        <c:lblOffset val="100"/>
        <c:noMultiLvlLbl val="0"/>
      </c:catAx>
      <c:valAx>
        <c:axId val="20252381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25238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Histogram of PG Stock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E2841">
                <a:lumMod val="20000"/>
                <a:lumOff val="80000"/>
              </a:srgbClr>
            </a:solidFill>
            <a:ln w="9525" cap="flat" cmpd="sng" algn="ctr">
              <a:solidFill>
                <a:srgbClr val="0E2841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Ref>
              <c:f>'Stock simulation'!$H$6:$H$31</c:f>
              <c:strCache>
                <c:ptCount val="26"/>
                <c:pt idx="0">
                  <c:v>70</c:v>
                </c:pt>
                <c:pt idx="1">
                  <c:v>80</c:v>
                </c:pt>
                <c:pt idx="2">
                  <c:v>90</c:v>
                </c:pt>
                <c:pt idx="3">
                  <c:v>100</c:v>
                </c:pt>
                <c:pt idx="4">
                  <c:v>110</c:v>
                </c:pt>
                <c:pt idx="5">
                  <c:v>120</c:v>
                </c:pt>
                <c:pt idx="6">
                  <c:v>130</c:v>
                </c:pt>
                <c:pt idx="7">
                  <c:v>140</c:v>
                </c:pt>
                <c:pt idx="8">
                  <c:v>150</c:v>
                </c:pt>
                <c:pt idx="9">
                  <c:v>160</c:v>
                </c:pt>
                <c:pt idx="10">
                  <c:v>170</c:v>
                </c:pt>
                <c:pt idx="11">
                  <c:v>180</c:v>
                </c:pt>
                <c:pt idx="12">
                  <c:v>190</c:v>
                </c:pt>
                <c:pt idx="13">
                  <c:v>200</c:v>
                </c:pt>
                <c:pt idx="14">
                  <c:v>210</c:v>
                </c:pt>
                <c:pt idx="15">
                  <c:v>220</c:v>
                </c:pt>
                <c:pt idx="16">
                  <c:v>230</c:v>
                </c:pt>
                <c:pt idx="17">
                  <c:v>240</c:v>
                </c:pt>
                <c:pt idx="18">
                  <c:v>250</c:v>
                </c:pt>
                <c:pt idx="19">
                  <c:v>260</c:v>
                </c:pt>
                <c:pt idx="20">
                  <c:v>270</c:v>
                </c:pt>
                <c:pt idx="21">
                  <c:v>280</c:v>
                </c:pt>
                <c:pt idx="22">
                  <c:v>290</c:v>
                </c:pt>
                <c:pt idx="23">
                  <c:v>300</c:v>
                </c:pt>
                <c:pt idx="24">
                  <c:v>310</c:v>
                </c:pt>
                <c:pt idx="25">
                  <c:v>more</c:v>
                </c:pt>
              </c:strCache>
            </c:strRef>
          </c:cat>
          <c:val>
            <c:numRef>
              <c:f>'Stock simulation'!$I$6:$I$31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14</c:v>
                </c:pt>
                <c:pt idx="4">
                  <c:v>63</c:v>
                </c:pt>
                <c:pt idx="5">
                  <c:v>197</c:v>
                </c:pt>
                <c:pt idx="6">
                  <c:v>433</c:v>
                </c:pt>
                <c:pt idx="7">
                  <c:v>690</c:v>
                </c:pt>
                <c:pt idx="8">
                  <c:v>874</c:v>
                </c:pt>
                <c:pt idx="9">
                  <c:v>799</c:v>
                </c:pt>
                <c:pt idx="10">
                  <c:v>574</c:v>
                </c:pt>
                <c:pt idx="11">
                  <c:v>461</c:v>
                </c:pt>
                <c:pt idx="12">
                  <c:v>368</c:v>
                </c:pt>
                <c:pt idx="13">
                  <c:v>235</c:v>
                </c:pt>
                <c:pt idx="14">
                  <c:v>150</c:v>
                </c:pt>
                <c:pt idx="15">
                  <c:v>66</c:v>
                </c:pt>
                <c:pt idx="16">
                  <c:v>37</c:v>
                </c:pt>
                <c:pt idx="17">
                  <c:v>20</c:v>
                </c:pt>
                <c:pt idx="18">
                  <c:v>14</c:v>
                </c:pt>
                <c:pt idx="19">
                  <c:v>4</c:v>
                </c:pt>
                <c:pt idx="20">
                  <c:v>0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F79-4B3B-8E51-1F3FA3BCD2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254388176"/>
        <c:axId val="254390096"/>
      </c:barChart>
      <c:catAx>
        <c:axId val="2543881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390096"/>
        <c:crosses val="autoZero"/>
        <c:auto val="1"/>
        <c:lblAlgn val="ctr"/>
        <c:lblOffset val="100"/>
        <c:noMultiLvlLbl val="0"/>
      </c:catAx>
      <c:valAx>
        <c:axId val="254390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3881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1600" b="1"/>
              <a:t>Histogram of XOM Stock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E2841">
                <a:lumMod val="20000"/>
                <a:lumOff val="80000"/>
              </a:srgbClr>
            </a:solidFill>
            <a:ln w="9525" cap="flat" cmpd="sng" algn="ctr">
              <a:solidFill>
                <a:srgbClr val="0E2841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Ref>
              <c:f>'Stock simulation'!$J$6:$J$31</c:f>
              <c:strCache>
                <c:ptCount val="26"/>
                <c:pt idx="0">
                  <c:v>30</c:v>
                </c:pt>
                <c:pt idx="1">
                  <c:v>40</c:v>
                </c:pt>
                <c:pt idx="2">
                  <c:v>50</c:v>
                </c:pt>
                <c:pt idx="3">
                  <c:v>60</c:v>
                </c:pt>
                <c:pt idx="4">
                  <c:v>70</c:v>
                </c:pt>
                <c:pt idx="5">
                  <c:v>80</c:v>
                </c:pt>
                <c:pt idx="6">
                  <c:v>90</c:v>
                </c:pt>
                <c:pt idx="7">
                  <c:v>100</c:v>
                </c:pt>
                <c:pt idx="8">
                  <c:v>110</c:v>
                </c:pt>
                <c:pt idx="9">
                  <c:v>120</c:v>
                </c:pt>
                <c:pt idx="10">
                  <c:v>130</c:v>
                </c:pt>
                <c:pt idx="11">
                  <c:v>140</c:v>
                </c:pt>
                <c:pt idx="12">
                  <c:v>150</c:v>
                </c:pt>
                <c:pt idx="13">
                  <c:v>160</c:v>
                </c:pt>
                <c:pt idx="14">
                  <c:v>170</c:v>
                </c:pt>
                <c:pt idx="15">
                  <c:v>180</c:v>
                </c:pt>
                <c:pt idx="16">
                  <c:v>190</c:v>
                </c:pt>
                <c:pt idx="17">
                  <c:v>200</c:v>
                </c:pt>
                <c:pt idx="18">
                  <c:v>210</c:v>
                </c:pt>
                <c:pt idx="19">
                  <c:v>220</c:v>
                </c:pt>
                <c:pt idx="20">
                  <c:v>230</c:v>
                </c:pt>
                <c:pt idx="21">
                  <c:v>240</c:v>
                </c:pt>
                <c:pt idx="22">
                  <c:v>250</c:v>
                </c:pt>
                <c:pt idx="23">
                  <c:v>260</c:v>
                </c:pt>
                <c:pt idx="24">
                  <c:v>270</c:v>
                </c:pt>
                <c:pt idx="25">
                  <c:v>more</c:v>
                </c:pt>
              </c:strCache>
            </c:strRef>
          </c:cat>
          <c:val>
            <c:numRef>
              <c:f>'Stock simulation'!$K$6:$K$31</c:f>
              <c:numCache>
                <c:formatCode>General</c:formatCode>
                <c:ptCount val="26"/>
                <c:pt idx="0">
                  <c:v>0</c:v>
                </c:pt>
                <c:pt idx="1">
                  <c:v>0</c:v>
                </c:pt>
                <c:pt idx="2">
                  <c:v>31</c:v>
                </c:pt>
                <c:pt idx="3">
                  <c:v>126</c:v>
                </c:pt>
                <c:pt idx="4">
                  <c:v>354</c:v>
                </c:pt>
                <c:pt idx="5">
                  <c:v>630</c:v>
                </c:pt>
                <c:pt idx="6">
                  <c:v>778</c:v>
                </c:pt>
                <c:pt idx="7">
                  <c:v>791</c:v>
                </c:pt>
                <c:pt idx="8">
                  <c:v>621</c:v>
                </c:pt>
                <c:pt idx="9">
                  <c:v>428</c:v>
                </c:pt>
                <c:pt idx="10">
                  <c:v>359</c:v>
                </c:pt>
                <c:pt idx="11">
                  <c:v>294</c:v>
                </c:pt>
                <c:pt idx="12">
                  <c:v>219</c:v>
                </c:pt>
                <c:pt idx="13">
                  <c:v>150</c:v>
                </c:pt>
                <c:pt idx="14">
                  <c:v>83</c:v>
                </c:pt>
                <c:pt idx="15">
                  <c:v>54</c:v>
                </c:pt>
                <c:pt idx="16">
                  <c:v>26</c:v>
                </c:pt>
                <c:pt idx="17">
                  <c:v>29</c:v>
                </c:pt>
                <c:pt idx="18">
                  <c:v>7</c:v>
                </c:pt>
                <c:pt idx="19">
                  <c:v>15</c:v>
                </c:pt>
                <c:pt idx="20">
                  <c:v>0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  <c:pt idx="24">
                  <c:v>1</c:v>
                </c:pt>
                <c:pt idx="2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58A-4E8F-8E5E-6FD1FAEFAB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254388656"/>
        <c:axId val="254390576"/>
      </c:barChart>
      <c:catAx>
        <c:axId val="254388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390576"/>
        <c:crosses val="autoZero"/>
        <c:auto val="1"/>
        <c:lblAlgn val="ctr"/>
        <c:lblOffset val="100"/>
        <c:noMultiLvlLbl val="0"/>
      </c:catAx>
      <c:valAx>
        <c:axId val="254390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5438865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altLang="zh-CN" sz="1600" b="1"/>
              <a:t>Histogram of Portfolio Values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zh-CN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rgbClr val="0E2841">
                <a:lumMod val="20000"/>
                <a:lumOff val="80000"/>
              </a:srgbClr>
            </a:solidFill>
            <a:ln w="9525" cap="flat" cmpd="sng" algn="ctr">
              <a:solidFill>
                <a:srgbClr val="0E2841">
                  <a:lumMod val="60000"/>
                  <a:lumOff val="40000"/>
                </a:srgbClr>
              </a:solidFill>
              <a:prstDash val="solid"/>
              <a:round/>
              <a:headEnd type="none" w="med" len="med"/>
              <a:tailEnd type="none" w="med" len="med"/>
            </a:ln>
            <a:effectLst/>
          </c:spPr>
          <c:invertIfNegative val="0"/>
          <c:cat>
            <c:strRef>
              <c:f>'Portfolio simulation'!$E$5:$E$26</c:f>
              <c:strCache>
                <c:ptCount val="22"/>
                <c:pt idx="0">
                  <c:v>40000</c:v>
                </c:pt>
                <c:pt idx="1">
                  <c:v>50000</c:v>
                </c:pt>
                <c:pt idx="2">
                  <c:v>60000</c:v>
                </c:pt>
                <c:pt idx="3">
                  <c:v>70000</c:v>
                </c:pt>
                <c:pt idx="4">
                  <c:v>80000</c:v>
                </c:pt>
                <c:pt idx="5">
                  <c:v>90000</c:v>
                </c:pt>
                <c:pt idx="6">
                  <c:v>100000</c:v>
                </c:pt>
                <c:pt idx="7">
                  <c:v>110000</c:v>
                </c:pt>
                <c:pt idx="8">
                  <c:v>120000</c:v>
                </c:pt>
                <c:pt idx="9">
                  <c:v>130000</c:v>
                </c:pt>
                <c:pt idx="10">
                  <c:v>140000</c:v>
                </c:pt>
                <c:pt idx="11">
                  <c:v>150000</c:v>
                </c:pt>
                <c:pt idx="12">
                  <c:v>160000</c:v>
                </c:pt>
                <c:pt idx="13">
                  <c:v>170000</c:v>
                </c:pt>
                <c:pt idx="14">
                  <c:v>180000</c:v>
                </c:pt>
                <c:pt idx="15">
                  <c:v>190000</c:v>
                </c:pt>
                <c:pt idx="16">
                  <c:v>200000</c:v>
                </c:pt>
                <c:pt idx="17">
                  <c:v>210000</c:v>
                </c:pt>
                <c:pt idx="18">
                  <c:v>220000</c:v>
                </c:pt>
                <c:pt idx="19">
                  <c:v>230000</c:v>
                </c:pt>
                <c:pt idx="20">
                  <c:v>240000</c:v>
                </c:pt>
                <c:pt idx="21">
                  <c:v>more</c:v>
                </c:pt>
              </c:strCache>
            </c:strRef>
          </c:cat>
          <c:val>
            <c:numRef>
              <c:f>'Portfolio simulation'!$F$5:$F$26</c:f>
              <c:numCache>
                <c:formatCode>General</c:formatCode>
                <c:ptCount val="22"/>
                <c:pt idx="0">
                  <c:v>0</c:v>
                </c:pt>
                <c:pt idx="1">
                  <c:v>10</c:v>
                </c:pt>
                <c:pt idx="2">
                  <c:v>68</c:v>
                </c:pt>
                <c:pt idx="3">
                  <c:v>197</c:v>
                </c:pt>
                <c:pt idx="4">
                  <c:v>380</c:v>
                </c:pt>
                <c:pt idx="5">
                  <c:v>522</c:v>
                </c:pt>
                <c:pt idx="6">
                  <c:v>634</c:v>
                </c:pt>
                <c:pt idx="7">
                  <c:v>652</c:v>
                </c:pt>
                <c:pt idx="8">
                  <c:v>637</c:v>
                </c:pt>
                <c:pt idx="9">
                  <c:v>524</c:v>
                </c:pt>
                <c:pt idx="10">
                  <c:v>441</c:v>
                </c:pt>
                <c:pt idx="11">
                  <c:v>309</c:v>
                </c:pt>
                <c:pt idx="12">
                  <c:v>241</c:v>
                </c:pt>
                <c:pt idx="13">
                  <c:v>149</c:v>
                </c:pt>
                <c:pt idx="14">
                  <c:v>98</c:v>
                </c:pt>
                <c:pt idx="15">
                  <c:v>60</c:v>
                </c:pt>
                <c:pt idx="16">
                  <c:v>26</c:v>
                </c:pt>
                <c:pt idx="17">
                  <c:v>24</c:v>
                </c:pt>
                <c:pt idx="18">
                  <c:v>12</c:v>
                </c:pt>
                <c:pt idx="19">
                  <c:v>7</c:v>
                </c:pt>
                <c:pt idx="20">
                  <c:v>4</c:v>
                </c:pt>
                <c:pt idx="21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0-4257-BF44-CEA8A4F0D08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833762383"/>
        <c:axId val="833763343"/>
      </c:barChart>
      <c:catAx>
        <c:axId val="833762383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3763343"/>
        <c:crosses val="autoZero"/>
        <c:auto val="1"/>
        <c:lblAlgn val="ctr"/>
        <c:lblOffset val="100"/>
        <c:noMultiLvlLbl val="0"/>
      </c:catAx>
      <c:valAx>
        <c:axId val="833763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zh-CN"/>
          </a:p>
        </c:txPr>
        <c:crossAx val="833762383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zh-CN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19050</xdr:colOff>
          <xdr:row>3</xdr:row>
          <xdr:rowOff>19050</xdr:rowOff>
        </xdr:from>
        <xdr:to>
          <xdr:col>4</xdr:col>
          <xdr:colOff>177800</xdr:colOff>
          <xdr:row>4</xdr:row>
          <xdr:rowOff>63500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31750</xdr:colOff>
          <xdr:row>0</xdr:row>
          <xdr:rowOff>50800</xdr:rowOff>
        </xdr:from>
        <xdr:to>
          <xdr:col>8</xdr:col>
          <xdr:colOff>222250</xdr:colOff>
          <xdr:row>1</xdr:row>
          <xdr:rowOff>69850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Simulation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381000</xdr:colOff>
      <xdr:row>1</xdr:row>
      <xdr:rowOff>4762</xdr:rowOff>
    </xdr:from>
    <xdr:to>
      <xdr:col>22</xdr:col>
      <xdr:colOff>25400</xdr:colOff>
      <xdr:row>17</xdr:row>
      <xdr:rowOff>131762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88D1582C-02C6-FD20-0021-7352108ADC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381000</xdr:colOff>
      <xdr:row>18</xdr:row>
      <xdr:rowOff>80962</xdr:rowOff>
    </xdr:from>
    <xdr:to>
      <xdr:col>22</xdr:col>
      <xdr:colOff>25400</xdr:colOff>
      <xdr:row>35</xdr:row>
      <xdr:rowOff>17462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31085EC6-B5F7-C5B9-419A-083B2F51398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11</xdr:col>
      <xdr:colOff>390525</xdr:colOff>
      <xdr:row>35</xdr:row>
      <xdr:rowOff>157162</xdr:rowOff>
    </xdr:from>
    <xdr:to>
      <xdr:col>22</xdr:col>
      <xdr:colOff>34925</xdr:colOff>
      <xdr:row>52</xdr:row>
      <xdr:rowOff>93662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E5EEEFA-DC1A-5400-8E78-038FCA2060E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342900</xdr:colOff>
          <xdr:row>0</xdr:row>
          <xdr:rowOff>50800</xdr:rowOff>
        </xdr:from>
        <xdr:to>
          <xdr:col>9</xdr:col>
          <xdr:colOff>412750</xdr:colOff>
          <xdr:row>1</xdr:row>
          <xdr:rowOff>69850</xdr:rowOff>
        </xdr:to>
        <xdr:sp macro="" textlink="">
          <xdr:nvSpPr>
            <xdr:cNvPr id="3074" name="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3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Histogram</a:t>
              </a:r>
            </a:p>
            <a:p>
              <a:pPr algn="ctr" rtl="0">
                <a:defRPr sz="1000"/>
              </a:pPr>
              <a:endParaRPr lang="en-HK" sz="1100" b="0" i="0" u="none" strike="noStrike" baseline="0">
                <a:solidFill>
                  <a:srgbClr val="000000"/>
                </a:solidFill>
                <a:latin typeface="Calibri"/>
                <a:cs typeface="Calibri"/>
              </a:endParaRP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13</xdr:col>
      <xdr:colOff>30176</xdr:colOff>
      <xdr:row>11</xdr:row>
      <xdr:rowOff>144477</xdr:rowOff>
    </xdr:from>
    <xdr:ext cx="8086477" cy="1949508"/>
    <mc:AlternateContent xmlns:mc="http://schemas.openxmlformats.org/markup-compatibility/2006">
      <mc:Choice xmlns:a14="http://schemas.microsoft.com/office/drawing/2010/main" Requires="a14"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E8783CDD-76BB-4F13-0011-F091C7420538}"/>
                </a:ext>
              </a:extLst>
            </xdr:cNvPr>
            <xdr:cNvSpPr txBox="1"/>
          </xdr:nvSpPr>
          <xdr:spPr>
            <a:xfrm>
              <a:off x="9955226" y="2135202"/>
              <a:ext cx="8086477" cy="1949508"/>
            </a:xfrm>
            <a:prstGeom prst="rect">
              <a:avLst/>
            </a:prstGeom>
            <a:solidFill>
              <a:schemeClr val="bg1"/>
            </a:solidFill>
            <a:ln w="19050">
              <a:solidFill>
                <a:srgbClr val="0070C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>
                <a:spcAft>
                  <a:spcPts val="600"/>
                </a:spcAft>
              </a:pPr>
              <a:r>
                <a:rPr lang="en-US" altLang="zh-CN" sz="1100" kern="1200" baseline="0"/>
                <a:t>In this worksheet, I illustrate how to rebalance the portfolio every quarter. We will write such investment strategy into VBA sub procedure.</a:t>
              </a:r>
            </a:p>
            <a:p>
              <a:pPr>
                <a:spcAft>
                  <a:spcPts val="600"/>
                </a:spcAft>
              </a:pPr>
              <a:r>
                <a:rPr lang="en-US" altLang="zh-CN" sz="1100" kern="1200" baseline="0"/>
                <a:t>Every quarter </a:t>
              </a:r>
              <a14:m>
                <m:oMath xmlns:m="http://schemas.openxmlformats.org/officeDocument/2006/math">
                  <m:r>
                    <a:rPr lang="en-US" altLang="zh-CN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𝑡</m:t>
                  </m:r>
                  <m:r>
                    <a:rPr lang="en-US" altLang="zh-CN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=0,3, 6, 9</m:t>
                  </m:r>
                </m:oMath>
              </a14:m>
              <a:r>
                <a:rPr lang="en-US" altLang="zh-CN" sz="1100" kern="1200" baseline="0"/>
                <a:t>, we simulate three standard normal random variables </a:t>
              </a:r>
              <a14:m>
                <m:oMath xmlns:m="http://schemas.openxmlformats.org/officeDocument/2006/math">
                  <m:r>
                    <a:rPr lang="en-US" altLang="zh-CN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(</m:t>
                  </m:r>
                  <m:sSub>
                    <m:sSubPr>
                      <m:ctrlP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zh-CN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𝜀</m:t>
                      </m:r>
                    </m:e>
                    <m:sub>
                      <m: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1,</m:t>
                      </m:r>
                      <m: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</m:sub>
                  </m:sSub>
                  <m:r>
                    <a:rPr lang="en-US" altLang="zh-CN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 </m:t>
                  </m:r>
                  <m:sSub>
                    <m:sSubPr>
                      <m:ctrlP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zh-CN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𝜀</m:t>
                      </m:r>
                    </m:e>
                    <m:sub>
                      <m: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2,</m:t>
                      </m:r>
                      <m: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</m:sub>
                  </m:sSub>
                  <m:r>
                    <a:rPr lang="en-US" altLang="zh-CN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 </m:t>
                  </m:r>
                  <m:sSub>
                    <m:sSubPr>
                      <m:ctrlP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zh-CN" alt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𝜀</m:t>
                      </m:r>
                    </m:e>
                    <m:sub>
                      <m: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,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</m:sub>
                  </m:sSub>
                  <m:r>
                    <a:rPr lang="en-US" altLang="zh-CN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r>
                <a:rPr lang="en-US" altLang="zh-CN" sz="1100" kern="1200" baseline="0"/>
                <a:t> that are correlated.  Then calculate stock prices </a:t>
              </a:r>
              <a14:m>
                <m:oMath xmlns:m="http://schemas.openxmlformats.org/officeDocument/2006/math">
                  <m:r>
                    <a:rPr lang="en-US" altLang="zh-CN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(</m:t>
                  </m:r>
                  <m:sSub>
                    <m:sSubPr>
                      <m:ctrlP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</m:t>
                      </m:r>
                    </m:e>
                    <m:sub>
                      <m: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1,</m:t>
                      </m:r>
                      <m: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</m:sub>
                  </m:sSub>
                  <m:r>
                    <a:rPr lang="en-US" altLang="zh-CN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 </m:t>
                  </m:r>
                  <m:sSub>
                    <m:sSubPr>
                      <m:ctrlP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</m:t>
                      </m:r>
                    </m:e>
                    <m:sub>
                      <m: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2,</m:t>
                      </m:r>
                      <m: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</m:sub>
                  </m:sSub>
                  <m:r>
                    <a:rPr lang="en-US" altLang="zh-CN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 </m:t>
                  </m:r>
                  <m:sSub>
                    <m:sSubPr>
                      <m:ctrlP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𝑆</m:t>
                      </m:r>
                    </m:e>
                    <m:sub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3,</m:t>
                      </m:r>
                      <m:r>
                        <a:rPr lang="en-US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</m:sub>
                  </m:sSub>
                  <m:r>
                    <a:rPr lang="en-US" altLang="zh-CN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r>
                <a:rPr lang="en-US" altLang="zh-CN" sz="1100" kern="1200" baseline="0"/>
                <a:t> using GBM model. </a:t>
              </a:r>
            </a:p>
            <a:p>
              <a:pPr>
                <a:spcAft>
                  <a:spcPts val="600"/>
                </a:spcAft>
              </a:pPr>
              <a:r>
                <a:rPr lang="en-US" altLang="zh-CN" sz="1100" kern="1200" baseline="0"/>
                <a:t>Based on the number of shares of each stock (calculated in previous quarter) </a:t>
              </a:r>
              <a14:m>
                <m:oMath xmlns:m="http://schemas.openxmlformats.org/officeDocument/2006/math">
                  <m:r>
                    <a:rPr lang="en-US" altLang="zh-CN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(</m:t>
                  </m:r>
                  <m:sSub>
                    <m:sSubPr>
                      <m:ctrlP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𝑁</m:t>
                      </m:r>
                    </m:e>
                    <m:sub>
                      <m: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1,</m:t>
                      </m:r>
                      <m: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  <m: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−3</m:t>
                      </m:r>
                    </m:sub>
                  </m:sSub>
                  <m:r>
                    <a:rPr lang="en-US" altLang="zh-CN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, </m:t>
                  </m:r>
                  <m:sSub>
                    <m:sSubPr>
                      <m:ctrlP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</m:ctrlPr>
                    </m:sSubPr>
                    <m:e>
                      <m: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𝑁</m:t>
                      </m:r>
                    </m:e>
                    <m:sub>
                      <m: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2,</m:t>
                      </m:r>
                      <m: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𝑡</m:t>
                      </m:r>
                      <m:r>
                        <a:rPr lang="en-US" altLang="zh-CN" sz="1100" b="0" i="1" baseline="0">
                          <a:solidFill>
                            <a:schemeClr val="tx1"/>
                          </a:solidFill>
                          <a:effectLst/>
                          <a:latin typeface="Cambria Math" panose="02040503050406030204" pitchFamily="18" charset="0"/>
                          <a:ea typeface="+mn-ea"/>
                          <a:cs typeface="+mn-cs"/>
                        </a:rPr>
                        <m:t>−3</m:t>
                      </m:r>
                    </m:sub>
                  </m:sSub>
                  <m:r>
                    <a:rPr lang="en-US" altLang="zh-CN" sz="1100" b="0" i="1" baseline="0">
                      <a:solidFill>
                        <a:schemeClr val="tx1"/>
                      </a:solidFill>
                      <a:effectLst/>
                      <a:latin typeface="Cambria Math" panose="02040503050406030204" pitchFamily="18" charset="0"/>
                      <a:ea typeface="+mn-ea"/>
                      <a:cs typeface="+mn-cs"/>
                    </a:rPr>
                    <m:t>)</m:t>
                  </m:r>
                </m:oMath>
              </a14:m>
              <a:r>
                <a:rPr lang="en-US" altLang="zh-CN" sz="1100" kern="1200" baseline="0"/>
                <a:t>, portfolio value </a:t>
              </a:r>
            </a:p>
            <a:p>
              <a:pPr>
                <a:spcAft>
                  <a:spcPts val="600"/>
                </a:spcAft>
              </a:pPr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sSub>
                      <m:sSubPr>
                        <m:ctrlP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𝑃</m:t>
                        </m:r>
                      </m:e>
                      <m:sub>
                        <m: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altLang="zh-CN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=</m:t>
                    </m:r>
                    <m:sSub>
                      <m:sSubPr>
                        <m:ctrlP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1,</m:t>
                        </m:r>
                        <m: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altLang="zh-CN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sSub>
                      <m:sSubPr>
                        <m:ctrlP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e>
                      <m:sub>
                        <m: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1,</m:t>
                        </m:r>
                        <m: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−3</m:t>
                        </m:r>
                      </m:sub>
                    </m:sSub>
                    <m:r>
                      <a:rPr lang="en-US" altLang="zh-CN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2,</m:t>
                        </m:r>
                        <m: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altLang="zh-CN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sSub>
                      <m:sSubPr>
                        <m:ctrlP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e>
                      <m:sub>
                        <m: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2,</m:t>
                        </m:r>
                        <m: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altLang="zh-CN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−3</m:t>
                        </m:r>
                      </m:sub>
                    </m:sSub>
                    <m:r>
                      <a:rPr lang="en-US" altLang="zh-CN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+</m:t>
                    </m:r>
                    <m:sSub>
                      <m:sSubPr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𝑆</m:t>
                        </m:r>
                      </m:e>
                      <m:sub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3,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</m:sub>
                    </m:sSub>
                    <m:r>
                      <a:rPr lang="en-US" sz="1100" b="0" i="1" baseline="0">
                        <a:solidFill>
                          <a:schemeClr val="tx1"/>
                        </a:solidFill>
                        <a:effectLst/>
                        <a:latin typeface="Cambria Math" panose="02040503050406030204" pitchFamily="18" charset="0"/>
                        <a:ea typeface="+mn-ea"/>
                        <a:cs typeface="+mn-cs"/>
                      </a:rPr>
                      <m:t>⋅</m:t>
                    </m:r>
                    <m:sSub>
                      <m:sSubPr>
                        <m:ctrlP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</m:ctrlPr>
                      </m:sSubPr>
                      <m:e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𝑁</m:t>
                        </m:r>
                      </m:e>
                      <m:sub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3,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𝑡</m:t>
                        </m:r>
                        <m:r>
                          <a:rPr lang="en-US" sz="1100" b="0" i="1" baseline="0">
                            <a:solidFill>
                              <a:schemeClr val="tx1"/>
                            </a:solidFill>
                            <a:effectLst/>
                            <a:latin typeface="Cambria Math" panose="02040503050406030204" pitchFamily="18" charset="0"/>
                            <a:ea typeface="+mn-ea"/>
                            <a:cs typeface="+mn-cs"/>
                          </a:rPr>
                          <m:t>−3</m:t>
                        </m:r>
                      </m:sub>
                    </m:sSub>
                  </m:oMath>
                </m:oMathPara>
              </a14:m>
              <a:endParaRPr lang="en-US" altLang="zh-CN" sz="1100" kern="1200" baseline="0"/>
            </a:p>
            <a:p>
              <a:pPr>
                <a:spcAft>
                  <a:spcPts val="600"/>
                </a:spcAft>
              </a:pPr>
              <a:r>
                <a:rPr lang="en-US" altLang="zh-CN" sz="1100" kern="1200" baseline="0"/>
                <a:t>Last we rebalance the portfolio based on the weights of optimal risky portfolio. Number of shares in each stock should be updated accordingly.</a:t>
              </a:r>
            </a:p>
            <a:p>
              <a:pPr marL="0" indent="0">
                <a:spcAft>
                  <a:spcPts val="600"/>
                </a:spcAft>
              </a:pPr>
              <a:r>
                <a:rPr lang="en-US" altLang="zh-CN" sz="1100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After 4 quarters, we report the portfolio value.</a:t>
              </a:r>
            </a:p>
            <a:p>
              <a:pPr marL="0" indent="0">
                <a:spcAft>
                  <a:spcPts val="600"/>
                </a:spcAft>
              </a:pPr>
              <a:r>
                <a:rPr lang="en-US" altLang="zh-CN" sz="1100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Note: You may use either daily updated or monthly updated 4-week Treasury Bill rate, one period before the day we construct the portfolio.</a:t>
              </a:r>
              <a:endParaRPr lang="zh-CN" altLang="en-US" sz="1100" kern="1200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Choice>
      <mc:Fallback>
        <xdr:sp macro="" textlink="">
          <xdr:nvSpPr>
            <xdr:cNvPr id="2" name="TextBox 1">
              <a:extLst>
                <a:ext uri="{FF2B5EF4-FFF2-40B4-BE49-F238E27FC236}">
                  <a16:creationId xmlns:a16="http://schemas.microsoft.com/office/drawing/2014/main" id="{E8783CDD-76BB-4F13-0011-F091C7420538}"/>
                </a:ext>
              </a:extLst>
            </xdr:cNvPr>
            <xdr:cNvSpPr txBox="1"/>
          </xdr:nvSpPr>
          <xdr:spPr>
            <a:xfrm>
              <a:off x="9955226" y="2135202"/>
              <a:ext cx="8086477" cy="1949508"/>
            </a:xfrm>
            <a:prstGeom prst="rect">
              <a:avLst/>
            </a:prstGeom>
            <a:solidFill>
              <a:schemeClr val="bg1"/>
            </a:solidFill>
            <a:ln w="19050">
              <a:solidFill>
                <a:srgbClr val="0070C0"/>
              </a:solidFill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pPr>
                <a:spcAft>
                  <a:spcPts val="600"/>
                </a:spcAft>
              </a:pPr>
              <a:r>
                <a:rPr lang="en-US" altLang="zh-CN" sz="1100" kern="1200" baseline="0"/>
                <a:t>In this worksheet, I illustrate how to rebalance the portfolio every quarter. We will write such investment strategy into VBA sub procedure.</a:t>
              </a:r>
            </a:p>
            <a:p>
              <a:pPr>
                <a:spcAft>
                  <a:spcPts val="600"/>
                </a:spcAft>
              </a:pPr>
              <a:r>
                <a:rPr lang="en-US" altLang="zh-CN" sz="1100" kern="1200" baseline="0"/>
                <a:t>Every quarter </a:t>
              </a:r>
              <a:r>
                <a:rPr lang="en-US" altLang="zh-CN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𝑡=0,3, 6, 9</a:t>
              </a:r>
              <a:r>
                <a:rPr lang="en-US" altLang="zh-CN" sz="1100" kern="1200" baseline="0"/>
                <a:t>, we simulate three standard normal random variables </a:t>
              </a:r>
              <a:r>
                <a:rPr lang="en-US" altLang="zh-CN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</a:t>
              </a:r>
              <a:r>
                <a:rPr lang="zh-CN" altLang="zh-CN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𝜀</a:t>
              </a:r>
              <a:r>
                <a:rPr lang="en-US" altLang="zh-CN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_(1,𝑡), </a:t>
              </a:r>
              <a:r>
                <a:rPr lang="zh-CN" altLang="zh-CN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𝜀</a:t>
              </a:r>
              <a:r>
                <a:rPr lang="en-US" altLang="zh-CN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_(2,𝑡), </a:t>
              </a:r>
              <a:r>
                <a:rPr lang="zh-CN" alt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𝜀</a:t>
              </a:r>
              <a:r>
                <a:rPr lang="en-US" altLang="zh-CN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_(3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,𝑡)</a:t>
              </a:r>
              <a:r>
                <a:rPr lang="en-US" altLang="zh-CN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altLang="zh-CN" sz="1100" kern="1200" baseline="0"/>
                <a:t> that are correlated.  Then calculate stock prices </a:t>
              </a:r>
              <a:r>
                <a:rPr lang="en-US" altLang="zh-CN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(𝑆_(1,𝑡), 𝑆_(2,𝑡), 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𝑆_(3,𝑡)</a:t>
              </a:r>
              <a:r>
                <a:rPr lang="en-US" altLang="zh-CN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)</a:t>
              </a:r>
              <a:r>
                <a:rPr lang="en-US" altLang="zh-CN" sz="1100" kern="1200" baseline="0"/>
                <a:t> using GBM model. </a:t>
              </a:r>
            </a:p>
            <a:p>
              <a:pPr>
                <a:spcAft>
                  <a:spcPts val="600"/>
                </a:spcAft>
              </a:pPr>
              <a:r>
                <a:rPr lang="en-US" altLang="zh-CN" sz="1100" kern="1200" baseline="0"/>
                <a:t>Based on the number of shares of each stock (calculated in previous quarter) </a:t>
              </a:r>
              <a:r>
                <a:rPr lang="en-US" altLang="zh-CN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(𝑁_(1,𝑡−3), 𝑁_(2,𝑡−3))</a:t>
              </a:r>
              <a:r>
                <a:rPr lang="en-US" altLang="zh-CN" sz="1100" kern="1200" baseline="0"/>
                <a:t>, portfolio value </a:t>
              </a:r>
            </a:p>
            <a:p>
              <a:pPr>
                <a:spcAft>
                  <a:spcPts val="600"/>
                </a:spcAft>
              </a:pPr>
              <a:r>
                <a:rPr lang="en-US" altLang="zh-CN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𝑃_𝑡=𝑆_(1,𝑡)⋅𝑁_(1,𝑡−3)+𝑆_(2,𝑡)⋅𝑁_(2,𝑡−3)+</a:t>
              </a:r>
              <a:r>
                <a:rPr lang="en-US" sz="1100" b="0" i="0" baseline="0">
                  <a:solidFill>
                    <a:schemeClr val="tx1"/>
                  </a:solidFill>
                  <a:effectLst/>
                  <a:latin typeface="Cambria Math" panose="02040503050406030204" pitchFamily="18" charset="0"/>
                  <a:ea typeface="+mn-ea"/>
                  <a:cs typeface="+mn-cs"/>
                </a:rPr>
                <a:t>𝑆_(3,𝑡)⋅𝑁_(3,𝑡−3)</a:t>
              </a:r>
              <a:endParaRPr lang="en-US" altLang="zh-CN" sz="1100" kern="1200" baseline="0"/>
            </a:p>
            <a:p>
              <a:pPr>
                <a:spcAft>
                  <a:spcPts val="600"/>
                </a:spcAft>
              </a:pPr>
              <a:r>
                <a:rPr lang="en-US" altLang="zh-CN" sz="1100" kern="1200" baseline="0"/>
                <a:t>Last we rebalance the portfolio based on the weights of optimal risky portfolio. Number of shares in each stock should be updated accordingly.</a:t>
              </a:r>
            </a:p>
            <a:p>
              <a:pPr marL="0" indent="0">
                <a:spcAft>
                  <a:spcPts val="600"/>
                </a:spcAft>
              </a:pPr>
              <a:r>
                <a:rPr lang="en-US" altLang="zh-CN" sz="1100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After 4 quarters, we report the portfolio value.</a:t>
              </a:r>
            </a:p>
            <a:p>
              <a:pPr marL="0" indent="0">
                <a:spcAft>
                  <a:spcPts val="600"/>
                </a:spcAft>
              </a:pPr>
              <a:r>
                <a:rPr lang="en-US" altLang="zh-CN" sz="1100" kern="1200" baseline="0">
                  <a:solidFill>
                    <a:schemeClr val="tx1"/>
                  </a:solidFill>
                  <a:latin typeface="+mn-lt"/>
                  <a:ea typeface="+mn-ea"/>
                  <a:cs typeface="+mn-cs"/>
                </a:rPr>
                <a:t>Note: You may use either daily updated or monthly updated 4-week Treasury Bill rate, one period before the day we construct the portfolio.</a:t>
              </a:r>
              <a:endParaRPr lang="zh-CN" altLang="en-US" sz="1100" kern="1200" baseline="0">
                <a:solidFill>
                  <a:schemeClr val="tx1"/>
                </a:solidFill>
                <a:latin typeface="+mn-lt"/>
                <a:ea typeface="+mn-ea"/>
                <a:cs typeface="+mn-cs"/>
              </a:endParaRPr>
            </a:p>
          </xdr:txBody>
        </xdr:sp>
      </mc:Fallback>
    </mc:AlternateContent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292100</xdr:colOff>
          <xdr:row>0</xdr:row>
          <xdr:rowOff>114300</xdr:rowOff>
        </xdr:from>
        <xdr:to>
          <xdr:col>9</xdr:col>
          <xdr:colOff>158750</xdr:colOff>
          <xdr:row>2</xdr:row>
          <xdr:rowOff>114300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Simulation </a:t>
              </a:r>
            </a:p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(Portfolio_sim)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323850</xdr:colOff>
          <xdr:row>0</xdr:row>
          <xdr:rowOff>114300</xdr:rowOff>
        </xdr:from>
        <xdr:to>
          <xdr:col>10</xdr:col>
          <xdr:colOff>514350</xdr:colOff>
          <xdr:row>1</xdr:row>
          <xdr:rowOff>133350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5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HK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Graph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155050</xdr:colOff>
      <xdr:row>6</xdr:row>
      <xdr:rowOff>79513</xdr:rowOff>
    </xdr:from>
    <xdr:to>
      <xdr:col>17</xdr:col>
      <xdr:colOff>144007</xdr:colOff>
      <xdr:row>23</xdr:row>
      <xdr:rowOff>10380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505C6F7-F133-7285-93AC-B678B1CE4CD7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2C13E5-D64C-4B92-A426-677913CA0A73}">
  <sheetPr codeName="Sheet1"/>
  <dimension ref="A1:B10"/>
  <sheetViews>
    <sheetView workbookViewId="0">
      <selection activeCell="B5" sqref="B5"/>
    </sheetView>
  </sheetViews>
  <sheetFormatPr defaultColWidth="8.6328125" defaultRowHeight="14.5"/>
  <cols>
    <col min="1" max="1" width="32.36328125" style="4" customWidth="1"/>
    <col min="2" max="2" width="11" bestFit="1" customWidth="1"/>
  </cols>
  <sheetData>
    <row r="1" spans="1:2" ht="18.5">
      <c r="A1" s="1" t="s">
        <v>0</v>
      </c>
    </row>
    <row r="2" spans="1:2">
      <c r="A2" t="s">
        <v>4</v>
      </c>
    </row>
    <row r="3" spans="1:2">
      <c r="A3" s="2" t="s">
        <v>5</v>
      </c>
      <c r="B3" s="4" t="s">
        <v>10</v>
      </c>
    </row>
    <row r="4" spans="1:2">
      <c r="A4" s="2" t="s">
        <v>1</v>
      </c>
      <c r="B4" s="3">
        <v>41609</v>
      </c>
    </row>
    <row r="5" spans="1:2">
      <c r="A5" s="2" t="s">
        <v>2</v>
      </c>
      <c r="B5" s="3">
        <v>45291</v>
      </c>
    </row>
    <row r="6" spans="1:2">
      <c r="A6"/>
    </row>
    <row r="7" spans="1:2">
      <c r="A7" s="2" t="s">
        <v>3</v>
      </c>
    </row>
    <row r="8" spans="1:2">
      <c r="A8" s="4" t="s">
        <v>7</v>
      </c>
    </row>
    <row r="9" spans="1:2">
      <c r="A9" s="4" t="s">
        <v>9</v>
      </c>
    </row>
    <row r="10" spans="1:2">
      <c r="A10" s="4" t="s">
        <v>34</v>
      </c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GetData">
                <anchor moveWithCells="1" sizeWithCells="1">
                  <from>
                    <xdr:col>3</xdr:col>
                    <xdr:colOff>19050</xdr:colOff>
                    <xdr:row>3</xdr:row>
                    <xdr:rowOff>19050</xdr:rowOff>
                  </from>
                  <to>
                    <xdr:col>4</xdr:col>
                    <xdr:colOff>177800</xdr:colOff>
                    <xdr:row>4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6C351C8-49BD-4B99-AB6C-3F8E9EB992CD}">
  <sheetPr codeName="Sheet2"/>
  <dimension ref="A1:H400"/>
  <sheetViews>
    <sheetView workbookViewId="0">
      <selection activeCell="F15" sqref="F15"/>
    </sheetView>
  </sheetViews>
  <sheetFormatPr defaultColWidth="8.6328125" defaultRowHeight="14.5"/>
  <cols>
    <col min="1" max="1" width="9.6328125" bestFit="1" customWidth="1"/>
    <col min="2" max="6" width="12" bestFit="1" customWidth="1"/>
    <col min="7" max="7" width="11" bestFit="1" customWidth="1"/>
    <col min="8" max="8" width="6.36328125" bestFit="1" customWidth="1"/>
  </cols>
  <sheetData>
    <row r="1" spans="1:8">
      <c r="A1" t="s">
        <v>11</v>
      </c>
      <c r="B1" t="s">
        <v>12</v>
      </c>
      <c r="C1" t="s">
        <v>13</v>
      </c>
      <c r="D1" t="s">
        <v>14</v>
      </c>
      <c r="E1" t="s">
        <v>15</v>
      </c>
      <c r="F1" t="s">
        <v>16</v>
      </c>
      <c r="G1" t="s">
        <v>17</v>
      </c>
      <c r="H1" t="s">
        <v>18</v>
      </c>
    </row>
    <row r="2" spans="1:8">
      <c r="A2" s="5">
        <v>41609</v>
      </c>
      <c r="B2">
        <v>171.56787109375</v>
      </c>
      <c r="C2">
        <v>179.53155517578125</v>
      </c>
      <c r="D2">
        <v>165.13385009765625</v>
      </c>
      <c r="E2">
        <v>179.32122802734375</v>
      </c>
      <c r="F2">
        <v>112.98859405517578</v>
      </c>
      <c r="G2">
        <v>102500782</v>
      </c>
      <c r="H2" t="s">
        <v>6</v>
      </c>
    </row>
    <row r="3" spans="1:8">
      <c r="A3" s="5">
        <v>41640</v>
      </c>
      <c r="B3">
        <v>178.97705078125</v>
      </c>
      <c r="C3">
        <v>182.41873168945313</v>
      </c>
      <c r="D3">
        <v>167.62905883789063</v>
      </c>
      <c r="E3">
        <v>168.91014099121094</v>
      </c>
      <c r="F3">
        <v>106.42869567871094</v>
      </c>
      <c r="G3">
        <v>129169808</v>
      </c>
      <c r="H3" t="s">
        <v>6</v>
      </c>
    </row>
    <row r="4" spans="1:8">
      <c r="A4" s="5">
        <v>41671</v>
      </c>
      <c r="B4">
        <v>168.27915954589844</v>
      </c>
      <c r="C4">
        <v>177.93499755859375</v>
      </c>
      <c r="D4">
        <v>164.61758422851563</v>
      </c>
      <c r="E4">
        <v>177.02676391601563</v>
      </c>
      <c r="F4">
        <v>111.54290771484375</v>
      </c>
      <c r="G4">
        <v>91059320</v>
      </c>
      <c r="H4" t="s">
        <v>6</v>
      </c>
    </row>
    <row r="5" spans="1:8">
      <c r="A5" s="5">
        <v>41699</v>
      </c>
      <c r="B5">
        <v>175.26768493652344</v>
      </c>
      <c r="C5">
        <v>187.02676391601563</v>
      </c>
      <c r="D5">
        <v>174.19694519042969</v>
      </c>
      <c r="E5">
        <v>184.02485656738281</v>
      </c>
      <c r="F5">
        <v>116.58800506591797</v>
      </c>
      <c r="G5">
        <v>124457264</v>
      </c>
      <c r="H5" t="s">
        <v>6</v>
      </c>
    </row>
    <row r="6" spans="1:8">
      <c r="A6" s="5">
        <v>41730</v>
      </c>
      <c r="B6">
        <v>184.62715148925781</v>
      </c>
      <c r="C6">
        <v>190.44932556152344</v>
      </c>
      <c r="D6">
        <v>178.78585815429688</v>
      </c>
      <c r="E6">
        <v>187.829833984375</v>
      </c>
      <c r="F6">
        <v>118.99864196777344</v>
      </c>
      <c r="G6">
        <v>123889498</v>
      </c>
      <c r="H6" t="s">
        <v>6</v>
      </c>
    </row>
    <row r="7" spans="1:8">
      <c r="A7" s="5">
        <v>41760</v>
      </c>
      <c r="B7">
        <v>187.67686462402344</v>
      </c>
      <c r="C7">
        <v>188.08795166015625</v>
      </c>
      <c r="D7">
        <v>174.31166076660156</v>
      </c>
      <c r="E7">
        <v>176.25239562988281</v>
      </c>
      <c r="F7">
        <v>111.66378784179688</v>
      </c>
      <c r="G7">
        <v>73239141</v>
      </c>
      <c r="H7" t="s">
        <v>6</v>
      </c>
    </row>
    <row r="8" spans="1:8">
      <c r="A8" s="5">
        <v>41791</v>
      </c>
      <c r="B8">
        <v>176.63479614257813</v>
      </c>
      <c r="C8">
        <v>179.397705078125</v>
      </c>
      <c r="D8">
        <v>171.38623046875</v>
      </c>
      <c r="E8">
        <v>173.29827880859375</v>
      </c>
      <c r="F8">
        <v>110.43144989013672</v>
      </c>
      <c r="G8">
        <v>82112778</v>
      </c>
      <c r="H8" t="s">
        <v>6</v>
      </c>
    </row>
    <row r="9" spans="1:8">
      <c r="A9" s="5">
        <v>41821</v>
      </c>
      <c r="B9">
        <v>173.70936584472656</v>
      </c>
      <c r="C9">
        <v>187.76290893554688</v>
      </c>
      <c r="D9">
        <v>173.70936584472656</v>
      </c>
      <c r="E9">
        <v>183.24092102050781</v>
      </c>
      <c r="F9">
        <v>116.76728820800781</v>
      </c>
      <c r="G9">
        <v>102087299</v>
      </c>
      <c r="H9" t="s">
        <v>6</v>
      </c>
    </row>
    <row r="10" spans="1:8">
      <c r="A10" s="5">
        <v>41852</v>
      </c>
      <c r="B10">
        <v>182.12237548828125</v>
      </c>
      <c r="C10">
        <v>185.59272766113281</v>
      </c>
      <c r="D10">
        <v>175.50669860839844</v>
      </c>
      <c r="E10">
        <v>183.84321594238281</v>
      </c>
      <c r="F10">
        <v>117.15106201171875</v>
      </c>
      <c r="G10">
        <v>55912990</v>
      </c>
      <c r="H10" t="s">
        <v>6</v>
      </c>
    </row>
    <row r="11" spans="1:8">
      <c r="A11" s="5">
        <v>41883</v>
      </c>
      <c r="B11">
        <v>184.20649719238281</v>
      </c>
      <c r="C11">
        <v>186.42446899414063</v>
      </c>
      <c r="D11">
        <v>179.84703063964844</v>
      </c>
      <c r="E11">
        <v>181.48184204101563</v>
      </c>
      <c r="F11">
        <v>116.33024597167969</v>
      </c>
      <c r="G11">
        <v>67131862</v>
      </c>
      <c r="H11" t="s">
        <v>6</v>
      </c>
    </row>
    <row r="12" spans="1:8">
      <c r="A12" s="5">
        <v>41913</v>
      </c>
      <c r="B12">
        <v>181.55831909179688</v>
      </c>
      <c r="C12">
        <v>182.49522399902344</v>
      </c>
      <c r="D12">
        <v>154.01528930664063</v>
      </c>
      <c r="E12">
        <v>157.170166015625</v>
      </c>
      <c r="F12">
        <v>100.74642944335938</v>
      </c>
      <c r="G12">
        <v>152983045</v>
      </c>
      <c r="H12" t="s">
        <v>6</v>
      </c>
    </row>
    <row r="13" spans="1:8">
      <c r="A13" s="5">
        <v>41944</v>
      </c>
      <c r="B13">
        <v>157.02676391601563</v>
      </c>
      <c r="C13">
        <v>157.71510314941406</v>
      </c>
      <c r="D13">
        <v>152.7724609375</v>
      </c>
      <c r="E13">
        <v>155.03823852539063</v>
      </c>
      <c r="F13">
        <v>99.379837036132813</v>
      </c>
      <c r="G13">
        <v>83696316</v>
      </c>
      <c r="H13" t="s">
        <v>6</v>
      </c>
    </row>
    <row r="14" spans="1:8">
      <c r="A14" s="5">
        <v>41974</v>
      </c>
      <c r="B14">
        <v>154.53155517578125</v>
      </c>
      <c r="C14">
        <v>157.28489685058594</v>
      </c>
      <c r="D14">
        <v>143.88145446777344</v>
      </c>
      <c r="E14">
        <v>153.38432312011719</v>
      </c>
      <c r="F14">
        <v>98.992584228515625</v>
      </c>
      <c r="G14">
        <v>106256131</v>
      </c>
      <c r="H14" t="s">
        <v>6</v>
      </c>
    </row>
    <row r="15" spans="1:8">
      <c r="A15" s="5">
        <v>42005</v>
      </c>
      <c r="B15">
        <v>154.216064453125</v>
      </c>
      <c r="C15">
        <v>156.12811279296875</v>
      </c>
      <c r="D15">
        <v>142.94454956054688</v>
      </c>
      <c r="E15">
        <v>146.56787109375</v>
      </c>
      <c r="F15">
        <v>94.593330383300781</v>
      </c>
      <c r="G15">
        <v>122813059</v>
      </c>
      <c r="H15" t="s">
        <v>6</v>
      </c>
    </row>
    <row r="16" spans="1:8">
      <c r="A16" s="5">
        <v>42036</v>
      </c>
      <c r="B16">
        <v>147.2275390625</v>
      </c>
      <c r="C16">
        <v>157.73422241210938</v>
      </c>
      <c r="D16">
        <v>144.84703063964844</v>
      </c>
      <c r="E16">
        <v>154.818359375</v>
      </c>
      <c r="F16">
        <v>99.918106079101563</v>
      </c>
      <c r="G16">
        <v>81229117</v>
      </c>
      <c r="H16" t="s">
        <v>6</v>
      </c>
    </row>
    <row r="17" spans="1:8">
      <c r="A17" s="5">
        <v>42064</v>
      </c>
      <c r="B17">
        <v>154.818359375</v>
      </c>
      <c r="C17">
        <v>158.07839965820313</v>
      </c>
      <c r="D17">
        <v>146.65391540527344</v>
      </c>
      <c r="E17">
        <v>153.44168090820313</v>
      </c>
      <c r="F17">
        <v>99.724273681640625</v>
      </c>
      <c r="G17">
        <v>109737428</v>
      </c>
      <c r="H17" t="s">
        <v>6</v>
      </c>
    </row>
    <row r="18" spans="1:8">
      <c r="A18" s="5">
        <v>42095</v>
      </c>
      <c r="B18">
        <v>153.18356323242188</v>
      </c>
      <c r="C18">
        <v>167.42829895019531</v>
      </c>
      <c r="D18">
        <v>151.42446899414063</v>
      </c>
      <c r="E18">
        <v>163.75717163085938</v>
      </c>
      <c r="F18">
        <v>106.42848205566406</v>
      </c>
      <c r="G18">
        <v>98152560</v>
      </c>
      <c r="H18" t="s">
        <v>6</v>
      </c>
    </row>
    <row r="19" spans="1:8">
      <c r="A19" s="5">
        <v>42125</v>
      </c>
      <c r="B19">
        <v>165.58317565917969</v>
      </c>
      <c r="C19">
        <v>168.54684448242188</v>
      </c>
      <c r="D19">
        <v>161.4149169921875</v>
      </c>
      <c r="E19">
        <v>162.18930053710938</v>
      </c>
      <c r="F19">
        <v>105.40949249267578</v>
      </c>
      <c r="G19">
        <v>60593422</v>
      </c>
      <c r="H19" t="s">
        <v>6</v>
      </c>
    </row>
    <row r="20" spans="1:8">
      <c r="A20" s="5">
        <v>42156</v>
      </c>
      <c r="B20">
        <v>162.72467041015625</v>
      </c>
      <c r="C20">
        <v>164.01528930664063</v>
      </c>
      <c r="D20">
        <v>154.99043273925781</v>
      </c>
      <c r="E20">
        <v>155.50669860839844</v>
      </c>
      <c r="F20">
        <v>101.83124542236328</v>
      </c>
      <c r="G20">
        <v>84566694</v>
      </c>
      <c r="H20" t="s">
        <v>6</v>
      </c>
    </row>
    <row r="21" spans="1:8">
      <c r="A21" s="5">
        <v>42186</v>
      </c>
      <c r="B21">
        <v>156.75907897949219</v>
      </c>
      <c r="C21">
        <v>166.13766479492188</v>
      </c>
      <c r="D21">
        <v>151.52963256835938</v>
      </c>
      <c r="E21">
        <v>154.86614990234375</v>
      </c>
      <c r="F21">
        <v>101.41178131103516</v>
      </c>
      <c r="G21">
        <v>98171910</v>
      </c>
      <c r="H21" t="s">
        <v>6</v>
      </c>
    </row>
    <row r="22" spans="1:8">
      <c r="A22" s="5">
        <v>42217</v>
      </c>
      <c r="B22">
        <v>154.58891296386719</v>
      </c>
      <c r="C22">
        <v>154.73231506347656</v>
      </c>
      <c r="D22">
        <v>134.43594360351563</v>
      </c>
      <c r="E22">
        <v>141.38623046875</v>
      </c>
      <c r="F22">
        <v>92.58465576171875</v>
      </c>
      <c r="G22">
        <v>98039489</v>
      </c>
      <c r="H22" t="s">
        <v>6</v>
      </c>
    </row>
    <row r="23" spans="1:8">
      <c r="A23" s="5">
        <v>42248</v>
      </c>
      <c r="B23">
        <v>138.53729248046875</v>
      </c>
      <c r="C23">
        <v>143.09751892089844</v>
      </c>
      <c r="D23">
        <v>134.94264221191406</v>
      </c>
      <c r="E23">
        <v>138.59465026855469</v>
      </c>
      <c r="F23">
        <v>91.510032653808594</v>
      </c>
      <c r="G23">
        <v>85576713</v>
      </c>
      <c r="H23" t="s">
        <v>6</v>
      </c>
    </row>
    <row r="24" spans="1:8">
      <c r="A24" s="5">
        <v>42278</v>
      </c>
      <c r="B24">
        <v>138.91969299316406</v>
      </c>
      <c r="C24">
        <v>146.4149169921875</v>
      </c>
      <c r="D24">
        <v>131.29063415527344</v>
      </c>
      <c r="E24">
        <v>133.91969299316406</v>
      </c>
      <c r="F24">
        <v>88.423316955566406</v>
      </c>
      <c r="G24">
        <v>126017790</v>
      </c>
      <c r="H24" t="s">
        <v>6</v>
      </c>
    </row>
    <row r="25" spans="1:8">
      <c r="A25" s="5">
        <v>42309</v>
      </c>
      <c r="B25">
        <v>134.32122802734375</v>
      </c>
      <c r="C25">
        <v>136.52008056640625</v>
      </c>
      <c r="D25">
        <v>125.86042022705078</v>
      </c>
      <c r="E25">
        <v>133.28871154785156</v>
      </c>
      <c r="F25">
        <v>88.006690979003906</v>
      </c>
      <c r="G25">
        <v>89367101</v>
      </c>
      <c r="H25" t="s">
        <v>6</v>
      </c>
    </row>
    <row r="26" spans="1:8">
      <c r="A26" s="5">
        <v>42339</v>
      </c>
      <c r="B26">
        <v>133.44168090820313</v>
      </c>
      <c r="C26">
        <v>135.181640625</v>
      </c>
      <c r="D26">
        <v>128.02102661132813</v>
      </c>
      <c r="E26">
        <v>131.56787109375</v>
      </c>
      <c r="F26">
        <v>87.685310363769531</v>
      </c>
      <c r="G26">
        <v>102174117</v>
      </c>
      <c r="H26" t="s">
        <v>6</v>
      </c>
    </row>
    <row r="27" spans="1:8">
      <c r="A27" s="5">
        <v>42370</v>
      </c>
      <c r="B27">
        <v>129.63670349121094</v>
      </c>
      <c r="C27">
        <v>130.86997985839844</v>
      </c>
      <c r="D27">
        <v>112.81070709228516</v>
      </c>
      <c r="E27">
        <v>119.30210113525391</v>
      </c>
      <c r="F27">
        <v>79.510612487792969</v>
      </c>
      <c r="G27">
        <v>132039823</v>
      </c>
      <c r="H27" t="s">
        <v>6</v>
      </c>
    </row>
    <row r="28" spans="1:8">
      <c r="A28" s="5">
        <v>42401</v>
      </c>
      <c r="B28">
        <v>118.92925262451172</v>
      </c>
      <c r="C28">
        <v>128.98661804199219</v>
      </c>
      <c r="D28">
        <v>111.75907897949219</v>
      </c>
      <c r="E28">
        <v>125.26768493652344</v>
      </c>
      <c r="F28">
        <v>83.486488342285156</v>
      </c>
      <c r="G28">
        <v>111624727</v>
      </c>
      <c r="H28" t="s">
        <v>6</v>
      </c>
    </row>
    <row r="29" spans="1:8">
      <c r="A29" s="5">
        <v>42430</v>
      </c>
      <c r="B29">
        <v>126.42447662353516</v>
      </c>
      <c r="C29">
        <v>146.36711120605469</v>
      </c>
      <c r="D29">
        <v>126.22370910644531</v>
      </c>
      <c r="E29">
        <v>144.7896728515625</v>
      </c>
      <c r="F29">
        <v>97.482872009277344</v>
      </c>
      <c r="G29">
        <v>110611048</v>
      </c>
      <c r="H29" t="s">
        <v>6</v>
      </c>
    </row>
    <row r="30" spans="1:8">
      <c r="A30" s="5">
        <v>42461</v>
      </c>
      <c r="B30">
        <v>143.89100646972656</v>
      </c>
      <c r="C30">
        <v>146.76864624023438</v>
      </c>
      <c r="D30">
        <v>136.33842468261719</v>
      </c>
      <c r="E30">
        <v>139.52198791503906</v>
      </c>
      <c r="F30">
        <v>93.936256408691406</v>
      </c>
      <c r="G30">
        <v>98828695</v>
      </c>
      <c r="H30" t="s">
        <v>6</v>
      </c>
    </row>
    <row r="31" spans="1:8">
      <c r="A31" s="5">
        <v>42491</v>
      </c>
      <c r="B31">
        <v>140.11471557617188</v>
      </c>
      <c r="C31">
        <v>147.04588317871094</v>
      </c>
      <c r="D31">
        <v>136.61567687988281</v>
      </c>
      <c r="E31">
        <v>146.97897338867188</v>
      </c>
      <c r="F31">
        <v>98.95684814453125</v>
      </c>
      <c r="G31">
        <v>78710456</v>
      </c>
      <c r="H31" t="s">
        <v>6</v>
      </c>
    </row>
    <row r="32" spans="1:8">
      <c r="A32" s="5">
        <v>42522</v>
      </c>
      <c r="B32">
        <v>146.27151489257813</v>
      </c>
      <c r="C32">
        <v>148.64244079589844</v>
      </c>
      <c r="D32">
        <v>136.2332763671875</v>
      </c>
      <c r="E32">
        <v>145.10516357421875</v>
      </c>
      <c r="F32">
        <v>98.638084411621094</v>
      </c>
      <c r="G32">
        <v>80514490</v>
      </c>
      <c r="H32" t="s">
        <v>6</v>
      </c>
    </row>
    <row r="33" spans="1:8">
      <c r="A33" s="5">
        <v>42552</v>
      </c>
      <c r="B33">
        <v>145.10516357421875</v>
      </c>
      <c r="C33">
        <v>156.40534973144531</v>
      </c>
      <c r="D33">
        <v>143.32696533203125</v>
      </c>
      <c r="E33">
        <v>153.55641174316406</v>
      </c>
      <c r="F33">
        <v>104.3829345703125</v>
      </c>
      <c r="G33">
        <v>72618550</v>
      </c>
      <c r="H33" t="s">
        <v>6</v>
      </c>
    </row>
    <row r="34" spans="1:8">
      <c r="A34" s="5">
        <v>42583</v>
      </c>
      <c r="B34">
        <v>153.5850830078125</v>
      </c>
      <c r="C34">
        <v>157.69598388671875</v>
      </c>
      <c r="D34">
        <v>150.90821838378906</v>
      </c>
      <c r="E34">
        <v>151.89292907714844</v>
      </c>
      <c r="F34">
        <v>103.25215911865234</v>
      </c>
      <c r="G34">
        <v>72912999</v>
      </c>
      <c r="H34" t="s">
        <v>6</v>
      </c>
    </row>
    <row r="35" spans="1:8">
      <c r="A35" s="5">
        <v>42614</v>
      </c>
      <c r="B35">
        <v>151.35755920410156</v>
      </c>
      <c r="C35">
        <v>157.74378967285156</v>
      </c>
      <c r="D35">
        <v>146.47227478027344</v>
      </c>
      <c r="E35">
        <v>151.86424255371094</v>
      </c>
      <c r="F35">
        <v>104.12425994873047</v>
      </c>
      <c r="G35">
        <v>73154103</v>
      </c>
      <c r="H35" t="s">
        <v>6</v>
      </c>
    </row>
    <row r="36" spans="1:8">
      <c r="A36" s="5">
        <v>42644</v>
      </c>
      <c r="B36">
        <v>151.10899353027344</v>
      </c>
      <c r="C36">
        <v>151.55831909179688</v>
      </c>
      <c r="D36">
        <v>141.29063415527344</v>
      </c>
      <c r="E36">
        <v>146.93116760253906</v>
      </c>
      <c r="F36">
        <v>100.74196624755859</v>
      </c>
      <c r="G36">
        <v>81930251</v>
      </c>
      <c r="H36" t="s">
        <v>6</v>
      </c>
    </row>
    <row r="37" spans="1:8">
      <c r="A37" s="5">
        <v>42675</v>
      </c>
      <c r="B37">
        <v>146.74952697753906</v>
      </c>
      <c r="C37">
        <v>157.41873168945313</v>
      </c>
      <c r="D37">
        <v>144.35946655273438</v>
      </c>
      <c r="E37">
        <v>155.08604431152344</v>
      </c>
      <c r="F37">
        <v>106.33324432373047</v>
      </c>
      <c r="G37">
        <v>79850384</v>
      </c>
      <c r="H37" t="s">
        <v>6</v>
      </c>
    </row>
    <row r="38" spans="1:8">
      <c r="A38" s="5">
        <v>42705</v>
      </c>
      <c r="B38">
        <v>154.82791137695313</v>
      </c>
      <c r="C38">
        <v>162.47610473632813</v>
      </c>
      <c r="D38">
        <v>151.33842468261719</v>
      </c>
      <c r="E38">
        <v>158.69024658203125</v>
      </c>
      <c r="F38">
        <v>109.79154968261719</v>
      </c>
      <c r="G38">
        <v>72666039</v>
      </c>
      <c r="H38" t="s">
        <v>6</v>
      </c>
    </row>
    <row r="39" spans="1:8">
      <c r="A39" s="5">
        <v>42736</v>
      </c>
      <c r="B39">
        <v>159.65583801269531</v>
      </c>
      <c r="C39">
        <v>171.36711120605469</v>
      </c>
      <c r="D39">
        <v>158.06883239746094</v>
      </c>
      <c r="E39">
        <v>166.84512329101563</v>
      </c>
      <c r="F39">
        <v>115.43355560302734</v>
      </c>
      <c r="G39">
        <v>92847665</v>
      </c>
      <c r="H39" t="s">
        <v>6</v>
      </c>
    </row>
    <row r="40" spans="1:8">
      <c r="A40" s="5">
        <v>42767</v>
      </c>
      <c r="B40">
        <v>167.30401611328125</v>
      </c>
      <c r="C40">
        <v>174.75143432617188</v>
      </c>
      <c r="D40">
        <v>165.28680419921875</v>
      </c>
      <c r="E40">
        <v>171.91204833984375</v>
      </c>
      <c r="F40">
        <v>118.93918609619141</v>
      </c>
      <c r="G40">
        <v>62572348</v>
      </c>
      <c r="H40" t="s">
        <v>6</v>
      </c>
    </row>
    <row r="41" spans="1:8">
      <c r="A41" s="5">
        <v>42795</v>
      </c>
      <c r="B41">
        <v>172.54301452636719</v>
      </c>
      <c r="C41">
        <v>174.52198791503906</v>
      </c>
      <c r="D41">
        <v>164.52198791503906</v>
      </c>
      <c r="E41">
        <v>166.48184204101563</v>
      </c>
      <c r="F41">
        <v>116.09294891357422</v>
      </c>
      <c r="G41">
        <v>83132942</v>
      </c>
      <c r="H41" t="s">
        <v>6</v>
      </c>
    </row>
    <row r="42" spans="1:8">
      <c r="A42" s="5">
        <v>42826</v>
      </c>
      <c r="B42">
        <v>166.1759033203125</v>
      </c>
      <c r="C42">
        <v>168.57553100585938</v>
      </c>
      <c r="D42">
        <v>152.58126831054688</v>
      </c>
      <c r="E42">
        <v>153.24092102050781</v>
      </c>
      <c r="F42">
        <v>106.85964202880859</v>
      </c>
      <c r="G42">
        <v>104654705</v>
      </c>
      <c r="H42" t="s">
        <v>6</v>
      </c>
    </row>
    <row r="43" spans="1:8">
      <c r="A43" s="5">
        <v>42856</v>
      </c>
      <c r="B43">
        <v>153.011474609375</v>
      </c>
      <c r="C43">
        <v>153.36520385742188</v>
      </c>
      <c r="D43">
        <v>143.20268249511719</v>
      </c>
      <c r="E43">
        <v>145.91778564453125</v>
      </c>
      <c r="F43">
        <v>101.75298309326172</v>
      </c>
      <c r="G43">
        <v>108082238</v>
      </c>
      <c r="H43" t="s">
        <v>6</v>
      </c>
    </row>
    <row r="44" spans="1:8">
      <c r="A44" s="5">
        <v>42887</v>
      </c>
      <c r="B44">
        <v>146.08030700683594</v>
      </c>
      <c r="C44">
        <v>150.28680419921875</v>
      </c>
      <c r="D44">
        <v>144.16825866699219</v>
      </c>
      <c r="E44">
        <v>147.06500244140625</v>
      </c>
      <c r="F44">
        <v>103.55483245849609</v>
      </c>
      <c r="G44">
        <v>87839942</v>
      </c>
      <c r="H44" t="s">
        <v>6</v>
      </c>
    </row>
    <row r="45" spans="1:8">
      <c r="A45" s="5">
        <v>42917</v>
      </c>
      <c r="B45">
        <v>146.82600402832031</v>
      </c>
      <c r="C45">
        <v>149.16825866699219</v>
      </c>
      <c r="D45">
        <v>137.32313537597656</v>
      </c>
      <c r="E45">
        <v>138.30784606933594</v>
      </c>
      <c r="F45">
        <v>97.388526916503906</v>
      </c>
      <c r="G45">
        <v>97585001</v>
      </c>
      <c r="H45" t="s">
        <v>6</v>
      </c>
    </row>
    <row r="46" spans="1:8">
      <c r="A46" s="5">
        <v>42948</v>
      </c>
      <c r="B46">
        <v>138.62332153320313</v>
      </c>
      <c r="C46">
        <v>139.26385498046875</v>
      </c>
      <c r="D46">
        <v>133.011474609375</v>
      </c>
      <c r="E46">
        <v>136.73995971679688</v>
      </c>
      <c r="F46">
        <v>96.284515380859375</v>
      </c>
      <c r="G46">
        <v>83937837</v>
      </c>
      <c r="H46" t="s">
        <v>6</v>
      </c>
    </row>
    <row r="47" spans="1:8">
      <c r="A47" s="5">
        <v>42979</v>
      </c>
      <c r="B47">
        <v>136.69215393066406</v>
      </c>
      <c r="C47">
        <v>140.93690490722656</v>
      </c>
      <c r="D47">
        <v>135.41108703613281</v>
      </c>
      <c r="E47">
        <v>138.69981384277344</v>
      </c>
      <c r="F47">
        <v>98.696418762207031</v>
      </c>
      <c r="G47">
        <v>81898348</v>
      </c>
      <c r="H47" t="s">
        <v>6</v>
      </c>
    </row>
    <row r="48" spans="1:8">
      <c r="A48" s="5">
        <v>43009</v>
      </c>
      <c r="B48">
        <v>138.95793151855469</v>
      </c>
      <c r="C48">
        <v>155.36329650878906</v>
      </c>
      <c r="D48">
        <v>138.8240966796875</v>
      </c>
      <c r="E48">
        <v>147.28489685058594</v>
      </c>
      <c r="F48">
        <v>104.80541229248047</v>
      </c>
      <c r="G48">
        <v>131111497</v>
      </c>
      <c r="H48" t="s">
        <v>6</v>
      </c>
    </row>
    <row r="49" spans="1:8">
      <c r="A49" s="5">
        <v>43040</v>
      </c>
      <c r="B49">
        <v>147.32313537597656</v>
      </c>
      <c r="C49">
        <v>148.08795166015625</v>
      </c>
      <c r="D49">
        <v>139.78012084960938</v>
      </c>
      <c r="E49">
        <v>147.1988525390625</v>
      </c>
      <c r="F49">
        <v>104.74418640136719</v>
      </c>
      <c r="G49">
        <v>93905278</v>
      </c>
      <c r="H49" t="s">
        <v>6</v>
      </c>
    </row>
    <row r="50" spans="1:8">
      <c r="A50" s="5">
        <v>43070</v>
      </c>
      <c r="B50">
        <v>147.60993957519531</v>
      </c>
      <c r="C50">
        <v>150.90821838378906</v>
      </c>
      <c r="D50">
        <v>144.82791137695313</v>
      </c>
      <c r="E50">
        <v>146.67303466796875</v>
      </c>
      <c r="F50">
        <v>105.41323089599609</v>
      </c>
      <c r="G50">
        <v>92872353</v>
      </c>
      <c r="H50" t="s">
        <v>6</v>
      </c>
    </row>
    <row r="51" spans="1:8">
      <c r="A51" s="5">
        <v>43101</v>
      </c>
      <c r="B51">
        <v>147.70555114746094</v>
      </c>
      <c r="C51">
        <v>163.60420227050781</v>
      </c>
      <c r="D51">
        <v>146.78776550292969</v>
      </c>
      <c r="E51">
        <v>156.50096130371094</v>
      </c>
      <c r="F51">
        <v>112.47647857666016</v>
      </c>
      <c r="G51">
        <v>151760375</v>
      </c>
      <c r="H51" t="s">
        <v>6</v>
      </c>
    </row>
    <row r="52" spans="1:8">
      <c r="A52" s="5">
        <v>43132</v>
      </c>
      <c r="B52">
        <v>156.01338195800781</v>
      </c>
      <c r="C52">
        <v>156.91204833984375</v>
      </c>
      <c r="D52">
        <v>138.04971313476563</v>
      </c>
      <c r="E52">
        <v>148.97705078125</v>
      </c>
      <c r="F52">
        <v>107.06909942626953</v>
      </c>
      <c r="G52">
        <v>107073687</v>
      </c>
      <c r="H52" t="s">
        <v>6</v>
      </c>
    </row>
    <row r="53" spans="1:8">
      <c r="A53" s="5">
        <v>43160</v>
      </c>
      <c r="B53">
        <v>148.69024658203125</v>
      </c>
      <c r="C53">
        <v>154.98088073730469</v>
      </c>
      <c r="D53">
        <v>142.00764465332031</v>
      </c>
      <c r="E53">
        <v>146.68260192871094</v>
      </c>
      <c r="F53">
        <v>106.45803833007813</v>
      </c>
      <c r="G53">
        <v>98655478</v>
      </c>
      <c r="H53" t="s">
        <v>6</v>
      </c>
    </row>
    <row r="54" spans="1:8">
      <c r="A54" s="5">
        <v>43191</v>
      </c>
      <c r="B54">
        <v>146.5965576171875</v>
      </c>
      <c r="C54">
        <v>154.87571716308594</v>
      </c>
      <c r="D54">
        <v>137.7724609375</v>
      </c>
      <c r="E54">
        <v>138.5850830078125</v>
      </c>
      <c r="F54">
        <v>100.58110809326172</v>
      </c>
      <c r="G54">
        <v>128391583</v>
      </c>
      <c r="H54" t="s">
        <v>6</v>
      </c>
    </row>
    <row r="55" spans="1:8">
      <c r="A55" s="5">
        <v>43221</v>
      </c>
      <c r="B55">
        <v>138.28871154785156</v>
      </c>
      <c r="C55">
        <v>139.77055358886719</v>
      </c>
      <c r="D55">
        <v>133.74760437011719</v>
      </c>
      <c r="E55">
        <v>135.09559631347656</v>
      </c>
      <c r="F55">
        <v>98.04852294921875</v>
      </c>
      <c r="G55">
        <v>92898293</v>
      </c>
      <c r="H55" t="s">
        <v>6</v>
      </c>
    </row>
    <row r="56" spans="1:8">
      <c r="A56" s="5">
        <v>43252</v>
      </c>
      <c r="B56">
        <v>136.16635131835938</v>
      </c>
      <c r="C56">
        <v>141.03250122070313</v>
      </c>
      <c r="D56">
        <v>131.40534973144531</v>
      </c>
      <c r="E56">
        <v>133.55641174316406</v>
      </c>
      <c r="F56">
        <v>98.007453918457031</v>
      </c>
      <c r="G56">
        <v>93932265</v>
      </c>
      <c r="H56" t="s">
        <v>6</v>
      </c>
    </row>
    <row r="57" spans="1:8">
      <c r="A57" s="5">
        <v>43282</v>
      </c>
      <c r="B57">
        <v>132.1988525390625</v>
      </c>
      <c r="C57">
        <v>143.91969299316406</v>
      </c>
      <c r="D57">
        <v>132.12237548828125</v>
      </c>
      <c r="E57">
        <v>138.55641174316406</v>
      </c>
      <c r="F57">
        <v>101.67658233642578</v>
      </c>
      <c r="G57">
        <v>99321884</v>
      </c>
      <c r="H57" t="s">
        <v>6</v>
      </c>
    </row>
    <row r="58" spans="1:8">
      <c r="A58" s="5">
        <v>43313</v>
      </c>
      <c r="B58">
        <v>138.39387512207031</v>
      </c>
      <c r="C58">
        <v>141.42446899414063</v>
      </c>
      <c r="D58">
        <v>135.75526428222656</v>
      </c>
      <c r="E58">
        <v>140.03823852539063</v>
      </c>
      <c r="F58">
        <v>102.76399230957031</v>
      </c>
      <c r="G58">
        <v>82838075</v>
      </c>
      <c r="H58" t="s">
        <v>6</v>
      </c>
    </row>
    <row r="59" spans="1:8">
      <c r="A59" s="5">
        <v>43344</v>
      </c>
      <c r="B59">
        <v>139.56022644042969</v>
      </c>
      <c r="C59">
        <v>146.60612487792969</v>
      </c>
      <c r="D59">
        <v>138.44168090820313</v>
      </c>
      <c r="E59">
        <v>144.56022644042969</v>
      </c>
      <c r="F59">
        <v>107.22845458984375</v>
      </c>
      <c r="G59">
        <v>100277823</v>
      </c>
      <c r="H59" t="s">
        <v>6</v>
      </c>
    </row>
    <row r="60" spans="1:8">
      <c r="A60" s="5">
        <v>43374</v>
      </c>
      <c r="B60">
        <v>145.03823852539063</v>
      </c>
      <c r="C60">
        <v>147.57170104980469</v>
      </c>
      <c r="D60">
        <v>109.07265472412109</v>
      </c>
      <c r="E60">
        <v>110.35372924804688</v>
      </c>
      <c r="F60">
        <v>81.855552673339844</v>
      </c>
      <c r="G60">
        <v>207205277</v>
      </c>
      <c r="H60" t="s">
        <v>6</v>
      </c>
    </row>
    <row r="61" spans="1:8">
      <c r="A61" s="5">
        <v>43405</v>
      </c>
      <c r="B61">
        <v>110.42064666748047</v>
      </c>
      <c r="C61">
        <v>119.56022644042969</v>
      </c>
      <c r="D61">
        <v>109.50286865234375</v>
      </c>
      <c r="E61">
        <v>118.80496978759766</v>
      </c>
      <c r="F61">
        <v>88.12432861328125</v>
      </c>
      <c r="G61">
        <v>148237970</v>
      </c>
      <c r="H61" t="s">
        <v>6</v>
      </c>
    </row>
    <row r="62" spans="1:8">
      <c r="A62" s="5">
        <v>43435</v>
      </c>
      <c r="B62">
        <v>120.14340209960938</v>
      </c>
      <c r="C62">
        <v>121.02294158935547</v>
      </c>
      <c r="D62">
        <v>101.28107452392578</v>
      </c>
      <c r="E62">
        <v>108.67112731933594</v>
      </c>
      <c r="F62">
        <v>81.634117126464844</v>
      </c>
      <c r="G62">
        <v>120921889</v>
      </c>
      <c r="H62" t="s">
        <v>6</v>
      </c>
    </row>
    <row r="63" spans="1:8">
      <c r="A63" s="5">
        <v>43466</v>
      </c>
      <c r="B63">
        <v>107.08412933349609</v>
      </c>
      <c r="C63">
        <v>129.45506286621094</v>
      </c>
      <c r="D63">
        <v>106.77820587158203</v>
      </c>
      <c r="E63">
        <v>128.50860595703125</v>
      </c>
      <c r="F63">
        <v>96.536109924316406</v>
      </c>
      <c r="G63">
        <v>125924904</v>
      </c>
      <c r="H63" t="s">
        <v>6</v>
      </c>
    </row>
    <row r="64" spans="1:8">
      <c r="A64" s="5">
        <v>43497</v>
      </c>
      <c r="B64">
        <v>129.034423828125</v>
      </c>
      <c r="C64">
        <v>134.31166076660156</v>
      </c>
      <c r="D64">
        <v>126.30975341796875</v>
      </c>
      <c r="E64">
        <v>132.05545043945313</v>
      </c>
      <c r="F64">
        <v>99.200508117675781</v>
      </c>
      <c r="G64">
        <v>71610414</v>
      </c>
      <c r="H64" t="s">
        <v>6</v>
      </c>
    </row>
    <row r="65" spans="1:8">
      <c r="A65" s="5">
        <v>43525</v>
      </c>
      <c r="B65">
        <v>133.18356323242188</v>
      </c>
      <c r="C65">
        <v>135.86997985839844</v>
      </c>
      <c r="D65">
        <v>127.70554351806641</v>
      </c>
      <c r="E65">
        <v>134.89483642578125</v>
      </c>
      <c r="F65">
        <v>102.51412200927734</v>
      </c>
      <c r="G65">
        <v>78122915</v>
      </c>
      <c r="H65" t="s">
        <v>6</v>
      </c>
    </row>
    <row r="66" spans="1:8">
      <c r="A66" s="5">
        <v>43556</v>
      </c>
      <c r="B66">
        <v>135.28680419921875</v>
      </c>
      <c r="C66">
        <v>138.99617004394531</v>
      </c>
      <c r="D66">
        <v>130.26768493652344</v>
      </c>
      <c r="E66">
        <v>134.10133361816406</v>
      </c>
      <c r="F66">
        <v>101.91110229492188</v>
      </c>
      <c r="G66">
        <v>83886585</v>
      </c>
      <c r="H66" t="s">
        <v>6</v>
      </c>
    </row>
    <row r="67" spans="1:8">
      <c r="A67" s="5">
        <v>43586</v>
      </c>
      <c r="B67">
        <v>134.3690185546875</v>
      </c>
      <c r="C67">
        <v>135.5736083984375</v>
      </c>
      <c r="D67">
        <v>121.27150726318359</v>
      </c>
      <c r="E67">
        <v>121.40535736083984</v>
      </c>
      <c r="F67">
        <v>92.262725830078125</v>
      </c>
      <c r="G67">
        <v>79011074</v>
      </c>
      <c r="H67" t="s">
        <v>6</v>
      </c>
    </row>
    <row r="68" spans="1:8">
      <c r="A68" s="5">
        <v>43617</v>
      </c>
      <c r="B68">
        <v>121.51051330566406</v>
      </c>
      <c r="C68">
        <v>133.98661804199219</v>
      </c>
      <c r="D68">
        <v>121.47227478027344</v>
      </c>
      <c r="E68">
        <v>131.8355712890625</v>
      </c>
      <c r="F68">
        <v>101.37931823730469</v>
      </c>
      <c r="G68">
        <v>64163313</v>
      </c>
      <c r="H68" t="s">
        <v>6</v>
      </c>
    </row>
    <row r="69" spans="1:8">
      <c r="A69" s="5">
        <v>43647</v>
      </c>
      <c r="B69">
        <v>133.46080017089844</v>
      </c>
      <c r="C69">
        <v>145.25813293457031</v>
      </c>
      <c r="D69">
        <v>133.011474609375</v>
      </c>
      <c r="E69">
        <v>141.72084045410156</v>
      </c>
      <c r="F69">
        <v>108.98092651367188</v>
      </c>
      <c r="G69">
        <v>83848718</v>
      </c>
      <c r="H69" t="s">
        <v>6</v>
      </c>
    </row>
    <row r="70" spans="1:8">
      <c r="A70" s="5">
        <v>43678</v>
      </c>
      <c r="B70">
        <v>142.35182189941406</v>
      </c>
      <c r="C70">
        <v>146.22370910644531</v>
      </c>
      <c r="D70">
        <v>123.16443634033203</v>
      </c>
      <c r="E70">
        <v>129.56979370117188</v>
      </c>
      <c r="F70">
        <v>99.636978149414063</v>
      </c>
      <c r="G70">
        <v>100678127</v>
      </c>
      <c r="H70" t="s">
        <v>6</v>
      </c>
    </row>
    <row r="71" spans="1:8">
      <c r="A71" s="5">
        <v>43709</v>
      </c>
      <c r="B71">
        <v>128.91969299316406</v>
      </c>
      <c r="C71">
        <v>140.12428283691406</v>
      </c>
      <c r="D71">
        <v>127.46653747558594</v>
      </c>
      <c r="E71">
        <v>139.02485656738281</v>
      </c>
      <c r="F71">
        <v>108.16743469238281</v>
      </c>
      <c r="G71">
        <v>64655351</v>
      </c>
      <c r="H71" t="s">
        <v>6</v>
      </c>
    </row>
    <row r="72" spans="1:8">
      <c r="A72" s="5">
        <v>43739</v>
      </c>
      <c r="B72">
        <v>139.1873779296875</v>
      </c>
      <c r="C72">
        <v>140.86997985839844</v>
      </c>
      <c r="D72">
        <v>125.14340209960938</v>
      </c>
      <c r="E72">
        <v>127.84894561767578</v>
      </c>
      <c r="F72">
        <v>99.472076416015625</v>
      </c>
      <c r="G72">
        <v>95625532</v>
      </c>
      <c r="H72" t="s">
        <v>6</v>
      </c>
    </row>
    <row r="73" spans="1:8">
      <c r="A73" s="5">
        <v>43770</v>
      </c>
      <c r="B73">
        <v>128.5850830078125</v>
      </c>
      <c r="C73">
        <v>133.02102661132813</v>
      </c>
      <c r="D73">
        <v>126.91204833984375</v>
      </c>
      <c r="E73">
        <v>128.53729248046875</v>
      </c>
      <c r="F73">
        <v>100.00764465332031</v>
      </c>
      <c r="G73">
        <v>67751825</v>
      </c>
      <c r="H73" t="s">
        <v>6</v>
      </c>
    </row>
    <row r="74" spans="1:8">
      <c r="A74" s="5">
        <v>43800</v>
      </c>
      <c r="B74">
        <v>128.53729248046875</v>
      </c>
      <c r="C74">
        <v>130.420654296875</v>
      </c>
      <c r="D74">
        <v>124.94264221191406</v>
      </c>
      <c r="E74">
        <v>128.14530944824219</v>
      </c>
      <c r="F74">
        <v>100.88023376464844</v>
      </c>
      <c r="G74">
        <v>75159179</v>
      </c>
      <c r="H74" t="s">
        <v>6</v>
      </c>
    </row>
    <row r="75" spans="1:8">
      <c r="A75" s="5">
        <v>43831</v>
      </c>
      <c r="B75">
        <v>129.06309509277344</v>
      </c>
      <c r="C75">
        <v>139.37858581542969</v>
      </c>
      <c r="D75">
        <v>127.34225463867188</v>
      </c>
      <c r="E75">
        <v>137.4091796875</v>
      </c>
      <c r="F75">
        <v>108.17306518554688</v>
      </c>
      <c r="G75">
        <v>118459187</v>
      </c>
      <c r="H75" t="s">
        <v>6</v>
      </c>
    </row>
    <row r="76" spans="1:8">
      <c r="A76" s="5">
        <v>43862</v>
      </c>
      <c r="B76">
        <v>137.90631103515625</v>
      </c>
      <c r="C76">
        <v>151.76864624023438</v>
      </c>
      <c r="D76">
        <v>120.80306243896484</v>
      </c>
      <c r="E76">
        <v>124.42638397216797</v>
      </c>
      <c r="F76">
        <v>97.952590942382813</v>
      </c>
      <c r="G76">
        <v>123581342</v>
      </c>
      <c r="H76" t="s">
        <v>6</v>
      </c>
    </row>
    <row r="77" spans="1:8">
      <c r="A77" s="5">
        <v>43891</v>
      </c>
      <c r="B77">
        <v>125</v>
      </c>
      <c r="C77">
        <v>130.11471557617188</v>
      </c>
      <c r="D77">
        <v>86.577438354492188</v>
      </c>
      <c r="E77">
        <v>106.05162811279297</v>
      </c>
      <c r="F77">
        <v>84.359153747558594</v>
      </c>
      <c r="G77">
        <v>198819809</v>
      </c>
      <c r="H77" t="s">
        <v>6</v>
      </c>
    </row>
    <row r="78" spans="1:8">
      <c r="A78" s="5">
        <v>43922</v>
      </c>
      <c r="B78">
        <v>101.68260192871094</v>
      </c>
      <c r="C78">
        <v>123.62332916259766</v>
      </c>
      <c r="D78">
        <v>99.923515319824219</v>
      </c>
      <c r="E78">
        <v>120.03823852539063</v>
      </c>
      <c r="F78">
        <v>95.484848022460938</v>
      </c>
      <c r="G78">
        <v>136705925</v>
      </c>
      <c r="H78" t="s">
        <v>6</v>
      </c>
    </row>
    <row r="79" spans="1:8">
      <c r="A79" s="5">
        <v>43952</v>
      </c>
      <c r="B79">
        <v>117.77246856689453</v>
      </c>
      <c r="C79">
        <v>121.38623046875</v>
      </c>
      <c r="D79">
        <v>106.89292144775391</v>
      </c>
      <c r="E79">
        <v>119.40726470947266</v>
      </c>
      <c r="F79">
        <v>94.982940673828125</v>
      </c>
      <c r="G79">
        <v>97154572</v>
      </c>
      <c r="H79" t="s">
        <v>6</v>
      </c>
    </row>
    <row r="80" spans="1:8">
      <c r="A80" s="5">
        <v>43983</v>
      </c>
      <c r="B80">
        <v>119.15869903564453</v>
      </c>
      <c r="C80">
        <v>129.90440368652344</v>
      </c>
      <c r="D80">
        <v>110.783935546875</v>
      </c>
      <c r="E80">
        <v>115.45889282226563</v>
      </c>
      <c r="F80">
        <v>93.073921203613281</v>
      </c>
      <c r="G80">
        <v>126567676</v>
      </c>
      <c r="H80" t="s">
        <v>6</v>
      </c>
    </row>
    <row r="81" spans="1:8">
      <c r="A81" s="5">
        <v>44013</v>
      </c>
      <c r="B81">
        <v>114.98088073730469</v>
      </c>
      <c r="C81">
        <v>126.35755157470703</v>
      </c>
      <c r="D81">
        <v>110.13384246826172</v>
      </c>
      <c r="E81">
        <v>117.53346252441406</v>
      </c>
      <c r="F81">
        <v>94.746261596679688</v>
      </c>
      <c r="G81">
        <v>119434686</v>
      </c>
      <c r="H81" t="s">
        <v>6</v>
      </c>
    </row>
    <row r="82" spans="1:8">
      <c r="A82" s="5">
        <v>44044</v>
      </c>
      <c r="B82">
        <v>118.06883239746094</v>
      </c>
      <c r="C82">
        <v>124.73231506347656</v>
      </c>
      <c r="D82">
        <v>116.77820587158203</v>
      </c>
      <c r="E82">
        <v>117.88719177246094</v>
      </c>
      <c r="F82">
        <v>95.031417846679688</v>
      </c>
      <c r="G82">
        <v>77439042</v>
      </c>
      <c r="H82" t="s">
        <v>6</v>
      </c>
    </row>
    <row r="83" spans="1:8">
      <c r="A83" s="5">
        <v>44075</v>
      </c>
      <c r="B83">
        <v>117.44741821289063</v>
      </c>
      <c r="C83">
        <v>124.23518371582031</v>
      </c>
      <c r="D83">
        <v>111.35755157470703</v>
      </c>
      <c r="E83">
        <v>116.31931304931641</v>
      </c>
      <c r="F83">
        <v>94.995246887207031</v>
      </c>
      <c r="G83">
        <v>88369845</v>
      </c>
      <c r="H83" t="s">
        <v>6</v>
      </c>
    </row>
    <row r="84" spans="1:8">
      <c r="A84" s="5">
        <v>44105</v>
      </c>
      <c r="B84">
        <v>116.97896575927734</v>
      </c>
      <c r="C84">
        <v>129.54110717773438</v>
      </c>
      <c r="D84">
        <v>101.26194763183594</v>
      </c>
      <c r="E84">
        <v>106.74951934814453</v>
      </c>
      <c r="F84">
        <v>87.179817199707031</v>
      </c>
      <c r="G84">
        <v>166434813</v>
      </c>
      <c r="H84" t="s">
        <v>6</v>
      </c>
    </row>
    <row r="85" spans="1:8">
      <c r="A85" s="5">
        <v>44136</v>
      </c>
      <c r="B85">
        <v>107.69598388671875</v>
      </c>
      <c r="C85">
        <v>119.79923248291016</v>
      </c>
      <c r="D85">
        <v>106.27150726318359</v>
      </c>
      <c r="E85">
        <v>118.08795166015625</v>
      </c>
      <c r="F85">
        <v>96.439666748046875</v>
      </c>
      <c r="G85">
        <v>108438088</v>
      </c>
      <c r="H85" t="s">
        <v>6</v>
      </c>
    </row>
    <row r="86" spans="1:8">
      <c r="A86" s="5">
        <v>44166</v>
      </c>
      <c r="B86">
        <v>118.45124053955078</v>
      </c>
      <c r="C86">
        <v>122.07456970214844</v>
      </c>
      <c r="D86">
        <v>116.36711120605469</v>
      </c>
      <c r="E86">
        <v>120.34416961669922</v>
      </c>
      <c r="F86">
        <v>99.7073974609375</v>
      </c>
      <c r="G86">
        <v>107553067</v>
      </c>
      <c r="H86" t="s">
        <v>6</v>
      </c>
    </row>
    <row r="87" spans="1:8">
      <c r="A87" s="5">
        <v>44197</v>
      </c>
      <c r="B87">
        <v>120.31549072265625</v>
      </c>
      <c r="C87">
        <v>126.42447662353516</v>
      </c>
      <c r="D87">
        <v>112.1988525390625</v>
      </c>
      <c r="E87">
        <v>113.87189483642578</v>
      </c>
      <c r="F87">
        <v>94.345001220703125</v>
      </c>
      <c r="G87">
        <v>183999975</v>
      </c>
      <c r="H87" t="s">
        <v>6</v>
      </c>
    </row>
    <row r="88" spans="1:8">
      <c r="A88" s="5">
        <v>44228</v>
      </c>
      <c r="B88">
        <v>114.62715148925781</v>
      </c>
      <c r="C88">
        <v>118.88145446777344</v>
      </c>
      <c r="D88">
        <v>112.92543029785156</v>
      </c>
      <c r="E88">
        <v>113.69980621337891</v>
      </c>
      <c r="F88">
        <v>94.202415466308594</v>
      </c>
      <c r="G88">
        <v>111617824</v>
      </c>
      <c r="H88" t="s">
        <v>6</v>
      </c>
    </row>
    <row r="89" spans="1:8">
      <c r="A89" s="5">
        <v>44256</v>
      </c>
      <c r="B89">
        <v>115.05735778808594</v>
      </c>
      <c r="C89">
        <v>131.04206848144531</v>
      </c>
      <c r="D89">
        <v>113.53728485107422</v>
      </c>
      <c r="E89">
        <v>127.39962005615234</v>
      </c>
      <c r="F89">
        <v>106.96346282958984</v>
      </c>
      <c r="G89">
        <v>133852331</v>
      </c>
      <c r="H89" t="s">
        <v>6</v>
      </c>
    </row>
    <row r="90" spans="1:8">
      <c r="A90" s="5">
        <v>44287</v>
      </c>
      <c r="B90">
        <v>127.87763214111328</v>
      </c>
      <c r="C90">
        <v>142.1988525390625</v>
      </c>
      <c r="D90">
        <v>124.64627075195313</v>
      </c>
      <c r="E90">
        <v>135.64053344726563</v>
      </c>
      <c r="F90">
        <v>113.88246154785156</v>
      </c>
      <c r="G90">
        <v>128573588</v>
      </c>
      <c r="H90" t="s">
        <v>6</v>
      </c>
    </row>
    <row r="91" spans="1:8">
      <c r="A91" s="5">
        <v>44317</v>
      </c>
      <c r="B91">
        <v>137.48565673828125</v>
      </c>
      <c r="C91">
        <v>141.97897338867188</v>
      </c>
      <c r="D91">
        <v>134.72274780273438</v>
      </c>
      <c r="E91">
        <v>137.41873168945313</v>
      </c>
      <c r="F91">
        <v>115.37542724609375</v>
      </c>
      <c r="G91">
        <v>102542414</v>
      </c>
      <c r="H91" t="s">
        <v>6</v>
      </c>
    </row>
    <row r="92" spans="1:8">
      <c r="A92" s="5">
        <v>44348</v>
      </c>
      <c r="B92">
        <v>138.62332153320313</v>
      </c>
      <c r="C92">
        <v>146.11854553222656</v>
      </c>
      <c r="D92">
        <v>136.74952697753906</v>
      </c>
      <c r="E92">
        <v>140.14340209960938</v>
      </c>
      <c r="F92">
        <v>118.97767639160156</v>
      </c>
      <c r="G92">
        <v>88332817</v>
      </c>
      <c r="H92" t="s">
        <v>6</v>
      </c>
    </row>
    <row r="93" spans="1:8">
      <c r="A93" s="5">
        <v>44378</v>
      </c>
      <c r="B93">
        <v>140.49713134765625</v>
      </c>
      <c r="C93">
        <v>141.01338195800781</v>
      </c>
      <c r="D93">
        <v>130.21987915039063</v>
      </c>
      <c r="E93">
        <v>134.76100158691406</v>
      </c>
      <c r="F93">
        <v>114.40818786621094</v>
      </c>
      <c r="G93">
        <v>115710194</v>
      </c>
      <c r="H93" t="s">
        <v>6</v>
      </c>
    </row>
    <row r="94" spans="1:8">
      <c r="A94" s="5">
        <v>44409</v>
      </c>
      <c r="B94">
        <v>135.22944641113281</v>
      </c>
      <c r="C94">
        <v>138.33651733398438</v>
      </c>
      <c r="D94">
        <v>131.1759033203125</v>
      </c>
      <c r="E94">
        <v>134.16825866699219</v>
      </c>
      <c r="F94">
        <v>113.90498352050781</v>
      </c>
      <c r="G94">
        <v>72891244</v>
      </c>
      <c r="H94" t="s">
        <v>6</v>
      </c>
    </row>
    <row r="95" spans="1:8">
      <c r="A95" s="5">
        <v>44440</v>
      </c>
      <c r="B95">
        <v>133.8240966796875</v>
      </c>
      <c r="C95">
        <v>134.38813781738281</v>
      </c>
      <c r="D95">
        <v>126.94072723388672</v>
      </c>
      <c r="E95">
        <v>132.82026672363281</v>
      </c>
      <c r="F95">
        <v>114.05875396728516</v>
      </c>
      <c r="G95">
        <v>80160627</v>
      </c>
      <c r="H95" t="s">
        <v>6</v>
      </c>
    </row>
    <row r="96" spans="1:8">
      <c r="A96" s="5">
        <v>44470</v>
      </c>
      <c r="B96">
        <v>134.79924011230469</v>
      </c>
      <c r="C96">
        <v>139.579345703125</v>
      </c>
      <c r="D96">
        <v>119.13957977294922</v>
      </c>
      <c r="E96">
        <v>119.59847259521484</v>
      </c>
      <c r="F96">
        <v>102.70461273193359</v>
      </c>
      <c r="G96">
        <v>150725359</v>
      </c>
      <c r="H96" t="s">
        <v>6</v>
      </c>
    </row>
    <row r="97" spans="1:8">
      <c r="A97" s="5">
        <v>44501</v>
      </c>
      <c r="B97">
        <v>119.55066680908203</v>
      </c>
      <c r="C97">
        <v>124.77999877929688</v>
      </c>
      <c r="D97">
        <v>114.55999755859375</v>
      </c>
      <c r="E97">
        <v>117.09999847412109</v>
      </c>
      <c r="F97">
        <v>100.55903625488281</v>
      </c>
      <c r="G97">
        <v>120104799</v>
      </c>
      <c r="H97" t="s">
        <v>6</v>
      </c>
    </row>
    <row r="98" spans="1:8">
      <c r="A98" s="5">
        <v>44531</v>
      </c>
      <c r="B98">
        <v>118.25</v>
      </c>
      <c r="C98">
        <v>134.99000549316406</v>
      </c>
      <c r="D98">
        <v>116.55999755859375</v>
      </c>
      <c r="E98">
        <v>133.66000366210938</v>
      </c>
      <c r="F98">
        <v>116.31151580810547</v>
      </c>
      <c r="G98">
        <v>113968900</v>
      </c>
      <c r="H98" t="s">
        <v>6</v>
      </c>
    </row>
    <row r="99" spans="1:8">
      <c r="A99" s="5">
        <v>44562</v>
      </c>
      <c r="B99">
        <v>134.07000732421875</v>
      </c>
      <c r="C99">
        <v>142.19999694824219</v>
      </c>
      <c r="D99">
        <v>124.19000244140625</v>
      </c>
      <c r="E99">
        <v>133.57000732421875</v>
      </c>
      <c r="F99">
        <v>116.23319244384766</v>
      </c>
      <c r="G99">
        <v>146976800</v>
      </c>
      <c r="H99" t="s">
        <v>6</v>
      </c>
    </row>
    <row r="100" spans="1:8">
      <c r="A100" s="5">
        <v>44593</v>
      </c>
      <c r="B100">
        <v>133.75999450683594</v>
      </c>
      <c r="C100">
        <v>138.82000732421875</v>
      </c>
      <c r="D100">
        <v>118.80999755859375</v>
      </c>
      <c r="E100">
        <v>122.51000213623047</v>
      </c>
      <c r="F100">
        <v>106.60874938964844</v>
      </c>
      <c r="G100">
        <v>98534100</v>
      </c>
      <c r="H100" t="s">
        <v>6</v>
      </c>
    </row>
    <row r="101" spans="1:8">
      <c r="A101" s="5">
        <v>44621</v>
      </c>
      <c r="B101">
        <v>122.66999816894531</v>
      </c>
      <c r="C101">
        <v>133.08000183105469</v>
      </c>
      <c r="D101">
        <v>120.69999694824219</v>
      </c>
      <c r="E101">
        <v>130.02000427246094</v>
      </c>
      <c r="F101">
        <v>114.5068359375</v>
      </c>
      <c r="G101">
        <v>96571700</v>
      </c>
      <c r="H101" t="s">
        <v>6</v>
      </c>
    </row>
    <row r="102" spans="1:8">
      <c r="A102" s="5">
        <v>44652</v>
      </c>
      <c r="B102">
        <v>129.66000366210938</v>
      </c>
      <c r="C102">
        <v>141.8800048828125</v>
      </c>
      <c r="D102">
        <v>124.91000366210938</v>
      </c>
      <c r="E102">
        <v>132.21000671386719</v>
      </c>
      <c r="F102">
        <v>116.43556213378906</v>
      </c>
      <c r="G102">
        <v>107684000</v>
      </c>
      <c r="H102" t="s">
        <v>6</v>
      </c>
    </row>
    <row r="103" spans="1:8">
      <c r="A103" s="5">
        <v>44682</v>
      </c>
      <c r="B103">
        <v>133</v>
      </c>
      <c r="C103">
        <v>139.83000183105469</v>
      </c>
      <c r="D103">
        <v>125.80000305175781</v>
      </c>
      <c r="E103">
        <v>138.83999633789063</v>
      </c>
      <c r="F103">
        <v>122.27449035644531</v>
      </c>
      <c r="G103">
        <v>113226200</v>
      </c>
      <c r="H103" t="s">
        <v>6</v>
      </c>
    </row>
    <row r="104" spans="1:8">
      <c r="A104" s="5">
        <v>44713</v>
      </c>
      <c r="B104">
        <v>139.66999816894531</v>
      </c>
      <c r="C104">
        <v>144.72999572753906</v>
      </c>
      <c r="D104">
        <v>132.85000610351563</v>
      </c>
      <c r="E104">
        <v>141.19000244140625</v>
      </c>
      <c r="F104">
        <v>125.85248565673828</v>
      </c>
      <c r="G104">
        <v>105811300</v>
      </c>
      <c r="H104" t="s">
        <v>6</v>
      </c>
    </row>
    <row r="105" spans="1:8">
      <c r="A105" s="5">
        <v>44743</v>
      </c>
      <c r="B105">
        <v>141</v>
      </c>
      <c r="C105">
        <v>141.8699951171875</v>
      </c>
      <c r="D105">
        <v>125.12999725341797</v>
      </c>
      <c r="E105">
        <v>130.78999328613281</v>
      </c>
      <c r="F105">
        <v>116.58223724365234</v>
      </c>
      <c r="G105">
        <v>129791800</v>
      </c>
      <c r="H105" t="s">
        <v>6</v>
      </c>
    </row>
    <row r="106" spans="1:8">
      <c r="A106" s="5">
        <v>44774</v>
      </c>
      <c r="B106">
        <v>130.75</v>
      </c>
      <c r="C106">
        <v>139.33999633789063</v>
      </c>
      <c r="D106">
        <v>128.39999389648438</v>
      </c>
      <c r="E106">
        <v>128.44999694824219</v>
      </c>
      <c r="F106">
        <v>114.49642944335938</v>
      </c>
      <c r="G106">
        <v>77419800</v>
      </c>
      <c r="H106" t="s">
        <v>6</v>
      </c>
    </row>
    <row r="107" spans="1:8">
      <c r="A107" s="5">
        <v>44805</v>
      </c>
      <c r="B107">
        <v>128.39999389648438</v>
      </c>
      <c r="C107">
        <v>130.99000549316406</v>
      </c>
      <c r="D107">
        <v>118.61000061035156</v>
      </c>
      <c r="E107">
        <v>118.80999755859375</v>
      </c>
      <c r="F107">
        <v>107.23793792724609</v>
      </c>
      <c r="G107">
        <v>87265100</v>
      </c>
      <c r="H107" t="s">
        <v>6</v>
      </c>
    </row>
    <row r="108" spans="1:8">
      <c r="A108" s="5">
        <v>44835</v>
      </c>
      <c r="B108">
        <v>120.16000366210938</v>
      </c>
      <c r="C108">
        <v>138.86000061035156</v>
      </c>
      <c r="D108">
        <v>115.55000305175781</v>
      </c>
      <c r="E108">
        <v>138.28999328613281</v>
      </c>
      <c r="F108">
        <v>124.82057952880859</v>
      </c>
      <c r="G108">
        <v>113478200</v>
      </c>
      <c r="H108" t="s">
        <v>6</v>
      </c>
    </row>
    <row r="109" spans="1:8">
      <c r="A109" s="5">
        <v>44866</v>
      </c>
      <c r="B109">
        <v>138.25</v>
      </c>
      <c r="C109">
        <v>150.46000671386719</v>
      </c>
      <c r="D109">
        <v>133.97000122070313</v>
      </c>
      <c r="E109">
        <v>148.89999389648438</v>
      </c>
      <c r="F109">
        <v>134.39718627929688</v>
      </c>
      <c r="G109">
        <v>93661300</v>
      </c>
      <c r="H109" t="s">
        <v>6</v>
      </c>
    </row>
    <row r="110" spans="1:8">
      <c r="A110" s="5">
        <v>44896</v>
      </c>
      <c r="B110">
        <v>149.97999572753906</v>
      </c>
      <c r="C110">
        <v>153.21000671386719</v>
      </c>
      <c r="D110">
        <v>137.19999694824219</v>
      </c>
      <c r="E110">
        <v>140.88999938964844</v>
      </c>
      <c r="F110">
        <v>128.68353271484375</v>
      </c>
      <c r="G110">
        <v>86424100</v>
      </c>
      <c r="H110" t="s">
        <v>6</v>
      </c>
    </row>
    <row r="111" spans="1:8">
      <c r="A111" s="5">
        <v>44927</v>
      </c>
      <c r="B111">
        <v>141.10000610351563</v>
      </c>
      <c r="C111">
        <v>147.17999267578125</v>
      </c>
      <c r="D111">
        <v>132.97999572753906</v>
      </c>
      <c r="E111">
        <v>134.72999572753906</v>
      </c>
      <c r="F111">
        <v>123.05723571777344</v>
      </c>
      <c r="G111">
        <v>105575000</v>
      </c>
      <c r="H111" t="s">
        <v>6</v>
      </c>
    </row>
    <row r="112" spans="1:8">
      <c r="A112" s="5">
        <v>44958</v>
      </c>
      <c r="B112">
        <v>134.49000549316406</v>
      </c>
      <c r="C112">
        <v>137.38999938964844</v>
      </c>
      <c r="D112">
        <v>128.86000061035156</v>
      </c>
      <c r="E112">
        <v>129.30000305175781</v>
      </c>
      <c r="F112">
        <v>118.09769439697266</v>
      </c>
      <c r="G112">
        <v>76080200</v>
      </c>
      <c r="H112" t="s">
        <v>6</v>
      </c>
    </row>
    <row r="113" spans="1:8">
      <c r="A113" s="5">
        <v>44986</v>
      </c>
      <c r="B113">
        <v>128.89999389648438</v>
      </c>
      <c r="C113">
        <v>131.47999572753906</v>
      </c>
      <c r="D113">
        <v>121.70999908447266</v>
      </c>
      <c r="E113">
        <v>131.08999633789063</v>
      </c>
      <c r="F113">
        <v>121.20330047607422</v>
      </c>
      <c r="G113">
        <v>138239000</v>
      </c>
      <c r="H113" t="s">
        <v>6</v>
      </c>
    </row>
    <row r="114" spans="1:8">
      <c r="A114" s="5">
        <v>45017</v>
      </c>
      <c r="B114">
        <v>130.97000122070313</v>
      </c>
      <c r="C114">
        <v>132.61000061035156</v>
      </c>
      <c r="D114">
        <v>124.55999755859375</v>
      </c>
      <c r="E114">
        <v>126.41000366210938</v>
      </c>
      <c r="F114">
        <v>116.87626647949219</v>
      </c>
      <c r="G114">
        <v>83679400</v>
      </c>
      <c r="H114" t="s">
        <v>6</v>
      </c>
    </row>
    <row r="115" spans="1:8">
      <c r="A115" s="5">
        <v>45047</v>
      </c>
      <c r="B115">
        <v>126.34999847412109</v>
      </c>
      <c r="C115">
        <v>130.07000732421875</v>
      </c>
      <c r="D115">
        <v>120.55000305175781</v>
      </c>
      <c r="E115">
        <v>128.58999633789063</v>
      </c>
      <c r="F115">
        <v>118.89186096191406</v>
      </c>
      <c r="G115">
        <v>96207800</v>
      </c>
      <c r="H115" t="s">
        <v>6</v>
      </c>
    </row>
    <row r="116" spans="1:8">
      <c r="A116" s="5">
        <v>45078</v>
      </c>
      <c r="B116">
        <v>128.44000244140625</v>
      </c>
      <c r="C116">
        <v>139.47000122070313</v>
      </c>
      <c r="D116">
        <v>127.77999877929688</v>
      </c>
      <c r="E116">
        <v>133.80999755859375</v>
      </c>
      <c r="F116">
        <v>125.40512847900391</v>
      </c>
      <c r="G116">
        <v>100711500</v>
      </c>
      <c r="H116" t="s">
        <v>6</v>
      </c>
    </row>
    <row r="117" spans="1:8">
      <c r="A117" s="5">
        <v>45108</v>
      </c>
      <c r="B117">
        <v>133.41999816894531</v>
      </c>
      <c r="C117">
        <v>144.60000610351563</v>
      </c>
      <c r="D117">
        <v>131.55000305175781</v>
      </c>
      <c r="E117">
        <v>144.17999267578125</v>
      </c>
      <c r="F117">
        <v>135.123779296875</v>
      </c>
      <c r="G117">
        <v>85773900</v>
      </c>
      <c r="H117" t="s">
        <v>6</v>
      </c>
    </row>
    <row r="118" spans="1:8">
      <c r="A118" s="5">
        <v>45139</v>
      </c>
      <c r="B118">
        <v>144.25</v>
      </c>
      <c r="C118">
        <v>147.72999572753906</v>
      </c>
      <c r="D118">
        <v>139.75999450683594</v>
      </c>
      <c r="E118">
        <v>146.83000183105469</v>
      </c>
      <c r="F118">
        <v>137.60733032226563</v>
      </c>
      <c r="G118">
        <v>84268400</v>
      </c>
      <c r="H118" t="s">
        <v>6</v>
      </c>
    </row>
    <row r="119" spans="1:8">
      <c r="A119" s="5">
        <v>45170</v>
      </c>
      <c r="B119">
        <v>147.25999450683594</v>
      </c>
      <c r="C119">
        <v>151.92999267578125</v>
      </c>
      <c r="D119">
        <v>139.61000061035156</v>
      </c>
      <c r="E119">
        <v>140.30000305175781</v>
      </c>
      <c r="F119">
        <v>133.0006103515625</v>
      </c>
      <c r="G119">
        <v>82798300</v>
      </c>
      <c r="H119" t="s">
        <v>6</v>
      </c>
    </row>
    <row r="120" spans="1:8">
      <c r="A120" s="5">
        <v>45200</v>
      </c>
      <c r="B120">
        <v>140.03999328613281</v>
      </c>
      <c r="C120">
        <v>144.75999450683594</v>
      </c>
      <c r="D120">
        <v>135.8699951171875</v>
      </c>
      <c r="E120">
        <v>144.63999938964844</v>
      </c>
      <c r="F120">
        <v>137.11482238769531</v>
      </c>
      <c r="G120">
        <v>94385000</v>
      </c>
      <c r="H120" t="s">
        <v>6</v>
      </c>
    </row>
    <row r="121" spans="1:8">
      <c r="A121" s="5">
        <v>45231</v>
      </c>
      <c r="B121">
        <v>145</v>
      </c>
      <c r="C121">
        <v>158.60000610351563</v>
      </c>
      <c r="D121">
        <v>144.44999694824219</v>
      </c>
      <c r="E121">
        <v>158.55999755859375</v>
      </c>
      <c r="F121">
        <v>150.31060791015625</v>
      </c>
      <c r="G121">
        <v>78458300</v>
      </c>
      <c r="H121" t="s">
        <v>6</v>
      </c>
    </row>
    <row r="122" spans="1:8">
      <c r="A122" s="5">
        <v>45261</v>
      </c>
      <c r="B122">
        <v>158.41000366210938</v>
      </c>
      <c r="C122">
        <v>166.33999633789063</v>
      </c>
      <c r="D122">
        <v>158</v>
      </c>
      <c r="E122">
        <v>163.55000305175781</v>
      </c>
      <c r="F122">
        <v>156.79933166503906</v>
      </c>
      <c r="G122">
        <v>87828800</v>
      </c>
      <c r="H122" t="s">
        <v>6</v>
      </c>
    </row>
    <row r="123" spans="1:8">
      <c r="A123" s="5">
        <v>41609</v>
      </c>
      <c r="B123">
        <v>84.040000915527344</v>
      </c>
      <c r="C123">
        <v>84.94000244140625</v>
      </c>
      <c r="D123">
        <v>80.480003356933594</v>
      </c>
      <c r="E123">
        <v>81.410003662109375</v>
      </c>
      <c r="F123">
        <v>59.216239929199219</v>
      </c>
      <c r="G123">
        <v>162155800</v>
      </c>
      <c r="H123" t="s">
        <v>8</v>
      </c>
    </row>
    <row r="124" spans="1:8">
      <c r="A124" s="5">
        <v>41640</v>
      </c>
      <c r="B124">
        <v>81.330001831054688</v>
      </c>
      <c r="C124">
        <v>81.699996948242188</v>
      </c>
      <c r="D124">
        <v>75.260002136230469</v>
      </c>
      <c r="E124">
        <v>76.620002746582031</v>
      </c>
      <c r="F124">
        <v>55.732086181640625</v>
      </c>
      <c r="G124">
        <v>223479100</v>
      </c>
      <c r="H124" t="s">
        <v>8</v>
      </c>
    </row>
    <row r="125" spans="1:8">
      <c r="A125" s="5">
        <v>41671</v>
      </c>
      <c r="B125">
        <v>76.69000244140625</v>
      </c>
      <c r="C125">
        <v>79.75</v>
      </c>
      <c r="D125">
        <v>75.400001525878906</v>
      </c>
      <c r="E125">
        <v>78.660003662109375</v>
      </c>
      <c r="F125">
        <v>57.648769378662109</v>
      </c>
      <c r="G125">
        <v>179529200</v>
      </c>
      <c r="H125" t="s">
        <v>8</v>
      </c>
    </row>
    <row r="126" spans="1:8">
      <c r="A126" s="5">
        <v>41699</v>
      </c>
      <c r="B126">
        <v>78.260002136230469</v>
      </c>
      <c r="C126">
        <v>80.830001831054688</v>
      </c>
      <c r="D126">
        <v>77.349998474121094</v>
      </c>
      <c r="E126">
        <v>80.599998474121094</v>
      </c>
      <c r="F126">
        <v>59.070571899414063</v>
      </c>
      <c r="G126">
        <v>187701800</v>
      </c>
      <c r="H126" t="s">
        <v>8</v>
      </c>
    </row>
    <row r="127" spans="1:8">
      <c r="A127" s="5">
        <v>41730</v>
      </c>
      <c r="B127">
        <v>80.599998474121094</v>
      </c>
      <c r="C127">
        <v>82.980003356933594</v>
      </c>
      <c r="D127">
        <v>79.379997253417969</v>
      </c>
      <c r="E127">
        <v>82.550003051757813</v>
      </c>
      <c r="F127">
        <v>60.499710083007813</v>
      </c>
      <c r="G127">
        <v>190028500</v>
      </c>
      <c r="H127" t="s">
        <v>8</v>
      </c>
    </row>
    <row r="128" spans="1:8">
      <c r="A128" s="5">
        <v>41760</v>
      </c>
      <c r="B128">
        <v>82.389999389648438</v>
      </c>
      <c r="C128">
        <v>82.800003051757813</v>
      </c>
      <c r="D128">
        <v>79.540000915527344</v>
      </c>
      <c r="E128">
        <v>80.790000915527344</v>
      </c>
      <c r="F128">
        <v>59.682849884033203</v>
      </c>
      <c r="G128">
        <v>133914500</v>
      </c>
      <c r="H128" t="s">
        <v>8</v>
      </c>
    </row>
    <row r="129" spans="1:8">
      <c r="A129" s="5">
        <v>41791</v>
      </c>
      <c r="B129">
        <v>80.660003662109375</v>
      </c>
      <c r="C129">
        <v>80.669998168945313</v>
      </c>
      <c r="D129">
        <v>78.430000305175781</v>
      </c>
      <c r="E129">
        <v>78.589996337890625</v>
      </c>
      <c r="F129">
        <v>58.057621002197266</v>
      </c>
      <c r="G129">
        <v>157871600</v>
      </c>
      <c r="H129" t="s">
        <v>8</v>
      </c>
    </row>
    <row r="130" spans="1:8">
      <c r="A130" s="5">
        <v>41821</v>
      </c>
      <c r="B130">
        <v>78.870002746582031</v>
      </c>
      <c r="C130">
        <v>81.910003662109375</v>
      </c>
      <c r="D130">
        <v>77.290000915527344</v>
      </c>
      <c r="E130">
        <v>77.319999694824219</v>
      </c>
      <c r="F130">
        <v>57.119434356689453</v>
      </c>
      <c r="G130">
        <v>163843000</v>
      </c>
      <c r="H130" t="s">
        <v>8</v>
      </c>
    </row>
    <row r="131" spans="1:8">
      <c r="A131" s="5">
        <v>41852</v>
      </c>
      <c r="B131">
        <v>79.25</v>
      </c>
      <c r="C131">
        <v>83.830001831054688</v>
      </c>
      <c r="D131">
        <v>78.660003662109375</v>
      </c>
      <c r="E131">
        <v>83.110000610351563</v>
      </c>
      <c r="F131">
        <v>61.887210845947266</v>
      </c>
      <c r="G131">
        <v>156922800</v>
      </c>
      <c r="H131" t="s">
        <v>8</v>
      </c>
    </row>
    <row r="132" spans="1:8">
      <c r="A132" s="5">
        <v>41883</v>
      </c>
      <c r="B132">
        <v>83.209999084472656</v>
      </c>
      <c r="C132">
        <v>85.400001525878906</v>
      </c>
      <c r="D132">
        <v>82.709999084472656</v>
      </c>
      <c r="E132">
        <v>83.739997863769531</v>
      </c>
      <c r="F132">
        <v>62.356307983398438</v>
      </c>
      <c r="G132">
        <v>149281200</v>
      </c>
      <c r="H132" t="s">
        <v>8</v>
      </c>
    </row>
    <row r="133" spans="1:8">
      <c r="A133" s="5">
        <v>41913</v>
      </c>
      <c r="B133">
        <v>84.019996643066406</v>
      </c>
      <c r="C133">
        <v>87.360000610351563</v>
      </c>
      <c r="D133">
        <v>81.569999694824219</v>
      </c>
      <c r="E133">
        <v>87.269996643066406</v>
      </c>
      <c r="F133">
        <v>64.984909057617188</v>
      </c>
      <c r="G133">
        <v>221888900</v>
      </c>
      <c r="H133" t="s">
        <v>8</v>
      </c>
    </row>
    <row r="134" spans="1:8">
      <c r="A134" s="5">
        <v>41944</v>
      </c>
      <c r="B134">
        <v>86.660003662109375</v>
      </c>
      <c r="C134">
        <v>90.55999755859375</v>
      </c>
      <c r="D134">
        <v>86.199996948242188</v>
      </c>
      <c r="E134">
        <v>90.430000305175781</v>
      </c>
      <c r="F134">
        <v>67.854476928710938</v>
      </c>
      <c r="G134">
        <v>136839600</v>
      </c>
      <c r="H134" t="s">
        <v>8</v>
      </c>
    </row>
    <row r="135" spans="1:8">
      <c r="A135" s="5">
        <v>41974</v>
      </c>
      <c r="B135">
        <v>90.169998168945313</v>
      </c>
      <c r="C135">
        <v>93.889999389648438</v>
      </c>
      <c r="D135">
        <v>88.379997253417969</v>
      </c>
      <c r="E135">
        <v>91.089996337890625</v>
      </c>
      <c r="F135">
        <v>68.34967041015625</v>
      </c>
      <c r="G135">
        <v>142076100</v>
      </c>
      <c r="H135" t="s">
        <v>8</v>
      </c>
    </row>
    <row r="136" spans="1:8">
      <c r="A136" s="5">
        <v>42005</v>
      </c>
      <c r="B136">
        <v>90.839996337890625</v>
      </c>
      <c r="C136">
        <v>91.790000915527344</v>
      </c>
      <c r="D136">
        <v>84.25</v>
      </c>
      <c r="E136">
        <v>84.290000915527344</v>
      </c>
      <c r="F136">
        <v>63.247272491455078</v>
      </c>
      <c r="G136">
        <v>170695100</v>
      </c>
      <c r="H136" t="s">
        <v>8</v>
      </c>
    </row>
    <row r="137" spans="1:8">
      <c r="A137" s="5">
        <v>42036</v>
      </c>
      <c r="B137">
        <v>84.580001831054688</v>
      </c>
      <c r="C137">
        <v>86.779998779296875</v>
      </c>
      <c r="D137">
        <v>83.680000305175781</v>
      </c>
      <c r="E137">
        <v>85.129997253417969</v>
      </c>
      <c r="F137">
        <v>64.3319091796875</v>
      </c>
      <c r="G137">
        <v>151944800</v>
      </c>
      <c r="H137" t="s">
        <v>8</v>
      </c>
    </row>
    <row r="138" spans="1:8">
      <c r="A138" s="5">
        <v>42064</v>
      </c>
      <c r="B138">
        <v>85.129997253417969</v>
      </c>
      <c r="C138">
        <v>85.44000244140625</v>
      </c>
      <c r="D138">
        <v>80.80999755859375</v>
      </c>
      <c r="E138">
        <v>81.94000244140625</v>
      </c>
      <c r="F138">
        <v>61.921257019042969</v>
      </c>
      <c r="G138">
        <v>201716100</v>
      </c>
      <c r="H138" t="s">
        <v>8</v>
      </c>
    </row>
    <row r="139" spans="1:8">
      <c r="A139" s="5">
        <v>42095</v>
      </c>
      <c r="B139">
        <v>82.44000244140625</v>
      </c>
      <c r="C139">
        <v>84.199996948242188</v>
      </c>
      <c r="D139">
        <v>79.069999694824219</v>
      </c>
      <c r="E139">
        <v>79.510002136230469</v>
      </c>
      <c r="F139">
        <v>60.084918975830078</v>
      </c>
      <c r="G139">
        <v>169776700</v>
      </c>
      <c r="H139" t="s">
        <v>8</v>
      </c>
    </row>
    <row r="140" spans="1:8">
      <c r="A140" s="5">
        <v>42125</v>
      </c>
      <c r="B140">
        <v>79.760002136230469</v>
      </c>
      <c r="C140">
        <v>81.209999084472656</v>
      </c>
      <c r="D140">
        <v>78.19000244140625</v>
      </c>
      <c r="E140">
        <v>78.389999389648438</v>
      </c>
      <c r="F140">
        <v>59.715034484863281</v>
      </c>
      <c r="G140">
        <v>136581700</v>
      </c>
      <c r="H140" t="s">
        <v>8</v>
      </c>
    </row>
    <row r="141" spans="1:8">
      <c r="A141" s="5">
        <v>42156</v>
      </c>
      <c r="B141">
        <v>78.650001525878906</v>
      </c>
      <c r="C141">
        <v>81.220001220703125</v>
      </c>
      <c r="D141">
        <v>77.099998474121094</v>
      </c>
      <c r="E141">
        <v>78.239997863769531</v>
      </c>
      <c r="F141">
        <v>59.600765228271484</v>
      </c>
      <c r="G141">
        <v>188528800</v>
      </c>
      <c r="H141" t="s">
        <v>8</v>
      </c>
    </row>
    <row r="142" spans="1:8">
      <c r="A142" s="5">
        <v>42186</v>
      </c>
      <c r="B142">
        <v>78.389999389648438</v>
      </c>
      <c r="C142">
        <v>82.550003051757813</v>
      </c>
      <c r="D142">
        <v>76.660003662109375</v>
      </c>
      <c r="E142">
        <v>76.699996948242188</v>
      </c>
      <c r="F142">
        <v>58.427642822265625</v>
      </c>
      <c r="G142">
        <v>180179300</v>
      </c>
      <c r="H142" t="s">
        <v>8</v>
      </c>
    </row>
    <row r="143" spans="1:8">
      <c r="A143" s="5">
        <v>42217</v>
      </c>
      <c r="B143">
        <v>76.510002136230469</v>
      </c>
      <c r="C143">
        <v>77.089996337890625</v>
      </c>
      <c r="D143">
        <v>65.019996643066406</v>
      </c>
      <c r="E143">
        <v>70.669998168945313</v>
      </c>
      <c r="F143">
        <v>54.275028228759766</v>
      </c>
      <c r="G143">
        <v>239833200</v>
      </c>
      <c r="H143" t="s">
        <v>8</v>
      </c>
    </row>
    <row r="144" spans="1:8">
      <c r="A144" s="5">
        <v>42248</v>
      </c>
      <c r="B144">
        <v>69.370002746582031</v>
      </c>
      <c r="C144">
        <v>73.379997253417969</v>
      </c>
      <c r="D144">
        <v>67.330001831054688</v>
      </c>
      <c r="E144">
        <v>71.94000244140625</v>
      </c>
      <c r="F144">
        <v>55.250385284423828</v>
      </c>
      <c r="G144">
        <v>229174600</v>
      </c>
      <c r="H144" t="s">
        <v>8</v>
      </c>
    </row>
    <row r="145" spans="1:8">
      <c r="A145" s="5">
        <v>42278</v>
      </c>
      <c r="B145">
        <v>71.760002136230469</v>
      </c>
      <c r="C145">
        <v>78.449996948242188</v>
      </c>
      <c r="D145">
        <v>71.290000915527344</v>
      </c>
      <c r="E145">
        <v>76.379997253417969</v>
      </c>
      <c r="F145">
        <v>58.660312652587891</v>
      </c>
      <c r="G145">
        <v>202237100</v>
      </c>
      <c r="H145" t="s">
        <v>8</v>
      </c>
    </row>
    <row r="146" spans="1:8">
      <c r="A146" s="5">
        <v>42309</v>
      </c>
      <c r="B146">
        <v>76.569999694824219</v>
      </c>
      <c r="C146">
        <v>77.419998168945313</v>
      </c>
      <c r="D146">
        <v>73.949996948242188</v>
      </c>
      <c r="E146">
        <v>74.839996337890625</v>
      </c>
      <c r="F146">
        <v>57.994178771972656</v>
      </c>
      <c r="G146">
        <v>146640000</v>
      </c>
      <c r="H146" t="s">
        <v>8</v>
      </c>
    </row>
    <row r="147" spans="1:8">
      <c r="A147" s="5">
        <v>42339</v>
      </c>
      <c r="B147">
        <v>74.870002746582031</v>
      </c>
      <c r="C147">
        <v>81.230003356933594</v>
      </c>
      <c r="D147">
        <v>74.870002746582031</v>
      </c>
      <c r="E147">
        <v>79.410003662109375</v>
      </c>
      <c r="F147">
        <v>61.535541534423828</v>
      </c>
      <c r="G147">
        <v>207512900</v>
      </c>
      <c r="H147" t="s">
        <v>8</v>
      </c>
    </row>
    <row r="148" spans="1:8">
      <c r="A148" s="5">
        <v>42370</v>
      </c>
      <c r="B148">
        <v>78.360000610351563</v>
      </c>
      <c r="C148">
        <v>82</v>
      </c>
      <c r="D148">
        <v>74.459999084472656</v>
      </c>
      <c r="E148">
        <v>81.69000244140625</v>
      </c>
      <c r="F148">
        <v>63.302322387695313</v>
      </c>
      <c r="G148">
        <v>229300200</v>
      </c>
      <c r="H148" t="s">
        <v>8</v>
      </c>
    </row>
    <row r="149" spans="1:8">
      <c r="A149" s="5">
        <v>42401</v>
      </c>
      <c r="B149">
        <v>81.209999084472656</v>
      </c>
      <c r="C149">
        <v>83</v>
      </c>
      <c r="D149">
        <v>79.629997253417969</v>
      </c>
      <c r="E149">
        <v>80.290000915527344</v>
      </c>
      <c r="F149">
        <v>62.759731292724609</v>
      </c>
      <c r="G149">
        <v>192561100</v>
      </c>
      <c r="H149" t="s">
        <v>8</v>
      </c>
    </row>
    <row r="150" spans="1:8">
      <c r="A150" s="5">
        <v>42430</v>
      </c>
      <c r="B150">
        <v>80.540000915527344</v>
      </c>
      <c r="C150">
        <v>83.870002746582031</v>
      </c>
      <c r="D150">
        <v>80.480003356933594</v>
      </c>
      <c r="E150">
        <v>82.30999755859375</v>
      </c>
      <c r="F150">
        <v>64.338691711425781</v>
      </c>
      <c r="G150">
        <v>215175400</v>
      </c>
      <c r="H150" t="s">
        <v>8</v>
      </c>
    </row>
    <row r="151" spans="1:8">
      <c r="A151" s="5">
        <v>42461</v>
      </c>
      <c r="B151">
        <v>82</v>
      </c>
      <c r="C151">
        <v>83.839996337890625</v>
      </c>
      <c r="D151">
        <v>79.099998474121094</v>
      </c>
      <c r="E151">
        <v>80.120002746582031</v>
      </c>
      <c r="F151">
        <v>62.626853942871094</v>
      </c>
      <c r="G151">
        <v>161687300</v>
      </c>
      <c r="H151" t="s">
        <v>8</v>
      </c>
    </row>
    <row r="152" spans="1:8">
      <c r="A152" s="5">
        <v>42491</v>
      </c>
      <c r="B152">
        <v>80.019996643066406</v>
      </c>
      <c r="C152">
        <v>82.889999389648438</v>
      </c>
      <c r="D152">
        <v>79.410003662109375</v>
      </c>
      <c r="E152">
        <v>81.040000915527344</v>
      </c>
      <c r="F152">
        <v>63.864910125732422</v>
      </c>
      <c r="G152">
        <v>137374900</v>
      </c>
      <c r="H152" t="s">
        <v>8</v>
      </c>
    </row>
    <row r="153" spans="1:8">
      <c r="A153" s="5">
        <v>42522</v>
      </c>
      <c r="B153">
        <v>80.949996948242188</v>
      </c>
      <c r="C153">
        <v>84.800003051757813</v>
      </c>
      <c r="D153">
        <v>80.860000610351563</v>
      </c>
      <c r="E153">
        <v>84.669998168945313</v>
      </c>
      <c r="F153">
        <v>66.725570678710938</v>
      </c>
      <c r="G153">
        <v>160702400</v>
      </c>
      <c r="H153" t="s">
        <v>8</v>
      </c>
    </row>
    <row r="154" spans="1:8">
      <c r="A154" s="5">
        <v>42552</v>
      </c>
      <c r="B154">
        <v>84.519996643066406</v>
      </c>
      <c r="C154">
        <v>86.889999389648438</v>
      </c>
      <c r="D154">
        <v>84.319999694824219</v>
      </c>
      <c r="E154">
        <v>85.589996337890625</v>
      </c>
      <c r="F154">
        <v>67.450584411621094</v>
      </c>
      <c r="G154">
        <v>145119200</v>
      </c>
      <c r="H154" t="s">
        <v>8</v>
      </c>
    </row>
    <row r="155" spans="1:8">
      <c r="A155" s="5">
        <v>42583</v>
      </c>
      <c r="B155">
        <v>85.44000244140625</v>
      </c>
      <c r="C155">
        <v>88.5</v>
      </c>
      <c r="D155">
        <v>85.129997253417969</v>
      </c>
      <c r="E155">
        <v>87.30999755859375</v>
      </c>
      <c r="F155">
        <v>69.345230102539063</v>
      </c>
      <c r="G155">
        <v>185975600</v>
      </c>
      <c r="H155" t="s">
        <v>8</v>
      </c>
    </row>
    <row r="156" spans="1:8">
      <c r="A156" s="5">
        <v>42614</v>
      </c>
      <c r="B156">
        <v>87.360000610351563</v>
      </c>
      <c r="C156">
        <v>90.220001220703125</v>
      </c>
      <c r="D156">
        <v>85.959999084472656</v>
      </c>
      <c r="E156">
        <v>89.75</v>
      </c>
      <c r="F156">
        <v>71.283195495605469</v>
      </c>
      <c r="G156">
        <v>846352000</v>
      </c>
      <c r="H156" t="s">
        <v>8</v>
      </c>
    </row>
    <row r="157" spans="1:8">
      <c r="A157" s="5">
        <v>42644</v>
      </c>
      <c r="B157">
        <v>89.349998474121094</v>
      </c>
      <c r="C157">
        <v>90.330001831054688</v>
      </c>
      <c r="D157">
        <v>84.05999755859375</v>
      </c>
      <c r="E157">
        <v>86.800003051757813</v>
      </c>
      <c r="F157">
        <v>68.940193176269531</v>
      </c>
      <c r="G157">
        <v>376452700</v>
      </c>
      <c r="H157" t="s">
        <v>8</v>
      </c>
    </row>
    <row r="158" spans="1:8">
      <c r="A158" s="5">
        <v>42675</v>
      </c>
      <c r="B158">
        <v>86.580001831054688</v>
      </c>
      <c r="C158">
        <v>87.69000244140625</v>
      </c>
      <c r="D158">
        <v>81.709999084472656</v>
      </c>
      <c r="E158">
        <v>82.459999084472656</v>
      </c>
      <c r="F158">
        <v>65.998809814453125</v>
      </c>
      <c r="G158">
        <v>202434100</v>
      </c>
      <c r="H158" t="s">
        <v>8</v>
      </c>
    </row>
    <row r="159" spans="1:8">
      <c r="A159" s="5">
        <v>42705</v>
      </c>
      <c r="B159">
        <v>82.209999084472656</v>
      </c>
      <c r="C159">
        <v>85.739997863769531</v>
      </c>
      <c r="D159">
        <v>81.180000305175781</v>
      </c>
      <c r="E159">
        <v>84.080001831054688</v>
      </c>
      <c r="F159">
        <v>67.295440673828125</v>
      </c>
      <c r="G159">
        <v>174313100</v>
      </c>
      <c r="H159" t="s">
        <v>8</v>
      </c>
    </row>
    <row r="160" spans="1:8">
      <c r="A160" s="5">
        <v>42736</v>
      </c>
      <c r="B160">
        <v>83.879997253417969</v>
      </c>
      <c r="C160">
        <v>87.980003356933594</v>
      </c>
      <c r="D160">
        <v>83.239997863769531</v>
      </c>
      <c r="E160">
        <v>87.599998474121094</v>
      </c>
      <c r="F160">
        <v>70.112739562988281</v>
      </c>
      <c r="G160">
        <v>193158900</v>
      </c>
      <c r="H160" t="s">
        <v>8</v>
      </c>
    </row>
    <row r="161" spans="1:8">
      <c r="A161" s="5">
        <v>42767</v>
      </c>
      <c r="B161">
        <v>87.029998779296875</v>
      </c>
      <c r="C161">
        <v>91.800003051757813</v>
      </c>
      <c r="D161">
        <v>86.75</v>
      </c>
      <c r="E161">
        <v>91.069999694824219</v>
      </c>
      <c r="F161">
        <v>73.467704772949219</v>
      </c>
      <c r="G161">
        <v>196203300</v>
      </c>
      <c r="H161" t="s">
        <v>8</v>
      </c>
    </row>
    <row r="162" spans="1:8">
      <c r="A162" s="5">
        <v>42795</v>
      </c>
      <c r="B162">
        <v>91.050003051757813</v>
      </c>
      <c r="C162">
        <v>92</v>
      </c>
      <c r="D162">
        <v>89.589996337890625</v>
      </c>
      <c r="E162">
        <v>89.849998474121094</v>
      </c>
      <c r="F162">
        <v>72.483512878417969</v>
      </c>
      <c r="G162">
        <v>199174700</v>
      </c>
      <c r="H162" t="s">
        <v>8</v>
      </c>
    </row>
    <row r="163" spans="1:8">
      <c r="A163" s="5">
        <v>42826</v>
      </c>
      <c r="B163">
        <v>89.860000610351563</v>
      </c>
      <c r="C163">
        <v>91.129997253417969</v>
      </c>
      <c r="D163">
        <v>87.150001525878906</v>
      </c>
      <c r="E163">
        <v>87.330001831054688</v>
      </c>
      <c r="F163">
        <v>70.450599670410156</v>
      </c>
      <c r="G163">
        <v>136581600</v>
      </c>
      <c r="H163" t="s">
        <v>8</v>
      </c>
    </row>
    <row r="164" spans="1:8">
      <c r="A164" s="5">
        <v>42856</v>
      </c>
      <c r="B164">
        <v>87.379997253417969</v>
      </c>
      <c r="C164">
        <v>88.349998474121094</v>
      </c>
      <c r="D164">
        <v>85.519996643066406</v>
      </c>
      <c r="E164">
        <v>88.089996337890625</v>
      </c>
      <c r="F164">
        <v>71.607841491699219</v>
      </c>
      <c r="G164">
        <v>138172700</v>
      </c>
      <c r="H164" t="s">
        <v>8</v>
      </c>
    </row>
    <row r="165" spans="1:8">
      <c r="A165" s="5">
        <v>42887</v>
      </c>
      <c r="B165">
        <v>88.019996643066406</v>
      </c>
      <c r="C165">
        <v>90.209999084472656</v>
      </c>
      <c r="D165">
        <v>86.930000305175781</v>
      </c>
      <c r="E165">
        <v>87.150001525878906</v>
      </c>
      <c r="F165">
        <v>70.843742370605469</v>
      </c>
      <c r="G165">
        <v>143596200</v>
      </c>
      <c r="H165" t="s">
        <v>8</v>
      </c>
    </row>
    <row r="166" spans="1:8">
      <c r="A166" s="5">
        <v>42917</v>
      </c>
      <c r="B166">
        <v>87.400001525878906</v>
      </c>
      <c r="C166">
        <v>91.069999694824219</v>
      </c>
      <c r="D166">
        <v>86.30999755859375</v>
      </c>
      <c r="E166">
        <v>90.819999694824219</v>
      </c>
      <c r="F166">
        <v>73.827056884765625</v>
      </c>
      <c r="G166">
        <v>122105100</v>
      </c>
      <c r="H166" t="s">
        <v>8</v>
      </c>
    </row>
    <row r="167" spans="1:8">
      <c r="A167" s="5">
        <v>42948</v>
      </c>
      <c r="B167">
        <v>91.029998779296875</v>
      </c>
      <c r="C167">
        <v>92.959999084472656</v>
      </c>
      <c r="D167">
        <v>90.519996643066406</v>
      </c>
      <c r="E167">
        <v>92.269996643066406</v>
      </c>
      <c r="F167">
        <v>75.594192504882813</v>
      </c>
      <c r="G167">
        <v>131332200</v>
      </c>
      <c r="H167" t="s">
        <v>8</v>
      </c>
    </row>
    <row r="168" spans="1:8">
      <c r="A168" s="5">
        <v>42979</v>
      </c>
      <c r="B168">
        <v>92.419998168945313</v>
      </c>
      <c r="C168">
        <v>94.669998168945313</v>
      </c>
      <c r="D168">
        <v>90.339996337890625</v>
      </c>
      <c r="E168">
        <v>90.980003356933594</v>
      </c>
      <c r="F168">
        <v>74.537322998046875</v>
      </c>
      <c r="G168">
        <v>138824900</v>
      </c>
      <c r="H168" t="s">
        <v>8</v>
      </c>
    </row>
    <row r="169" spans="1:8">
      <c r="A169" s="5">
        <v>43009</v>
      </c>
      <c r="B169">
        <v>91.260002136230469</v>
      </c>
      <c r="C169">
        <v>93.510002136230469</v>
      </c>
      <c r="D169">
        <v>85.720001220703125</v>
      </c>
      <c r="E169">
        <v>86.339996337890625</v>
      </c>
      <c r="F169">
        <v>70.735908508300781</v>
      </c>
      <c r="G169">
        <v>179372200</v>
      </c>
      <c r="H169" t="s">
        <v>8</v>
      </c>
    </row>
    <row r="170" spans="1:8">
      <c r="A170" s="5">
        <v>43040</v>
      </c>
      <c r="B170">
        <v>86.330001831054688</v>
      </c>
      <c r="C170">
        <v>90.370002746582031</v>
      </c>
      <c r="D170">
        <v>85.419998168945313</v>
      </c>
      <c r="E170">
        <v>89.989997863769531</v>
      </c>
      <c r="F170">
        <v>74.278732299804688</v>
      </c>
      <c r="G170">
        <v>123550900</v>
      </c>
      <c r="H170" t="s">
        <v>8</v>
      </c>
    </row>
    <row r="171" spans="1:8">
      <c r="A171" s="5">
        <v>43070</v>
      </c>
      <c r="B171">
        <v>90.180000305175781</v>
      </c>
      <c r="C171">
        <v>93.139999389648438</v>
      </c>
      <c r="D171">
        <v>89.120002746582031</v>
      </c>
      <c r="E171">
        <v>91.879997253417969</v>
      </c>
      <c r="F171">
        <v>75.838737487792969</v>
      </c>
      <c r="G171">
        <v>130696800</v>
      </c>
      <c r="H171" t="s">
        <v>8</v>
      </c>
    </row>
    <row r="172" spans="1:8">
      <c r="A172" s="5">
        <v>43101</v>
      </c>
      <c r="B172">
        <v>91.919998168945313</v>
      </c>
      <c r="C172">
        <v>91.930000305175781</v>
      </c>
      <c r="D172">
        <v>86.080001831054688</v>
      </c>
      <c r="E172">
        <v>86.339996337890625</v>
      </c>
      <c r="F172">
        <v>71.265968322753906</v>
      </c>
      <c r="G172">
        <v>190676000</v>
      </c>
      <c r="H172" t="s">
        <v>8</v>
      </c>
    </row>
    <row r="173" spans="1:8">
      <c r="A173" s="5">
        <v>43132</v>
      </c>
      <c r="B173">
        <v>86.150001525878906</v>
      </c>
      <c r="C173">
        <v>86.5</v>
      </c>
      <c r="D173">
        <v>78.5</v>
      </c>
      <c r="E173">
        <v>78.519996643066406</v>
      </c>
      <c r="F173">
        <v>65.305343627929688</v>
      </c>
      <c r="G173">
        <v>224924600</v>
      </c>
      <c r="H173" t="s">
        <v>8</v>
      </c>
    </row>
    <row r="174" spans="1:8">
      <c r="A174" s="5">
        <v>43160</v>
      </c>
      <c r="B174">
        <v>78.400001525878906</v>
      </c>
      <c r="C174">
        <v>80.75</v>
      </c>
      <c r="D174">
        <v>75.80999755859375</v>
      </c>
      <c r="E174">
        <v>79.279998779296875</v>
      </c>
      <c r="F174">
        <v>65.937454223632813</v>
      </c>
      <c r="G174">
        <v>211186000</v>
      </c>
      <c r="H174" t="s">
        <v>8</v>
      </c>
    </row>
    <row r="175" spans="1:8">
      <c r="A175" s="5">
        <v>43191</v>
      </c>
      <c r="B175">
        <v>79.260002136230469</v>
      </c>
      <c r="C175">
        <v>79.519996643066406</v>
      </c>
      <c r="D175">
        <v>71.949996948242188</v>
      </c>
      <c r="E175">
        <v>72.339996337890625</v>
      </c>
      <c r="F175">
        <v>60.165412902832031</v>
      </c>
      <c r="G175">
        <v>214265200</v>
      </c>
      <c r="H175" t="s">
        <v>8</v>
      </c>
    </row>
    <row r="176" spans="1:8">
      <c r="A176" s="5">
        <v>43221</v>
      </c>
      <c r="B176">
        <v>72.050003051757813</v>
      </c>
      <c r="C176">
        <v>75.019996643066406</v>
      </c>
      <c r="D176">
        <v>70.730003356933594</v>
      </c>
      <c r="E176">
        <v>73.169998168945313</v>
      </c>
      <c r="F176">
        <v>61.418872833251953</v>
      </c>
      <c r="G176">
        <v>184831100</v>
      </c>
      <c r="H176" t="s">
        <v>8</v>
      </c>
    </row>
    <row r="177" spans="1:8">
      <c r="A177" s="5">
        <v>43252</v>
      </c>
      <c r="B177">
        <v>73.330001831054688</v>
      </c>
      <c r="C177">
        <v>78.709999084472656</v>
      </c>
      <c r="D177">
        <v>72.860000610351563</v>
      </c>
      <c r="E177">
        <v>78.05999755859375</v>
      </c>
      <c r="F177">
        <v>65.523544311523438</v>
      </c>
      <c r="G177">
        <v>191430600</v>
      </c>
      <c r="H177" t="s">
        <v>8</v>
      </c>
    </row>
    <row r="178" spans="1:8">
      <c r="A178" s="5">
        <v>43282</v>
      </c>
      <c r="B178">
        <v>77.5</v>
      </c>
      <c r="C178">
        <v>80.980003356933594</v>
      </c>
      <c r="D178">
        <v>77.419998168945313</v>
      </c>
      <c r="E178">
        <v>80.879997253417969</v>
      </c>
      <c r="F178">
        <v>67.890640258789063</v>
      </c>
      <c r="G178">
        <v>167374200</v>
      </c>
      <c r="H178" t="s">
        <v>8</v>
      </c>
    </row>
    <row r="179" spans="1:8">
      <c r="A179" s="5">
        <v>43313</v>
      </c>
      <c r="B179">
        <v>80.419998168945313</v>
      </c>
      <c r="C179">
        <v>84.199996948242188</v>
      </c>
      <c r="D179">
        <v>80.110000610351563</v>
      </c>
      <c r="E179">
        <v>82.949996948242188</v>
      </c>
      <c r="F179">
        <v>70.260116577148438</v>
      </c>
      <c r="G179">
        <v>147692700</v>
      </c>
      <c r="H179" t="s">
        <v>8</v>
      </c>
    </row>
    <row r="180" spans="1:8">
      <c r="A180" s="5">
        <v>43344</v>
      </c>
      <c r="B180">
        <v>82.480003356933594</v>
      </c>
      <c r="C180">
        <v>86.279998779296875</v>
      </c>
      <c r="D180">
        <v>81.25</v>
      </c>
      <c r="E180">
        <v>83.230003356933594</v>
      </c>
      <c r="F180">
        <v>70.497283935546875</v>
      </c>
      <c r="G180">
        <v>137121300</v>
      </c>
      <c r="H180" t="s">
        <v>8</v>
      </c>
    </row>
    <row r="181" spans="1:8">
      <c r="A181" s="5">
        <v>43374</v>
      </c>
      <c r="B181">
        <v>83.30999755859375</v>
      </c>
      <c r="C181">
        <v>90.699996948242188</v>
      </c>
      <c r="D181">
        <v>78.489997863769531</v>
      </c>
      <c r="E181">
        <v>88.680000305175781</v>
      </c>
      <c r="F181">
        <v>75.113540649414063</v>
      </c>
      <c r="G181">
        <v>273769800</v>
      </c>
      <c r="H181" t="s">
        <v>8</v>
      </c>
    </row>
    <row r="182" spans="1:8">
      <c r="A182" s="5">
        <v>43405</v>
      </c>
      <c r="B182">
        <v>88.80999755859375</v>
      </c>
      <c r="C182">
        <v>94.80999755859375</v>
      </c>
      <c r="D182">
        <v>88.180000305175781</v>
      </c>
      <c r="E182">
        <v>94.510002136230469</v>
      </c>
      <c r="F182">
        <v>80.758995056152344</v>
      </c>
      <c r="G182">
        <v>214198200</v>
      </c>
      <c r="H182" t="s">
        <v>8</v>
      </c>
    </row>
    <row r="183" spans="1:8">
      <c r="A183" s="5">
        <v>43435</v>
      </c>
      <c r="B183">
        <v>94.669998168945313</v>
      </c>
      <c r="C183">
        <v>96.900001525878906</v>
      </c>
      <c r="D183">
        <v>86.739997863769531</v>
      </c>
      <c r="E183">
        <v>91.919998168945313</v>
      </c>
      <c r="F183">
        <v>78.54583740234375</v>
      </c>
      <c r="G183">
        <v>224359900</v>
      </c>
      <c r="H183" t="s">
        <v>8</v>
      </c>
    </row>
    <row r="184" spans="1:8">
      <c r="A184" s="5">
        <v>43466</v>
      </c>
      <c r="B184">
        <v>91.029998779296875</v>
      </c>
      <c r="C184">
        <v>96.80999755859375</v>
      </c>
      <c r="D184">
        <v>89.080001831054688</v>
      </c>
      <c r="E184">
        <v>96.470001220703125</v>
      </c>
      <c r="F184">
        <v>82.433830261230469</v>
      </c>
      <c r="G184">
        <v>225455800</v>
      </c>
      <c r="H184" t="s">
        <v>8</v>
      </c>
    </row>
    <row r="185" spans="1:8">
      <c r="A185" s="5">
        <v>43497</v>
      </c>
      <c r="B185">
        <v>96.349998474121094</v>
      </c>
      <c r="C185">
        <v>100.44999694824219</v>
      </c>
      <c r="D185">
        <v>95.989997863769531</v>
      </c>
      <c r="E185">
        <v>98.550003051757813</v>
      </c>
      <c r="F185">
        <v>84.877235412597656</v>
      </c>
      <c r="G185">
        <v>176165700</v>
      </c>
      <c r="H185" t="s">
        <v>8</v>
      </c>
    </row>
    <row r="186" spans="1:8">
      <c r="A186" s="5">
        <v>43525</v>
      </c>
      <c r="B186">
        <v>98.610000610351563</v>
      </c>
      <c r="C186">
        <v>104.15000152587891</v>
      </c>
      <c r="D186">
        <v>97.75</v>
      </c>
      <c r="E186">
        <v>104.05000305175781</v>
      </c>
      <c r="F186">
        <v>89.614189147949219</v>
      </c>
      <c r="G186">
        <v>180275300</v>
      </c>
      <c r="H186" t="s">
        <v>8</v>
      </c>
    </row>
    <row r="187" spans="1:8">
      <c r="A187" s="5">
        <v>43556</v>
      </c>
      <c r="B187">
        <v>104.23000335693359</v>
      </c>
      <c r="C187">
        <v>107.19999694824219</v>
      </c>
      <c r="D187">
        <v>102.12999725341797</v>
      </c>
      <c r="E187">
        <v>106.48000335693359</v>
      </c>
      <c r="F187">
        <v>91.70703125</v>
      </c>
      <c r="G187">
        <v>148284900</v>
      </c>
      <c r="H187" t="s">
        <v>8</v>
      </c>
    </row>
    <row r="188" spans="1:8">
      <c r="A188" s="5">
        <v>43586</v>
      </c>
      <c r="B188">
        <v>106.15000152587891</v>
      </c>
      <c r="C188">
        <v>108.68000030517578</v>
      </c>
      <c r="D188">
        <v>102.41000366210938</v>
      </c>
      <c r="E188">
        <v>102.91000366210938</v>
      </c>
      <c r="F188">
        <v>89.258041381835938</v>
      </c>
      <c r="G188">
        <v>139582600</v>
      </c>
      <c r="H188" t="s">
        <v>8</v>
      </c>
    </row>
    <row r="189" spans="1:8">
      <c r="A189" s="5">
        <v>43617</v>
      </c>
      <c r="B189">
        <v>103.15000152587891</v>
      </c>
      <c r="C189">
        <v>112.62999725341797</v>
      </c>
      <c r="D189">
        <v>102.40000152587891</v>
      </c>
      <c r="E189">
        <v>109.65000152587891</v>
      </c>
      <c r="F189">
        <v>95.103912353515625</v>
      </c>
      <c r="G189">
        <v>151126800</v>
      </c>
      <c r="H189" t="s">
        <v>8</v>
      </c>
    </row>
    <row r="190" spans="1:8">
      <c r="A190" s="5">
        <v>43647</v>
      </c>
      <c r="B190">
        <v>109.91999816894531</v>
      </c>
      <c r="C190">
        <v>121.76000213623047</v>
      </c>
      <c r="D190">
        <v>109.61000061035156</v>
      </c>
      <c r="E190">
        <v>118.04000091552734</v>
      </c>
      <c r="F190">
        <v>102.38090515136719</v>
      </c>
      <c r="G190">
        <v>166952300</v>
      </c>
      <c r="H190" t="s">
        <v>8</v>
      </c>
    </row>
    <row r="191" spans="1:8">
      <c r="A191" s="5">
        <v>43678</v>
      </c>
      <c r="B191">
        <v>118.55999755859375</v>
      </c>
      <c r="C191">
        <v>122</v>
      </c>
      <c r="D191">
        <v>112.68000030517578</v>
      </c>
      <c r="E191">
        <v>120.23000335693359</v>
      </c>
      <c r="F191">
        <v>104.95571136474609</v>
      </c>
      <c r="G191">
        <v>164651400</v>
      </c>
      <c r="H191" t="s">
        <v>8</v>
      </c>
    </row>
    <row r="192" spans="1:8">
      <c r="A192" s="5">
        <v>43709</v>
      </c>
      <c r="B192">
        <v>119.79000091552734</v>
      </c>
      <c r="C192">
        <v>125.36000061035156</v>
      </c>
      <c r="D192">
        <v>119.01999664306641</v>
      </c>
      <c r="E192">
        <v>124.37999725341797</v>
      </c>
      <c r="F192">
        <v>108.57847595214844</v>
      </c>
      <c r="G192">
        <v>139990300</v>
      </c>
      <c r="H192" t="s">
        <v>8</v>
      </c>
    </row>
    <row r="193" spans="1:8">
      <c r="A193" s="5">
        <v>43739</v>
      </c>
      <c r="B193">
        <v>124.36000061035156</v>
      </c>
      <c r="C193">
        <v>125.76999664306641</v>
      </c>
      <c r="D193">
        <v>116.16999816894531</v>
      </c>
      <c r="E193">
        <v>124.51000213623047</v>
      </c>
      <c r="F193">
        <v>108.69196319580078</v>
      </c>
      <c r="G193">
        <v>151910300</v>
      </c>
      <c r="H193" t="s">
        <v>8</v>
      </c>
    </row>
    <row r="194" spans="1:8">
      <c r="A194" s="5">
        <v>43770</v>
      </c>
      <c r="B194">
        <v>124.83000183105469</v>
      </c>
      <c r="C194">
        <v>125.13999938964844</v>
      </c>
      <c r="D194">
        <v>118.23999786376953</v>
      </c>
      <c r="E194">
        <v>122.05999755859375</v>
      </c>
      <c r="F194">
        <v>107.23384857177734</v>
      </c>
      <c r="G194">
        <v>125206800</v>
      </c>
      <c r="H194" t="s">
        <v>8</v>
      </c>
    </row>
    <row r="195" spans="1:8">
      <c r="A195" s="5">
        <v>43800</v>
      </c>
      <c r="B195">
        <v>121.94000244140625</v>
      </c>
      <c r="C195">
        <v>126.59999847412109</v>
      </c>
      <c r="D195">
        <v>120.95999908447266</v>
      </c>
      <c r="E195">
        <v>124.90000152587891</v>
      </c>
      <c r="F195">
        <v>109.72888946533203</v>
      </c>
      <c r="G195">
        <v>137843900</v>
      </c>
      <c r="H195" t="s">
        <v>8</v>
      </c>
    </row>
    <row r="196" spans="1:8">
      <c r="A196" s="5">
        <v>43831</v>
      </c>
      <c r="B196">
        <v>124.5</v>
      </c>
      <c r="C196">
        <v>127</v>
      </c>
      <c r="D196">
        <v>121.86000061035156</v>
      </c>
      <c r="E196">
        <v>124.62000274658203</v>
      </c>
      <c r="F196">
        <v>109.48288726806641</v>
      </c>
      <c r="G196">
        <v>154118600</v>
      </c>
      <c r="H196" t="s">
        <v>8</v>
      </c>
    </row>
    <row r="197" spans="1:8">
      <c r="A197" s="5">
        <v>43862</v>
      </c>
      <c r="B197">
        <v>124.66000366210938</v>
      </c>
      <c r="C197">
        <v>128.08999633789063</v>
      </c>
      <c r="D197">
        <v>106.66999816894531</v>
      </c>
      <c r="E197">
        <v>113.23000335693359</v>
      </c>
      <c r="F197">
        <v>100.06739044189453</v>
      </c>
      <c r="G197">
        <v>149843900</v>
      </c>
      <c r="H197" t="s">
        <v>8</v>
      </c>
    </row>
    <row r="198" spans="1:8">
      <c r="A198" s="5">
        <v>43891</v>
      </c>
      <c r="B198">
        <v>113.19000244140625</v>
      </c>
      <c r="C198">
        <v>124.69000244140625</v>
      </c>
      <c r="D198">
        <v>94.339996337890625</v>
      </c>
      <c r="E198">
        <v>110</v>
      </c>
      <c r="F198">
        <v>97.212882995605469</v>
      </c>
      <c r="G198">
        <v>343541300</v>
      </c>
      <c r="H198" t="s">
        <v>8</v>
      </c>
    </row>
    <row r="199" spans="1:8">
      <c r="A199" s="5">
        <v>43922</v>
      </c>
      <c r="B199">
        <v>107.94999694824219</v>
      </c>
      <c r="C199">
        <v>124.98999786376953</v>
      </c>
      <c r="D199">
        <v>107</v>
      </c>
      <c r="E199">
        <v>117.87000274658203</v>
      </c>
      <c r="F199">
        <v>104.16801452636719</v>
      </c>
      <c r="G199">
        <v>245058600</v>
      </c>
      <c r="H199" t="s">
        <v>8</v>
      </c>
    </row>
    <row r="200" spans="1:8">
      <c r="A200" s="5">
        <v>43952</v>
      </c>
      <c r="B200">
        <v>117.59999847412109</v>
      </c>
      <c r="C200">
        <v>118.37000274658203</v>
      </c>
      <c r="D200">
        <v>111.25</v>
      </c>
      <c r="E200">
        <v>115.91999816894531</v>
      </c>
      <c r="F200">
        <v>103.12792205810547</v>
      </c>
      <c r="G200">
        <v>157315400</v>
      </c>
      <c r="H200" t="s">
        <v>8</v>
      </c>
    </row>
    <row r="201" spans="1:8">
      <c r="A201" s="5">
        <v>43983</v>
      </c>
      <c r="B201">
        <v>116</v>
      </c>
      <c r="C201">
        <v>121.81999969482422</v>
      </c>
      <c r="D201">
        <v>113.76000213623047</v>
      </c>
      <c r="E201">
        <v>119.56999969482422</v>
      </c>
      <c r="F201">
        <v>106.37512969970703</v>
      </c>
      <c r="G201">
        <v>175954500</v>
      </c>
      <c r="H201" t="s">
        <v>8</v>
      </c>
    </row>
    <row r="202" spans="1:8">
      <c r="A202" s="5">
        <v>44013</v>
      </c>
      <c r="B202">
        <v>119.65000152587891</v>
      </c>
      <c r="C202">
        <v>132.02999877929688</v>
      </c>
      <c r="D202">
        <v>118.90000152587891</v>
      </c>
      <c r="E202">
        <v>131.1199951171875</v>
      </c>
      <c r="F202">
        <v>116.65053558349609</v>
      </c>
      <c r="G202">
        <v>142767200</v>
      </c>
      <c r="H202" t="s">
        <v>8</v>
      </c>
    </row>
    <row r="203" spans="1:8">
      <c r="A203" s="5">
        <v>44044</v>
      </c>
      <c r="B203">
        <v>130.47000122070313</v>
      </c>
      <c r="C203">
        <v>139.69000244140625</v>
      </c>
      <c r="D203">
        <v>130.47000122070313</v>
      </c>
      <c r="E203">
        <v>138.33000183105469</v>
      </c>
      <c r="F203">
        <v>123.84150695800781</v>
      </c>
      <c r="G203">
        <v>121995000</v>
      </c>
      <c r="H203" t="s">
        <v>8</v>
      </c>
    </row>
    <row r="204" spans="1:8">
      <c r="A204" s="5">
        <v>44075</v>
      </c>
      <c r="B204">
        <v>137.86000061035156</v>
      </c>
      <c r="C204">
        <v>141.69999694824219</v>
      </c>
      <c r="D204">
        <v>134.69999694824219</v>
      </c>
      <c r="E204">
        <v>138.99000549316406</v>
      </c>
      <c r="F204">
        <v>124.43235778808594</v>
      </c>
      <c r="G204">
        <v>128866100</v>
      </c>
      <c r="H204" t="s">
        <v>8</v>
      </c>
    </row>
    <row r="205" spans="1:8">
      <c r="A205" s="5">
        <v>44105</v>
      </c>
      <c r="B205">
        <v>139.58000183105469</v>
      </c>
      <c r="C205">
        <v>145.8699951171875</v>
      </c>
      <c r="D205">
        <v>134.67999267578125</v>
      </c>
      <c r="E205">
        <v>137.10000610351563</v>
      </c>
      <c r="F205">
        <v>122.74032592773438</v>
      </c>
      <c r="G205">
        <v>126549000</v>
      </c>
      <c r="H205" t="s">
        <v>8</v>
      </c>
    </row>
    <row r="206" spans="1:8">
      <c r="A206" s="5">
        <v>44136</v>
      </c>
      <c r="B206">
        <v>138.50999450683594</v>
      </c>
      <c r="C206">
        <v>146.91999816894531</v>
      </c>
      <c r="D206">
        <v>136.74000549316406</v>
      </c>
      <c r="E206">
        <v>138.8699951171875</v>
      </c>
      <c r="F206">
        <v>125.01525115966797</v>
      </c>
      <c r="G206">
        <v>133952300</v>
      </c>
      <c r="H206" t="s">
        <v>8</v>
      </c>
    </row>
    <row r="207" spans="1:8">
      <c r="A207" s="5">
        <v>44166</v>
      </c>
      <c r="B207">
        <v>139.16000366210938</v>
      </c>
      <c r="C207">
        <v>140.07000732421875</v>
      </c>
      <c r="D207">
        <v>134.19999694824219</v>
      </c>
      <c r="E207">
        <v>139.13999938964844</v>
      </c>
      <c r="F207">
        <v>125.25830078125</v>
      </c>
      <c r="G207">
        <v>144224400</v>
      </c>
      <c r="H207" t="s">
        <v>8</v>
      </c>
    </row>
    <row r="208" spans="1:8">
      <c r="A208" s="5">
        <v>44197</v>
      </c>
      <c r="B208">
        <v>139.66000366210938</v>
      </c>
      <c r="C208">
        <v>141.03999328613281</v>
      </c>
      <c r="D208">
        <v>127.44000244140625</v>
      </c>
      <c r="E208">
        <v>128.21000671386719</v>
      </c>
      <c r="F208">
        <v>115.41876983642578</v>
      </c>
      <c r="G208">
        <v>154857200</v>
      </c>
      <c r="H208" t="s">
        <v>8</v>
      </c>
    </row>
    <row r="209" spans="1:8">
      <c r="A209" s="5">
        <v>44228</v>
      </c>
      <c r="B209">
        <v>129</v>
      </c>
      <c r="C209">
        <v>130.72000122070313</v>
      </c>
      <c r="D209">
        <v>121.81999969482422</v>
      </c>
      <c r="E209">
        <v>123.52999877929688</v>
      </c>
      <c r="F209">
        <v>111.87645721435547</v>
      </c>
      <c r="G209">
        <v>150615100</v>
      </c>
      <c r="H209" t="s">
        <v>8</v>
      </c>
    </row>
    <row r="210" spans="1:8">
      <c r="A210" s="5">
        <v>44256</v>
      </c>
      <c r="B210">
        <v>124.16000366210938</v>
      </c>
      <c r="C210">
        <v>137.60000610351563</v>
      </c>
      <c r="D210">
        <v>121.54000091552734</v>
      </c>
      <c r="E210">
        <v>135.42999267578125</v>
      </c>
      <c r="F210">
        <v>122.65382385253906</v>
      </c>
      <c r="G210">
        <v>206512600</v>
      </c>
      <c r="H210" t="s">
        <v>8</v>
      </c>
    </row>
    <row r="211" spans="1:8">
      <c r="A211" s="5">
        <v>44287</v>
      </c>
      <c r="B211">
        <v>135.05000305175781</v>
      </c>
      <c r="C211">
        <v>138.58999633789063</v>
      </c>
      <c r="D211">
        <v>130.28999328613281</v>
      </c>
      <c r="E211">
        <v>133.41999816894531</v>
      </c>
      <c r="F211">
        <v>120.83345794677734</v>
      </c>
      <c r="G211">
        <v>166855600</v>
      </c>
      <c r="H211" t="s">
        <v>8</v>
      </c>
    </row>
    <row r="212" spans="1:8">
      <c r="A212" s="5">
        <v>44317</v>
      </c>
      <c r="B212">
        <v>134.02999877929688</v>
      </c>
      <c r="C212">
        <v>139.10000610351563</v>
      </c>
      <c r="D212">
        <v>133.3699951171875</v>
      </c>
      <c r="E212">
        <v>134.85000610351563</v>
      </c>
      <c r="F212">
        <v>122.90994262695313</v>
      </c>
      <c r="G212">
        <v>197968800</v>
      </c>
      <c r="H212" t="s">
        <v>8</v>
      </c>
    </row>
    <row r="213" spans="1:8">
      <c r="A213" s="5">
        <v>44348</v>
      </c>
      <c r="B213">
        <v>135.78999328613281</v>
      </c>
      <c r="C213">
        <v>136.83999633789063</v>
      </c>
      <c r="D213">
        <v>131.94000244140625</v>
      </c>
      <c r="E213">
        <v>134.92999267578125</v>
      </c>
      <c r="F213">
        <v>122.98283386230469</v>
      </c>
      <c r="G213">
        <v>186291900</v>
      </c>
      <c r="H213" t="s">
        <v>8</v>
      </c>
    </row>
    <row r="214" spans="1:8">
      <c r="A214" s="5">
        <v>44378</v>
      </c>
      <c r="B214">
        <v>135.42999267578125</v>
      </c>
      <c r="C214">
        <v>144.53999328613281</v>
      </c>
      <c r="D214">
        <v>134.91999816894531</v>
      </c>
      <c r="E214">
        <v>142.22999572753906</v>
      </c>
      <c r="F214">
        <v>129.63648986816406</v>
      </c>
      <c r="G214">
        <v>152014300</v>
      </c>
      <c r="H214" t="s">
        <v>8</v>
      </c>
    </row>
    <row r="215" spans="1:8">
      <c r="A215" s="5">
        <v>44409</v>
      </c>
      <c r="B215">
        <v>141.77000427246094</v>
      </c>
      <c r="C215">
        <v>145.97999572753906</v>
      </c>
      <c r="D215">
        <v>140.80000305175781</v>
      </c>
      <c r="E215">
        <v>142.38999938964844</v>
      </c>
      <c r="F215">
        <v>130.59857177734375</v>
      </c>
      <c r="G215">
        <v>125297500</v>
      </c>
      <c r="H215" t="s">
        <v>8</v>
      </c>
    </row>
    <row r="216" spans="1:8">
      <c r="A216" s="5">
        <v>44440</v>
      </c>
      <c r="B216">
        <v>142.33000183105469</v>
      </c>
      <c r="C216">
        <v>147.22999572753906</v>
      </c>
      <c r="D216">
        <v>139.52999877929688</v>
      </c>
      <c r="E216">
        <v>139.80000305175781</v>
      </c>
      <c r="F216">
        <v>128.2230224609375</v>
      </c>
      <c r="G216">
        <v>148060100</v>
      </c>
      <c r="H216" t="s">
        <v>8</v>
      </c>
    </row>
    <row r="217" spans="1:8">
      <c r="A217" s="5">
        <v>44470</v>
      </c>
      <c r="B217">
        <v>139.92999267578125</v>
      </c>
      <c r="C217">
        <v>144.8699951171875</v>
      </c>
      <c r="D217">
        <v>137.60000610351563</v>
      </c>
      <c r="E217">
        <v>142.99000549316406</v>
      </c>
      <c r="F217">
        <v>131.14883422851563</v>
      </c>
      <c r="G217">
        <v>137102900</v>
      </c>
      <c r="H217" t="s">
        <v>8</v>
      </c>
    </row>
    <row r="218" spans="1:8">
      <c r="A218" s="5">
        <v>44501</v>
      </c>
      <c r="B218">
        <v>143.36000061035156</v>
      </c>
      <c r="C218">
        <v>149.72000122070313</v>
      </c>
      <c r="D218">
        <v>142.27999877929688</v>
      </c>
      <c r="E218">
        <v>144.58000183105469</v>
      </c>
      <c r="F218">
        <v>133.42927551269531</v>
      </c>
      <c r="G218">
        <v>138035400</v>
      </c>
      <c r="H218" t="s">
        <v>8</v>
      </c>
    </row>
    <row r="219" spans="1:8">
      <c r="A219" s="5">
        <v>44531</v>
      </c>
      <c r="B219">
        <v>144.85000610351563</v>
      </c>
      <c r="C219">
        <v>164.97999572753906</v>
      </c>
      <c r="D219">
        <v>144.85000610351563</v>
      </c>
      <c r="E219">
        <v>163.58000183105469</v>
      </c>
      <c r="F219">
        <v>150.96389770507813</v>
      </c>
      <c r="G219">
        <v>190122300</v>
      </c>
      <c r="H219" t="s">
        <v>8</v>
      </c>
    </row>
    <row r="220" spans="1:8">
      <c r="A220" s="5">
        <v>44562</v>
      </c>
      <c r="B220">
        <v>161.69000244140625</v>
      </c>
      <c r="C220">
        <v>165.35000610351563</v>
      </c>
      <c r="D220">
        <v>156.03999328613281</v>
      </c>
      <c r="E220">
        <v>160.44999694824219</v>
      </c>
      <c r="F220">
        <v>148.07530212402344</v>
      </c>
      <c r="G220">
        <v>195173500</v>
      </c>
      <c r="H220" t="s">
        <v>8</v>
      </c>
    </row>
    <row r="221" spans="1:8">
      <c r="A221" s="5">
        <v>44593</v>
      </c>
      <c r="B221">
        <v>160.78999328613281</v>
      </c>
      <c r="C221">
        <v>164.97999572753906</v>
      </c>
      <c r="D221">
        <v>150.55999755859375</v>
      </c>
      <c r="E221">
        <v>155.88999938964844</v>
      </c>
      <c r="F221">
        <v>144.64375305175781</v>
      </c>
      <c r="G221">
        <v>155799700</v>
      </c>
      <c r="H221" t="s">
        <v>8</v>
      </c>
    </row>
    <row r="222" spans="1:8">
      <c r="A222" s="5">
        <v>44621</v>
      </c>
      <c r="B222">
        <v>154.30999755859375</v>
      </c>
      <c r="C222">
        <v>156.47000122070313</v>
      </c>
      <c r="D222">
        <v>143.02999877929688</v>
      </c>
      <c r="E222">
        <v>152.80000305175781</v>
      </c>
      <c r="F222">
        <v>141.77668762207031</v>
      </c>
      <c r="G222">
        <v>170280000</v>
      </c>
      <c r="H222" t="s">
        <v>8</v>
      </c>
    </row>
    <row r="223" spans="1:8">
      <c r="A223" s="5">
        <v>44652</v>
      </c>
      <c r="B223">
        <v>153.52000427246094</v>
      </c>
      <c r="C223">
        <v>164.89999389648438</v>
      </c>
      <c r="D223">
        <v>151.25999450683594</v>
      </c>
      <c r="E223">
        <v>160.55000305175781</v>
      </c>
      <c r="F223">
        <v>148.96757507324219</v>
      </c>
      <c r="G223">
        <v>151984400</v>
      </c>
      <c r="H223" t="s">
        <v>8</v>
      </c>
    </row>
    <row r="224" spans="1:8">
      <c r="A224" s="5">
        <v>44682</v>
      </c>
      <c r="B224">
        <v>161.60000610351563</v>
      </c>
      <c r="C224">
        <v>162</v>
      </c>
      <c r="D224">
        <v>139.17999267578125</v>
      </c>
      <c r="E224">
        <v>147.8800048828125</v>
      </c>
      <c r="F224">
        <v>137.98143005371094</v>
      </c>
      <c r="G224">
        <v>169284800</v>
      </c>
      <c r="H224" t="s">
        <v>8</v>
      </c>
    </row>
    <row r="225" spans="1:8">
      <c r="A225" s="5">
        <v>44713</v>
      </c>
      <c r="B225">
        <v>148</v>
      </c>
      <c r="C225">
        <v>148.1199951171875</v>
      </c>
      <c r="D225">
        <v>129.5</v>
      </c>
      <c r="E225">
        <v>143.78999328613281</v>
      </c>
      <c r="F225">
        <v>134.16520690917969</v>
      </c>
      <c r="G225">
        <v>168567600</v>
      </c>
      <c r="H225" t="s">
        <v>8</v>
      </c>
    </row>
    <row r="226" spans="1:8">
      <c r="A226" s="5">
        <v>44743</v>
      </c>
      <c r="B226">
        <v>144.24000549316406</v>
      </c>
      <c r="C226">
        <v>148.61000061035156</v>
      </c>
      <c r="D226">
        <v>138.22999572753906</v>
      </c>
      <c r="E226">
        <v>138.91000366210938</v>
      </c>
      <c r="F226">
        <v>129.61184692382813</v>
      </c>
      <c r="G226">
        <v>131172900</v>
      </c>
      <c r="H226" t="s">
        <v>8</v>
      </c>
    </row>
    <row r="227" spans="1:8">
      <c r="A227" s="5">
        <v>44774</v>
      </c>
      <c r="B227">
        <v>138.33999633789063</v>
      </c>
      <c r="C227">
        <v>150.6300048828125</v>
      </c>
      <c r="D227">
        <v>137.86000061035156</v>
      </c>
      <c r="E227">
        <v>137.94000244140625</v>
      </c>
      <c r="F227">
        <v>129.54234313964844</v>
      </c>
      <c r="G227">
        <v>137585500</v>
      </c>
      <c r="H227" t="s">
        <v>8</v>
      </c>
    </row>
    <row r="228" spans="1:8">
      <c r="A228" s="5">
        <v>44805</v>
      </c>
      <c r="B228">
        <v>137.83000183105469</v>
      </c>
      <c r="C228">
        <v>141.80000305175781</v>
      </c>
      <c r="D228">
        <v>126.20999908447266</v>
      </c>
      <c r="E228">
        <v>126.25</v>
      </c>
      <c r="F228">
        <v>118.56400299072266</v>
      </c>
      <c r="G228">
        <v>147893600</v>
      </c>
      <c r="H228" t="s">
        <v>8</v>
      </c>
    </row>
    <row r="229" spans="1:8">
      <c r="A229" s="5">
        <v>44835</v>
      </c>
      <c r="B229">
        <v>127.25</v>
      </c>
      <c r="C229">
        <v>135.66999816894531</v>
      </c>
      <c r="D229">
        <v>122.18000030517578</v>
      </c>
      <c r="E229">
        <v>134.66999816894531</v>
      </c>
      <c r="F229">
        <v>126.47138977050781</v>
      </c>
      <c r="G229">
        <v>144766200</v>
      </c>
      <c r="H229" t="s">
        <v>8</v>
      </c>
    </row>
    <row r="230" spans="1:8">
      <c r="A230" s="5">
        <v>44866</v>
      </c>
      <c r="B230">
        <v>134.69999694824219</v>
      </c>
      <c r="C230">
        <v>149.16000366210938</v>
      </c>
      <c r="D230">
        <v>130.96000671386719</v>
      </c>
      <c r="E230">
        <v>149.16000366210938</v>
      </c>
      <c r="F230">
        <v>141.07341003417969</v>
      </c>
      <c r="G230">
        <v>133869800</v>
      </c>
      <c r="H230" t="s">
        <v>8</v>
      </c>
    </row>
    <row r="231" spans="1:8">
      <c r="A231" s="5">
        <v>44896</v>
      </c>
      <c r="B231">
        <v>149.52999877929688</v>
      </c>
      <c r="C231">
        <v>154.64999389648438</v>
      </c>
      <c r="D231">
        <v>148.08000183105469</v>
      </c>
      <c r="E231">
        <v>151.55999755859375</v>
      </c>
      <c r="F231">
        <v>143.34329223632813</v>
      </c>
      <c r="G231">
        <v>132270900</v>
      </c>
      <c r="H231" t="s">
        <v>8</v>
      </c>
    </row>
    <row r="232" spans="1:8">
      <c r="A232" s="5">
        <v>44927</v>
      </c>
      <c r="B232">
        <v>150.94999694824219</v>
      </c>
      <c r="C232">
        <v>154.80000305175781</v>
      </c>
      <c r="D232">
        <v>138.72999572753906</v>
      </c>
      <c r="E232">
        <v>142.3800048828125</v>
      </c>
      <c r="F232">
        <v>134.66096496582031</v>
      </c>
      <c r="G232">
        <v>150059100</v>
      </c>
      <c r="H232" t="s">
        <v>8</v>
      </c>
    </row>
    <row r="233" spans="1:8">
      <c r="A233" s="5">
        <v>44958</v>
      </c>
      <c r="B233">
        <v>142.08000183105469</v>
      </c>
      <c r="C233">
        <v>144.10000610351563</v>
      </c>
      <c r="D233">
        <v>135.83000183105469</v>
      </c>
      <c r="E233">
        <v>137.55999755859375</v>
      </c>
      <c r="F233">
        <v>130.91868591308594</v>
      </c>
      <c r="G233">
        <v>121960300</v>
      </c>
      <c r="H233" t="s">
        <v>8</v>
      </c>
    </row>
    <row r="234" spans="1:8">
      <c r="A234" s="5">
        <v>44986</v>
      </c>
      <c r="B234">
        <v>138.05000305175781</v>
      </c>
      <c r="C234">
        <v>148.69000244140625</v>
      </c>
      <c r="D234">
        <v>136.10000610351563</v>
      </c>
      <c r="E234">
        <v>148.69000244140625</v>
      </c>
      <c r="F234">
        <v>141.51130676269531</v>
      </c>
      <c r="G234">
        <v>154929200</v>
      </c>
      <c r="H234" t="s">
        <v>8</v>
      </c>
    </row>
    <row r="235" spans="1:8">
      <c r="A235" s="5">
        <v>45017</v>
      </c>
      <c r="B235">
        <v>148.42999267578125</v>
      </c>
      <c r="C235">
        <v>158.11000061035156</v>
      </c>
      <c r="D235">
        <v>147.08999633789063</v>
      </c>
      <c r="E235">
        <v>156.3800048828125</v>
      </c>
      <c r="F235">
        <v>148.83003234863281</v>
      </c>
      <c r="G235">
        <v>115635400</v>
      </c>
      <c r="H235" t="s">
        <v>8</v>
      </c>
    </row>
    <row r="236" spans="1:8">
      <c r="A236" s="5">
        <v>45047</v>
      </c>
      <c r="B236">
        <v>156.02999877929688</v>
      </c>
      <c r="C236">
        <v>157.57000732421875</v>
      </c>
      <c r="D236">
        <v>141.89999389648438</v>
      </c>
      <c r="E236">
        <v>142.5</v>
      </c>
      <c r="F236">
        <v>136.46926879882813</v>
      </c>
      <c r="G236">
        <v>130122200</v>
      </c>
      <c r="H236" t="s">
        <v>8</v>
      </c>
    </row>
    <row r="237" spans="1:8">
      <c r="A237" s="5">
        <v>45078</v>
      </c>
      <c r="B237">
        <v>143.25</v>
      </c>
      <c r="C237">
        <v>152.07000732421875</v>
      </c>
      <c r="D237">
        <v>142.44999694824219</v>
      </c>
      <c r="E237">
        <v>151.74000549316406</v>
      </c>
      <c r="F237">
        <v>145.3182373046875</v>
      </c>
      <c r="G237">
        <v>133138100</v>
      </c>
      <c r="H237" t="s">
        <v>8</v>
      </c>
    </row>
    <row r="238" spans="1:8">
      <c r="A238" s="5">
        <v>45108</v>
      </c>
      <c r="B238">
        <v>151.47999572753906</v>
      </c>
      <c r="C238">
        <v>157.67999267578125</v>
      </c>
      <c r="D238">
        <v>146.96000671386719</v>
      </c>
      <c r="E238">
        <v>156.30000305175781</v>
      </c>
      <c r="F238">
        <v>149.68525695800781</v>
      </c>
      <c r="G238">
        <v>134090500</v>
      </c>
      <c r="H238" t="s">
        <v>8</v>
      </c>
    </row>
    <row r="239" spans="1:8">
      <c r="A239" s="5">
        <v>45139</v>
      </c>
      <c r="B239">
        <v>155.8800048828125</v>
      </c>
      <c r="C239">
        <v>158.3800048828125</v>
      </c>
      <c r="D239">
        <v>150.92999267578125</v>
      </c>
      <c r="E239">
        <v>154.33999633789063</v>
      </c>
      <c r="F239">
        <v>148.73948669433594</v>
      </c>
      <c r="G239">
        <v>110235100</v>
      </c>
      <c r="H239" t="s">
        <v>8</v>
      </c>
    </row>
    <row r="240" spans="1:8">
      <c r="A240" s="5">
        <v>45170</v>
      </c>
      <c r="B240">
        <v>154.89999389648438</v>
      </c>
      <c r="C240">
        <v>155.32000732421875</v>
      </c>
      <c r="D240">
        <v>144.82000732421875</v>
      </c>
      <c r="E240">
        <v>145.86000061035156</v>
      </c>
      <c r="F240">
        <v>140.56721496582031</v>
      </c>
      <c r="G240">
        <v>104359400</v>
      </c>
      <c r="H240" t="s">
        <v>8</v>
      </c>
    </row>
    <row r="241" spans="1:8">
      <c r="A241" s="5">
        <v>45200</v>
      </c>
      <c r="B241">
        <v>144.77999877929688</v>
      </c>
      <c r="C241">
        <v>151.3800048828125</v>
      </c>
      <c r="D241">
        <v>141.44999694824219</v>
      </c>
      <c r="E241">
        <v>150.02999877929688</v>
      </c>
      <c r="F241">
        <v>144.58586120605469</v>
      </c>
      <c r="G241">
        <v>141702700</v>
      </c>
      <c r="H241" t="s">
        <v>8</v>
      </c>
    </row>
    <row r="242" spans="1:8">
      <c r="A242" s="5">
        <v>45231</v>
      </c>
      <c r="B242">
        <v>150.67999267578125</v>
      </c>
      <c r="C242">
        <v>153.6300048828125</v>
      </c>
      <c r="D242">
        <v>148.83000183105469</v>
      </c>
      <c r="E242">
        <v>153.52000427246094</v>
      </c>
      <c r="F242">
        <v>148.88304138183594</v>
      </c>
      <c r="G242">
        <v>133586300</v>
      </c>
      <c r="H242" t="s">
        <v>8</v>
      </c>
    </row>
    <row r="243" spans="1:8">
      <c r="A243" s="5">
        <v>45261</v>
      </c>
      <c r="B243">
        <v>153.33000183105469</v>
      </c>
      <c r="C243">
        <v>153.49000549316406</v>
      </c>
      <c r="D243">
        <v>142.5</v>
      </c>
      <c r="E243">
        <v>146.53999328613281</v>
      </c>
      <c r="F243">
        <v>142.11386108398438</v>
      </c>
      <c r="G243">
        <v>143348000</v>
      </c>
      <c r="H243" t="s">
        <v>8</v>
      </c>
    </row>
    <row r="244" spans="1:8">
      <c r="A244" s="5">
        <v>41609</v>
      </c>
      <c r="B244">
        <v>93.269996643066406</v>
      </c>
      <c r="C244">
        <v>101.73999786376953</v>
      </c>
      <c r="D244">
        <v>92.919998168945313</v>
      </c>
      <c r="E244">
        <v>101.19999694824219</v>
      </c>
      <c r="F244">
        <v>63.087154388427734</v>
      </c>
      <c r="G244">
        <v>269290800</v>
      </c>
      <c r="H244" t="s">
        <v>34</v>
      </c>
    </row>
    <row r="245" spans="1:8">
      <c r="A245" s="5">
        <v>41640</v>
      </c>
      <c r="B245">
        <v>100.59999847412109</v>
      </c>
      <c r="C245">
        <v>101.22000122070313</v>
      </c>
      <c r="D245">
        <v>91.699996948242188</v>
      </c>
      <c r="E245">
        <v>92.160003662109375</v>
      </c>
      <c r="F245">
        <v>57.451690673828125</v>
      </c>
      <c r="G245">
        <v>256867500</v>
      </c>
      <c r="H245" t="s">
        <v>34</v>
      </c>
    </row>
    <row r="246" spans="1:8">
      <c r="A246" s="5">
        <v>41671</v>
      </c>
      <c r="B246">
        <v>91.919998168945313</v>
      </c>
      <c r="C246">
        <v>97.25</v>
      </c>
      <c r="D246">
        <v>89.25</v>
      </c>
      <c r="E246">
        <v>96.269996643066406</v>
      </c>
      <c r="F246">
        <v>60.013835906982422</v>
      </c>
      <c r="G246">
        <v>253283700</v>
      </c>
      <c r="H246" t="s">
        <v>34</v>
      </c>
    </row>
    <row r="247" spans="1:8">
      <c r="A247" s="5">
        <v>41699</v>
      </c>
      <c r="B247">
        <v>95.760002136230469</v>
      </c>
      <c r="C247">
        <v>98.849998474121094</v>
      </c>
      <c r="D247">
        <v>93.010002136230469</v>
      </c>
      <c r="E247">
        <v>97.680000305175781</v>
      </c>
      <c r="F247">
        <v>61.324073791503906</v>
      </c>
      <c r="G247">
        <v>255698300</v>
      </c>
      <c r="H247" t="s">
        <v>34</v>
      </c>
    </row>
    <row r="248" spans="1:8">
      <c r="A248" s="5">
        <v>41730</v>
      </c>
      <c r="B248">
        <v>97.650001525878906</v>
      </c>
      <c r="C248">
        <v>102.56999969482422</v>
      </c>
      <c r="D248">
        <v>96.239997863769531</v>
      </c>
      <c r="E248">
        <v>102.41000366210938</v>
      </c>
      <c r="F248">
        <v>64.293617248535156</v>
      </c>
      <c r="G248">
        <v>230896100</v>
      </c>
      <c r="H248" t="s">
        <v>34</v>
      </c>
    </row>
    <row r="249" spans="1:8">
      <c r="A249" s="5">
        <v>41760</v>
      </c>
      <c r="B249">
        <v>101.95999908447266</v>
      </c>
      <c r="C249">
        <v>103.44999694824219</v>
      </c>
      <c r="D249">
        <v>100.31999969482422</v>
      </c>
      <c r="E249">
        <v>100.52999877929688</v>
      </c>
      <c r="F249">
        <v>63.113353729248047</v>
      </c>
      <c r="G249">
        <v>179886600</v>
      </c>
      <c r="H249" t="s">
        <v>34</v>
      </c>
    </row>
    <row r="250" spans="1:8">
      <c r="A250" s="5">
        <v>41791</v>
      </c>
      <c r="B250">
        <v>100.52999877929688</v>
      </c>
      <c r="C250">
        <v>104.61000061035156</v>
      </c>
      <c r="D250">
        <v>99.589996337890625</v>
      </c>
      <c r="E250">
        <v>100.68000030517578</v>
      </c>
      <c r="F250">
        <v>63.636646270751953</v>
      </c>
      <c r="G250">
        <v>208876600</v>
      </c>
      <c r="H250" t="s">
        <v>34</v>
      </c>
    </row>
    <row r="251" spans="1:8">
      <c r="A251" s="5">
        <v>41821</v>
      </c>
      <c r="B251">
        <v>101.15000152587891</v>
      </c>
      <c r="C251">
        <v>104.76000213623047</v>
      </c>
      <c r="D251">
        <v>98.930000305175781</v>
      </c>
      <c r="E251">
        <v>98.94000244140625</v>
      </c>
      <c r="F251">
        <v>62.536846160888672</v>
      </c>
      <c r="G251">
        <v>189374200</v>
      </c>
      <c r="H251" t="s">
        <v>34</v>
      </c>
    </row>
    <row r="252" spans="1:8">
      <c r="A252" s="5">
        <v>41852</v>
      </c>
      <c r="B252">
        <v>98.620002746582031</v>
      </c>
      <c r="C252">
        <v>100.43000030517578</v>
      </c>
      <c r="D252">
        <v>97.629997253417969</v>
      </c>
      <c r="E252">
        <v>99.459999084472656</v>
      </c>
      <c r="F252">
        <v>62.865524291992188</v>
      </c>
      <c r="G252">
        <v>187451500</v>
      </c>
      <c r="H252" t="s">
        <v>34</v>
      </c>
    </row>
    <row r="253" spans="1:8">
      <c r="A253" s="5">
        <v>41883</v>
      </c>
      <c r="B253">
        <v>99.430000305175781</v>
      </c>
      <c r="C253">
        <v>99.589996337890625</v>
      </c>
      <c r="D253">
        <v>93.620002746582031</v>
      </c>
      <c r="E253">
        <v>94.050003051757813</v>
      </c>
      <c r="F253">
        <v>59.860160827636719</v>
      </c>
      <c r="G253">
        <v>231833300</v>
      </c>
      <c r="H253" t="s">
        <v>34</v>
      </c>
    </row>
    <row r="254" spans="1:8">
      <c r="A254" s="5">
        <v>41913</v>
      </c>
      <c r="B254">
        <v>94.110000610351563</v>
      </c>
      <c r="C254">
        <v>96.889999389648438</v>
      </c>
      <c r="D254">
        <v>86.910003662109375</v>
      </c>
      <c r="E254">
        <v>96.709999084472656</v>
      </c>
      <c r="F254">
        <v>61.553153991699219</v>
      </c>
      <c r="G254">
        <v>342094700</v>
      </c>
      <c r="H254" t="s">
        <v>34</v>
      </c>
    </row>
    <row r="255" spans="1:8">
      <c r="A255" s="5">
        <v>41944</v>
      </c>
      <c r="B255">
        <v>96.55999755859375</v>
      </c>
      <c r="C255">
        <v>97.199996948242188</v>
      </c>
      <c r="D255">
        <v>90.110000610351563</v>
      </c>
      <c r="E255">
        <v>90.540000915527344</v>
      </c>
      <c r="F255">
        <v>57.626140594482422</v>
      </c>
      <c r="G255">
        <v>218128400</v>
      </c>
      <c r="H255" t="s">
        <v>34</v>
      </c>
    </row>
    <row r="256" spans="1:8">
      <c r="A256" s="5">
        <v>41974</v>
      </c>
      <c r="B256">
        <v>90.360000610351563</v>
      </c>
      <c r="C256">
        <v>95.330001831054688</v>
      </c>
      <c r="D256">
        <v>86.19000244140625</v>
      </c>
      <c r="E256">
        <v>92.449996948242188</v>
      </c>
      <c r="F256">
        <v>59.266613006591797</v>
      </c>
      <c r="G256">
        <v>400812400</v>
      </c>
      <c r="H256" t="s">
        <v>34</v>
      </c>
    </row>
    <row r="257" spans="1:8">
      <c r="A257" s="5">
        <v>42005</v>
      </c>
      <c r="B257">
        <v>92.25</v>
      </c>
      <c r="C257">
        <v>93.050003051757813</v>
      </c>
      <c r="D257">
        <v>86.029998779296875</v>
      </c>
      <c r="E257">
        <v>87.419998168945313</v>
      </c>
      <c r="F257">
        <v>56.042041778564453</v>
      </c>
      <c r="G257">
        <v>326819500</v>
      </c>
      <c r="H257" t="s">
        <v>34</v>
      </c>
    </row>
    <row r="258" spans="1:8">
      <c r="A258" s="5">
        <v>42036</v>
      </c>
      <c r="B258">
        <v>87.849998474121094</v>
      </c>
      <c r="C258">
        <v>93.449996948242188</v>
      </c>
      <c r="D258">
        <v>87.5</v>
      </c>
      <c r="E258">
        <v>88.540000915527344</v>
      </c>
      <c r="F258">
        <v>56.76007080078125</v>
      </c>
      <c r="G258">
        <v>276447700</v>
      </c>
      <c r="H258" t="s">
        <v>34</v>
      </c>
    </row>
    <row r="259" spans="1:8">
      <c r="A259" s="5">
        <v>42064</v>
      </c>
      <c r="B259">
        <v>88.339996337890625</v>
      </c>
      <c r="C259">
        <v>88.519996643066406</v>
      </c>
      <c r="D259">
        <v>82.680000305175781</v>
      </c>
      <c r="E259">
        <v>85</v>
      </c>
      <c r="F259">
        <v>54.900825500488281</v>
      </c>
      <c r="G259">
        <v>330260500</v>
      </c>
      <c r="H259" t="s">
        <v>34</v>
      </c>
    </row>
    <row r="260" spans="1:8">
      <c r="A260" s="5">
        <v>42095</v>
      </c>
      <c r="B260">
        <v>85.699996948242188</v>
      </c>
      <c r="C260">
        <v>88.669998168945313</v>
      </c>
      <c r="D260">
        <v>83.80999755859375</v>
      </c>
      <c r="E260">
        <v>87.370002746582031</v>
      </c>
      <c r="F260">
        <v>56.431587219238281</v>
      </c>
      <c r="G260">
        <v>251671200</v>
      </c>
      <c r="H260" t="s">
        <v>34</v>
      </c>
    </row>
    <row r="261" spans="1:8">
      <c r="A261" s="5">
        <v>42125</v>
      </c>
      <c r="B261">
        <v>87.849998474121094</v>
      </c>
      <c r="C261">
        <v>90.089996337890625</v>
      </c>
      <c r="D261">
        <v>84.769996643066406</v>
      </c>
      <c r="E261">
        <v>85.199996948242188</v>
      </c>
      <c r="F261">
        <v>55.029998779296875</v>
      </c>
      <c r="G261">
        <v>198924100</v>
      </c>
      <c r="H261" t="s">
        <v>34</v>
      </c>
    </row>
    <row r="262" spans="1:8">
      <c r="A262" s="5">
        <v>42156</v>
      </c>
      <c r="B262">
        <v>85.25</v>
      </c>
      <c r="C262">
        <v>85.970001220703125</v>
      </c>
      <c r="D262">
        <v>82.800003051757813</v>
      </c>
      <c r="E262">
        <v>83.199996948242188</v>
      </c>
      <c r="F262">
        <v>54.182704925537109</v>
      </c>
      <c r="G262">
        <v>238808600</v>
      </c>
      <c r="H262" t="s">
        <v>34</v>
      </c>
    </row>
    <row r="263" spans="1:8">
      <c r="A263" s="5">
        <v>42186</v>
      </c>
      <c r="B263">
        <v>83.279998779296875</v>
      </c>
      <c r="C263">
        <v>83.529998779296875</v>
      </c>
      <c r="D263">
        <v>78.930000305175781</v>
      </c>
      <c r="E263">
        <v>79.209999084472656</v>
      </c>
      <c r="F263">
        <v>51.584262847900391</v>
      </c>
      <c r="G263">
        <v>274029000</v>
      </c>
      <c r="H263" t="s">
        <v>34</v>
      </c>
    </row>
    <row r="264" spans="1:8">
      <c r="A264" s="5">
        <v>42217</v>
      </c>
      <c r="B264">
        <v>78.699996948242188</v>
      </c>
      <c r="C264">
        <v>79.290000915527344</v>
      </c>
      <c r="D264">
        <v>66.550003051757813</v>
      </c>
      <c r="E264">
        <v>75.239997863769531</v>
      </c>
      <c r="F264">
        <v>48.998867034912109</v>
      </c>
      <c r="G264">
        <v>387523600</v>
      </c>
      <c r="H264" t="s">
        <v>34</v>
      </c>
    </row>
    <row r="265" spans="1:8">
      <c r="A265" s="5">
        <v>42248</v>
      </c>
      <c r="B265">
        <v>73.300003051757813</v>
      </c>
      <c r="C265">
        <v>75.470001220703125</v>
      </c>
      <c r="D265">
        <v>71.510002136230469</v>
      </c>
      <c r="E265">
        <v>74.349998474121094</v>
      </c>
      <c r="F265">
        <v>48.872306823730469</v>
      </c>
      <c r="G265">
        <v>316644500</v>
      </c>
      <c r="H265" t="s">
        <v>34</v>
      </c>
    </row>
    <row r="266" spans="1:8">
      <c r="A266" s="5">
        <v>42278</v>
      </c>
      <c r="B266">
        <v>75.199996948242188</v>
      </c>
      <c r="C266">
        <v>83.879997253417969</v>
      </c>
      <c r="D266">
        <v>73.029998779296875</v>
      </c>
      <c r="E266">
        <v>82.739997863769531</v>
      </c>
      <c r="F266">
        <v>54.387283325195313</v>
      </c>
      <c r="G266">
        <v>318077700</v>
      </c>
      <c r="H266" t="s">
        <v>34</v>
      </c>
    </row>
    <row r="267" spans="1:8">
      <c r="A267" s="5">
        <v>42309</v>
      </c>
      <c r="B267">
        <v>82.300003051757813</v>
      </c>
      <c r="C267">
        <v>87.44000244140625</v>
      </c>
      <c r="D267">
        <v>77.910003662109375</v>
      </c>
      <c r="E267">
        <v>81.660003662109375</v>
      </c>
      <c r="F267">
        <v>53.677371978759766</v>
      </c>
      <c r="G267">
        <v>264207900</v>
      </c>
      <c r="H267" t="s">
        <v>34</v>
      </c>
    </row>
    <row r="268" spans="1:8">
      <c r="A268" s="5">
        <v>42339</v>
      </c>
      <c r="B268">
        <v>81.760002136230469</v>
      </c>
      <c r="C268">
        <v>82.129997253417969</v>
      </c>
      <c r="D268">
        <v>73.790000915527344</v>
      </c>
      <c r="E268">
        <v>77.949996948242188</v>
      </c>
      <c r="F268">
        <v>51.685367584228516</v>
      </c>
      <c r="G268">
        <v>367069000</v>
      </c>
      <c r="H268" t="s">
        <v>34</v>
      </c>
    </row>
    <row r="269" spans="1:8">
      <c r="A269" s="5">
        <v>42370</v>
      </c>
      <c r="B269">
        <v>77.5</v>
      </c>
      <c r="C269">
        <v>79.919998168945313</v>
      </c>
      <c r="D269">
        <v>71.550003051757813</v>
      </c>
      <c r="E269">
        <v>77.849998474121094</v>
      </c>
      <c r="F269">
        <v>51.619060516357422</v>
      </c>
      <c r="G269">
        <v>418954700</v>
      </c>
      <c r="H269" t="s">
        <v>34</v>
      </c>
    </row>
    <row r="270" spans="1:8">
      <c r="A270" s="5">
        <v>42401</v>
      </c>
      <c r="B270">
        <v>76.660003662109375</v>
      </c>
      <c r="C270">
        <v>83.44000244140625</v>
      </c>
      <c r="D270">
        <v>73.550003051757813</v>
      </c>
      <c r="E270">
        <v>80.150001525878906</v>
      </c>
      <c r="F270">
        <v>53.144096374511719</v>
      </c>
      <c r="G270">
        <v>359915800</v>
      </c>
      <c r="H270" t="s">
        <v>34</v>
      </c>
    </row>
    <row r="271" spans="1:8">
      <c r="A271" s="5">
        <v>42430</v>
      </c>
      <c r="B271">
        <v>80.55999755859375</v>
      </c>
      <c r="C271">
        <v>85.099998474121094</v>
      </c>
      <c r="D271">
        <v>80.30999755859375</v>
      </c>
      <c r="E271">
        <v>83.589996337890625</v>
      </c>
      <c r="F271">
        <v>55.928062438964844</v>
      </c>
      <c r="G271">
        <v>292841700</v>
      </c>
      <c r="H271" t="s">
        <v>34</v>
      </c>
    </row>
    <row r="272" spans="1:8">
      <c r="A272" s="5">
        <v>42461</v>
      </c>
      <c r="B272">
        <v>82.400001525878906</v>
      </c>
      <c r="C272">
        <v>89.779998779296875</v>
      </c>
      <c r="D272">
        <v>81.989997863769531</v>
      </c>
      <c r="E272">
        <v>88.400001525878906</v>
      </c>
      <c r="F272">
        <v>59.146312713623047</v>
      </c>
      <c r="G272">
        <v>221801200</v>
      </c>
      <c r="H272" t="s">
        <v>34</v>
      </c>
    </row>
    <row r="273" spans="1:8">
      <c r="A273" s="5">
        <v>42491</v>
      </c>
      <c r="B273">
        <v>88.239997863769531</v>
      </c>
      <c r="C273">
        <v>90.459999084472656</v>
      </c>
      <c r="D273">
        <v>87.230003356933594</v>
      </c>
      <c r="E273">
        <v>89.019996643066406</v>
      </c>
      <c r="F273">
        <v>59.561122894287109</v>
      </c>
      <c r="G273">
        <v>219170200</v>
      </c>
      <c r="H273" t="s">
        <v>34</v>
      </c>
    </row>
    <row r="274" spans="1:8">
      <c r="A274" s="5">
        <v>42522</v>
      </c>
      <c r="B274">
        <v>88.430000305175781</v>
      </c>
      <c r="C274">
        <v>93.830001831054688</v>
      </c>
      <c r="D274">
        <v>87.610000610351563</v>
      </c>
      <c r="E274">
        <v>93.739997863769531</v>
      </c>
      <c r="F274">
        <v>63.246269226074219</v>
      </c>
      <c r="G274">
        <v>252091800</v>
      </c>
      <c r="H274" t="s">
        <v>34</v>
      </c>
    </row>
    <row r="275" spans="1:8">
      <c r="A275" s="5">
        <v>42552</v>
      </c>
      <c r="B275">
        <v>93.360000610351563</v>
      </c>
      <c r="C275">
        <v>95.550003051757813</v>
      </c>
      <c r="D275">
        <v>86.120002746582031</v>
      </c>
      <c r="E275">
        <v>88.949996948242188</v>
      </c>
      <c r="F275">
        <v>60.014476776123047</v>
      </c>
      <c r="G275">
        <v>209716200</v>
      </c>
      <c r="H275" t="s">
        <v>34</v>
      </c>
    </row>
    <row r="276" spans="1:8">
      <c r="A276" s="5">
        <v>42583</v>
      </c>
      <c r="B276">
        <v>88.080001831054688</v>
      </c>
      <c r="C276">
        <v>88.94000244140625</v>
      </c>
      <c r="D276">
        <v>85.580001831054688</v>
      </c>
      <c r="E276">
        <v>87.139999389648438</v>
      </c>
      <c r="F276">
        <v>58.793285369873047</v>
      </c>
      <c r="G276">
        <v>235412300</v>
      </c>
      <c r="H276" t="s">
        <v>34</v>
      </c>
    </row>
    <row r="277" spans="1:8">
      <c r="A277" s="5">
        <v>42614</v>
      </c>
      <c r="B277">
        <v>86.720001220703125</v>
      </c>
      <c r="C277">
        <v>89.370002746582031</v>
      </c>
      <c r="D277">
        <v>82.290000915527344</v>
      </c>
      <c r="E277">
        <v>87.279998779296875</v>
      </c>
      <c r="F277">
        <v>59.389900207519531</v>
      </c>
      <c r="G277">
        <v>271447100</v>
      </c>
      <c r="H277" t="s">
        <v>34</v>
      </c>
    </row>
    <row r="278" spans="1:8">
      <c r="A278" s="5">
        <v>42644</v>
      </c>
      <c r="B278">
        <v>86.94000244140625</v>
      </c>
      <c r="C278">
        <v>88.669998168945313</v>
      </c>
      <c r="D278">
        <v>82.989997863769531</v>
      </c>
      <c r="E278">
        <v>83.319999694824219</v>
      </c>
      <c r="F278">
        <v>56.6953125</v>
      </c>
      <c r="G278">
        <v>192041100</v>
      </c>
      <c r="H278" t="s">
        <v>34</v>
      </c>
    </row>
    <row r="279" spans="1:8">
      <c r="A279" s="5">
        <v>42675</v>
      </c>
      <c r="B279">
        <v>83.5</v>
      </c>
      <c r="C279">
        <v>88.19000244140625</v>
      </c>
      <c r="D279">
        <v>82.760002136230469</v>
      </c>
      <c r="E279">
        <v>87.300003051757813</v>
      </c>
      <c r="F279">
        <v>59.403514862060547</v>
      </c>
      <c r="G279">
        <v>233089000</v>
      </c>
      <c r="H279" t="s">
        <v>34</v>
      </c>
    </row>
    <row r="280" spans="1:8">
      <c r="A280" s="5">
        <v>42705</v>
      </c>
      <c r="B280">
        <v>87.980003356933594</v>
      </c>
      <c r="C280">
        <v>93.220001220703125</v>
      </c>
      <c r="D280">
        <v>86.599998474121094</v>
      </c>
      <c r="E280">
        <v>90.260002136230469</v>
      </c>
      <c r="F280">
        <v>61.961490631103516</v>
      </c>
      <c r="G280">
        <v>220435500</v>
      </c>
      <c r="H280" t="s">
        <v>34</v>
      </c>
    </row>
    <row r="281" spans="1:8">
      <c r="A281" s="5">
        <v>42736</v>
      </c>
      <c r="B281">
        <v>90.94000244140625</v>
      </c>
      <c r="C281">
        <v>91.339996337890625</v>
      </c>
      <c r="D281">
        <v>83.129997253417969</v>
      </c>
      <c r="E281">
        <v>83.889999389648438</v>
      </c>
      <c r="F281">
        <v>57.588630676269531</v>
      </c>
      <c r="G281">
        <v>252514500</v>
      </c>
      <c r="H281" t="s">
        <v>34</v>
      </c>
    </row>
    <row r="282" spans="1:8">
      <c r="A282" s="5">
        <v>42767</v>
      </c>
      <c r="B282">
        <v>84</v>
      </c>
      <c r="C282">
        <v>84.160003662109375</v>
      </c>
      <c r="D282">
        <v>80.760002136230469</v>
      </c>
      <c r="E282">
        <v>81.319999694824219</v>
      </c>
      <c r="F282">
        <v>55.824371337890625</v>
      </c>
      <c r="G282">
        <v>237345100</v>
      </c>
      <c r="H282" t="s">
        <v>34</v>
      </c>
    </row>
    <row r="283" spans="1:8">
      <c r="A283" s="5">
        <v>42795</v>
      </c>
      <c r="B283">
        <v>81.699996948242188</v>
      </c>
      <c r="C283">
        <v>84.25</v>
      </c>
      <c r="D283">
        <v>80.30999755859375</v>
      </c>
      <c r="E283">
        <v>82.010002136230469</v>
      </c>
      <c r="F283">
        <v>56.812839508056641</v>
      </c>
      <c r="G283">
        <v>315475000</v>
      </c>
      <c r="H283" t="s">
        <v>34</v>
      </c>
    </row>
    <row r="284" spans="1:8">
      <c r="A284" s="5">
        <v>42826</v>
      </c>
      <c r="B284">
        <v>82.019996643066406</v>
      </c>
      <c r="C284">
        <v>83.550003051757813</v>
      </c>
      <c r="D284">
        <v>80.300003051757813</v>
      </c>
      <c r="E284">
        <v>81.650001525878906</v>
      </c>
      <c r="F284">
        <v>56.563449859619141</v>
      </c>
      <c r="G284">
        <v>192624700</v>
      </c>
      <c r="H284" t="s">
        <v>34</v>
      </c>
    </row>
    <row r="285" spans="1:8">
      <c r="A285" s="5">
        <v>42856</v>
      </c>
      <c r="B285">
        <v>81.510002136230469</v>
      </c>
      <c r="C285">
        <v>83.230003356933594</v>
      </c>
      <c r="D285">
        <v>80.470001220703125</v>
      </c>
      <c r="E285">
        <v>80.5</v>
      </c>
      <c r="F285">
        <v>55.766796112060547</v>
      </c>
      <c r="G285">
        <v>220122400</v>
      </c>
      <c r="H285" t="s">
        <v>34</v>
      </c>
    </row>
    <row r="286" spans="1:8">
      <c r="A286" s="5">
        <v>42887</v>
      </c>
      <c r="B286">
        <v>80.370002746582031</v>
      </c>
      <c r="C286">
        <v>83.69000244140625</v>
      </c>
      <c r="D286">
        <v>79.260002136230469</v>
      </c>
      <c r="E286">
        <v>80.730003356933594</v>
      </c>
      <c r="F286">
        <v>56.454231262207031</v>
      </c>
      <c r="G286">
        <v>303836700</v>
      </c>
      <c r="H286" t="s">
        <v>34</v>
      </c>
    </row>
    <row r="287" spans="1:8">
      <c r="A287" s="5">
        <v>42917</v>
      </c>
      <c r="B287">
        <v>80.790000915527344</v>
      </c>
      <c r="C287">
        <v>82.489997863769531</v>
      </c>
      <c r="D287">
        <v>78.269996643066406</v>
      </c>
      <c r="E287">
        <v>80.040000915527344</v>
      </c>
      <c r="F287">
        <v>55.971736907958984</v>
      </c>
      <c r="G287">
        <v>201333900</v>
      </c>
      <c r="H287" t="s">
        <v>34</v>
      </c>
    </row>
    <row r="288" spans="1:8">
      <c r="A288" s="5">
        <v>42948</v>
      </c>
      <c r="B288">
        <v>80.160003662109375</v>
      </c>
      <c r="C288">
        <v>80.819999694824219</v>
      </c>
      <c r="D288">
        <v>76.050003051757813</v>
      </c>
      <c r="E288">
        <v>76.330001831054688</v>
      </c>
      <c r="F288">
        <v>53.377334594726563</v>
      </c>
      <c r="G288">
        <v>224413200</v>
      </c>
      <c r="H288" t="s">
        <v>34</v>
      </c>
    </row>
    <row r="289" spans="1:8">
      <c r="A289" s="5">
        <v>42979</v>
      </c>
      <c r="B289">
        <v>76.370002746582031</v>
      </c>
      <c r="C289">
        <v>82.449996948242188</v>
      </c>
      <c r="D289">
        <v>76.319999694824219</v>
      </c>
      <c r="E289">
        <v>81.980003356933594</v>
      </c>
      <c r="F289">
        <v>57.884037017822266</v>
      </c>
      <c r="G289">
        <v>216249200</v>
      </c>
      <c r="H289" t="s">
        <v>34</v>
      </c>
    </row>
    <row r="290" spans="1:8">
      <c r="A290" s="5">
        <v>43009</v>
      </c>
      <c r="B290">
        <v>81.300003051757813</v>
      </c>
      <c r="C290">
        <v>84.239997863769531</v>
      </c>
      <c r="D290">
        <v>81.25</v>
      </c>
      <c r="E290">
        <v>83.349998474121094</v>
      </c>
      <c r="F290">
        <v>58.851360321044922</v>
      </c>
      <c r="G290">
        <v>172408300</v>
      </c>
      <c r="H290" t="s">
        <v>34</v>
      </c>
    </row>
    <row r="291" spans="1:8">
      <c r="A291" s="5">
        <v>43040</v>
      </c>
      <c r="B291">
        <v>83.389999389648438</v>
      </c>
      <c r="C291">
        <v>84.139999389648438</v>
      </c>
      <c r="D291">
        <v>80.010002136230469</v>
      </c>
      <c r="E291">
        <v>83.290000915527344</v>
      </c>
      <c r="F291">
        <v>58.808994293212891</v>
      </c>
      <c r="G291">
        <v>191810600</v>
      </c>
      <c r="H291" t="s">
        <v>34</v>
      </c>
    </row>
    <row r="292" spans="1:8">
      <c r="A292" s="5">
        <v>43070</v>
      </c>
      <c r="B292">
        <v>83.44000244140625</v>
      </c>
      <c r="C292">
        <v>84.360000610351563</v>
      </c>
      <c r="D292">
        <v>82.169998168945313</v>
      </c>
      <c r="E292">
        <v>83.639999389648438</v>
      </c>
      <c r="F292">
        <v>59.602684020996094</v>
      </c>
      <c r="G292">
        <v>220601300</v>
      </c>
      <c r="H292" t="s">
        <v>34</v>
      </c>
    </row>
    <row r="293" spans="1:8">
      <c r="A293" s="5">
        <v>43101</v>
      </c>
      <c r="B293">
        <v>83.819999694824219</v>
      </c>
      <c r="C293">
        <v>89.300003051757813</v>
      </c>
      <c r="D293">
        <v>83.660003662109375</v>
      </c>
      <c r="E293">
        <v>87.300003051757813</v>
      </c>
      <c r="F293">
        <v>62.210834503173828</v>
      </c>
      <c r="G293">
        <v>233944600</v>
      </c>
      <c r="H293" t="s">
        <v>34</v>
      </c>
    </row>
    <row r="294" spans="1:8">
      <c r="A294" s="5">
        <v>43132</v>
      </c>
      <c r="B294">
        <v>87.5</v>
      </c>
      <c r="C294">
        <v>89.25</v>
      </c>
      <c r="D294">
        <v>73.900001525878906</v>
      </c>
      <c r="E294">
        <v>75.739997863769531</v>
      </c>
      <c r="F294">
        <v>53.973064422607422</v>
      </c>
      <c r="G294">
        <v>369414700</v>
      </c>
      <c r="H294" t="s">
        <v>34</v>
      </c>
    </row>
    <row r="295" spans="1:8">
      <c r="A295" s="5">
        <v>43160</v>
      </c>
      <c r="B295">
        <v>75.529998779296875</v>
      </c>
      <c r="C295">
        <v>76.980003356933594</v>
      </c>
      <c r="D295">
        <v>72.669998168945313</v>
      </c>
      <c r="E295">
        <v>74.610000610351563</v>
      </c>
      <c r="F295">
        <v>53.711479187011719</v>
      </c>
      <c r="G295">
        <v>356741300</v>
      </c>
      <c r="H295" t="s">
        <v>34</v>
      </c>
    </row>
    <row r="296" spans="1:8">
      <c r="A296" s="5">
        <v>43191</v>
      </c>
      <c r="B296">
        <v>74.269996643066406</v>
      </c>
      <c r="C296">
        <v>80.900001525878906</v>
      </c>
      <c r="D296">
        <v>72.160003662109375</v>
      </c>
      <c r="E296">
        <v>77.75</v>
      </c>
      <c r="F296">
        <v>55.971954345703125</v>
      </c>
      <c r="G296">
        <v>285826800</v>
      </c>
      <c r="H296" t="s">
        <v>34</v>
      </c>
    </row>
    <row r="297" spans="1:8">
      <c r="A297" s="5">
        <v>43221</v>
      </c>
      <c r="B297">
        <v>77.260002136230469</v>
      </c>
      <c r="C297">
        <v>82.650001525878906</v>
      </c>
      <c r="D297">
        <v>75.400001525878906</v>
      </c>
      <c r="E297">
        <v>81.239997863769531</v>
      </c>
      <c r="F297">
        <v>58.484394073486328</v>
      </c>
      <c r="G297">
        <v>299337700</v>
      </c>
      <c r="H297" t="s">
        <v>34</v>
      </c>
    </row>
    <row r="298" spans="1:8">
      <c r="A298" s="5">
        <v>43252</v>
      </c>
      <c r="B298">
        <v>81.870002746582031</v>
      </c>
      <c r="C298">
        <v>83.790000915527344</v>
      </c>
      <c r="D298">
        <v>79.300003051757813</v>
      </c>
      <c r="E298">
        <v>82.730003356933594</v>
      </c>
      <c r="F298">
        <v>60.16070556640625</v>
      </c>
      <c r="G298">
        <v>257136500</v>
      </c>
      <c r="H298" t="s">
        <v>34</v>
      </c>
    </row>
    <row r="299" spans="1:8">
      <c r="A299" s="5">
        <v>43282</v>
      </c>
      <c r="B299">
        <v>81.889999389648438</v>
      </c>
      <c r="C299">
        <v>84.400001525878906</v>
      </c>
      <c r="D299">
        <v>80.709999084472656</v>
      </c>
      <c r="E299">
        <v>81.510002136230469</v>
      </c>
      <c r="F299">
        <v>59.273548126220703</v>
      </c>
      <c r="G299">
        <v>204469200</v>
      </c>
      <c r="H299" t="s">
        <v>34</v>
      </c>
    </row>
    <row r="300" spans="1:8">
      <c r="A300" s="5">
        <v>43313</v>
      </c>
      <c r="B300">
        <v>80.889999389648438</v>
      </c>
      <c r="C300">
        <v>81.589996337890625</v>
      </c>
      <c r="D300">
        <v>76.510002136230469</v>
      </c>
      <c r="E300">
        <v>80.169998168945313</v>
      </c>
      <c r="F300">
        <v>58.299102783203125</v>
      </c>
      <c r="G300">
        <v>215072500</v>
      </c>
      <c r="H300" t="s">
        <v>34</v>
      </c>
    </row>
    <row r="301" spans="1:8">
      <c r="A301" s="5">
        <v>43344</v>
      </c>
      <c r="B301">
        <v>80.410003662109375</v>
      </c>
      <c r="C301">
        <v>87.360000610351563</v>
      </c>
      <c r="D301">
        <v>79.599998474121094</v>
      </c>
      <c r="E301">
        <v>85.019996643066406</v>
      </c>
      <c r="F301">
        <v>62.463695526123047</v>
      </c>
      <c r="G301">
        <v>227023600</v>
      </c>
      <c r="H301" t="s">
        <v>34</v>
      </c>
    </row>
    <row r="302" spans="1:8">
      <c r="A302" s="5">
        <v>43374</v>
      </c>
      <c r="B302">
        <v>85.349998474121094</v>
      </c>
      <c r="C302">
        <v>86.889999389648438</v>
      </c>
      <c r="D302">
        <v>76.220001220703125</v>
      </c>
      <c r="E302">
        <v>79.680000305175781</v>
      </c>
      <c r="F302">
        <v>58.540428161621094</v>
      </c>
      <c r="G302">
        <v>305909200</v>
      </c>
      <c r="H302" t="s">
        <v>34</v>
      </c>
    </row>
    <row r="303" spans="1:8">
      <c r="A303" s="5">
        <v>43405</v>
      </c>
      <c r="B303">
        <v>79.830001831054688</v>
      </c>
      <c r="C303">
        <v>83.75</v>
      </c>
      <c r="D303">
        <v>74.699996948242188</v>
      </c>
      <c r="E303">
        <v>79.5</v>
      </c>
      <c r="F303">
        <v>58.408191680908203</v>
      </c>
      <c r="G303">
        <v>287081300</v>
      </c>
      <c r="H303" t="s">
        <v>34</v>
      </c>
    </row>
    <row r="304" spans="1:8">
      <c r="A304" s="5">
        <v>43435</v>
      </c>
      <c r="B304">
        <v>80.239997863769531</v>
      </c>
      <c r="C304">
        <v>81.949996948242188</v>
      </c>
      <c r="D304">
        <v>64.650001525878906</v>
      </c>
      <c r="E304">
        <v>68.19000244140625</v>
      </c>
      <c r="F304">
        <v>50.606658935546875</v>
      </c>
      <c r="G304">
        <v>380647000</v>
      </c>
      <c r="H304" t="s">
        <v>34</v>
      </c>
    </row>
    <row r="305" spans="1:8">
      <c r="A305" s="5">
        <v>43466</v>
      </c>
      <c r="B305">
        <v>67.349998474121094</v>
      </c>
      <c r="C305">
        <v>73.489997863769531</v>
      </c>
      <c r="D305">
        <v>67.260002136230469</v>
      </c>
      <c r="E305">
        <v>73.279998779296875</v>
      </c>
      <c r="F305">
        <v>54.384159088134766</v>
      </c>
      <c r="G305">
        <v>269226500</v>
      </c>
      <c r="H305" t="s">
        <v>34</v>
      </c>
    </row>
    <row r="306" spans="1:8">
      <c r="A306" s="5">
        <v>43497</v>
      </c>
      <c r="B306">
        <v>74.919998168945313</v>
      </c>
      <c r="C306">
        <v>79.75</v>
      </c>
      <c r="D306">
        <v>72.730003356933594</v>
      </c>
      <c r="E306">
        <v>79.029998779296875</v>
      </c>
      <c r="F306">
        <v>58.6514892578125</v>
      </c>
      <c r="G306">
        <v>245067300</v>
      </c>
      <c r="H306" t="s">
        <v>34</v>
      </c>
    </row>
    <row r="307" spans="1:8">
      <c r="A307" s="5">
        <v>43525</v>
      </c>
      <c r="B307">
        <v>79.379997253417969</v>
      </c>
      <c r="C307">
        <v>82</v>
      </c>
      <c r="D307">
        <v>77.860000610351563</v>
      </c>
      <c r="E307">
        <v>80.800003051757813</v>
      </c>
      <c r="F307">
        <v>60.63079833984375</v>
      </c>
      <c r="G307">
        <v>272454400</v>
      </c>
      <c r="H307" t="s">
        <v>34</v>
      </c>
    </row>
    <row r="308" spans="1:8">
      <c r="A308" s="5">
        <v>43556</v>
      </c>
      <c r="B308">
        <v>81.230003356933594</v>
      </c>
      <c r="C308">
        <v>83.489997863769531</v>
      </c>
      <c r="D308">
        <v>79.55999755859375</v>
      </c>
      <c r="E308">
        <v>80.279998779296875</v>
      </c>
      <c r="F308">
        <v>60.240604400634766</v>
      </c>
      <c r="G308">
        <v>219523400</v>
      </c>
      <c r="H308" t="s">
        <v>34</v>
      </c>
    </row>
    <row r="309" spans="1:8">
      <c r="A309" s="5">
        <v>43586</v>
      </c>
      <c r="B309">
        <v>79.94000244140625</v>
      </c>
      <c r="C309">
        <v>80.260002136230469</v>
      </c>
      <c r="D309">
        <v>70.629997253417969</v>
      </c>
      <c r="E309">
        <v>70.769996643066406</v>
      </c>
      <c r="F309">
        <v>53.104469299316406</v>
      </c>
      <c r="G309">
        <v>250094000</v>
      </c>
      <c r="H309" t="s">
        <v>34</v>
      </c>
    </row>
    <row r="310" spans="1:8">
      <c r="A310" s="5">
        <v>43617</v>
      </c>
      <c r="B310">
        <v>71.089996337890625</v>
      </c>
      <c r="C310">
        <v>77.760002136230469</v>
      </c>
      <c r="D310">
        <v>70.970001220703125</v>
      </c>
      <c r="E310">
        <v>76.629997253417969</v>
      </c>
      <c r="F310">
        <v>58.160820007324219</v>
      </c>
      <c r="G310">
        <v>218953600</v>
      </c>
      <c r="H310" t="s">
        <v>34</v>
      </c>
    </row>
    <row r="311" spans="1:8">
      <c r="A311" s="5">
        <v>43647</v>
      </c>
      <c r="B311">
        <v>77.129997253417969</v>
      </c>
      <c r="C311">
        <v>77.930000305175781</v>
      </c>
      <c r="D311">
        <v>74.180000305175781</v>
      </c>
      <c r="E311">
        <v>74.360000610351563</v>
      </c>
      <c r="F311">
        <v>56.437931060791016</v>
      </c>
      <c r="G311">
        <v>186899500</v>
      </c>
      <c r="H311" t="s">
        <v>34</v>
      </c>
    </row>
    <row r="312" spans="1:8">
      <c r="A312" s="5">
        <v>43678</v>
      </c>
      <c r="B312">
        <v>73.739997863769531</v>
      </c>
      <c r="C312">
        <v>74.269996643066406</v>
      </c>
      <c r="D312">
        <v>66.529998779296875</v>
      </c>
      <c r="E312">
        <v>68.480003356933594</v>
      </c>
      <c r="F312">
        <v>51.975116729736328</v>
      </c>
      <c r="G312">
        <v>277599800</v>
      </c>
      <c r="H312" t="s">
        <v>34</v>
      </c>
    </row>
    <row r="313" spans="1:8">
      <c r="A313" s="5">
        <v>43709</v>
      </c>
      <c r="B313">
        <v>67.889999389648438</v>
      </c>
      <c r="C313">
        <v>75.180000305175781</v>
      </c>
      <c r="D313">
        <v>67.629997253417969</v>
      </c>
      <c r="E313">
        <v>70.610000610351563</v>
      </c>
      <c r="F313">
        <v>54.258098602294922</v>
      </c>
      <c r="G313">
        <v>215355500</v>
      </c>
      <c r="H313" t="s">
        <v>34</v>
      </c>
    </row>
    <row r="314" spans="1:8">
      <c r="A314" s="5">
        <v>43739</v>
      </c>
      <c r="B314">
        <v>70.830001831054688</v>
      </c>
      <c r="C314">
        <v>70.910003662109375</v>
      </c>
      <c r="D314">
        <v>66.30999755859375</v>
      </c>
      <c r="E314">
        <v>67.569999694824219</v>
      </c>
      <c r="F314">
        <v>51.922111511230469</v>
      </c>
      <c r="G314">
        <v>237608200</v>
      </c>
      <c r="H314" t="s">
        <v>34</v>
      </c>
    </row>
    <row r="315" spans="1:8">
      <c r="A315" s="5">
        <v>43770</v>
      </c>
      <c r="B315">
        <v>68.389999389648438</v>
      </c>
      <c r="C315">
        <v>73.120002746582031</v>
      </c>
      <c r="D315">
        <v>67.319999694824219</v>
      </c>
      <c r="E315">
        <v>68.129997253417969</v>
      </c>
      <c r="F315">
        <v>52.352432250976563</v>
      </c>
      <c r="G315">
        <v>249330500</v>
      </c>
      <c r="H315" t="s">
        <v>34</v>
      </c>
    </row>
    <row r="316" spans="1:8">
      <c r="A316" s="5">
        <v>43800</v>
      </c>
      <c r="B316">
        <v>68.5</v>
      </c>
      <c r="C316">
        <v>70.540000915527344</v>
      </c>
      <c r="D316">
        <v>67.519996643066406</v>
      </c>
      <c r="E316">
        <v>69.779998779296875</v>
      </c>
      <c r="F316">
        <v>54.266963958740234</v>
      </c>
      <c r="G316">
        <v>286029400</v>
      </c>
      <c r="H316" t="s">
        <v>34</v>
      </c>
    </row>
    <row r="317" spans="1:8">
      <c r="A317" s="5">
        <v>43831</v>
      </c>
      <c r="B317">
        <v>70.239997863769531</v>
      </c>
      <c r="C317">
        <v>71.370002746582031</v>
      </c>
      <c r="D317">
        <v>61.860000610351563</v>
      </c>
      <c r="E317">
        <v>62.119998931884766</v>
      </c>
      <c r="F317">
        <v>48.309890747070313</v>
      </c>
      <c r="G317">
        <v>359133900</v>
      </c>
      <c r="H317" t="s">
        <v>34</v>
      </c>
    </row>
    <row r="318" spans="1:8">
      <c r="A318" s="5">
        <v>43862</v>
      </c>
      <c r="B318">
        <v>61.380001068115234</v>
      </c>
      <c r="C318">
        <v>63.009998321533203</v>
      </c>
      <c r="D318">
        <v>48.009998321533203</v>
      </c>
      <c r="E318">
        <v>51.439998626708984</v>
      </c>
      <c r="F318">
        <v>40.004196166992188</v>
      </c>
      <c r="G318">
        <v>479874900</v>
      </c>
      <c r="H318" t="s">
        <v>34</v>
      </c>
    </row>
    <row r="319" spans="1:8">
      <c r="A319" s="5">
        <v>43891</v>
      </c>
      <c r="B319">
        <v>52.590000152587891</v>
      </c>
      <c r="C319">
        <v>54.150001525878906</v>
      </c>
      <c r="D319">
        <v>30.110000610351563</v>
      </c>
      <c r="E319">
        <v>37.970001220703125</v>
      </c>
      <c r="F319">
        <v>29.952692031860352</v>
      </c>
      <c r="G319">
        <v>1171277200</v>
      </c>
      <c r="H319" t="s">
        <v>34</v>
      </c>
    </row>
    <row r="320" spans="1:8">
      <c r="A320" s="5">
        <v>43922</v>
      </c>
      <c r="B320">
        <v>36.860000610351563</v>
      </c>
      <c r="C320">
        <v>47.680000305175781</v>
      </c>
      <c r="D320">
        <v>36.340000152587891</v>
      </c>
      <c r="E320">
        <v>46.470001220703125</v>
      </c>
      <c r="F320">
        <v>36.657924652099609</v>
      </c>
      <c r="G320">
        <v>791507100</v>
      </c>
      <c r="H320" t="s">
        <v>34</v>
      </c>
    </row>
    <row r="321" spans="1:8">
      <c r="A321" s="5">
        <v>43952</v>
      </c>
      <c r="B321">
        <v>45.630001068115234</v>
      </c>
      <c r="C321">
        <v>47.150001525878906</v>
      </c>
      <c r="D321">
        <v>40.200000762939453</v>
      </c>
      <c r="E321">
        <v>45.470001220703125</v>
      </c>
      <c r="F321">
        <v>35.869075775146484</v>
      </c>
      <c r="G321">
        <v>477169600</v>
      </c>
      <c r="H321" t="s">
        <v>34</v>
      </c>
    </row>
    <row r="322" spans="1:8">
      <c r="A322" s="5">
        <v>43983</v>
      </c>
      <c r="B322">
        <v>45.319999694824219</v>
      </c>
      <c r="C322">
        <v>55.360000610351563</v>
      </c>
      <c r="D322">
        <v>43.159999847412109</v>
      </c>
      <c r="E322">
        <v>44.720001220703125</v>
      </c>
      <c r="F322">
        <v>35.961441040039063</v>
      </c>
      <c r="G322">
        <v>584980000</v>
      </c>
      <c r="H322" t="s">
        <v>34</v>
      </c>
    </row>
    <row r="323" spans="1:8">
      <c r="A323" s="5">
        <v>44013</v>
      </c>
      <c r="B323">
        <v>44.490001678466797</v>
      </c>
      <c r="C323">
        <v>45.380001068115234</v>
      </c>
      <c r="D323">
        <v>40.909999847412109</v>
      </c>
      <c r="E323">
        <v>42.080001831054688</v>
      </c>
      <c r="F323">
        <v>33.838489532470703</v>
      </c>
      <c r="G323">
        <v>447137800</v>
      </c>
      <c r="H323" t="s">
        <v>34</v>
      </c>
    </row>
    <row r="324" spans="1:8">
      <c r="A324" s="5">
        <v>44044</v>
      </c>
      <c r="B324">
        <v>42.049999237060547</v>
      </c>
      <c r="C324">
        <v>46.419998168945313</v>
      </c>
      <c r="D324">
        <v>39.310001373291016</v>
      </c>
      <c r="E324">
        <v>39.939998626708984</v>
      </c>
      <c r="F324">
        <v>32.11761474609375</v>
      </c>
      <c r="G324">
        <v>449216800</v>
      </c>
      <c r="H324" t="s">
        <v>34</v>
      </c>
    </row>
    <row r="325" spans="1:8">
      <c r="A325" s="5">
        <v>44075</v>
      </c>
      <c r="B325">
        <v>39.75</v>
      </c>
      <c r="C325">
        <v>40.029998779296875</v>
      </c>
      <c r="D325">
        <v>33.759998321533203</v>
      </c>
      <c r="E325">
        <v>34.330001831054688</v>
      </c>
      <c r="F325">
        <v>28.150970458984375</v>
      </c>
      <c r="G325">
        <v>590803600</v>
      </c>
      <c r="H325" t="s">
        <v>34</v>
      </c>
    </row>
    <row r="326" spans="1:8">
      <c r="A326" s="5">
        <v>44105</v>
      </c>
      <c r="B326">
        <v>33.790000915527344</v>
      </c>
      <c r="C326">
        <v>35.950000762939453</v>
      </c>
      <c r="D326">
        <v>31.110000610351563</v>
      </c>
      <c r="E326">
        <v>32.619998931884766</v>
      </c>
      <c r="F326">
        <v>26.748752593994141</v>
      </c>
      <c r="G326">
        <v>630433400</v>
      </c>
      <c r="H326" t="s">
        <v>34</v>
      </c>
    </row>
    <row r="327" spans="1:8">
      <c r="A327" s="5">
        <v>44136</v>
      </c>
      <c r="B327">
        <v>33.139999389648438</v>
      </c>
      <c r="C327">
        <v>42.080001831054688</v>
      </c>
      <c r="D327">
        <v>32.529998779296875</v>
      </c>
      <c r="E327">
        <v>38.130001068115234</v>
      </c>
      <c r="F327">
        <v>31.267011642456055</v>
      </c>
      <c r="G327">
        <v>703960200</v>
      </c>
      <c r="H327" t="s">
        <v>34</v>
      </c>
    </row>
    <row r="328" spans="1:8">
      <c r="A328" s="5">
        <v>44166</v>
      </c>
      <c r="B328">
        <v>38.959999084472656</v>
      </c>
      <c r="C328">
        <v>44.470001220703125</v>
      </c>
      <c r="D328">
        <v>38.340000152587891</v>
      </c>
      <c r="E328">
        <v>41.220001220703125</v>
      </c>
      <c r="F328">
        <v>34.616344451904297</v>
      </c>
      <c r="G328">
        <v>603794500</v>
      </c>
      <c r="H328" t="s">
        <v>34</v>
      </c>
    </row>
    <row r="329" spans="1:8">
      <c r="A329" s="5">
        <v>44197</v>
      </c>
      <c r="B329">
        <v>41.450000762939453</v>
      </c>
      <c r="C329">
        <v>51.080001831054688</v>
      </c>
      <c r="D329">
        <v>41</v>
      </c>
      <c r="E329">
        <v>44.840000152587891</v>
      </c>
      <c r="F329">
        <v>37.656402587890625</v>
      </c>
      <c r="G329">
        <v>594784100</v>
      </c>
      <c r="H329" t="s">
        <v>34</v>
      </c>
    </row>
    <row r="330" spans="1:8">
      <c r="A330" s="5">
        <v>44228</v>
      </c>
      <c r="B330">
        <v>45.580001831054688</v>
      </c>
      <c r="C330">
        <v>57.25</v>
      </c>
      <c r="D330">
        <v>44.290000915527344</v>
      </c>
      <c r="E330">
        <v>54.369998931884766</v>
      </c>
      <c r="F330">
        <v>45.659641265869141</v>
      </c>
      <c r="G330">
        <v>543959000</v>
      </c>
      <c r="H330" t="s">
        <v>34</v>
      </c>
    </row>
    <row r="331" spans="1:8">
      <c r="A331" s="5">
        <v>44256</v>
      </c>
      <c r="B331">
        <v>56.470001220703125</v>
      </c>
      <c r="C331">
        <v>62.549999237060547</v>
      </c>
      <c r="D331">
        <v>54.450000762939453</v>
      </c>
      <c r="E331">
        <v>55.830001831054688</v>
      </c>
      <c r="F331">
        <v>47.681964874267578</v>
      </c>
      <c r="G331">
        <v>790785000</v>
      </c>
      <c r="H331" t="s">
        <v>34</v>
      </c>
    </row>
    <row r="332" spans="1:8">
      <c r="A332" s="5">
        <v>44287</v>
      </c>
      <c r="B332">
        <v>56.319999694824219</v>
      </c>
      <c r="C332">
        <v>59.479999542236328</v>
      </c>
      <c r="D332">
        <v>54.299999237060547</v>
      </c>
      <c r="E332">
        <v>57.240001678466797</v>
      </c>
      <c r="F332">
        <v>48.886188507080078</v>
      </c>
      <c r="G332">
        <v>457851400</v>
      </c>
      <c r="H332" t="s">
        <v>34</v>
      </c>
    </row>
    <row r="333" spans="1:8">
      <c r="A333" s="5">
        <v>44317</v>
      </c>
      <c r="B333">
        <v>57.979999542236328</v>
      </c>
      <c r="C333">
        <v>64.019996643066406</v>
      </c>
      <c r="D333">
        <v>57.740001678466797</v>
      </c>
      <c r="E333">
        <v>58.369998931884766</v>
      </c>
      <c r="F333">
        <v>49.851272583007813</v>
      </c>
      <c r="G333">
        <v>521302100</v>
      </c>
      <c r="H333" t="s">
        <v>34</v>
      </c>
    </row>
    <row r="334" spans="1:8">
      <c r="A334" s="5">
        <v>44348</v>
      </c>
      <c r="B334">
        <v>59.450000762939453</v>
      </c>
      <c r="C334">
        <v>64.930000305175781</v>
      </c>
      <c r="D334">
        <v>59.450000762939453</v>
      </c>
      <c r="E334">
        <v>63.080001831054688</v>
      </c>
      <c r="F334">
        <v>54.658714294433594</v>
      </c>
      <c r="G334">
        <v>526456700</v>
      </c>
      <c r="H334" t="s">
        <v>34</v>
      </c>
    </row>
    <row r="335" spans="1:8">
      <c r="A335" s="5">
        <v>44378</v>
      </c>
      <c r="B335">
        <v>64.330001831054688</v>
      </c>
      <c r="C335">
        <v>64.419998168945313</v>
      </c>
      <c r="D335">
        <v>54.599998474121094</v>
      </c>
      <c r="E335">
        <v>57.569999694824219</v>
      </c>
      <c r="F335">
        <v>49.884311676025391</v>
      </c>
      <c r="G335">
        <v>435901400</v>
      </c>
      <c r="H335" t="s">
        <v>34</v>
      </c>
    </row>
    <row r="336" spans="1:8">
      <c r="A336" s="5">
        <v>44409</v>
      </c>
      <c r="B336">
        <v>57.549999237060547</v>
      </c>
      <c r="C336">
        <v>59.060001373291016</v>
      </c>
      <c r="D336">
        <v>52.099998474121094</v>
      </c>
      <c r="E336">
        <v>54.520000457763672</v>
      </c>
      <c r="F336">
        <v>47.241481781005859</v>
      </c>
      <c r="G336">
        <v>406363800</v>
      </c>
      <c r="H336" t="s">
        <v>34</v>
      </c>
    </row>
    <row r="337" spans="1:8">
      <c r="A337" s="5">
        <v>44440</v>
      </c>
      <c r="B337">
        <v>54.490001678466797</v>
      </c>
      <c r="C337">
        <v>60.479999542236328</v>
      </c>
      <c r="D337">
        <v>52.959999084472656</v>
      </c>
      <c r="E337">
        <v>58.819999694824219</v>
      </c>
      <c r="F337">
        <v>51.738857269287109</v>
      </c>
      <c r="G337">
        <v>482908500</v>
      </c>
      <c r="H337" t="s">
        <v>34</v>
      </c>
    </row>
    <row r="338" spans="1:8">
      <c r="A338" s="5">
        <v>44470</v>
      </c>
      <c r="B338">
        <v>59.409999847412109</v>
      </c>
      <c r="C338">
        <v>65.94000244140625</v>
      </c>
      <c r="D338">
        <v>59.409999847412109</v>
      </c>
      <c r="E338">
        <v>64.470001220703125</v>
      </c>
      <c r="F338">
        <v>56.708675384521484</v>
      </c>
      <c r="G338">
        <v>435214600</v>
      </c>
      <c r="H338" t="s">
        <v>34</v>
      </c>
    </row>
    <row r="339" spans="1:8">
      <c r="A339" s="5">
        <v>44501</v>
      </c>
      <c r="B339">
        <v>65.069999694824219</v>
      </c>
      <c r="C339">
        <v>66.379997253417969</v>
      </c>
      <c r="D339">
        <v>59.540000915527344</v>
      </c>
      <c r="E339">
        <v>59.840000152587891</v>
      </c>
      <c r="F339">
        <v>52.636062622070313</v>
      </c>
      <c r="G339">
        <v>416061500</v>
      </c>
      <c r="H339" t="s">
        <v>34</v>
      </c>
    </row>
    <row r="340" spans="1:8">
      <c r="A340" s="5">
        <v>44531</v>
      </c>
      <c r="B340">
        <v>60.900001525878906</v>
      </c>
      <c r="C340">
        <v>63.349998474121094</v>
      </c>
      <c r="D340">
        <v>57.959999084472656</v>
      </c>
      <c r="E340">
        <v>61.189998626708984</v>
      </c>
      <c r="F340">
        <v>54.546890258789063</v>
      </c>
      <c r="G340">
        <v>433112300</v>
      </c>
      <c r="H340" t="s">
        <v>34</v>
      </c>
    </row>
    <row r="341" spans="1:8">
      <c r="A341" s="5">
        <v>44562</v>
      </c>
      <c r="B341">
        <v>61.240001678466797</v>
      </c>
      <c r="C341">
        <v>76.419998168945313</v>
      </c>
      <c r="D341">
        <v>61.209999084472656</v>
      </c>
      <c r="E341">
        <v>75.959999084472656</v>
      </c>
      <c r="F341">
        <v>67.71337890625</v>
      </c>
      <c r="G341">
        <v>608287500</v>
      </c>
      <c r="H341" t="s">
        <v>34</v>
      </c>
    </row>
    <row r="342" spans="1:8">
      <c r="A342" s="5">
        <v>44593</v>
      </c>
      <c r="B342">
        <v>76.449996948242188</v>
      </c>
      <c r="C342">
        <v>83.080001831054688</v>
      </c>
      <c r="D342">
        <v>74.029998779296875</v>
      </c>
      <c r="E342">
        <v>78.419998168945313</v>
      </c>
      <c r="F342">
        <v>69.90631103515625</v>
      </c>
      <c r="G342">
        <v>628643600</v>
      </c>
      <c r="H342" t="s">
        <v>34</v>
      </c>
    </row>
    <row r="343" spans="1:8">
      <c r="A343" s="5">
        <v>44621</v>
      </c>
      <c r="B343">
        <v>78.769996643066406</v>
      </c>
      <c r="C343">
        <v>91.510002136230469</v>
      </c>
      <c r="D343">
        <v>76.25</v>
      </c>
      <c r="E343">
        <v>82.589996337890625</v>
      </c>
      <c r="F343">
        <v>74.439765930175781</v>
      </c>
      <c r="G343">
        <v>853500100</v>
      </c>
      <c r="H343" t="s">
        <v>34</v>
      </c>
    </row>
    <row r="344" spans="1:8">
      <c r="A344" s="5">
        <v>44652</v>
      </c>
      <c r="B344">
        <v>81.989997863769531</v>
      </c>
      <c r="C344">
        <v>89.800003051757813</v>
      </c>
      <c r="D344">
        <v>79.290000915527344</v>
      </c>
      <c r="E344">
        <v>85.25</v>
      </c>
      <c r="F344">
        <v>76.837295532226563</v>
      </c>
      <c r="G344">
        <v>505627700</v>
      </c>
      <c r="H344" t="s">
        <v>34</v>
      </c>
    </row>
    <row r="345" spans="1:8">
      <c r="A345" s="5">
        <v>44682</v>
      </c>
      <c r="B345">
        <v>85.010002136230469</v>
      </c>
      <c r="C345">
        <v>99.779998779296875</v>
      </c>
      <c r="D345">
        <v>83.400001525878906</v>
      </c>
      <c r="E345">
        <v>96</v>
      </c>
      <c r="F345">
        <v>86.526443481445313</v>
      </c>
      <c r="G345">
        <v>659837300</v>
      </c>
      <c r="H345" t="s">
        <v>34</v>
      </c>
    </row>
    <row r="346" spans="1:8">
      <c r="A346" s="5">
        <v>44713</v>
      </c>
      <c r="B346">
        <v>97.019996643066406</v>
      </c>
      <c r="C346">
        <v>105.56999969482422</v>
      </c>
      <c r="D346">
        <v>83.519996643066406</v>
      </c>
      <c r="E346">
        <v>85.639999389648438</v>
      </c>
      <c r="F346">
        <v>77.979461669921875</v>
      </c>
      <c r="G346">
        <v>660217900</v>
      </c>
      <c r="H346" t="s">
        <v>34</v>
      </c>
    </row>
    <row r="347" spans="1:8">
      <c r="A347" s="5">
        <v>44743</v>
      </c>
      <c r="B347">
        <v>86.739997863769531</v>
      </c>
      <c r="C347">
        <v>97.519996643066406</v>
      </c>
      <c r="D347">
        <v>80.69000244140625</v>
      </c>
      <c r="E347">
        <v>96.930000305175781</v>
      </c>
      <c r="F347">
        <v>88.259567260742188</v>
      </c>
      <c r="G347">
        <v>427905800</v>
      </c>
      <c r="H347" t="s">
        <v>34</v>
      </c>
    </row>
    <row r="348" spans="1:8">
      <c r="A348" s="5">
        <v>44774</v>
      </c>
      <c r="B348">
        <v>94.790000915527344</v>
      </c>
      <c r="C348">
        <v>101.55999755859375</v>
      </c>
      <c r="D348">
        <v>86.279998779296875</v>
      </c>
      <c r="E348">
        <v>95.589996337890625</v>
      </c>
      <c r="F348">
        <v>87.039421081542969</v>
      </c>
      <c r="G348">
        <v>424555300</v>
      </c>
      <c r="H348" t="s">
        <v>34</v>
      </c>
    </row>
    <row r="349" spans="1:8">
      <c r="A349" s="5">
        <v>44805</v>
      </c>
      <c r="B349">
        <v>94.419998168945313</v>
      </c>
      <c r="C349">
        <v>99.19000244140625</v>
      </c>
      <c r="D349">
        <v>83.889999389648438</v>
      </c>
      <c r="E349">
        <v>87.30999755859375</v>
      </c>
      <c r="F349">
        <v>80.27252197265625</v>
      </c>
      <c r="G349">
        <v>411406700</v>
      </c>
      <c r="H349" t="s">
        <v>34</v>
      </c>
    </row>
    <row r="350" spans="1:8">
      <c r="A350" s="5">
        <v>44835</v>
      </c>
      <c r="B350">
        <v>90.040000915527344</v>
      </c>
      <c r="C350">
        <v>112.91000366210938</v>
      </c>
      <c r="D350">
        <v>89.720001220703125</v>
      </c>
      <c r="E350">
        <v>110.80999755859375</v>
      </c>
      <c r="F350">
        <v>101.87834167480469</v>
      </c>
      <c r="G350">
        <v>431618500</v>
      </c>
      <c r="H350" t="s">
        <v>34</v>
      </c>
    </row>
    <row r="351" spans="1:8">
      <c r="A351" s="5">
        <v>44866</v>
      </c>
      <c r="B351">
        <v>112.37000274658203</v>
      </c>
      <c r="C351">
        <v>114.66000366210938</v>
      </c>
      <c r="D351">
        <v>107.48000335693359</v>
      </c>
      <c r="E351">
        <v>111.33999633789063</v>
      </c>
      <c r="F351">
        <v>102.36561584472656</v>
      </c>
      <c r="G351">
        <v>368035500</v>
      </c>
      <c r="H351" t="s">
        <v>34</v>
      </c>
    </row>
    <row r="352" spans="1:8">
      <c r="A352" s="5">
        <v>44896</v>
      </c>
      <c r="B352">
        <v>111.63999938964844</v>
      </c>
      <c r="C352">
        <v>112.06999969482422</v>
      </c>
      <c r="D352">
        <v>102.37000274658203</v>
      </c>
      <c r="E352">
        <v>110.30000305175781</v>
      </c>
      <c r="F352">
        <v>102.22580718994141</v>
      </c>
      <c r="G352">
        <v>376504300</v>
      </c>
      <c r="H352" t="s">
        <v>34</v>
      </c>
    </row>
    <row r="353" spans="1:8">
      <c r="A353" s="5">
        <v>44927</v>
      </c>
      <c r="B353">
        <v>109.77999877929688</v>
      </c>
      <c r="C353">
        <v>117.77999877929688</v>
      </c>
      <c r="D353">
        <v>104.76000213623047</v>
      </c>
      <c r="E353">
        <v>116.01000213623047</v>
      </c>
      <c r="F353">
        <v>107.51783752441406</v>
      </c>
      <c r="G353">
        <v>329848000</v>
      </c>
      <c r="H353" t="s">
        <v>34</v>
      </c>
    </row>
    <row r="354" spans="1:8">
      <c r="A354" s="5">
        <v>44958</v>
      </c>
      <c r="B354">
        <v>115.83000183105469</v>
      </c>
      <c r="C354">
        <v>119.62999725341797</v>
      </c>
      <c r="D354">
        <v>108.63999938964844</v>
      </c>
      <c r="E354">
        <v>109.91000366210938</v>
      </c>
      <c r="F354">
        <v>101.86437225341797</v>
      </c>
      <c r="G354">
        <v>311238300</v>
      </c>
      <c r="H354" t="s">
        <v>34</v>
      </c>
    </row>
    <row r="355" spans="1:8">
      <c r="A355" s="5">
        <v>44986</v>
      </c>
      <c r="B355">
        <v>109.30999755859375</v>
      </c>
      <c r="C355">
        <v>113.83999633789063</v>
      </c>
      <c r="D355">
        <v>98.019996643066406</v>
      </c>
      <c r="E355">
        <v>109.66000366210938</v>
      </c>
      <c r="F355">
        <v>102.41472625732422</v>
      </c>
      <c r="G355">
        <v>412537000</v>
      </c>
      <c r="H355" t="s">
        <v>34</v>
      </c>
    </row>
    <row r="356" spans="1:8">
      <c r="A356" s="5">
        <v>45017</v>
      </c>
      <c r="B356">
        <v>113.38999938964844</v>
      </c>
      <c r="C356">
        <v>119.91999816894531</v>
      </c>
      <c r="D356">
        <v>113.12000274658203</v>
      </c>
      <c r="E356">
        <v>118.33999633789063</v>
      </c>
      <c r="F356">
        <v>110.52123260498047</v>
      </c>
      <c r="G356">
        <v>293288800</v>
      </c>
      <c r="H356" t="s">
        <v>34</v>
      </c>
    </row>
    <row r="357" spans="1:8">
      <c r="A357" s="5">
        <v>45047</v>
      </c>
      <c r="B357">
        <v>115.98999786376953</v>
      </c>
      <c r="C357">
        <v>117.30000305175781</v>
      </c>
      <c r="D357">
        <v>101.73999786376953</v>
      </c>
      <c r="E357">
        <v>102.18000030517578</v>
      </c>
      <c r="F357">
        <v>95.428932189941406</v>
      </c>
      <c r="G357">
        <v>332357300</v>
      </c>
      <c r="H357" t="s">
        <v>34</v>
      </c>
    </row>
    <row r="358" spans="1:8">
      <c r="A358" s="5">
        <v>45078</v>
      </c>
      <c r="B358">
        <v>101.75</v>
      </c>
      <c r="C358">
        <v>109.13999938964844</v>
      </c>
      <c r="D358">
        <v>101.26000213623047</v>
      </c>
      <c r="E358">
        <v>107.25</v>
      </c>
      <c r="F358">
        <v>101.03310394287109</v>
      </c>
      <c r="G358">
        <v>322608200</v>
      </c>
      <c r="H358" t="s">
        <v>34</v>
      </c>
    </row>
    <row r="359" spans="1:8">
      <c r="A359" s="5">
        <v>45108</v>
      </c>
      <c r="B359">
        <v>107.48999786376953</v>
      </c>
      <c r="C359">
        <v>108.45999908447266</v>
      </c>
      <c r="D359">
        <v>100.22000122070313</v>
      </c>
      <c r="E359">
        <v>107.23999786376953</v>
      </c>
      <c r="F359">
        <v>101.02369689941406</v>
      </c>
      <c r="G359">
        <v>350338600</v>
      </c>
      <c r="H359" t="s">
        <v>34</v>
      </c>
    </row>
    <row r="360" spans="1:8">
      <c r="A360" s="5">
        <v>45139</v>
      </c>
      <c r="B360">
        <v>106.94999694824219</v>
      </c>
      <c r="C360">
        <v>112.06999969482422</v>
      </c>
      <c r="D360">
        <v>104.56999969482422</v>
      </c>
      <c r="E360">
        <v>111.19000244140625</v>
      </c>
      <c r="F360">
        <v>104.74472045898438</v>
      </c>
      <c r="G360">
        <v>315896100</v>
      </c>
      <c r="H360" t="s">
        <v>34</v>
      </c>
    </row>
    <row r="361" spans="1:8">
      <c r="A361" s="5">
        <v>45170</v>
      </c>
      <c r="B361">
        <v>112.19999694824219</v>
      </c>
      <c r="C361">
        <v>120.69999694824219</v>
      </c>
      <c r="D361">
        <v>112.19999694824219</v>
      </c>
      <c r="E361">
        <v>117.58000183105469</v>
      </c>
      <c r="F361">
        <v>111.67230987548828</v>
      </c>
      <c r="G361">
        <v>320550000</v>
      </c>
      <c r="H361" t="s">
        <v>34</v>
      </c>
    </row>
    <row r="362" spans="1:8">
      <c r="A362" s="5">
        <v>45200</v>
      </c>
      <c r="B362">
        <v>117.52999877929688</v>
      </c>
      <c r="C362">
        <v>117.79000091552734</v>
      </c>
      <c r="D362">
        <v>104.54000091552734</v>
      </c>
      <c r="E362">
        <v>105.84999847412109</v>
      </c>
      <c r="F362">
        <v>100.53166198730469</v>
      </c>
      <c r="G362">
        <v>493930700</v>
      </c>
      <c r="H362" t="s">
        <v>34</v>
      </c>
    </row>
    <row r="363" spans="1:8">
      <c r="A363" s="5">
        <v>45231</v>
      </c>
      <c r="B363">
        <v>106.52999877929688</v>
      </c>
      <c r="C363">
        <v>109.19000244140625</v>
      </c>
      <c r="D363">
        <v>101.15000152587891</v>
      </c>
      <c r="E363">
        <v>102.73999786376953</v>
      </c>
      <c r="F363">
        <v>97.577919006347656</v>
      </c>
      <c r="G363">
        <v>433367400</v>
      </c>
      <c r="H363" t="s">
        <v>34</v>
      </c>
    </row>
    <row r="364" spans="1:8">
      <c r="A364" s="5">
        <v>45261</v>
      </c>
      <c r="B364">
        <v>102.5</v>
      </c>
      <c r="C364">
        <v>104.22000122070313</v>
      </c>
      <c r="D364">
        <v>97.480003356933594</v>
      </c>
      <c r="E364">
        <v>99.980003356933594</v>
      </c>
      <c r="F364">
        <v>95.824920654296875</v>
      </c>
      <c r="G364">
        <v>453909500</v>
      </c>
      <c r="H364" t="s">
        <v>34</v>
      </c>
    </row>
    <row r="365" spans="1:8">
      <c r="A365" s="5"/>
    </row>
    <row r="366" spans="1:8">
      <c r="A366" s="5"/>
    </row>
    <row r="367" spans="1:8">
      <c r="A367" s="5"/>
    </row>
    <row r="368" spans="1:8">
      <c r="A368" s="5"/>
    </row>
    <row r="369" spans="1:1">
      <c r="A369" s="5"/>
    </row>
    <row r="370" spans="1:1">
      <c r="A370" s="5"/>
    </row>
    <row r="371" spans="1:1">
      <c r="A371" s="5"/>
    </row>
    <row r="372" spans="1:1">
      <c r="A372" s="5"/>
    </row>
    <row r="373" spans="1:1">
      <c r="A373" s="5"/>
    </row>
    <row r="374" spans="1:1">
      <c r="A374" s="5"/>
    </row>
    <row r="375" spans="1:1">
      <c r="A375" s="5"/>
    </row>
    <row r="376" spans="1:1">
      <c r="A376" s="5"/>
    </row>
    <row r="377" spans="1:1">
      <c r="A377" s="5"/>
    </row>
    <row r="378" spans="1:1">
      <c r="A378" s="5"/>
    </row>
    <row r="379" spans="1:1">
      <c r="A379" s="5"/>
    </row>
    <row r="380" spans="1:1">
      <c r="A380" s="5"/>
    </row>
    <row r="381" spans="1:1">
      <c r="A381" s="5"/>
    </row>
    <row r="382" spans="1:1">
      <c r="A382" s="5"/>
    </row>
    <row r="383" spans="1:1">
      <c r="A383" s="5"/>
    </row>
    <row r="384" spans="1:1">
      <c r="A384" s="5"/>
    </row>
    <row r="385" spans="1:1">
      <c r="A385" s="5"/>
    </row>
    <row r="386" spans="1:1">
      <c r="A386" s="5"/>
    </row>
    <row r="387" spans="1:1">
      <c r="A387" s="5"/>
    </row>
    <row r="388" spans="1:1">
      <c r="A388" s="5"/>
    </row>
    <row r="389" spans="1:1">
      <c r="A389" s="5"/>
    </row>
    <row r="390" spans="1:1">
      <c r="A390" s="5"/>
    </row>
    <row r="391" spans="1:1">
      <c r="A391" s="5"/>
    </row>
    <row r="392" spans="1:1">
      <c r="A392" s="5"/>
    </row>
    <row r="393" spans="1:1">
      <c r="A393" s="5"/>
    </row>
    <row r="394" spans="1:1">
      <c r="A394" s="5"/>
    </row>
    <row r="395" spans="1:1">
      <c r="A395" s="5"/>
    </row>
    <row r="396" spans="1:1">
      <c r="A396" s="5"/>
    </row>
    <row r="397" spans="1:1">
      <c r="A397" s="5"/>
    </row>
    <row r="398" spans="1:1">
      <c r="A398" s="5"/>
    </row>
    <row r="399" spans="1:1">
      <c r="A399" s="5"/>
    </row>
    <row r="400" spans="1:1">
      <c r="A400" s="5"/>
    </row>
  </sheetData>
  <phoneticPr fontId="3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F80DD1E-E7C8-426C-872F-EBFE570CE574}">
  <sheetPr codeName="Sheet6"/>
  <dimension ref="A1:N31"/>
  <sheetViews>
    <sheetView workbookViewId="0">
      <selection activeCell="M8" sqref="M8"/>
    </sheetView>
  </sheetViews>
  <sheetFormatPr defaultColWidth="9.08984375" defaultRowHeight="14.5"/>
  <cols>
    <col min="1" max="1" width="18.453125" style="11" customWidth="1"/>
    <col min="2" max="12" width="9.08984375" style="11"/>
    <col min="13" max="13" width="18.08984375" style="11" customWidth="1"/>
    <col min="14" max="16384" width="9.08984375" style="11"/>
  </cols>
  <sheetData>
    <row r="1" spans="1:14">
      <c r="A1" s="10" t="s">
        <v>39</v>
      </c>
      <c r="B1" s="10"/>
      <c r="M1" s="10" t="s">
        <v>39</v>
      </c>
      <c r="N1" s="10"/>
    </row>
    <row r="2" spans="1:14">
      <c r="A2" s="10" t="s">
        <v>40</v>
      </c>
      <c r="B2" s="10"/>
      <c r="M2" s="10" t="s">
        <v>40</v>
      </c>
      <c r="N2" s="10"/>
    </row>
    <row r="3" spans="1:14">
      <c r="A3" s="10" t="s">
        <v>41</v>
      </c>
      <c r="B3" s="10"/>
      <c r="M3" s="10" t="s">
        <v>41</v>
      </c>
      <c r="N3" s="10"/>
    </row>
    <row r="4" spans="1:14">
      <c r="A4" s="10" t="s">
        <v>42</v>
      </c>
      <c r="B4" s="10"/>
      <c r="M4" s="10" t="s">
        <v>42</v>
      </c>
      <c r="N4" s="10"/>
    </row>
    <row r="5" spans="1:14">
      <c r="A5" s="10" t="s">
        <v>43</v>
      </c>
      <c r="B5" s="10"/>
      <c r="M5" s="10" t="s">
        <v>43</v>
      </c>
      <c r="N5" s="10"/>
    </row>
    <row r="6" spans="1:14">
      <c r="A6" s="10" t="s">
        <v>44</v>
      </c>
      <c r="B6" s="10"/>
      <c r="M6" s="10" t="s">
        <v>44</v>
      </c>
      <c r="N6" s="10"/>
    </row>
    <row r="7" spans="1:14">
      <c r="A7" s="10"/>
      <c r="B7" s="10"/>
      <c r="M7" s="10"/>
      <c r="N7" s="10"/>
    </row>
    <row r="8" spans="1:14">
      <c r="A8" s="10" t="s">
        <v>45</v>
      </c>
      <c r="B8" s="10" t="s">
        <v>48</v>
      </c>
      <c r="M8" s="10" t="s">
        <v>47</v>
      </c>
      <c r="N8" s="10" t="s">
        <v>49</v>
      </c>
    </row>
    <row r="10" spans="1:14">
      <c r="A10" s="20" t="s">
        <v>46</v>
      </c>
      <c r="B10" s="20" t="s">
        <v>45</v>
      </c>
      <c r="M10" s="20" t="s">
        <v>46</v>
      </c>
      <c r="N10" s="20" t="s">
        <v>47</v>
      </c>
    </row>
    <row r="11" spans="1:14">
      <c r="A11" s="21">
        <v>45261</v>
      </c>
      <c r="B11" s="22">
        <v>5.29</v>
      </c>
      <c r="M11" s="21">
        <v>45231</v>
      </c>
      <c r="N11" s="22">
        <v>5.29</v>
      </c>
    </row>
    <row r="12" spans="1:14">
      <c r="A12" s="21">
        <v>45264</v>
      </c>
      <c r="B12" s="22">
        <v>5.29</v>
      </c>
      <c r="M12" s="23">
        <v>45261</v>
      </c>
      <c r="N12" s="24">
        <v>5.27</v>
      </c>
    </row>
    <row r="13" spans="1:14">
      <c r="A13" s="21">
        <v>45265</v>
      </c>
      <c r="B13" s="22">
        <v>5.28</v>
      </c>
    </row>
    <row r="14" spans="1:14">
      <c r="A14" s="21">
        <v>45266</v>
      </c>
      <c r="B14" s="22">
        <v>5.27</v>
      </c>
    </row>
    <row r="15" spans="1:14">
      <c r="A15" s="21">
        <v>45267</v>
      </c>
      <c r="B15" s="22">
        <v>5.26</v>
      </c>
    </row>
    <row r="16" spans="1:14">
      <c r="A16" s="21">
        <v>45268</v>
      </c>
      <c r="B16" s="22">
        <v>5.28</v>
      </c>
    </row>
    <row r="17" spans="1:2">
      <c r="A17" s="21">
        <v>45271</v>
      </c>
      <c r="B17" s="22">
        <v>5.28</v>
      </c>
    </row>
    <row r="18" spans="1:2">
      <c r="A18" s="21">
        <v>45272</v>
      </c>
      <c r="B18" s="22">
        <v>5.27</v>
      </c>
    </row>
    <row r="19" spans="1:2">
      <c r="A19" s="21">
        <v>45273</v>
      </c>
      <c r="B19" s="22">
        <v>5.26</v>
      </c>
    </row>
    <row r="20" spans="1:2">
      <c r="A20" s="21">
        <v>45274</v>
      </c>
      <c r="B20" s="22">
        <v>5.28</v>
      </c>
    </row>
    <row r="21" spans="1:2">
      <c r="A21" s="21">
        <v>45275</v>
      </c>
      <c r="B21" s="22">
        <v>5.27</v>
      </c>
    </row>
    <row r="22" spans="1:2">
      <c r="A22" s="21">
        <v>45278</v>
      </c>
      <c r="B22" s="22">
        <v>5.25</v>
      </c>
    </row>
    <row r="23" spans="1:2">
      <c r="A23" s="21">
        <v>45279</v>
      </c>
      <c r="B23" s="22">
        <v>5.24</v>
      </c>
    </row>
    <row r="24" spans="1:2">
      <c r="A24" s="21">
        <v>45280</v>
      </c>
      <c r="B24" s="22">
        <v>5.24</v>
      </c>
    </row>
    <row r="25" spans="1:2">
      <c r="A25" s="21">
        <v>45281</v>
      </c>
      <c r="B25" s="22">
        <v>5.27</v>
      </c>
    </row>
    <row r="26" spans="1:2">
      <c r="A26" s="21">
        <v>45282</v>
      </c>
      <c r="B26" s="22">
        <v>5.27</v>
      </c>
    </row>
    <row r="27" spans="1:2">
      <c r="A27" s="21">
        <v>45285</v>
      </c>
      <c r="B27" s="22"/>
    </row>
    <row r="28" spans="1:2">
      <c r="A28" s="21">
        <v>45286</v>
      </c>
      <c r="B28" s="22">
        <v>5.27</v>
      </c>
    </row>
    <row r="29" spans="1:2">
      <c r="A29" s="21">
        <v>45287</v>
      </c>
      <c r="B29" s="22">
        <v>5.28</v>
      </c>
    </row>
    <row r="30" spans="1:2">
      <c r="A30" s="21">
        <v>45288</v>
      </c>
      <c r="B30" s="22">
        <v>5.31</v>
      </c>
    </row>
    <row r="31" spans="1:2">
      <c r="A31" s="23">
        <v>45289</v>
      </c>
      <c r="B31" s="24">
        <v>5.33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A3A6F69-0396-4F6B-9B17-55B16BFBDCC9}">
  <sheetPr codeName="Sheet4"/>
  <dimension ref="A1:K20003"/>
  <sheetViews>
    <sheetView workbookViewId="0">
      <selection activeCell="B5" sqref="B5"/>
    </sheetView>
  </sheetViews>
  <sheetFormatPr defaultRowHeight="14.5"/>
  <cols>
    <col min="1" max="1" width="13.6328125" customWidth="1"/>
    <col min="7" max="7" width="12" customWidth="1"/>
    <col min="9" max="9" width="10.54296875" bestFit="1" customWidth="1"/>
    <col min="11" max="11" width="10.54296875" bestFit="1" customWidth="1"/>
  </cols>
  <sheetData>
    <row r="1" spans="1:11" ht="18.5">
      <c r="A1" s="1" t="s">
        <v>60</v>
      </c>
    </row>
    <row r="3" spans="1:11">
      <c r="A3" s="2" t="s">
        <v>27</v>
      </c>
      <c r="B3" s="2" t="s">
        <v>7</v>
      </c>
      <c r="C3" s="2" t="s">
        <v>9</v>
      </c>
      <c r="D3" s="2" t="s">
        <v>34</v>
      </c>
      <c r="E3" s="2"/>
      <c r="F3" s="15" t="s">
        <v>30</v>
      </c>
      <c r="G3" s="10"/>
      <c r="H3" s="10"/>
    </row>
    <row r="4" spans="1:11">
      <c r="A4">
        <v>1</v>
      </c>
      <c r="B4" s="12">
        <v>158.8133054847921</v>
      </c>
      <c r="C4" s="12">
        <v>147.98769407970056</v>
      </c>
      <c r="D4" s="12">
        <v>76.55021412206888</v>
      </c>
      <c r="F4" s="55" t="s">
        <v>7</v>
      </c>
      <c r="G4" s="56"/>
      <c r="H4" s="55" t="s">
        <v>9</v>
      </c>
      <c r="I4" s="56"/>
      <c r="J4" s="55" t="s">
        <v>34</v>
      </c>
      <c r="K4" s="56"/>
    </row>
    <row r="5" spans="1:11">
      <c r="A5">
        <v>2</v>
      </c>
      <c r="B5" s="12">
        <v>167.40632560693552</v>
      </c>
      <c r="C5" s="12">
        <v>147.33615717664267</v>
      </c>
      <c r="D5" s="12">
        <v>79.139633476029275</v>
      </c>
      <c r="F5" s="16" t="s">
        <v>28</v>
      </c>
      <c r="G5" s="17" t="s">
        <v>29</v>
      </c>
      <c r="H5" s="16" t="s">
        <v>28</v>
      </c>
      <c r="I5" s="17" t="s">
        <v>29</v>
      </c>
      <c r="J5" s="16" t="s">
        <v>28</v>
      </c>
      <c r="K5" s="17" t="s">
        <v>29</v>
      </c>
    </row>
    <row r="6" spans="1:11">
      <c r="A6">
        <v>3</v>
      </c>
      <c r="B6" s="12">
        <v>158.44549295793041</v>
      </c>
      <c r="C6" s="12">
        <v>165.47329589676059</v>
      </c>
      <c r="D6" s="12">
        <v>88.643558370462202</v>
      </c>
      <c r="F6" s="13">
        <v>60</v>
      </c>
      <c r="G6" s="18" cm="1">
        <f t="array" ref="G6:G31">FREQUENCY(B4:B5003,F6:F30)</f>
        <v>0</v>
      </c>
      <c r="H6" s="13">
        <v>70</v>
      </c>
      <c r="I6" s="18" cm="1">
        <f t="array" ref="I6:I31">FREQUENCY(C4:C5003,H6:H30)</f>
        <v>0</v>
      </c>
      <c r="J6" s="13">
        <v>30</v>
      </c>
      <c r="K6" s="18" cm="1">
        <f t="array" ref="K6:K31">FREQUENCY(D4:D5003,J6:J30)</f>
        <v>0</v>
      </c>
    </row>
    <row r="7" spans="1:11">
      <c r="A7">
        <v>4</v>
      </c>
      <c r="B7" s="12">
        <v>145.84929958314063</v>
      </c>
      <c r="C7" s="12">
        <v>123.95447051325353</v>
      </c>
      <c r="D7" s="12">
        <v>127.06959799205615</v>
      </c>
      <c r="F7" s="13">
        <v>75</v>
      </c>
      <c r="G7" s="18">
        <v>0</v>
      </c>
      <c r="H7" s="13">
        <v>80</v>
      </c>
      <c r="I7" s="18">
        <v>0</v>
      </c>
      <c r="J7" s="13">
        <v>40</v>
      </c>
      <c r="K7" s="18">
        <v>0</v>
      </c>
    </row>
    <row r="8" spans="1:11">
      <c r="A8">
        <v>5</v>
      </c>
      <c r="B8" s="12">
        <v>147.2069954572149</v>
      </c>
      <c r="C8" s="12">
        <v>173.87851239763305</v>
      </c>
      <c r="D8" s="12">
        <v>52.32823377368134</v>
      </c>
      <c r="F8" s="13">
        <v>90</v>
      </c>
      <c r="G8" s="18">
        <v>32</v>
      </c>
      <c r="H8" s="13">
        <v>90</v>
      </c>
      <c r="I8" s="18">
        <v>0</v>
      </c>
      <c r="J8" s="13">
        <v>50</v>
      </c>
      <c r="K8" s="18">
        <v>31</v>
      </c>
    </row>
    <row r="9" spans="1:11">
      <c r="A9">
        <v>6</v>
      </c>
      <c r="B9" s="12">
        <v>142.21327660492017</v>
      </c>
      <c r="C9" s="12">
        <v>194.82391940590108</v>
      </c>
      <c r="D9" s="12">
        <v>84.129677802090995</v>
      </c>
      <c r="F9" s="13">
        <v>105</v>
      </c>
      <c r="G9" s="18">
        <v>118</v>
      </c>
      <c r="H9" s="13">
        <v>100</v>
      </c>
      <c r="I9" s="18">
        <v>14</v>
      </c>
      <c r="J9" s="13">
        <v>60</v>
      </c>
      <c r="K9" s="18">
        <v>126</v>
      </c>
    </row>
    <row r="10" spans="1:11">
      <c r="A10">
        <v>7</v>
      </c>
      <c r="B10" s="12">
        <v>277.56934862843275</v>
      </c>
      <c r="C10" s="12">
        <v>123.02787507856505</v>
      </c>
      <c r="D10" s="12">
        <v>104.62637343019185</v>
      </c>
      <c r="F10" s="13">
        <v>120</v>
      </c>
      <c r="G10" s="18">
        <v>355</v>
      </c>
      <c r="H10" s="13">
        <v>110</v>
      </c>
      <c r="I10" s="18">
        <v>63</v>
      </c>
      <c r="J10" s="13">
        <v>70</v>
      </c>
      <c r="K10" s="18">
        <v>354</v>
      </c>
    </row>
    <row r="11" spans="1:11">
      <c r="A11">
        <v>8</v>
      </c>
      <c r="B11" s="12">
        <v>147.4447147086631</v>
      </c>
      <c r="C11" s="12">
        <v>142.22118709172025</v>
      </c>
      <c r="D11" s="12">
        <v>77.437047436057995</v>
      </c>
      <c r="F11" s="13">
        <v>135</v>
      </c>
      <c r="G11" s="18">
        <v>643</v>
      </c>
      <c r="H11" s="13">
        <v>120</v>
      </c>
      <c r="I11" s="18">
        <v>197</v>
      </c>
      <c r="J11" s="13">
        <v>80</v>
      </c>
      <c r="K11" s="18">
        <v>630</v>
      </c>
    </row>
    <row r="12" spans="1:11">
      <c r="A12">
        <v>9</v>
      </c>
      <c r="B12" s="12">
        <v>164.35567659603055</v>
      </c>
      <c r="C12" s="12">
        <v>153.14899002508093</v>
      </c>
      <c r="D12" s="12">
        <v>142.44130866107372</v>
      </c>
      <c r="F12" s="13">
        <v>150</v>
      </c>
      <c r="G12" s="18">
        <v>861</v>
      </c>
      <c r="H12" s="13">
        <v>130</v>
      </c>
      <c r="I12" s="18">
        <v>433</v>
      </c>
      <c r="J12" s="13">
        <v>90</v>
      </c>
      <c r="K12" s="18">
        <v>778</v>
      </c>
    </row>
    <row r="13" spans="1:11">
      <c r="A13">
        <v>10</v>
      </c>
      <c r="B13" s="12">
        <v>146.22343334592028</v>
      </c>
      <c r="C13" s="12">
        <v>176.88024479781504</v>
      </c>
      <c r="D13" s="12">
        <v>144.00672818915712</v>
      </c>
      <c r="F13" s="13">
        <v>165</v>
      </c>
      <c r="G13" s="18">
        <v>850</v>
      </c>
      <c r="H13" s="13">
        <v>140</v>
      </c>
      <c r="I13" s="18">
        <v>690</v>
      </c>
      <c r="J13" s="13">
        <v>100</v>
      </c>
      <c r="K13" s="18">
        <v>791</v>
      </c>
    </row>
    <row r="14" spans="1:11">
      <c r="A14">
        <v>11</v>
      </c>
      <c r="B14" s="12">
        <v>202.70025403001051</v>
      </c>
      <c r="C14" s="12">
        <v>121.81210916905265</v>
      </c>
      <c r="D14" s="12">
        <v>73.069647106465126</v>
      </c>
      <c r="F14" s="13">
        <v>180</v>
      </c>
      <c r="G14" s="18">
        <v>617</v>
      </c>
      <c r="H14" s="13">
        <v>150</v>
      </c>
      <c r="I14" s="18">
        <v>874</v>
      </c>
      <c r="J14" s="13">
        <v>110</v>
      </c>
      <c r="K14" s="18">
        <v>621</v>
      </c>
    </row>
    <row r="15" spans="1:11">
      <c r="A15">
        <v>12</v>
      </c>
      <c r="B15" s="12">
        <v>153.62029737307358</v>
      </c>
      <c r="C15" s="12">
        <v>179.07519568389981</v>
      </c>
      <c r="D15" s="12">
        <v>131.87689087625333</v>
      </c>
      <c r="F15" s="13">
        <v>195</v>
      </c>
      <c r="G15" s="18">
        <v>466</v>
      </c>
      <c r="H15" s="13">
        <v>160</v>
      </c>
      <c r="I15" s="18">
        <v>799</v>
      </c>
      <c r="J15" s="13">
        <v>120</v>
      </c>
      <c r="K15" s="18">
        <v>428</v>
      </c>
    </row>
    <row r="16" spans="1:11">
      <c r="A16">
        <v>13</v>
      </c>
      <c r="B16" s="12">
        <v>105.45862206269419</v>
      </c>
      <c r="C16" s="12">
        <v>137.37003816623155</v>
      </c>
      <c r="D16" s="12">
        <v>72.674546534332293</v>
      </c>
      <c r="F16" s="13">
        <v>210</v>
      </c>
      <c r="G16" s="18">
        <v>353</v>
      </c>
      <c r="H16" s="13">
        <v>170</v>
      </c>
      <c r="I16" s="18">
        <v>574</v>
      </c>
      <c r="J16" s="13">
        <v>130</v>
      </c>
      <c r="K16" s="18">
        <v>359</v>
      </c>
    </row>
    <row r="17" spans="1:11">
      <c r="A17">
        <v>14</v>
      </c>
      <c r="B17" s="12">
        <v>180.83458032064789</v>
      </c>
      <c r="C17" s="12">
        <v>219.87126682415195</v>
      </c>
      <c r="D17" s="12">
        <v>89.880799665343403</v>
      </c>
      <c r="F17" s="13">
        <v>225</v>
      </c>
      <c r="G17" s="18">
        <v>290</v>
      </c>
      <c r="H17" s="13">
        <v>180</v>
      </c>
      <c r="I17" s="18">
        <v>461</v>
      </c>
      <c r="J17" s="13">
        <v>140</v>
      </c>
      <c r="K17" s="18">
        <v>294</v>
      </c>
    </row>
    <row r="18" spans="1:11">
      <c r="A18">
        <v>15</v>
      </c>
      <c r="B18" s="12">
        <v>186.87855702400904</v>
      </c>
      <c r="C18" s="12">
        <v>127.36056665639241</v>
      </c>
      <c r="D18" s="12">
        <v>200.31792929271231</v>
      </c>
      <c r="F18" s="13">
        <v>240</v>
      </c>
      <c r="G18" s="18">
        <v>176</v>
      </c>
      <c r="H18" s="13">
        <v>190</v>
      </c>
      <c r="I18" s="18">
        <v>368</v>
      </c>
      <c r="J18" s="13">
        <v>150</v>
      </c>
      <c r="K18" s="18">
        <v>219</v>
      </c>
    </row>
    <row r="19" spans="1:11">
      <c r="A19">
        <v>16</v>
      </c>
      <c r="B19" s="12">
        <v>194.99765611802098</v>
      </c>
      <c r="C19" s="12">
        <v>149.12673098957538</v>
      </c>
      <c r="D19" s="12">
        <v>105.10487249669977</v>
      </c>
      <c r="F19" s="13">
        <v>255</v>
      </c>
      <c r="G19" s="18">
        <v>114</v>
      </c>
      <c r="H19" s="13">
        <v>200</v>
      </c>
      <c r="I19" s="18">
        <v>235</v>
      </c>
      <c r="J19" s="13">
        <v>160</v>
      </c>
      <c r="K19" s="18">
        <v>150</v>
      </c>
    </row>
    <row r="20" spans="1:11">
      <c r="A20">
        <v>17</v>
      </c>
      <c r="B20" s="12">
        <v>170.14753082945361</v>
      </c>
      <c r="C20" s="12">
        <v>158.39431643909356</v>
      </c>
      <c r="D20" s="12">
        <v>110.80028457523677</v>
      </c>
      <c r="F20" s="13">
        <v>270</v>
      </c>
      <c r="G20" s="6">
        <v>60</v>
      </c>
      <c r="H20" s="13">
        <v>210</v>
      </c>
      <c r="I20" s="6">
        <v>150</v>
      </c>
      <c r="J20" s="13">
        <v>170</v>
      </c>
      <c r="K20" s="6">
        <v>83</v>
      </c>
    </row>
    <row r="21" spans="1:11">
      <c r="A21">
        <v>18</v>
      </c>
      <c r="B21" s="12">
        <v>149.39388641292399</v>
      </c>
      <c r="C21" s="12">
        <v>137.85058751331692</v>
      </c>
      <c r="D21" s="12">
        <v>91.015321405649516</v>
      </c>
      <c r="F21" s="13">
        <v>285</v>
      </c>
      <c r="G21" s="6">
        <v>25</v>
      </c>
      <c r="H21" s="13">
        <v>220</v>
      </c>
      <c r="I21" s="6">
        <v>66</v>
      </c>
      <c r="J21" s="13">
        <v>180</v>
      </c>
      <c r="K21" s="6">
        <v>54</v>
      </c>
    </row>
    <row r="22" spans="1:11">
      <c r="A22">
        <v>19</v>
      </c>
      <c r="B22" s="12">
        <v>234.72770531621171</v>
      </c>
      <c r="C22" s="12">
        <v>135.77507595478818</v>
      </c>
      <c r="D22" s="12">
        <v>78.299201452914787</v>
      </c>
      <c r="F22" s="13">
        <v>300</v>
      </c>
      <c r="G22" s="6">
        <v>16</v>
      </c>
      <c r="H22" s="13">
        <v>230</v>
      </c>
      <c r="I22" s="6">
        <v>37</v>
      </c>
      <c r="J22" s="13">
        <v>190</v>
      </c>
      <c r="K22" s="6">
        <v>26</v>
      </c>
    </row>
    <row r="23" spans="1:11">
      <c r="A23">
        <v>20</v>
      </c>
      <c r="B23" s="12">
        <v>161.37562091248265</v>
      </c>
      <c r="C23" s="12">
        <v>159.06824550076541</v>
      </c>
      <c r="D23" s="12">
        <v>108.28286701356112</v>
      </c>
      <c r="F23" s="13">
        <v>315</v>
      </c>
      <c r="G23" s="6">
        <v>20</v>
      </c>
      <c r="H23" s="13">
        <v>240</v>
      </c>
      <c r="I23" s="6">
        <v>20</v>
      </c>
      <c r="J23" s="13">
        <v>200</v>
      </c>
      <c r="K23" s="6">
        <v>29</v>
      </c>
    </row>
    <row r="24" spans="1:11">
      <c r="A24">
        <v>21</v>
      </c>
      <c r="B24" s="12">
        <v>158.07816593853406</v>
      </c>
      <c r="C24" s="12">
        <v>197.33625541491057</v>
      </c>
      <c r="D24" s="12">
        <v>81.849514828304521</v>
      </c>
      <c r="F24" s="13">
        <v>330</v>
      </c>
      <c r="G24" s="18">
        <v>0</v>
      </c>
      <c r="H24" s="13">
        <v>250</v>
      </c>
      <c r="I24" s="18">
        <v>14</v>
      </c>
      <c r="J24" s="13">
        <v>210</v>
      </c>
      <c r="K24" s="18">
        <v>7</v>
      </c>
    </row>
    <row r="25" spans="1:11">
      <c r="A25">
        <v>22</v>
      </c>
      <c r="B25" s="12">
        <v>118.90738243309016</v>
      </c>
      <c r="C25" s="12">
        <v>175.22000677975214</v>
      </c>
      <c r="D25" s="12">
        <v>95.462942946280918</v>
      </c>
      <c r="F25" s="13">
        <v>345</v>
      </c>
      <c r="G25" s="6">
        <v>4</v>
      </c>
      <c r="H25" s="13">
        <v>260</v>
      </c>
      <c r="I25" s="6">
        <v>4</v>
      </c>
      <c r="J25" s="13">
        <v>220</v>
      </c>
      <c r="K25" s="6">
        <v>15</v>
      </c>
    </row>
    <row r="26" spans="1:11">
      <c r="A26">
        <v>23</v>
      </c>
      <c r="B26" s="12">
        <v>160.02401403638498</v>
      </c>
      <c r="C26" s="12">
        <v>185.57695685984621</v>
      </c>
      <c r="D26" s="12">
        <v>94.76396104382664</v>
      </c>
      <c r="F26" s="13">
        <v>360</v>
      </c>
      <c r="G26" s="6">
        <v>0</v>
      </c>
      <c r="H26" s="13">
        <v>270</v>
      </c>
      <c r="I26" s="6">
        <v>0</v>
      </c>
      <c r="J26" s="13">
        <v>230</v>
      </c>
      <c r="K26" s="6">
        <v>0</v>
      </c>
    </row>
    <row r="27" spans="1:11">
      <c r="A27">
        <v>24</v>
      </c>
      <c r="B27" s="12">
        <v>162.97865395965005</v>
      </c>
      <c r="C27" s="12">
        <v>174.84550613691889</v>
      </c>
      <c r="D27" s="12">
        <v>170.58907062382511</v>
      </c>
      <c r="F27" s="13">
        <v>375</v>
      </c>
      <c r="G27" s="6">
        <v>0</v>
      </c>
      <c r="H27" s="13">
        <v>280</v>
      </c>
      <c r="I27" s="6">
        <v>1</v>
      </c>
      <c r="J27" s="13">
        <v>240</v>
      </c>
      <c r="K27" s="6">
        <v>4</v>
      </c>
    </row>
    <row r="28" spans="1:11">
      <c r="A28">
        <v>25</v>
      </c>
      <c r="B28" s="12">
        <v>151.09461664190493</v>
      </c>
      <c r="C28" s="12">
        <v>163.98395386117861</v>
      </c>
      <c r="D28" s="12">
        <v>92.842285648312838</v>
      </c>
      <c r="F28" s="13">
        <v>390</v>
      </c>
      <c r="G28" s="6">
        <v>0</v>
      </c>
      <c r="H28" s="13">
        <v>290</v>
      </c>
      <c r="I28" s="6">
        <v>0</v>
      </c>
      <c r="J28" s="13">
        <v>250</v>
      </c>
      <c r="K28" s="6">
        <v>0</v>
      </c>
    </row>
    <row r="29" spans="1:11">
      <c r="A29">
        <v>26</v>
      </c>
      <c r="B29" s="12">
        <v>125.34633906220763</v>
      </c>
      <c r="C29" s="12">
        <v>165.00562574916708</v>
      </c>
      <c r="D29" s="12">
        <v>68.752240278745845</v>
      </c>
      <c r="F29" s="13">
        <v>405</v>
      </c>
      <c r="G29" s="6">
        <v>0</v>
      </c>
      <c r="H29" s="13">
        <v>300</v>
      </c>
      <c r="I29" s="6">
        <v>0</v>
      </c>
      <c r="J29" s="13">
        <v>260</v>
      </c>
      <c r="K29" s="6">
        <v>0</v>
      </c>
    </row>
    <row r="30" spans="1:11">
      <c r="A30">
        <v>27</v>
      </c>
      <c r="B30" s="12">
        <v>113.52274468860981</v>
      </c>
      <c r="C30" s="12">
        <v>161.39184540677437</v>
      </c>
      <c r="D30" s="12">
        <v>82.805818665901114</v>
      </c>
      <c r="F30" s="13">
        <v>420</v>
      </c>
      <c r="G30" s="6">
        <v>0</v>
      </c>
      <c r="H30" s="13">
        <v>310</v>
      </c>
      <c r="I30" s="6">
        <v>0</v>
      </c>
      <c r="J30" s="13">
        <v>270</v>
      </c>
      <c r="K30" s="6">
        <v>1</v>
      </c>
    </row>
    <row r="31" spans="1:11">
      <c r="A31">
        <v>28</v>
      </c>
      <c r="B31" s="12">
        <v>169.49048728403255</v>
      </c>
      <c r="C31" s="12">
        <v>143.33912806127191</v>
      </c>
      <c r="D31" s="12">
        <v>92.409656629288762</v>
      </c>
      <c r="F31" s="14" t="s">
        <v>33</v>
      </c>
      <c r="G31" s="7">
        <v>0</v>
      </c>
      <c r="H31" s="14" t="s">
        <v>33</v>
      </c>
      <c r="I31" s="7">
        <v>0</v>
      </c>
      <c r="J31" s="14" t="s">
        <v>33</v>
      </c>
      <c r="K31" s="7">
        <v>0</v>
      </c>
    </row>
    <row r="32" spans="1:11">
      <c r="A32">
        <v>29</v>
      </c>
      <c r="B32" s="12">
        <v>212.7368293576132</v>
      </c>
      <c r="C32" s="12">
        <v>148.47941816527074</v>
      </c>
      <c r="D32" s="12">
        <v>107.47109334483804</v>
      </c>
    </row>
    <row r="33" spans="1:4">
      <c r="A33">
        <v>30</v>
      </c>
      <c r="B33" s="12">
        <v>161.00338813862695</v>
      </c>
      <c r="C33" s="12">
        <v>181.47130383994724</v>
      </c>
      <c r="D33" s="12">
        <v>123.52147967331214</v>
      </c>
    </row>
    <row r="34" spans="1:4">
      <c r="A34">
        <v>31</v>
      </c>
      <c r="B34" s="12">
        <v>136.09895763996471</v>
      </c>
      <c r="C34" s="12">
        <v>164.26246896199609</v>
      </c>
      <c r="D34" s="12">
        <v>72.272073684361246</v>
      </c>
    </row>
    <row r="35" spans="1:4">
      <c r="A35">
        <v>32</v>
      </c>
      <c r="B35" s="12">
        <v>243.33607403607931</v>
      </c>
      <c r="C35" s="12">
        <v>187.74511257483309</v>
      </c>
      <c r="D35" s="12">
        <v>72.010169709374253</v>
      </c>
    </row>
    <row r="36" spans="1:4">
      <c r="A36">
        <v>33</v>
      </c>
      <c r="B36" s="12">
        <v>156.51019175645806</v>
      </c>
      <c r="C36" s="12">
        <v>170.27975554012838</v>
      </c>
      <c r="D36" s="12">
        <v>74.319599778602623</v>
      </c>
    </row>
    <row r="37" spans="1:4">
      <c r="A37">
        <v>34</v>
      </c>
      <c r="B37" s="12">
        <v>216.60729092112479</v>
      </c>
      <c r="C37" s="12">
        <v>124.49273895970903</v>
      </c>
      <c r="D37" s="12">
        <v>102.36277617513146</v>
      </c>
    </row>
    <row r="38" spans="1:4">
      <c r="A38">
        <v>35</v>
      </c>
      <c r="B38" s="12">
        <v>156.1447948112345</v>
      </c>
      <c r="C38" s="12">
        <v>97.831584862657166</v>
      </c>
      <c r="D38" s="12">
        <v>61.83651757373606</v>
      </c>
    </row>
    <row r="39" spans="1:4">
      <c r="A39">
        <v>36</v>
      </c>
      <c r="B39" s="12">
        <v>178.40793277569892</v>
      </c>
      <c r="C39" s="12">
        <v>120.02141315379565</v>
      </c>
      <c r="D39" s="12">
        <v>75.985292412583135</v>
      </c>
    </row>
    <row r="40" spans="1:4">
      <c r="A40">
        <v>37</v>
      </c>
      <c r="B40" s="12">
        <v>144.85647848208629</v>
      </c>
      <c r="C40" s="12">
        <v>127.80146183379962</v>
      </c>
      <c r="D40" s="12">
        <v>116.68696458458172</v>
      </c>
    </row>
    <row r="41" spans="1:4">
      <c r="A41">
        <v>38</v>
      </c>
      <c r="B41" s="12">
        <v>214.42575122031815</v>
      </c>
      <c r="C41" s="12">
        <v>189.90673053836224</v>
      </c>
      <c r="D41" s="12">
        <v>135.32153244220228</v>
      </c>
    </row>
    <row r="42" spans="1:4">
      <c r="A42">
        <v>39</v>
      </c>
      <c r="B42" s="12">
        <v>245.17008193652495</v>
      </c>
      <c r="C42" s="12">
        <v>149.77236121228805</v>
      </c>
      <c r="D42" s="12">
        <v>102.82567817729965</v>
      </c>
    </row>
    <row r="43" spans="1:4">
      <c r="A43">
        <v>40</v>
      </c>
      <c r="B43" s="12">
        <v>180.36744199427559</v>
      </c>
      <c r="C43" s="12">
        <v>140.53874831662023</v>
      </c>
      <c r="D43" s="12">
        <v>100.890731022784</v>
      </c>
    </row>
    <row r="44" spans="1:4">
      <c r="A44">
        <v>41</v>
      </c>
      <c r="B44" s="12">
        <v>161.98802264241488</v>
      </c>
      <c r="C44" s="12">
        <v>177.95544616450235</v>
      </c>
      <c r="D44" s="12">
        <v>137.22858294912632</v>
      </c>
    </row>
    <row r="45" spans="1:4">
      <c r="A45">
        <v>42</v>
      </c>
      <c r="B45" s="12">
        <v>228.11278202338548</v>
      </c>
      <c r="C45" s="12">
        <v>174.47565226626719</v>
      </c>
      <c r="D45" s="12">
        <v>83.562877351696685</v>
      </c>
    </row>
    <row r="46" spans="1:4">
      <c r="A46">
        <v>43</v>
      </c>
      <c r="B46" s="12">
        <v>166.38024381059984</v>
      </c>
      <c r="C46" s="12">
        <v>149.28348295725129</v>
      </c>
      <c r="D46" s="12">
        <v>70.452783557198458</v>
      </c>
    </row>
    <row r="47" spans="1:4">
      <c r="A47">
        <v>44</v>
      </c>
      <c r="B47" s="12">
        <v>188.82844055798421</v>
      </c>
      <c r="C47" s="12">
        <v>176.48369759905094</v>
      </c>
      <c r="D47" s="12">
        <v>78.823739623667464</v>
      </c>
    </row>
    <row r="48" spans="1:4">
      <c r="A48">
        <v>45</v>
      </c>
      <c r="B48" s="12">
        <v>187.40646227281695</v>
      </c>
      <c r="C48" s="12">
        <v>179.79569380499424</v>
      </c>
      <c r="D48" s="12">
        <v>70.001689157071908</v>
      </c>
    </row>
    <row r="49" spans="1:4">
      <c r="A49">
        <v>46</v>
      </c>
      <c r="B49" s="12">
        <v>104.50416577606991</v>
      </c>
      <c r="C49" s="12">
        <v>168.10806423765442</v>
      </c>
      <c r="D49" s="12">
        <v>157.84863461943115</v>
      </c>
    </row>
    <row r="50" spans="1:4">
      <c r="A50">
        <v>47</v>
      </c>
      <c r="B50" s="12">
        <v>156.87587240787863</v>
      </c>
      <c r="C50" s="12">
        <v>151.86025409996904</v>
      </c>
      <c r="D50" s="12">
        <v>165.74834632205938</v>
      </c>
    </row>
    <row r="51" spans="1:4">
      <c r="A51">
        <v>48</v>
      </c>
      <c r="B51" s="12">
        <v>125.88797168827855</v>
      </c>
      <c r="C51" s="12">
        <v>147.58324208659096</v>
      </c>
      <c r="D51" s="12">
        <v>145.0136240513414</v>
      </c>
    </row>
    <row r="52" spans="1:4">
      <c r="A52">
        <v>49</v>
      </c>
      <c r="B52" s="12">
        <v>143.22941434068611</v>
      </c>
      <c r="C52" s="12">
        <v>188.7981298960643</v>
      </c>
      <c r="D52" s="12">
        <v>90.581168741290071</v>
      </c>
    </row>
    <row r="53" spans="1:4">
      <c r="A53">
        <v>50</v>
      </c>
      <c r="B53" s="12">
        <v>182.87877518927561</v>
      </c>
      <c r="C53" s="12">
        <v>135.97278945265072</v>
      </c>
      <c r="D53" s="12">
        <v>115.70503141431355</v>
      </c>
    </row>
    <row r="54" spans="1:4">
      <c r="A54">
        <v>51</v>
      </c>
      <c r="B54" s="12">
        <v>224.09216446246771</v>
      </c>
      <c r="C54" s="12">
        <v>177.54328376663628</v>
      </c>
      <c r="D54" s="12">
        <v>76.207215135125963</v>
      </c>
    </row>
    <row r="55" spans="1:4">
      <c r="A55">
        <v>52</v>
      </c>
      <c r="B55" s="12">
        <v>202.21700609001692</v>
      </c>
      <c r="C55" s="12">
        <v>141.08056887800461</v>
      </c>
      <c r="D55" s="12">
        <v>159.74384240619716</v>
      </c>
    </row>
    <row r="56" spans="1:4">
      <c r="A56">
        <v>53</v>
      </c>
      <c r="B56" s="12">
        <v>129.90166195229088</v>
      </c>
      <c r="C56" s="12">
        <v>141.52060118759584</v>
      </c>
      <c r="D56" s="12">
        <v>79.960873731269658</v>
      </c>
    </row>
    <row r="57" spans="1:4">
      <c r="A57">
        <v>54</v>
      </c>
      <c r="B57" s="12">
        <v>155.54585975921393</v>
      </c>
      <c r="C57" s="12">
        <v>172.94093572411677</v>
      </c>
      <c r="D57" s="12">
        <v>62.350757030467157</v>
      </c>
    </row>
    <row r="58" spans="1:4">
      <c r="A58">
        <v>55</v>
      </c>
      <c r="B58" s="12">
        <v>132.36368068590468</v>
      </c>
      <c r="C58" s="12">
        <v>137.07385362447778</v>
      </c>
      <c r="D58" s="12">
        <v>93.105980925664952</v>
      </c>
    </row>
    <row r="59" spans="1:4">
      <c r="A59">
        <v>56</v>
      </c>
      <c r="B59" s="12">
        <v>205.57101529197101</v>
      </c>
      <c r="C59" s="12">
        <v>172.59298770960083</v>
      </c>
      <c r="D59" s="12">
        <v>87.934781626393629</v>
      </c>
    </row>
    <row r="60" spans="1:4">
      <c r="A60">
        <v>57</v>
      </c>
      <c r="B60" s="12">
        <v>148.79023438133694</v>
      </c>
      <c r="C60" s="12">
        <v>214.27956759715505</v>
      </c>
      <c r="D60" s="12">
        <v>70.893174933864998</v>
      </c>
    </row>
    <row r="61" spans="1:4">
      <c r="A61">
        <v>58</v>
      </c>
      <c r="B61" s="12">
        <v>159.41786972432641</v>
      </c>
      <c r="C61" s="12">
        <v>163.25577234643748</v>
      </c>
      <c r="D61" s="12">
        <v>94.933370973717032</v>
      </c>
    </row>
    <row r="62" spans="1:4">
      <c r="A62">
        <v>59</v>
      </c>
      <c r="B62" s="12">
        <v>106.83381452326562</v>
      </c>
      <c r="C62" s="12">
        <v>198.38485961336735</v>
      </c>
      <c r="D62" s="12">
        <v>156.7163657746612</v>
      </c>
    </row>
    <row r="63" spans="1:4">
      <c r="A63">
        <v>60</v>
      </c>
      <c r="B63" s="12">
        <v>223.19145747692249</v>
      </c>
      <c r="C63" s="12">
        <v>110.96776815998622</v>
      </c>
      <c r="D63" s="12">
        <v>117.69546154253467</v>
      </c>
    </row>
    <row r="64" spans="1:4">
      <c r="A64">
        <v>61</v>
      </c>
      <c r="B64" s="12">
        <v>206.94126065057279</v>
      </c>
      <c r="C64" s="12">
        <v>241.45419440983636</v>
      </c>
      <c r="D64" s="12">
        <v>87.762221969543347</v>
      </c>
    </row>
    <row r="65" spans="1:4">
      <c r="A65">
        <v>62</v>
      </c>
      <c r="B65" s="12">
        <v>201.47452712682173</v>
      </c>
      <c r="C65" s="12">
        <v>178.64556587349807</v>
      </c>
      <c r="D65" s="12">
        <v>73.319064746066346</v>
      </c>
    </row>
    <row r="66" spans="1:4">
      <c r="A66">
        <v>63</v>
      </c>
      <c r="B66" s="12">
        <v>227.08746360308615</v>
      </c>
      <c r="C66" s="12">
        <v>217.43108471347111</v>
      </c>
      <c r="D66" s="12">
        <v>128.46781908846771</v>
      </c>
    </row>
    <row r="67" spans="1:4">
      <c r="A67">
        <v>64</v>
      </c>
      <c r="B67" s="12">
        <v>144.23570911895371</v>
      </c>
      <c r="C67" s="12">
        <v>184.12663361497349</v>
      </c>
      <c r="D67" s="12">
        <v>96.867182049780368</v>
      </c>
    </row>
    <row r="68" spans="1:4">
      <c r="A68">
        <v>65</v>
      </c>
      <c r="B68" s="12">
        <v>154.21826316991394</v>
      </c>
      <c r="C68" s="12">
        <v>122.43299321262153</v>
      </c>
      <c r="D68" s="12">
        <v>131.48741600194467</v>
      </c>
    </row>
    <row r="69" spans="1:4">
      <c r="A69">
        <v>66</v>
      </c>
      <c r="B69" s="12">
        <v>138.02273948468485</v>
      </c>
      <c r="C69" s="12">
        <v>120.72839513249895</v>
      </c>
      <c r="D69" s="12">
        <v>136.75289125052163</v>
      </c>
    </row>
    <row r="70" spans="1:4">
      <c r="A70">
        <v>67</v>
      </c>
      <c r="B70" s="12">
        <v>127.27685184158254</v>
      </c>
      <c r="C70" s="12">
        <v>145.61179441452765</v>
      </c>
      <c r="D70" s="12">
        <v>54.481843528691407</v>
      </c>
    </row>
    <row r="71" spans="1:4">
      <c r="A71">
        <v>68</v>
      </c>
      <c r="B71" s="12">
        <v>91.064999630129591</v>
      </c>
      <c r="C71" s="12">
        <v>173.2927202946201</v>
      </c>
      <c r="D71" s="12">
        <v>121.17801172399588</v>
      </c>
    </row>
    <row r="72" spans="1:4">
      <c r="A72">
        <v>69</v>
      </c>
      <c r="B72" s="12">
        <v>142.46074257150499</v>
      </c>
      <c r="C72" s="12">
        <v>152.1040534509373</v>
      </c>
      <c r="D72" s="12">
        <v>114.39099564319393</v>
      </c>
    </row>
    <row r="73" spans="1:4">
      <c r="A73">
        <v>70</v>
      </c>
      <c r="B73" s="12">
        <v>137.20095950319057</v>
      </c>
      <c r="C73" s="12">
        <v>162.09579688587667</v>
      </c>
      <c r="D73" s="12">
        <v>80.462410736764241</v>
      </c>
    </row>
    <row r="74" spans="1:4">
      <c r="A74">
        <v>71</v>
      </c>
      <c r="B74" s="12">
        <v>179.60901163258384</v>
      </c>
      <c r="C74" s="12">
        <v>112.00911088839528</v>
      </c>
      <c r="D74" s="12">
        <v>83.380179517769577</v>
      </c>
    </row>
    <row r="75" spans="1:4">
      <c r="A75">
        <v>72</v>
      </c>
      <c r="B75" s="12">
        <v>102.86932147497593</v>
      </c>
      <c r="C75" s="12">
        <v>210.20670348553952</v>
      </c>
      <c r="D75" s="12">
        <v>133.12999108081377</v>
      </c>
    </row>
    <row r="76" spans="1:4">
      <c r="A76">
        <v>73</v>
      </c>
      <c r="B76" s="12">
        <v>134.69937756018436</v>
      </c>
      <c r="C76" s="12">
        <v>131.94487341326479</v>
      </c>
      <c r="D76" s="12">
        <v>106.18026888100981</v>
      </c>
    </row>
    <row r="77" spans="1:4">
      <c r="A77">
        <v>74</v>
      </c>
      <c r="B77" s="12">
        <v>141.43629993386637</v>
      </c>
      <c r="C77" s="12">
        <v>154.04021187422475</v>
      </c>
      <c r="D77" s="12">
        <v>106.67140419389963</v>
      </c>
    </row>
    <row r="78" spans="1:4">
      <c r="A78">
        <v>75</v>
      </c>
      <c r="B78" s="12">
        <v>163.97603588576828</v>
      </c>
      <c r="C78" s="12">
        <v>172.03013123136625</v>
      </c>
      <c r="D78" s="12">
        <v>67.401132064479427</v>
      </c>
    </row>
    <row r="79" spans="1:4">
      <c r="A79">
        <v>76</v>
      </c>
      <c r="B79" s="12">
        <v>119.58874353639307</v>
      </c>
      <c r="C79" s="12">
        <v>155.33997612930102</v>
      </c>
      <c r="D79" s="12">
        <v>102.08198132109646</v>
      </c>
    </row>
    <row r="80" spans="1:4">
      <c r="A80">
        <v>77</v>
      </c>
      <c r="B80" s="12">
        <v>184.17844066155749</v>
      </c>
      <c r="C80" s="12">
        <v>133.4281767661333</v>
      </c>
      <c r="D80" s="12">
        <v>125.7345584629811</v>
      </c>
    </row>
    <row r="81" spans="1:4">
      <c r="A81">
        <v>78</v>
      </c>
      <c r="B81" s="12">
        <v>150.1279628204986</v>
      </c>
      <c r="C81" s="12">
        <v>166.23631318179409</v>
      </c>
      <c r="D81" s="12">
        <v>86.503488978767322</v>
      </c>
    </row>
    <row r="82" spans="1:4">
      <c r="A82">
        <v>79</v>
      </c>
      <c r="B82" s="12">
        <v>154.58279930762808</v>
      </c>
      <c r="C82" s="12">
        <v>175.8449308472683</v>
      </c>
      <c r="D82" s="12">
        <v>153.5160642104988</v>
      </c>
    </row>
    <row r="83" spans="1:4">
      <c r="A83">
        <v>80</v>
      </c>
      <c r="B83" s="12">
        <v>187.74760277751756</v>
      </c>
      <c r="C83" s="12">
        <v>146.02302440023456</v>
      </c>
      <c r="D83" s="12">
        <v>83.846951090626746</v>
      </c>
    </row>
    <row r="84" spans="1:4">
      <c r="A84">
        <v>81</v>
      </c>
      <c r="B84" s="12">
        <v>140.79378328910298</v>
      </c>
      <c r="C84" s="12">
        <v>138.61105163027298</v>
      </c>
      <c r="D84" s="12">
        <v>88.910996010148054</v>
      </c>
    </row>
    <row r="85" spans="1:4">
      <c r="A85">
        <v>82</v>
      </c>
      <c r="B85" s="12">
        <v>109.96946756404216</v>
      </c>
      <c r="C85" s="12">
        <v>191.3444862622303</v>
      </c>
      <c r="D85" s="12">
        <v>63.823778684414734</v>
      </c>
    </row>
    <row r="86" spans="1:4">
      <c r="A86">
        <v>83</v>
      </c>
      <c r="B86" s="12">
        <v>174.93424290544476</v>
      </c>
      <c r="C86" s="12">
        <v>131.5849146016505</v>
      </c>
      <c r="D86" s="12">
        <v>134.87921807425127</v>
      </c>
    </row>
    <row r="87" spans="1:4">
      <c r="A87">
        <v>84</v>
      </c>
      <c r="B87" s="12">
        <v>131.15046012362467</v>
      </c>
      <c r="C87" s="12">
        <v>139.35689432589788</v>
      </c>
      <c r="D87" s="12">
        <v>86.776120746124477</v>
      </c>
    </row>
    <row r="88" spans="1:4">
      <c r="A88">
        <v>85</v>
      </c>
      <c r="B88" s="12">
        <v>126.7575702097739</v>
      </c>
      <c r="C88" s="12">
        <v>162.80837925766463</v>
      </c>
      <c r="D88" s="12">
        <v>77.975399940473608</v>
      </c>
    </row>
    <row r="89" spans="1:4">
      <c r="A89">
        <v>86</v>
      </c>
      <c r="B89" s="12">
        <v>191.80751289092916</v>
      </c>
      <c r="C89" s="12">
        <v>152.99247457063794</v>
      </c>
      <c r="D89" s="12">
        <v>92.145882585307461</v>
      </c>
    </row>
    <row r="90" spans="1:4">
      <c r="A90">
        <v>87</v>
      </c>
      <c r="B90" s="12">
        <v>129.41845789308854</v>
      </c>
      <c r="C90" s="12">
        <v>158.64889114983106</v>
      </c>
      <c r="D90" s="12">
        <v>91.448894051410321</v>
      </c>
    </row>
    <row r="91" spans="1:4">
      <c r="A91">
        <v>88</v>
      </c>
      <c r="B91" s="12">
        <v>133.1013737609739</v>
      </c>
      <c r="C91" s="12">
        <v>152.74826424301742</v>
      </c>
      <c r="D91" s="12">
        <v>111.67035823185083</v>
      </c>
    </row>
    <row r="92" spans="1:4">
      <c r="A92">
        <v>89</v>
      </c>
      <c r="B92" s="12">
        <v>146.4625869730819</v>
      </c>
      <c r="C92" s="12">
        <v>144.2747596432101</v>
      </c>
      <c r="D92" s="12">
        <v>67.926397324669594</v>
      </c>
    </row>
    <row r="93" spans="1:4">
      <c r="A93">
        <v>90</v>
      </c>
      <c r="B93" s="12">
        <v>198.44615511960603</v>
      </c>
      <c r="C93" s="12">
        <v>145.19873342850883</v>
      </c>
      <c r="D93" s="12">
        <v>121.60900174745024</v>
      </c>
    </row>
    <row r="94" spans="1:4">
      <c r="A94">
        <v>91</v>
      </c>
      <c r="B94" s="12">
        <v>93.895377127358501</v>
      </c>
      <c r="C94" s="12">
        <v>141.78699400671664</v>
      </c>
      <c r="D94" s="12">
        <v>147.89931350840422</v>
      </c>
    </row>
    <row r="95" spans="1:4">
      <c r="A95">
        <v>92</v>
      </c>
      <c r="B95" s="12">
        <v>140.14621546119864</v>
      </c>
      <c r="C95" s="12">
        <v>224.76760690924817</v>
      </c>
      <c r="D95" s="12">
        <v>67.054991736004396</v>
      </c>
    </row>
    <row r="96" spans="1:4">
      <c r="A96">
        <v>93</v>
      </c>
      <c r="B96" s="12">
        <v>168.44276641908539</v>
      </c>
      <c r="C96" s="12">
        <v>145.36023899691381</v>
      </c>
      <c r="D96" s="12">
        <v>86.054377957873555</v>
      </c>
    </row>
    <row r="97" spans="1:4">
      <c r="A97">
        <v>94</v>
      </c>
      <c r="B97" s="12">
        <v>130.68195911615001</v>
      </c>
      <c r="C97" s="12">
        <v>156.6513574468874</v>
      </c>
      <c r="D97" s="12">
        <v>97.745298152071015</v>
      </c>
    </row>
    <row r="98" spans="1:4">
      <c r="A98">
        <v>95</v>
      </c>
      <c r="B98" s="12">
        <v>218.51165568760459</v>
      </c>
      <c r="C98" s="12">
        <v>144.52964071838085</v>
      </c>
      <c r="D98" s="12">
        <v>125.24402602618441</v>
      </c>
    </row>
    <row r="99" spans="1:4">
      <c r="A99">
        <v>96</v>
      </c>
      <c r="B99" s="12">
        <v>220.53548240299179</v>
      </c>
      <c r="C99" s="12">
        <v>180.9997634338275</v>
      </c>
      <c r="D99" s="12">
        <v>65.918796773867413</v>
      </c>
    </row>
    <row r="100" spans="1:4">
      <c r="A100">
        <v>97</v>
      </c>
      <c r="B100" s="12">
        <v>124.43711889641868</v>
      </c>
      <c r="C100" s="12">
        <v>149.5280201700736</v>
      </c>
      <c r="D100" s="12">
        <v>127.93038710962166</v>
      </c>
    </row>
    <row r="101" spans="1:4">
      <c r="A101">
        <v>98</v>
      </c>
      <c r="B101" s="12">
        <v>204.76021014107928</v>
      </c>
      <c r="C101" s="12">
        <v>115.39011801479361</v>
      </c>
      <c r="D101" s="12">
        <v>81.065644594810024</v>
      </c>
    </row>
    <row r="102" spans="1:4">
      <c r="A102">
        <v>99</v>
      </c>
      <c r="B102" s="12">
        <v>123.86933803906848</v>
      </c>
      <c r="C102" s="12">
        <v>167.31082003170056</v>
      </c>
      <c r="D102" s="12">
        <v>182.11779090988816</v>
      </c>
    </row>
    <row r="103" spans="1:4">
      <c r="A103">
        <v>100</v>
      </c>
      <c r="B103" s="12">
        <v>148.18500219315024</v>
      </c>
      <c r="C103" s="12">
        <v>171.14376297325146</v>
      </c>
      <c r="D103" s="12">
        <v>71.170005445238189</v>
      </c>
    </row>
    <row r="104" spans="1:4">
      <c r="A104">
        <v>101</v>
      </c>
      <c r="B104" s="12">
        <v>291.32700538900667</v>
      </c>
      <c r="C104" s="12">
        <v>176.23258941377938</v>
      </c>
      <c r="D104" s="12">
        <v>93.369699578758727</v>
      </c>
    </row>
    <row r="105" spans="1:4">
      <c r="A105">
        <v>102</v>
      </c>
      <c r="B105" s="12">
        <v>169.09231722399505</v>
      </c>
      <c r="C105" s="12">
        <v>160.43416567538245</v>
      </c>
      <c r="D105" s="12">
        <v>103.57695006971367</v>
      </c>
    </row>
    <row r="106" spans="1:4">
      <c r="A106">
        <v>103</v>
      </c>
      <c r="B106" s="12">
        <v>176.78883241536545</v>
      </c>
      <c r="C106" s="12">
        <v>146.68146052147719</v>
      </c>
      <c r="D106" s="12">
        <v>81.554247466376296</v>
      </c>
    </row>
    <row r="107" spans="1:4">
      <c r="A107">
        <v>104</v>
      </c>
      <c r="B107" s="12">
        <v>149.76115758733027</v>
      </c>
      <c r="C107" s="12">
        <v>200.24979065820716</v>
      </c>
      <c r="D107" s="12">
        <v>79.452778307856207</v>
      </c>
    </row>
    <row r="108" spans="1:4">
      <c r="A108">
        <v>105</v>
      </c>
      <c r="B108" s="12">
        <v>131.90812939530983</v>
      </c>
      <c r="C108" s="12">
        <v>154.68888177190456</v>
      </c>
      <c r="D108" s="12">
        <v>104.33645233326706</v>
      </c>
    </row>
    <row r="109" spans="1:4">
      <c r="A109">
        <v>106</v>
      </c>
      <c r="B109" s="12">
        <v>173.39474055599689</v>
      </c>
      <c r="C109" s="12">
        <v>152.50420022824613</v>
      </c>
      <c r="D109" s="12">
        <v>151.19646625855154</v>
      </c>
    </row>
    <row r="110" spans="1:4">
      <c r="A110">
        <v>107</v>
      </c>
      <c r="B110" s="12">
        <v>136.93548390296866</v>
      </c>
      <c r="C110" s="12">
        <v>125.3378261929674</v>
      </c>
      <c r="D110" s="12">
        <v>123.22797572174414</v>
      </c>
    </row>
    <row r="111" spans="1:4">
      <c r="A111">
        <v>108</v>
      </c>
      <c r="B111" s="12">
        <v>155.91087421394883</v>
      </c>
      <c r="C111" s="12">
        <v>153.79508921599626</v>
      </c>
      <c r="D111" s="12">
        <v>136.02735828658794</v>
      </c>
    </row>
    <row r="112" spans="1:4">
      <c r="A112">
        <v>109</v>
      </c>
      <c r="B112" s="12">
        <v>154.94741565615735</v>
      </c>
      <c r="C112" s="12">
        <v>155.74592534308343</v>
      </c>
      <c r="D112" s="12">
        <v>122.77510977265288</v>
      </c>
    </row>
    <row r="113" spans="1:4">
      <c r="A113">
        <v>110</v>
      </c>
      <c r="B113" s="12">
        <v>254.40880723310005</v>
      </c>
      <c r="C113" s="12">
        <v>147.82990456045482</v>
      </c>
      <c r="D113" s="12">
        <v>109.9464329539404</v>
      </c>
    </row>
    <row r="114" spans="1:4">
      <c r="A114">
        <v>111</v>
      </c>
      <c r="B114" s="12">
        <v>152.29286328686521</v>
      </c>
      <c r="C114" s="12">
        <v>129.97548073174136</v>
      </c>
      <c r="D114" s="12">
        <v>111.12781650868413</v>
      </c>
    </row>
    <row r="115" spans="1:4">
      <c r="A115">
        <v>112</v>
      </c>
      <c r="B115" s="12">
        <v>118.20605030271575</v>
      </c>
      <c r="C115" s="12">
        <v>121.399269385406</v>
      </c>
      <c r="D115" s="12">
        <v>106.97288915229059</v>
      </c>
    </row>
    <row r="116" spans="1:4">
      <c r="A116">
        <v>113</v>
      </c>
      <c r="B116" s="12">
        <v>138.28375218905163</v>
      </c>
      <c r="C116" s="12">
        <v>160.00707084860611</v>
      </c>
      <c r="D116" s="12">
        <v>87.221675076978912</v>
      </c>
    </row>
    <row r="117" spans="1:4">
      <c r="A117">
        <v>114</v>
      </c>
      <c r="B117" s="12">
        <v>151.69406019228481</v>
      </c>
      <c r="C117" s="12">
        <v>187.12779201196702</v>
      </c>
      <c r="D117" s="12">
        <v>92.673376678654677</v>
      </c>
    </row>
    <row r="118" spans="1:4">
      <c r="A118">
        <v>115</v>
      </c>
      <c r="B118" s="12">
        <v>172.29764962772543</v>
      </c>
      <c r="C118" s="12">
        <v>154.44296425013323</v>
      </c>
      <c r="D118" s="12">
        <v>130.8901541867281</v>
      </c>
    </row>
    <row r="119" spans="1:4">
      <c r="A119">
        <v>116</v>
      </c>
      <c r="B119" s="12">
        <v>193.7619760743984</v>
      </c>
      <c r="C119" s="12">
        <v>137.55844027741102</v>
      </c>
      <c r="D119" s="12">
        <v>110.2679621718152</v>
      </c>
    </row>
    <row r="120" spans="1:4">
      <c r="A120">
        <v>117</v>
      </c>
      <c r="B120" s="12">
        <v>123.29046584448716</v>
      </c>
      <c r="C120" s="12">
        <v>205.28110439538912</v>
      </c>
      <c r="D120" s="12">
        <v>138.77361859408234</v>
      </c>
    </row>
    <row r="121" spans="1:4">
      <c r="A121">
        <v>118</v>
      </c>
      <c r="B121" s="12">
        <v>122.91350137569852</v>
      </c>
      <c r="C121" s="12">
        <v>151.46039630249933</v>
      </c>
      <c r="D121" s="12">
        <v>117.31026715295505</v>
      </c>
    </row>
    <row r="122" spans="1:4">
      <c r="A122">
        <v>119</v>
      </c>
      <c r="B122" s="12">
        <v>126.2302190680399</v>
      </c>
      <c r="C122" s="12">
        <v>189.46681932553329</v>
      </c>
      <c r="D122" s="12">
        <v>68.434767856366406</v>
      </c>
    </row>
    <row r="123" spans="1:4">
      <c r="A123">
        <v>120</v>
      </c>
      <c r="B123" s="12">
        <v>165.36364175146358</v>
      </c>
      <c r="C123" s="12">
        <v>151.21668427369218</v>
      </c>
      <c r="D123" s="12">
        <v>45.203402246884906</v>
      </c>
    </row>
    <row r="124" spans="1:4">
      <c r="A124">
        <v>121</v>
      </c>
      <c r="B124" s="12">
        <v>108.09465806959297</v>
      </c>
      <c r="C124" s="12">
        <v>165.76072703873939</v>
      </c>
      <c r="D124" s="12">
        <v>64.260139275954742</v>
      </c>
    </row>
    <row r="125" spans="1:4">
      <c r="A125">
        <v>122</v>
      </c>
      <c r="B125" s="12">
        <v>128.61240124023445</v>
      </c>
      <c r="C125" s="12">
        <v>143.59740569165365</v>
      </c>
      <c r="D125" s="12">
        <v>71.594492916774726</v>
      </c>
    </row>
    <row r="126" spans="1:4">
      <c r="A126">
        <v>123</v>
      </c>
      <c r="B126" s="12">
        <v>184.67901488425022</v>
      </c>
      <c r="C126" s="12">
        <v>188.15006823751941</v>
      </c>
      <c r="D126" s="12">
        <v>141.53444962676994</v>
      </c>
    </row>
    <row r="127" spans="1:4">
      <c r="A127">
        <v>124</v>
      </c>
      <c r="B127" s="12">
        <v>209.26233053514426</v>
      </c>
      <c r="C127" s="12">
        <v>206.34582039389622</v>
      </c>
      <c r="D127" s="12">
        <v>94.066385983367823</v>
      </c>
    </row>
    <row r="128" spans="1:4">
      <c r="A128">
        <v>125</v>
      </c>
      <c r="B128" s="12">
        <v>165.99417734058835</v>
      </c>
      <c r="C128" s="12">
        <v>167.01292692602658</v>
      </c>
      <c r="D128" s="12">
        <v>84.31009643443646</v>
      </c>
    </row>
    <row r="129" spans="1:4">
      <c r="A129">
        <v>126</v>
      </c>
      <c r="B129" s="12">
        <v>163.35553707770504</v>
      </c>
      <c r="C129" s="12">
        <v>155.09308464513754</v>
      </c>
      <c r="D129" s="12">
        <v>126.55696195367759</v>
      </c>
    </row>
    <row r="130" spans="1:4">
      <c r="A130">
        <v>127</v>
      </c>
      <c r="B130" s="12">
        <v>211.74709782490586</v>
      </c>
      <c r="C130" s="12">
        <v>196.34450113465337</v>
      </c>
      <c r="D130" s="12">
        <v>122.3285486097608</v>
      </c>
    </row>
    <row r="131" spans="1:4">
      <c r="A131">
        <v>128</v>
      </c>
      <c r="B131" s="12">
        <v>139.34938141545598</v>
      </c>
      <c r="C131" s="12">
        <v>157.97829690832552</v>
      </c>
      <c r="D131" s="12">
        <v>93.538647998970276</v>
      </c>
    </row>
    <row r="132" spans="1:4">
      <c r="A132">
        <v>129</v>
      </c>
      <c r="B132" s="12">
        <v>120.66745500432029</v>
      </c>
      <c r="C132" s="12">
        <v>172.3720672498398</v>
      </c>
      <c r="D132" s="12">
        <v>124.76124780993557</v>
      </c>
    </row>
    <row r="133" spans="1:4">
      <c r="A133">
        <v>130</v>
      </c>
      <c r="B133" s="12">
        <v>132.65310181660737</v>
      </c>
      <c r="C133" s="12">
        <v>171.4767020407744</v>
      </c>
      <c r="D133" s="12">
        <v>128.81739273145183</v>
      </c>
    </row>
    <row r="134" spans="1:4">
      <c r="A134">
        <v>131</v>
      </c>
      <c r="B134" s="12">
        <v>120.01544605020749</v>
      </c>
      <c r="C134" s="12">
        <v>114.66958545350134</v>
      </c>
      <c r="D134" s="12">
        <v>114.74758850732894</v>
      </c>
    </row>
    <row r="135" spans="1:4">
      <c r="A135">
        <v>132</v>
      </c>
      <c r="B135" s="12">
        <v>238.28572991791404</v>
      </c>
      <c r="C135" s="12">
        <v>151.70412044237926</v>
      </c>
      <c r="D135" s="12">
        <v>96.334217739123801</v>
      </c>
    </row>
    <row r="136" spans="1:4">
      <c r="A136">
        <v>133</v>
      </c>
      <c r="B136" s="12">
        <v>248.30583517870315</v>
      </c>
      <c r="C136" s="12">
        <v>130.3621689785617</v>
      </c>
      <c r="D136" s="12">
        <v>91.71295483039242</v>
      </c>
    </row>
    <row r="137" spans="1:4">
      <c r="A137">
        <v>134</v>
      </c>
      <c r="B137" s="12">
        <v>221.83541013755101</v>
      </c>
      <c r="C137" s="12">
        <v>142.48420664776179</v>
      </c>
      <c r="D137" s="12">
        <v>140.1156927241995</v>
      </c>
    </row>
    <row r="138" spans="1:4">
      <c r="A138">
        <v>135</v>
      </c>
      <c r="B138" s="12">
        <v>149.15836823394613</v>
      </c>
      <c r="C138" s="12">
        <v>168.61159509813399</v>
      </c>
      <c r="D138" s="12">
        <v>79.651973741013535</v>
      </c>
    </row>
    <row r="139" spans="1:4">
      <c r="A139">
        <v>136</v>
      </c>
      <c r="B139" s="12">
        <v>183.36729829314012</v>
      </c>
      <c r="C139" s="12">
        <v>193.95362155301271</v>
      </c>
      <c r="D139" s="12">
        <v>126.05298974621411</v>
      </c>
    </row>
    <row r="140" spans="1:4">
      <c r="A140">
        <v>137</v>
      </c>
      <c r="B140" s="12">
        <v>128.92916241538316</v>
      </c>
      <c r="C140" s="12">
        <v>180.70235542782117</v>
      </c>
      <c r="D140" s="12">
        <v>84.870199524476206</v>
      </c>
    </row>
    <row r="141" spans="1:4">
      <c r="A141">
        <v>138</v>
      </c>
      <c r="B141" s="12">
        <v>240.69665482889533</v>
      </c>
      <c r="C141" s="12">
        <v>133.21174229050612</v>
      </c>
      <c r="D141" s="12">
        <v>85.326222312824129</v>
      </c>
    </row>
    <row r="142" spans="1:4">
      <c r="A142">
        <v>139</v>
      </c>
      <c r="B142" s="12">
        <v>134.26545511423558</v>
      </c>
      <c r="C142" s="12">
        <v>150.81682319936149</v>
      </c>
      <c r="D142" s="12">
        <v>120.48282230018712</v>
      </c>
    </row>
    <row r="143" spans="1:4">
      <c r="A143">
        <v>140</v>
      </c>
      <c r="B143" s="12">
        <v>108.85239560681443</v>
      </c>
      <c r="C143" s="12">
        <v>134.9461271343603</v>
      </c>
      <c r="D143" s="12">
        <v>80.765109119459567</v>
      </c>
    </row>
    <row r="144" spans="1:4">
      <c r="A144">
        <v>141</v>
      </c>
      <c r="B144" s="12">
        <v>152.65763039647956</v>
      </c>
      <c r="C144" s="12">
        <v>182.76201071746794</v>
      </c>
      <c r="D144" s="12">
        <v>120.06599820756099</v>
      </c>
    </row>
    <row r="145" spans="1:4">
      <c r="A145">
        <v>142</v>
      </c>
      <c r="B145" s="12">
        <v>145.47417608611585</v>
      </c>
      <c r="C145" s="12">
        <v>146.27285884527487</v>
      </c>
      <c r="D145" s="12">
        <v>174.22109370773433</v>
      </c>
    </row>
    <row r="146" spans="1:4">
      <c r="A146">
        <v>143</v>
      </c>
      <c r="B146" s="12">
        <v>121.30336381201175</v>
      </c>
      <c r="C146" s="12">
        <v>153.39349514307102</v>
      </c>
      <c r="D146" s="12">
        <v>109.10764965676486</v>
      </c>
    </row>
    <row r="147" spans="1:4">
      <c r="A147">
        <v>144</v>
      </c>
      <c r="B147" s="12">
        <v>155.181027739234</v>
      </c>
      <c r="C147" s="12">
        <v>116.42471485005102</v>
      </c>
      <c r="D147" s="12">
        <v>152.58163613383655</v>
      </c>
    </row>
    <row r="148" spans="1:4">
      <c r="A148">
        <v>145</v>
      </c>
      <c r="B148" s="12">
        <v>236.8431921386767</v>
      </c>
      <c r="C148" s="12">
        <v>193.41618848339911</v>
      </c>
      <c r="D148" s="12">
        <v>56.147256228760405</v>
      </c>
    </row>
    <row r="149" spans="1:4">
      <c r="A149">
        <v>146</v>
      </c>
      <c r="B149" s="12">
        <v>186.02441964353073</v>
      </c>
      <c r="C149" s="12">
        <v>183.60044888427984</v>
      </c>
      <c r="D149" s="12">
        <v>213.95883469101949</v>
      </c>
    </row>
    <row r="150" spans="1:4">
      <c r="A150">
        <v>147</v>
      </c>
      <c r="B150" s="12">
        <v>145.23334793281819</v>
      </c>
      <c r="C150" s="12">
        <v>180.24497626270895</v>
      </c>
      <c r="D150" s="12">
        <v>127.40269192343906</v>
      </c>
    </row>
    <row r="151" spans="1:4">
      <c r="A151">
        <v>148</v>
      </c>
      <c r="B151" s="12">
        <v>124.79529800838567</v>
      </c>
      <c r="C151" s="12">
        <v>195.7360443700907</v>
      </c>
      <c r="D151" s="12">
        <v>178.65369435008637</v>
      </c>
    </row>
    <row r="152" spans="1:4">
      <c r="A152">
        <v>149</v>
      </c>
      <c r="B152" s="12">
        <v>200.28642003901803</v>
      </c>
      <c r="C152" s="12">
        <v>143.17315105066277</v>
      </c>
      <c r="D152" s="12">
        <v>134.20317952842234</v>
      </c>
    </row>
    <row r="153" spans="1:4">
      <c r="A153">
        <v>150</v>
      </c>
      <c r="B153" s="12">
        <v>157.84311507219402</v>
      </c>
      <c r="C153" s="12">
        <v>149.92878127418285</v>
      </c>
      <c r="D153" s="12">
        <v>66.498028270509764</v>
      </c>
    </row>
    <row r="154" spans="1:4">
      <c r="A154">
        <v>151</v>
      </c>
      <c r="B154" s="12">
        <v>204.25001910887502</v>
      </c>
      <c r="C154" s="12">
        <v>138.89514707809815</v>
      </c>
      <c r="D154" s="12">
        <v>64.912875839435387</v>
      </c>
    </row>
    <row r="155" spans="1:4">
      <c r="A155">
        <v>152</v>
      </c>
      <c r="B155" s="12">
        <v>211.12781013680888</v>
      </c>
      <c r="C155" s="12">
        <v>131.3513771001422</v>
      </c>
      <c r="D155" s="12">
        <v>89.614949222304261</v>
      </c>
    </row>
    <row r="156" spans="1:4">
      <c r="A156">
        <v>153</v>
      </c>
      <c r="B156" s="12">
        <v>97.144543288687785</v>
      </c>
      <c r="C156" s="12">
        <v>104.29425860807515</v>
      </c>
      <c r="D156" s="12">
        <v>120.90485734068857</v>
      </c>
    </row>
    <row r="157" spans="1:4">
      <c r="A157">
        <v>154</v>
      </c>
      <c r="B157" s="12">
        <v>190.65662854830646</v>
      </c>
      <c r="C157" s="12">
        <v>141.95693261254772</v>
      </c>
      <c r="D157" s="12">
        <v>96.600502528928615</v>
      </c>
    </row>
    <row r="158" spans="1:4">
      <c r="A158">
        <v>155</v>
      </c>
      <c r="B158" s="12">
        <v>181.60921125074458</v>
      </c>
      <c r="C158" s="12">
        <v>138.32486102280279</v>
      </c>
      <c r="D158" s="12">
        <v>107.77705001834087</v>
      </c>
    </row>
    <row r="159" spans="1:4">
      <c r="A159">
        <v>156</v>
      </c>
      <c r="B159" s="12">
        <v>134.9754464561548</v>
      </c>
      <c r="C159" s="12">
        <v>166.52876586879631</v>
      </c>
      <c r="D159" s="12">
        <v>57.056994779036359</v>
      </c>
    </row>
    <row r="160" spans="1:4">
      <c r="A160">
        <v>157</v>
      </c>
      <c r="B160" s="12">
        <v>139.0923563657291</v>
      </c>
      <c r="C160" s="12">
        <v>113.43064228757137</v>
      </c>
      <c r="D160" s="12">
        <v>168.56188663198651</v>
      </c>
    </row>
    <row r="161" spans="1:4">
      <c r="A161">
        <v>158</v>
      </c>
      <c r="B161" s="12">
        <v>206.40010802489962</v>
      </c>
      <c r="C161" s="12">
        <v>136.58227107582471</v>
      </c>
      <c r="D161" s="12">
        <v>75.635206187967498</v>
      </c>
    </row>
    <row r="162" spans="1:4">
      <c r="A162">
        <v>159</v>
      </c>
      <c r="B162" s="12">
        <v>170.55045683006676</v>
      </c>
      <c r="C162" s="12">
        <v>141.25283355140684</v>
      </c>
      <c r="D162" s="12">
        <v>98.726149364309677</v>
      </c>
    </row>
    <row r="163" spans="1:4">
      <c r="A163">
        <v>160</v>
      </c>
      <c r="B163" s="12">
        <v>171.21562169364225</v>
      </c>
      <c r="C163" s="12">
        <v>156.40196910812261</v>
      </c>
      <c r="D163" s="12">
        <v>119.39300625034419</v>
      </c>
    </row>
    <row r="164" spans="1:4">
      <c r="A164">
        <v>161</v>
      </c>
      <c r="B164" s="12">
        <v>116.24363228098511</v>
      </c>
      <c r="C164" s="12">
        <v>125.83220770977476</v>
      </c>
      <c r="D164" s="12">
        <v>100.16397591560116</v>
      </c>
    </row>
    <row r="165" spans="1:4">
      <c r="A165">
        <v>162</v>
      </c>
      <c r="B165" s="12">
        <v>164.98094350990911</v>
      </c>
      <c r="C165" s="12">
        <v>169.43625469752857</v>
      </c>
      <c r="D165" s="12">
        <v>77.104273849656352</v>
      </c>
    </row>
    <row r="166" spans="1:4">
      <c r="A166">
        <v>163</v>
      </c>
      <c r="B166" s="12">
        <v>196.68608659097848</v>
      </c>
      <c r="C166" s="12">
        <v>147.17765297080174</v>
      </c>
      <c r="D166" s="12">
        <v>112.5579052591163</v>
      </c>
    </row>
    <row r="167" spans="1:4">
      <c r="A167">
        <v>164</v>
      </c>
      <c r="B167" s="12">
        <v>143.47437851784727</v>
      </c>
      <c r="C167" s="12">
        <v>150.1728589444036</v>
      </c>
      <c r="D167" s="12">
        <v>123.98522129630082</v>
      </c>
    </row>
    <row r="168" spans="1:4">
      <c r="A168">
        <v>165</v>
      </c>
      <c r="B168" s="12">
        <v>232.75705908329138</v>
      </c>
      <c r="C168" s="12">
        <v>171.69169723632874</v>
      </c>
      <c r="D168" s="12">
        <v>90.050899106828524</v>
      </c>
    </row>
    <row r="169" spans="1:4">
      <c r="A169">
        <v>166</v>
      </c>
      <c r="B169" s="12">
        <v>139.74885068118724</v>
      </c>
      <c r="C169" s="12">
        <v>140.81042271036006</v>
      </c>
      <c r="D169" s="12">
        <v>82.329967527970211</v>
      </c>
    </row>
    <row r="170" spans="1:4">
      <c r="A170">
        <v>167</v>
      </c>
      <c r="B170" s="12">
        <v>146.83521511130985</v>
      </c>
      <c r="C170" s="12">
        <v>118.76840635825035</v>
      </c>
      <c r="D170" s="12">
        <v>143.38335899573147</v>
      </c>
    </row>
    <row r="171" spans="1:4">
      <c r="A171">
        <v>168</v>
      </c>
      <c r="B171" s="12">
        <v>111.01753054919639</v>
      </c>
      <c r="C171" s="12">
        <v>163.53033794718573</v>
      </c>
      <c r="D171" s="12">
        <v>75.280488233129006</v>
      </c>
    </row>
    <row r="172" spans="1:4">
      <c r="A172">
        <v>169</v>
      </c>
      <c r="B172" s="12">
        <v>208.68524200243056</v>
      </c>
      <c r="C172" s="12">
        <v>134.09273186025951</v>
      </c>
      <c r="D172" s="12">
        <v>83.093758421237766</v>
      </c>
    </row>
    <row r="173" spans="1:4">
      <c r="A173">
        <v>170</v>
      </c>
      <c r="B173" s="12">
        <v>143.85569555988204</v>
      </c>
      <c r="C173" s="12">
        <v>130.98192179827473</v>
      </c>
      <c r="D173" s="12">
        <v>108.59363810542335</v>
      </c>
    </row>
    <row r="174" spans="1:4">
      <c r="A174">
        <v>171</v>
      </c>
      <c r="B174" s="12">
        <v>131.44786234512196</v>
      </c>
      <c r="C174" s="12">
        <v>174.2411078600079</v>
      </c>
      <c r="D174" s="12">
        <v>97.573465710032394</v>
      </c>
    </row>
    <row r="175" spans="1:4">
      <c r="A175">
        <v>172</v>
      </c>
      <c r="B175" s="12">
        <v>151.32875451998666</v>
      </c>
      <c r="C175" s="12">
        <v>132.87015026976073</v>
      </c>
      <c r="D175" s="12">
        <v>103.86357662716276</v>
      </c>
    </row>
    <row r="176" spans="1:4">
      <c r="A176">
        <v>173</v>
      </c>
      <c r="B176" s="12">
        <v>150.36269264752102</v>
      </c>
      <c r="C176" s="12">
        <v>135.46384053104828</v>
      </c>
      <c r="D176" s="12">
        <v>97.305609362493755</v>
      </c>
    </row>
    <row r="177" spans="1:4">
      <c r="A177">
        <v>174</v>
      </c>
      <c r="B177" s="12">
        <v>177.9590856052437</v>
      </c>
      <c r="C177" s="12">
        <v>144.69245942136209</v>
      </c>
      <c r="D177" s="12">
        <v>88.203672981950405</v>
      </c>
    </row>
    <row r="178" spans="1:4">
      <c r="A178">
        <v>175</v>
      </c>
      <c r="B178" s="12">
        <v>117.0072790759573</v>
      </c>
      <c r="C178" s="12">
        <v>178.37398936973</v>
      </c>
      <c r="D178" s="12">
        <v>89.177950721677192</v>
      </c>
    </row>
    <row r="179" spans="1:4">
      <c r="A179">
        <v>176</v>
      </c>
      <c r="B179" s="12">
        <v>191.22843703937062</v>
      </c>
      <c r="C179" s="12">
        <v>106.51692814013668</v>
      </c>
      <c r="D179" s="12">
        <v>85.602792926982758</v>
      </c>
    </row>
    <row r="180" spans="1:4">
      <c r="A180">
        <v>177</v>
      </c>
      <c r="B180" s="12">
        <v>225.55312409341528</v>
      </c>
      <c r="C180" s="12">
        <v>140.3638979779391</v>
      </c>
      <c r="D180" s="12">
        <v>189.15249958036608</v>
      </c>
    </row>
    <row r="181" spans="1:4">
      <c r="A181">
        <v>178</v>
      </c>
      <c r="B181" s="12">
        <v>115.73989387193639</v>
      </c>
      <c r="C181" s="12">
        <v>159.32495891493707</v>
      </c>
      <c r="D181" s="12">
        <v>89.348709248831952</v>
      </c>
    </row>
    <row r="182" spans="1:4">
      <c r="A182">
        <v>179</v>
      </c>
      <c r="B182" s="12">
        <v>142.84581778804673</v>
      </c>
      <c r="C182" s="12">
        <v>133.76252560089975</v>
      </c>
      <c r="D182" s="12">
        <v>101.6234681341721</v>
      </c>
    </row>
    <row r="183" spans="1:4">
      <c r="A183">
        <v>180</v>
      </c>
      <c r="B183" s="12">
        <v>159.04917756030994</v>
      </c>
      <c r="C183" s="12">
        <v>190.61290232824459</v>
      </c>
      <c r="D183" s="12">
        <v>88.471982743636246</v>
      </c>
    </row>
    <row r="184" spans="1:4">
      <c r="A184">
        <v>181</v>
      </c>
      <c r="B184" s="12">
        <v>196.03865257400165</v>
      </c>
      <c r="C184" s="12">
        <v>191.8274800356823</v>
      </c>
      <c r="D184" s="12">
        <v>130.30544873100246</v>
      </c>
    </row>
    <row r="185" spans="1:4">
      <c r="A185">
        <v>182</v>
      </c>
      <c r="B185" s="12">
        <v>114.08351319772983</v>
      </c>
      <c r="C185" s="12">
        <v>129.32518963919938</v>
      </c>
      <c r="D185" s="12">
        <v>93.802467415589447</v>
      </c>
    </row>
    <row r="186" spans="1:4">
      <c r="A186">
        <v>183</v>
      </c>
      <c r="B186" s="12">
        <v>199.57945314709968</v>
      </c>
      <c r="C186" s="12">
        <v>182.26506942471994</v>
      </c>
      <c r="D186" s="12">
        <v>60.052801331380735</v>
      </c>
    </row>
    <row r="187" spans="1:4">
      <c r="A187">
        <v>184</v>
      </c>
      <c r="B187" s="12">
        <v>135.82848631434865</v>
      </c>
      <c r="C187" s="12">
        <v>128.91835270461439</v>
      </c>
      <c r="D187" s="12">
        <v>113.81276557765025</v>
      </c>
    </row>
    <row r="188" spans="1:4">
      <c r="A188">
        <v>185</v>
      </c>
      <c r="B188" s="12">
        <v>268.83637426808463</v>
      </c>
      <c r="C188" s="12">
        <v>145.86266962240231</v>
      </c>
      <c r="D188" s="12">
        <v>118.33641456469857</v>
      </c>
    </row>
    <row r="189" spans="1:4">
      <c r="A189">
        <v>186</v>
      </c>
      <c r="B189" s="12">
        <v>121.70278018544631</v>
      </c>
      <c r="C189" s="12">
        <v>232.38514997495929</v>
      </c>
      <c r="D189" s="12">
        <v>124.45593895588854</v>
      </c>
    </row>
    <row r="190" spans="1:4">
      <c r="A190">
        <v>187</v>
      </c>
      <c r="B190" s="12">
        <v>153.02226815803985</v>
      </c>
      <c r="C190" s="12">
        <v>159.7479997181774</v>
      </c>
      <c r="D190" s="12">
        <v>105.88293463624652</v>
      </c>
    </row>
    <row r="191" spans="1:4">
      <c r="A191">
        <v>188</v>
      </c>
      <c r="B191" s="12">
        <v>167.01656770374314</v>
      </c>
      <c r="C191" s="12">
        <v>164.7228307067563</v>
      </c>
      <c r="D191" s="12">
        <v>90.750759543037702</v>
      </c>
    </row>
    <row r="192" spans="1:4">
      <c r="A192">
        <v>189</v>
      </c>
      <c r="B192" s="12">
        <v>136.51869694021329</v>
      </c>
      <c r="C192" s="12">
        <v>146.92980878130109</v>
      </c>
      <c r="D192" s="12">
        <v>155.05820435053377</v>
      </c>
    </row>
    <row r="193" spans="1:4">
      <c r="A193">
        <v>190</v>
      </c>
      <c r="B193" s="12">
        <v>133.54546835013926</v>
      </c>
      <c r="C193" s="12">
        <v>134.62597280287417</v>
      </c>
      <c r="D193" s="12">
        <v>99.442633160308603</v>
      </c>
    </row>
    <row r="194" spans="1:4">
      <c r="A194">
        <v>191</v>
      </c>
      <c r="B194" s="12">
        <v>168.04897947603109</v>
      </c>
      <c r="C194" s="12">
        <v>162.53745533392126</v>
      </c>
      <c r="D194" s="12">
        <v>97.038221709860494</v>
      </c>
    </row>
    <row r="195" spans="1:4">
      <c r="A195">
        <v>192</v>
      </c>
      <c r="B195" s="12">
        <v>229.78707562068701</v>
      </c>
      <c r="C195" s="12">
        <v>138.14040354980864</v>
      </c>
      <c r="D195" s="12">
        <v>69.23611560255614</v>
      </c>
    </row>
    <row r="196" spans="1:4">
      <c r="A196">
        <v>193</v>
      </c>
      <c r="B196" s="12">
        <v>193.373560284283</v>
      </c>
      <c r="C196" s="12">
        <v>151.06057105692787</v>
      </c>
      <c r="D196" s="12">
        <v>98.455966017956612</v>
      </c>
    </row>
    <row r="197" spans="1:4">
      <c r="A197">
        <v>194</v>
      </c>
      <c r="B197" s="12">
        <v>210.18261222302314</v>
      </c>
      <c r="C197" s="12">
        <v>150.41681130104561</v>
      </c>
      <c r="D197" s="12">
        <v>100.61482890651808</v>
      </c>
    </row>
    <row r="198" spans="1:4">
      <c r="A198">
        <v>195</v>
      </c>
      <c r="B198" s="12">
        <v>192.77396454309843</v>
      </c>
      <c r="C198" s="12">
        <v>211.67213351894569</v>
      </c>
      <c r="D198" s="12">
        <v>91.976882178159954</v>
      </c>
    </row>
    <row r="199" spans="1:4">
      <c r="A199">
        <v>196</v>
      </c>
      <c r="B199" s="12">
        <v>175.63899879052835</v>
      </c>
      <c r="C199" s="12">
        <v>148.63662525056509</v>
      </c>
      <c r="D199" s="12">
        <v>73.703040933739047</v>
      </c>
    </row>
    <row r="200" spans="1:4">
      <c r="A200">
        <v>197</v>
      </c>
      <c r="B200" s="12">
        <v>177.22953263220174</v>
      </c>
      <c r="C200" s="12">
        <v>124.82803297278292</v>
      </c>
      <c r="D200" s="12">
        <v>65.5348282715849</v>
      </c>
    </row>
    <row r="201" spans="1:4">
      <c r="A201">
        <v>198</v>
      </c>
      <c r="B201" s="12">
        <v>171.62369772727638</v>
      </c>
      <c r="C201" s="12">
        <v>139.07605942600748</v>
      </c>
      <c r="D201" s="12">
        <v>105.39835779903065</v>
      </c>
    </row>
    <row r="202" spans="1:4">
      <c r="A202">
        <v>199</v>
      </c>
      <c r="B202" s="12">
        <v>144.47846791951471</v>
      </c>
      <c r="C202" s="12">
        <v>148.23372825309167</v>
      </c>
      <c r="D202" s="12">
        <v>137.98935850491429</v>
      </c>
    </row>
    <row r="203" spans="1:4">
      <c r="A203">
        <v>200</v>
      </c>
      <c r="B203" s="12">
        <v>152.05912796738497</v>
      </c>
      <c r="C203" s="12">
        <v>161.82822673100776</v>
      </c>
      <c r="D203" s="12">
        <v>99.170751284891438</v>
      </c>
    </row>
    <row r="204" spans="1:4">
      <c r="A204">
        <v>201</v>
      </c>
      <c r="B204" s="12">
        <v>203.46717854625788</v>
      </c>
      <c r="C204" s="12">
        <v>175.46241407350459</v>
      </c>
      <c r="D204" s="12">
        <v>81.257057566317783</v>
      </c>
    </row>
    <row r="205" spans="1:4">
      <c r="A205">
        <v>202</v>
      </c>
      <c r="B205" s="12">
        <v>176.07214746500773</v>
      </c>
      <c r="C205" s="12">
        <v>128.50297081700455</v>
      </c>
      <c r="D205" s="12">
        <v>161.82270956341279</v>
      </c>
    </row>
    <row r="206" spans="1:4">
      <c r="A206">
        <v>203</v>
      </c>
      <c r="B206" s="12">
        <v>213.75621953132114</v>
      </c>
      <c r="C206" s="12">
        <v>128.2321459133089</v>
      </c>
      <c r="D206" s="12">
        <v>95.898148143691188</v>
      </c>
    </row>
    <row r="207" spans="1:4">
      <c r="A207">
        <v>204</v>
      </c>
      <c r="B207" s="12">
        <v>185.51075747053594</v>
      </c>
      <c r="C207" s="12">
        <v>130.60624313971218</v>
      </c>
      <c r="D207" s="12">
        <v>140.9707467635742</v>
      </c>
    </row>
    <row r="208" spans="1:4">
      <c r="A208">
        <v>205</v>
      </c>
      <c r="B208" s="12">
        <v>117.74548408456329</v>
      </c>
      <c r="C208" s="12">
        <v>157.31262839430846</v>
      </c>
      <c r="D208" s="12">
        <v>95.632771719791165</v>
      </c>
    </row>
    <row r="209" spans="1:4">
      <c r="A209">
        <v>206</v>
      </c>
      <c r="B209" s="12">
        <v>82.990482773970157</v>
      </c>
      <c r="C209" s="12">
        <v>117.36964928274881</v>
      </c>
      <c r="D209" s="12">
        <v>112.00435460755295</v>
      </c>
    </row>
    <row r="210" spans="1:4">
      <c r="A210">
        <v>207</v>
      </c>
      <c r="B210" s="12">
        <v>111.65741090717793</v>
      </c>
      <c r="C210" s="12">
        <v>132.29943939330755</v>
      </c>
      <c r="D210" s="12">
        <v>87.492291742401051</v>
      </c>
    </row>
    <row r="211" spans="1:4">
      <c r="A211">
        <v>208</v>
      </c>
      <c r="B211" s="12">
        <v>122.3147670621874</v>
      </c>
      <c r="C211" s="12">
        <v>169.75339425674395</v>
      </c>
      <c r="D211" s="12">
        <v>139.28909565668678</v>
      </c>
    </row>
    <row r="212" spans="1:4">
      <c r="A212">
        <v>209</v>
      </c>
      <c r="B212" s="12">
        <v>217.33764695633263</v>
      </c>
      <c r="C212" s="12">
        <v>185.01675827675624</v>
      </c>
      <c r="D212" s="12">
        <v>163.26968484949043</v>
      </c>
    </row>
    <row r="213" spans="1:4">
      <c r="A213">
        <v>210</v>
      </c>
      <c r="B213" s="12">
        <v>153.98478667164227</v>
      </c>
      <c r="C213" s="12">
        <v>157.7256509365445</v>
      </c>
      <c r="D213" s="12">
        <v>113.46428803926979</v>
      </c>
    </row>
    <row r="214" spans="1:4">
      <c r="A214">
        <v>211</v>
      </c>
      <c r="B214" s="12">
        <v>140.39967972230764</v>
      </c>
      <c r="C214" s="12">
        <v>155.99397256546672</v>
      </c>
      <c r="D214" s="12">
        <v>99.890189585171498</v>
      </c>
    </row>
    <row r="215" spans="1:4">
      <c r="A215">
        <v>212</v>
      </c>
      <c r="B215" s="12">
        <v>197.77065799726481</v>
      </c>
      <c r="C215" s="12">
        <v>186.52755117501056</v>
      </c>
      <c r="D215" s="12">
        <v>149.89126539228582</v>
      </c>
    </row>
    <row r="216" spans="1:4">
      <c r="A216">
        <v>213</v>
      </c>
      <c r="B216" s="12">
        <v>192.18237729597783</v>
      </c>
      <c r="C216" s="12">
        <v>139.81356631307739</v>
      </c>
      <c r="D216" s="12">
        <v>103.10926655589647</v>
      </c>
    </row>
    <row r="217" spans="1:4">
      <c r="A217">
        <v>214</v>
      </c>
      <c r="B217" s="12">
        <v>153.25578455331367</v>
      </c>
      <c r="C217" s="12">
        <v>126.6131111241821</v>
      </c>
      <c r="D217" s="12">
        <v>119.80166080766638</v>
      </c>
    </row>
    <row r="218" spans="1:4">
      <c r="A218">
        <v>215</v>
      </c>
      <c r="B218" s="12">
        <v>195.4010654019954</v>
      </c>
      <c r="C218" s="12">
        <v>135.1493497482918</v>
      </c>
      <c r="D218" s="12">
        <v>118.73283187290849</v>
      </c>
    </row>
    <row r="219" spans="1:4">
      <c r="A219">
        <v>216</v>
      </c>
      <c r="B219" s="12">
        <v>200.74601945315416</v>
      </c>
      <c r="C219" s="12">
        <v>126.14136807117025</v>
      </c>
      <c r="D219" s="12">
        <v>59.4089798612317</v>
      </c>
    </row>
    <row r="220" spans="1:4">
      <c r="A220">
        <v>217</v>
      </c>
      <c r="B220" s="12">
        <v>182.08661835193521</v>
      </c>
      <c r="C220" s="12">
        <v>202.33618399100763</v>
      </c>
      <c r="D220" s="12">
        <v>96.163845740089982</v>
      </c>
    </row>
    <row r="221" spans="1:4">
      <c r="A221">
        <v>218</v>
      </c>
      <c r="B221" s="12">
        <v>157.11027283650631</v>
      </c>
      <c r="C221" s="12">
        <v>208.16053340132669</v>
      </c>
      <c r="D221" s="12">
        <v>74.080766530341435</v>
      </c>
    </row>
    <row r="222" spans="1:4">
      <c r="A222">
        <v>219</v>
      </c>
      <c r="B222" s="12">
        <v>150.7288295684167</v>
      </c>
      <c r="C222" s="12">
        <v>192.60578904943381</v>
      </c>
      <c r="D222" s="12">
        <v>86.328416860116846</v>
      </c>
    </row>
    <row r="223" spans="1:4">
      <c r="A223">
        <v>220</v>
      </c>
      <c r="B223" s="12">
        <v>215.49857509541698</v>
      </c>
      <c r="C223" s="12">
        <v>146.52210352194319</v>
      </c>
      <c r="D223" s="12">
        <v>115.33966216318626</v>
      </c>
    </row>
    <row r="224" spans="1:4">
      <c r="A224">
        <v>221</v>
      </c>
      <c r="B224" s="12">
        <v>133.82782000568633</v>
      </c>
      <c r="C224" s="12">
        <v>168.9217843644827</v>
      </c>
      <c r="D224" s="12">
        <v>146.76425574233082</v>
      </c>
    </row>
    <row r="225" spans="1:4">
      <c r="A225">
        <v>222</v>
      </c>
      <c r="B225" s="12">
        <v>197.10615955858287</v>
      </c>
      <c r="C225" s="12">
        <v>132.5238475695306</v>
      </c>
      <c r="D225" s="12">
        <v>129.93722978627227</v>
      </c>
    </row>
    <row r="226" spans="1:4">
      <c r="A226">
        <v>223</v>
      </c>
      <c r="B226" s="12">
        <v>141.18601046669946</v>
      </c>
      <c r="C226" s="12">
        <v>203.7444220908485</v>
      </c>
      <c r="D226" s="12">
        <v>76.889179233379764</v>
      </c>
    </row>
    <row r="227" spans="1:4">
      <c r="A227">
        <v>224</v>
      </c>
      <c r="B227" s="12">
        <v>141.82562266411148</v>
      </c>
      <c r="C227" s="12">
        <v>136.27898221757511</v>
      </c>
      <c r="D227" s="12">
        <v>95.198033137049336</v>
      </c>
    </row>
    <row r="228" spans="1:4">
      <c r="A228">
        <v>225</v>
      </c>
      <c r="B228" s="12">
        <v>189.7336265440868</v>
      </c>
      <c r="C228" s="12">
        <v>117.93588320531185</v>
      </c>
      <c r="D228" s="12">
        <v>78.619891903872613</v>
      </c>
    </row>
    <row r="229" spans="1:4">
      <c r="A229">
        <v>226</v>
      </c>
      <c r="B229" s="12">
        <v>135.40362033440269</v>
      </c>
      <c r="C229" s="12">
        <v>148.88181262168013</v>
      </c>
      <c r="D229" s="12">
        <v>132.49622207480579</v>
      </c>
    </row>
    <row r="230" spans="1:4">
      <c r="A230">
        <v>227</v>
      </c>
      <c r="B230" s="12">
        <v>189.17981023270858</v>
      </c>
      <c r="C230" s="12">
        <v>144.01900005392025</v>
      </c>
      <c r="D230" s="12">
        <v>90.316184226165021</v>
      </c>
    </row>
    <row r="231" spans="1:4">
      <c r="A231">
        <v>228</v>
      </c>
      <c r="B231" s="12">
        <v>258.97009234365328</v>
      </c>
      <c r="C231" s="12">
        <v>127.07244225429427</v>
      </c>
      <c r="D231" s="12">
        <v>98.013984538819258</v>
      </c>
    </row>
    <row r="232" spans="1:4">
      <c r="A232">
        <v>229</v>
      </c>
      <c r="B232" s="12">
        <v>174.50809518124692</v>
      </c>
      <c r="C232" s="12">
        <v>150.57301932570988</v>
      </c>
      <c r="D232" s="12">
        <v>60.982328112422458</v>
      </c>
    </row>
    <row r="233" spans="1:4">
      <c r="A233">
        <v>230</v>
      </c>
      <c r="B233" s="12">
        <v>231.56148014584937</v>
      </c>
      <c r="C233" s="12">
        <v>201.49146889365383</v>
      </c>
      <c r="D233" s="12">
        <v>146.06515628833139</v>
      </c>
    </row>
    <row r="234" spans="1:4">
      <c r="A234">
        <v>231</v>
      </c>
      <c r="B234" s="12">
        <v>99.643371577835183</v>
      </c>
      <c r="C234" s="12">
        <v>170.60445566031436</v>
      </c>
      <c r="D234" s="12">
        <v>133.54391000333626</v>
      </c>
    </row>
    <row r="235" spans="1:4">
      <c r="A235">
        <v>232</v>
      </c>
      <c r="B235" s="12">
        <v>307.9733344344337</v>
      </c>
      <c r="C235" s="12">
        <v>143.85469505004465</v>
      </c>
      <c r="D235" s="12">
        <v>129.37180358345816</v>
      </c>
    </row>
    <row r="236" spans="1:4">
      <c r="A236">
        <v>233</v>
      </c>
      <c r="B236" s="12">
        <v>198.88484212564578</v>
      </c>
      <c r="C236" s="12">
        <v>129.58154180894283</v>
      </c>
      <c r="D236" s="12">
        <v>149.092851541496</v>
      </c>
    </row>
    <row r="237" spans="1:4">
      <c r="A237">
        <v>234</v>
      </c>
      <c r="B237" s="12">
        <v>264.51668550808466</v>
      </c>
      <c r="C237" s="12">
        <v>179.51199053618868</v>
      </c>
      <c r="D237" s="12">
        <v>87.047954001674199</v>
      </c>
    </row>
    <row r="238" spans="1:4">
      <c r="A238">
        <v>235</v>
      </c>
      <c r="B238" s="12">
        <v>207.80264015277848</v>
      </c>
      <c r="C238" s="12">
        <v>152.34793223824181</v>
      </c>
      <c r="D238" s="12">
        <v>94.235502042753637</v>
      </c>
    </row>
    <row r="239" spans="1:4">
      <c r="A239">
        <v>236</v>
      </c>
      <c r="B239" s="12">
        <v>114.92848860730386</v>
      </c>
      <c r="C239" s="12">
        <v>181.95206036425503</v>
      </c>
      <c r="D239" s="12">
        <v>82.620551176794251</v>
      </c>
    </row>
    <row r="240" spans="1:4">
      <c r="A240">
        <v>237</v>
      </c>
      <c r="B240" s="12">
        <v>112.61331833227585</v>
      </c>
      <c r="C240" s="12">
        <v>186.15152898031334</v>
      </c>
      <c r="D240" s="12">
        <v>75.050724630736823</v>
      </c>
    </row>
    <row r="241" spans="1:4">
      <c r="A241">
        <v>238</v>
      </c>
      <c r="B241" s="12">
        <v>147.81521542038706</v>
      </c>
      <c r="C241" s="12">
        <v>109.04294052674715</v>
      </c>
      <c r="D241" s="12">
        <v>50.46342730242992</v>
      </c>
    </row>
    <row r="242" spans="1:4">
      <c r="A242">
        <v>239</v>
      </c>
      <c r="B242" s="12">
        <v>190.29406097248776</v>
      </c>
      <c r="C242" s="12">
        <v>173.52013221389365</v>
      </c>
      <c r="D242" s="12">
        <v>85.779420019244483</v>
      </c>
    </row>
    <row r="243" spans="1:4">
      <c r="A243">
        <v>240</v>
      </c>
      <c r="B243" s="12">
        <v>157.47650167540127</v>
      </c>
      <c r="C243" s="12">
        <v>167.8042735813282</v>
      </c>
      <c r="D243" s="12">
        <v>82.037674592555433</v>
      </c>
    </row>
    <row r="244" spans="1:4">
      <c r="A244">
        <v>241</v>
      </c>
      <c r="B244" s="12">
        <v>172.71129386982932</v>
      </c>
      <c r="C244" s="12">
        <v>136.77507047162442</v>
      </c>
      <c r="D244" s="12">
        <v>112.89886816843712</v>
      </c>
    </row>
    <row r="245" spans="1:4">
      <c r="A245">
        <v>242</v>
      </c>
      <c r="B245" s="12">
        <v>101.00345291271231</v>
      </c>
      <c r="C245" s="12">
        <v>139.63584392075444</v>
      </c>
      <c r="D245" s="12">
        <v>58.308745133622494</v>
      </c>
    </row>
    <row r="246" spans="1:4">
      <c r="A246">
        <v>243</v>
      </c>
      <c r="B246" s="12">
        <v>251.85636633062813</v>
      </c>
      <c r="C246" s="12">
        <v>183.26953043952841</v>
      </c>
      <c r="D246" s="12">
        <v>80.267337698349507</v>
      </c>
    </row>
    <row r="247" spans="1:4">
      <c r="A247">
        <v>244</v>
      </c>
      <c r="B247" s="12">
        <v>128.11241137716766</v>
      </c>
      <c r="C247" s="12">
        <v>160.69582394710335</v>
      </c>
      <c r="D247" s="12">
        <v>85.04860225321606</v>
      </c>
    </row>
    <row r="248" spans="1:4">
      <c r="A248">
        <v>245</v>
      </c>
      <c r="B248" s="12">
        <v>160.39434032978929</v>
      </c>
      <c r="C248" s="12">
        <v>161.12735865418244</v>
      </c>
      <c r="D248" s="12">
        <v>101.3452323983972</v>
      </c>
    </row>
    <row r="249" spans="1:4">
      <c r="A249">
        <v>246</v>
      </c>
      <c r="B249" s="12">
        <v>188.28499878929898</v>
      </c>
      <c r="C249" s="12">
        <v>123.39653827383194</v>
      </c>
      <c r="D249" s="12">
        <v>69.706719648596319</v>
      </c>
    </row>
    <row r="250" spans="1:4">
      <c r="A250">
        <v>247</v>
      </c>
      <c r="B250" s="12">
        <v>162.36243897955745</v>
      </c>
      <c r="C250" s="12">
        <v>157.06170899719285</v>
      </c>
      <c r="D250" s="12">
        <v>116.31208832866652</v>
      </c>
    </row>
    <row r="251" spans="1:4">
      <c r="A251">
        <v>248</v>
      </c>
      <c r="B251" s="12">
        <v>130.20811226285741</v>
      </c>
      <c r="C251" s="12">
        <v>177.28250597028079</v>
      </c>
      <c r="D251" s="12">
        <v>91.279667821700656</v>
      </c>
    </row>
    <row r="252" spans="1:4">
      <c r="A252">
        <v>249</v>
      </c>
      <c r="B252" s="12">
        <v>179.15137112953963</v>
      </c>
      <c r="C252" s="12">
        <v>142.65205590399808</v>
      </c>
      <c r="D252" s="12">
        <v>94.499644658202499</v>
      </c>
    </row>
    <row r="253" spans="1:4">
      <c r="A253">
        <v>250</v>
      </c>
      <c r="B253" s="12">
        <v>194.37538591946864</v>
      </c>
      <c r="C253" s="12">
        <v>199.08999118848288</v>
      </c>
      <c r="D253" s="12">
        <v>118.98911311955533</v>
      </c>
    </row>
    <row r="254" spans="1:4">
      <c r="A254">
        <v>251</v>
      </c>
      <c r="B254" s="12">
        <v>148.42151352914749</v>
      </c>
      <c r="C254" s="12">
        <v>140.08958087517834</v>
      </c>
      <c r="D254" s="12">
        <v>84.590743696825086</v>
      </c>
    </row>
    <row r="255" spans="1:4">
      <c r="A255">
        <v>252</v>
      </c>
      <c r="B255" s="12">
        <v>137.61316825709739</v>
      </c>
      <c r="C255" s="12">
        <v>144.94598450734173</v>
      </c>
      <c r="D255" s="12">
        <v>63.110070363461624</v>
      </c>
    </row>
    <row r="256" spans="1:4">
      <c r="A256">
        <v>253</v>
      </c>
      <c r="B256" s="12">
        <v>219.72998452667593</v>
      </c>
      <c r="C256" s="12">
        <v>119.54711046251715</v>
      </c>
      <c r="D256" s="12">
        <v>109.42360236924307</v>
      </c>
    </row>
    <row r="257" spans="1:4">
      <c r="A257">
        <v>254</v>
      </c>
      <c r="B257" s="12">
        <v>127.60543693379324</v>
      </c>
      <c r="C257" s="12">
        <v>184.66507908828339</v>
      </c>
      <c r="D257" s="12">
        <v>77.76628694149845</v>
      </c>
    </row>
    <row r="258" spans="1:4">
      <c r="A258">
        <v>255</v>
      </c>
      <c r="B258" s="12">
        <v>138.68923263819283</v>
      </c>
      <c r="C258" s="12">
        <v>142.91315678527963</v>
      </c>
      <c r="D258" s="12">
        <v>74.687840659514706</v>
      </c>
    </row>
    <row r="259" spans="1:4">
      <c r="A259">
        <v>256</v>
      </c>
      <c r="B259" s="12">
        <v>173.81439842455191</v>
      </c>
      <c r="C259" s="12">
        <v>134.30215485622924</v>
      </c>
      <c r="D259" s="12">
        <v>122.04571319271471</v>
      </c>
    </row>
    <row r="260" spans="1:4">
      <c r="A260">
        <v>257</v>
      </c>
      <c r="B260" s="12">
        <v>158.8133054847921</v>
      </c>
      <c r="C260" s="12">
        <v>147.98769407970056</v>
      </c>
      <c r="D260" s="12">
        <v>76.55021412206888</v>
      </c>
    </row>
    <row r="261" spans="1:4">
      <c r="A261">
        <v>258</v>
      </c>
      <c r="B261" s="12">
        <v>167.40632560693552</v>
      </c>
      <c r="C261" s="12">
        <v>147.33615717664267</v>
      </c>
      <c r="D261" s="12">
        <v>79.139633476029275</v>
      </c>
    </row>
    <row r="262" spans="1:4">
      <c r="A262">
        <v>259</v>
      </c>
      <c r="B262" s="12">
        <v>158.44549295793041</v>
      </c>
      <c r="C262" s="12">
        <v>165.47329589676059</v>
      </c>
      <c r="D262" s="12">
        <v>88.643558370462202</v>
      </c>
    </row>
    <row r="263" spans="1:4">
      <c r="A263">
        <v>260</v>
      </c>
      <c r="B263" s="12">
        <v>145.84929958314063</v>
      </c>
      <c r="C263" s="12">
        <v>123.95447051325353</v>
      </c>
      <c r="D263" s="12">
        <v>127.06959799205615</v>
      </c>
    </row>
    <row r="264" spans="1:4">
      <c r="A264">
        <v>261</v>
      </c>
      <c r="B264" s="12">
        <v>147.2069954572149</v>
      </c>
      <c r="C264" s="12">
        <v>173.87851239763305</v>
      </c>
      <c r="D264" s="12">
        <v>52.32823377368134</v>
      </c>
    </row>
    <row r="265" spans="1:4">
      <c r="A265">
        <v>262</v>
      </c>
      <c r="B265" s="12">
        <v>142.21327660492017</v>
      </c>
      <c r="C265" s="12">
        <v>194.82391940590108</v>
      </c>
      <c r="D265" s="12">
        <v>84.129677802090995</v>
      </c>
    </row>
    <row r="266" spans="1:4">
      <c r="A266">
        <v>263</v>
      </c>
      <c r="B266" s="12">
        <v>277.56934862843275</v>
      </c>
      <c r="C266" s="12">
        <v>123.02787507856505</v>
      </c>
      <c r="D266" s="12">
        <v>104.62637343019185</v>
      </c>
    </row>
    <row r="267" spans="1:4">
      <c r="A267">
        <v>264</v>
      </c>
      <c r="B267" s="12">
        <v>147.4447147086631</v>
      </c>
      <c r="C267" s="12">
        <v>142.22118709172025</v>
      </c>
      <c r="D267" s="12">
        <v>77.437047436057995</v>
      </c>
    </row>
    <row r="268" spans="1:4">
      <c r="A268">
        <v>265</v>
      </c>
      <c r="B268" s="12">
        <v>164.35567659603055</v>
      </c>
      <c r="C268" s="12">
        <v>153.14899002508093</v>
      </c>
      <c r="D268" s="12">
        <v>142.44130866107372</v>
      </c>
    </row>
    <row r="269" spans="1:4">
      <c r="A269">
        <v>266</v>
      </c>
      <c r="B269" s="12">
        <v>146.22343334592028</v>
      </c>
      <c r="C269" s="12">
        <v>176.88024479781504</v>
      </c>
      <c r="D269" s="12">
        <v>144.00672818915712</v>
      </c>
    </row>
    <row r="270" spans="1:4">
      <c r="A270">
        <v>267</v>
      </c>
      <c r="B270" s="12">
        <v>202.70025403001051</v>
      </c>
      <c r="C270" s="12">
        <v>121.81210916905265</v>
      </c>
      <c r="D270" s="12">
        <v>73.069647106465126</v>
      </c>
    </row>
    <row r="271" spans="1:4">
      <c r="A271">
        <v>268</v>
      </c>
      <c r="B271" s="12">
        <v>153.62029737307358</v>
      </c>
      <c r="C271" s="12">
        <v>179.07519568389981</v>
      </c>
      <c r="D271" s="12">
        <v>131.87689087625333</v>
      </c>
    </row>
    <row r="272" spans="1:4">
      <c r="A272">
        <v>269</v>
      </c>
      <c r="B272" s="12">
        <v>105.45862206269419</v>
      </c>
      <c r="C272" s="12">
        <v>137.37003816623155</v>
      </c>
      <c r="D272" s="12">
        <v>72.674546534332293</v>
      </c>
    </row>
    <row r="273" spans="1:4">
      <c r="A273">
        <v>270</v>
      </c>
      <c r="B273" s="12">
        <v>180.83458032064789</v>
      </c>
      <c r="C273" s="12">
        <v>219.87126682415195</v>
      </c>
      <c r="D273" s="12">
        <v>89.880799665343403</v>
      </c>
    </row>
    <row r="274" spans="1:4">
      <c r="A274">
        <v>271</v>
      </c>
      <c r="B274" s="12">
        <v>186.87855702400904</v>
      </c>
      <c r="C274" s="12">
        <v>127.36056665639241</v>
      </c>
      <c r="D274" s="12">
        <v>200.31792929271231</v>
      </c>
    </row>
    <row r="275" spans="1:4">
      <c r="A275">
        <v>272</v>
      </c>
      <c r="B275" s="12">
        <v>194.99765611802098</v>
      </c>
      <c r="C275" s="12">
        <v>149.12673098957538</v>
      </c>
      <c r="D275" s="12">
        <v>105.10487249669977</v>
      </c>
    </row>
    <row r="276" spans="1:4">
      <c r="A276">
        <v>273</v>
      </c>
      <c r="B276" s="12">
        <v>170.14753082945361</v>
      </c>
      <c r="C276" s="12">
        <v>158.39431643909356</v>
      </c>
      <c r="D276" s="12">
        <v>110.80028457523677</v>
      </c>
    </row>
    <row r="277" spans="1:4">
      <c r="A277">
        <v>274</v>
      </c>
      <c r="B277" s="12">
        <v>149.39388641292399</v>
      </c>
      <c r="C277" s="12">
        <v>137.85058751331692</v>
      </c>
      <c r="D277" s="12">
        <v>91.015321405649516</v>
      </c>
    </row>
    <row r="278" spans="1:4">
      <c r="A278">
        <v>275</v>
      </c>
      <c r="B278" s="12">
        <v>234.72770531621171</v>
      </c>
      <c r="C278" s="12">
        <v>135.77507595478818</v>
      </c>
      <c r="D278" s="12">
        <v>78.299201452914787</v>
      </c>
    </row>
    <row r="279" spans="1:4">
      <c r="A279">
        <v>276</v>
      </c>
      <c r="B279" s="12">
        <v>161.37562091248265</v>
      </c>
      <c r="C279" s="12">
        <v>159.06824550076541</v>
      </c>
      <c r="D279" s="12">
        <v>108.28286701356112</v>
      </c>
    </row>
    <row r="280" spans="1:4">
      <c r="A280">
        <v>277</v>
      </c>
      <c r="B280" s="12">
        <v>158.07816593853406</v>
      </c>
      <c r="C280" s="12">
        <v>197.33625541491057</v>
      </c>
      <c r="D280" s="12">
        <v>81.849514828304521</v>
      </c>
    </row>
    <row r="281" spans="1:4">
      <c r="A281">
        <v>278</v>
      </c>
      <c r="B281" s="12">
        <v>118.90738243309016</v>
      </c>
      <c r="C281" s="12">
        <v>175.22000677975214</v>
      </c>
      <c r="D281" s="12">
        <v>95.462942946280918</v>
      </c>
    </row>
    <row r="282" spans="1:4">
      <c r="A282">
        <v>279</v>
      </c>
      <c r="B282" s="12">
        <v>160.02401403638498</v>
      </c>
      <c r="C282" s="12">
        <v>185.57695685984621</v>
      </c>
      <c r="D282" s="12">
        <v>94.76396104382664</v>
      </c>
    </row>
    <row r="283" spans="1:4">
      <c r="A283">
        <v>280</v>
      </c>
      <c r="B283" s="12">
        <v>162.97865395965005</v>
      </c>
      <c r="C283" s="12">
        <v>174.84550613691889</v>
      </c>
      <c r="D283" s="12">
        <v>170.58907062382511</v>
      </c>
    </row>
    <row r="284" spans="1:4">
      <c r="A284">
        <v>281</v>
      </c>
      <c r="B284" s="12">
        <v>151.09461664190493</v>
      </c>
      <c r="C284" s="12">
        <v>163.98395386117861</v>
      </c>
      <c r="D284" s="12">
        <v>92.842285648312838</v>
      </c>
    </row>
    <row r="285" spans="1:4">
      <c r="A285">
        <v>282</v>
      </c>
      <c r="B285" s="12">
        <v>125.34633906220763</v>
      </c>
      <c r="C285" s="12">
        <v>165.00562574916708</v>
      </c>
      <c r="D285" s="12">
        <v>68.752240278745845</v>
      </c>
    </row>
    <row r="286" spans="1:4">
      <c r="A286">
        <v>283</v>
      </c>
      <c r="B286" s="12">
        <v>113.52274468860981</v>
      </c>
      <c r="C286" s="12">
        <v>161.39184540677437</v>
      </c>
      <c r="D286" s="12">
        <v>82.805818665901114</v>
      </c>
    </row>
    <row r="287" spans="1:4">
      <c r="A287">
        <v>284</v>
      </c>
      <c r="B287" s="12">
        <v>169.49048728403255</v>
      </c>
      <c r="C287" s="12">
        <v>143.33912806127191</v>
      </c>
      <c r="D287" s="12">
        <v>92.409656629288762</v>
      </c>
    </row>
    <row r="288" spans="1:4">
      <c r="A288">
        <v>285</v>
      </c>
      <c r="B288" s="12">
        <v>212.7368293576132</v>
      </c>
      <c r="C288" s="12">
        <v>148.47941816527074</v>
      </c>
      <c r="D288" s="12">
        <v>107.47109334483804</v>
      </c>
    </row>
    <row r="289" spans="1:4">
      <c r="A289">
        <v>286</v>
      </c>
      <c r="B289" s="12">
        <v>161.00338813862695</v>
      </c>
      <c r="C289" s="12">
        <v>181.47130383994724</v>
      </c>
      <c r="D289" s="12">
        <v>123.52147967331214</v>
      </c>
    </row>
    <row r="290" spans="1:4">
      <c r="A290">
        <v>287</v>
      </c>
      <c r="B290" s="12">
        <v>136.09895763996471</v>
      </c>
      <c r="C290" s="12">
        <v>164.26246896199609</v>
      </c>
      <c r="D290" s="12">
        <v>72.272073684361246</v>
      </c>
    </row>
    <row r="291" spans="1:4">
      <c r="A291">
        <v>288</v>
      </c>
      <c r="B291" s="12">
        <v>243.33607403607931</v>
      </c>
      <c r="C291" s="12">
        <v>187.74511257483309</v>
      </c>
      <c r="D291" s="12">
        <v>72.010169709374253</v>
      </c>
    </row>
    <row r="292" spans="1:4">
      <c r="A292">
        <v>289</v>
      </c>
      <c r="B292" s="12">
        <v>156.51019175645806</v>
      </c>
      <c r="C292" s="12">
        <v>170.27975554012838</v>
      </c>
      <c r="D292" s="12">
        <v>74.319599778602623</v>
      </c>
    </row>
    <row r="293" spans="1:4">
      <c r="A293">
        <v>290</v>
      </c>
      <c r="B293" s="12">
        <v>216.60729092112479</v>
      </c>
      <c r="C293" s="12">
        <v>124.49273895970903</v>
      </c>
      <c r="D293" s="12">
        <v>102.36277617513146</v>
      </c>
    </row>
    <row r="294" spans="1:4">
      <c r="A294">
        <v>291</v>
      </c>
      <c r="B294" s="12">
        <v>156.1447948112345</v>
      </c>
      <c r="C294" s="12">
        <v>97.831584862657166</v>
      </c>
      <c r="D294" s="12">
        <v>61.83651757373606</v>
      </c>
    </row>
    <row r="295" spans="1:4">
      <c r="A295">
        <v>292</v>
      </c>
      <c r="B295" s="12">
        <v>178.40793277569892</v>
      </c>
      <c r="C295" s="12">
        <v>120.02141315379565</v>
      </c>
      <c r="D295" s="12">
        <v>75.985292412583135</v>
      </c>
    </row>
    <row r="296" spans="1:4">
      <c r="A296">
        <v>293</v>
      </c>
      <c r="B296" s="12">
        <v>144.85647848208629</v>
      </c>
      <c r="C296" s="12">
        <v>127.80146183379962</v>
      </c>
      <c r="D296" s="12">
        <v>116.68696458458172</v>
      </c>
    </row>
    <row r="297" spans="1:4">
      <c r="A297">
        <v>294</v>
      </c>
      <c r="B297" s="12">
        <v>214.42575122031815</v>
      </c>
      <c r="C297" s="12">
        <v>189.90673053836224</v>
      </c>
      <c r="D297" s="12">
        <v>135.32153244220228</v>
      </c>
    </row>
    <row r="298" spans="1:4">
      <c r="A298">
        <v>295</v>
      </c>
      <c r="B298" s="12">
        <v>245.17008193652495</v>
      </c>
      <c r="C298" s="12">
        <v>149.77236121228805</v>
      </c>
      <c r="D298" s="12">
        <v>102.82567817729965</v>
      </c>
    </row>
    <row r="299" spans="1:4">
      <c r="A299">
        <v>296</v>
      </c>
      <c r="B299" s="12">
        <v>180.36744199427559</v>
      </c>
      <c r="C299" s="12">
        <v>140.53874831662023</v>
      </c>
      <c r="D299" s="12">
        <v>100.890731022784</v>
      </c>
    </row>
    <row r="300" spans="1:4">
      <c r="A300">
        <v>297</v>
      </c>
      <c r="B300" s="12">
        <v>161.98802264241488</v>
      </c>
      <c r="C300" s="12">
        <v>177.95544616450235</v>
      </c>
      <c r="D300" s="12">
        <v>137.22858294912632</v>
      </c>
    </row>
    <row r="301" spans="1:4">
      <c r="A301">
        <v>298</v>
      </c>
      <c r="B301" s="12">
        <v>228.11278202338548</v>
      </c>
      <c r="C301" s="12">
        <v>174.47565226626719</v>
      </c>
      <c r="D301" s="12">
        <v>83.562877351696685</v>
      </c>
    </row>
    <row r="302" spans="1:4">
      <c r="A302">
        <v>299</v>
      </c>
      <c r="B302" s="12">
        <v>166.38024381059984</v>
      </c>
      <c r="C302" s="12">
        <v>149.28348295725129</v>
      </c>
      <c r="D302" s="12">
        <v>70.452783557198458</v>
      </c>
    </row>
    <row r="303" spans="1:4">
      <c r="A303">
        <v>300</v>
      </c>
      <c r="B303" s="12">
        <v>188.82844055798421</v>
      </c>
      <c r="C303" s="12">
        <v>176.48369759905094</v>
      </c>
      <c r="D303" s="12">
        <v>78.823739623667464</v>
      </c>
    </row>
    <row r="304" spans="1:4">
      <c r="A304">
        <v>301</v>
      </c>
      <c r="B304" s="12">
        <v>187.40646227281695</v>
      </c>
      <c r="C304" s="12">
        <v>179.79569380499424</v>
      </c>
      <c r="D304" s="12">
        <v>70.001689157071908</v>
      </c>
    </row>
    <row r="305" spans="1:4">
      <c r="A305">
        <v>302</v>
      </c>
      <c r="B305" s="12">
        <v>104.50416577606991</v>
      </c>
      <c r="C305" s="12">
        <v>168.10806423765442</v>
      </c>
      <c r="D305" s="12">
        <v>157.84863461943115</v>
      </c>
    </row>
    <row r="306" spans="1:4">
      <c r="A306">
        <v>303</v>
      </c>
      <c r="B306" s="12">
        <v>156.87587240787863</v>
      </c>
      <c r="C306" s="12">
        <v>151.86025409996904</v>
      </c>
      <c r="D306" s="12">
        <v>165.74834632205938</v>
      </c>
    </row>
    <row r="307" spans="1:4">
      <c r="A307">
        <v>304</v>
      </c>
      <c r="B307" s="12">
        <v>125.88797168827855</v>
      </c>
      <c r="C307" s="12">
        <v>147.58324208659096</v>
      </c>
      <c r="D307" s="12">
        <v>145.0136240513414</v>
      </c>
    </row>
    <row r="308" spans="1:4">
      <c r="A308">
        <v>305</v>
      </c>
      <c r="B308" s="12">
        <v>143.22941434068611</v>
      </c>
      <c r="C308" s="12">
        <v>188.7981298960643</v>
      </c>
      <c r="D308" s="12">
        <v>90.581168741290071</v>
      </c>
    </row>
    <row r="309" spans="1:4">
      <c r="A309">
        <v>306</v>
      </c>
      <c r="B309" s="12">
        <v>182.87877518927561</v>
      </c>
      <c r="C309" s="12">
        <v>135.97278945265072</v>
      </c>
      <c r="D309" s="12">
        <v>115.70503141431355</v>
      </c>
    </row>
    <row r="310" spans="1:4">
      <c r="A310">
        <v>307</v>
      </c>
      <c r="B310" s="12">
        <v>224.09216446246771</v>
      </c>
      <c r="C310" s="12">
        <v>177.54328376663628</v>
      </c>
      <c r="D310" s="12">
        <v>76.207215135125963</v>
      </c>
    </row>
    <row r="311" spans="1:4">
      <c r="A311">
        <v>308</v>
      </c>
      <c r="B311" s="12">
        <v>202.21700609001692</v>
      </c>
      <c r="C311" s="12">
        <v>141.08056887800461</v>
      </c>
      <c r="D311" s="12">
        <v>159.74384240619716</v>
      </c>
    </row>
    <row r="312" spans="1:4">
      <c r="A312">
        <v>309</v>
      </c>
      <c r="B312" s="12">
        <v>129.90166195229088</v>
      </c>
      <c r="C312" s="12">
        <v>141.52060118759584</v>
      </c>
      <c r="D312" s="12">
        <v>79.960873731269658</v>
      </c>
    </row>
    <row r="313" spans="1:4">
      <c r="A313">
        <v>310</v>
      </c>
      <c r="B313" s="12">
        <v>155.54585975921393</v>
      </c>
      <c r="C313" s="12">
        <v>172.94093572411677</v>
      </c>
      <c r="D313" s="12">
        <v>62.350757030467157</v>
      </c>
    </row>
    <row r="314" spans="1:4">
      <c r="A314">
        <v>311</v>
      </c>
      <c r="B314" s="12">
        <v>132.36368068590468</v>
      </c>
      <c r="C314" s="12">
        <v>137.07385362447778</v>
      </c>
      <c r="D314" s="12">
        <v>93.105980925664952</v>
      </c>
    </row>
    <row r="315" spans="1:4">
      <c r="A315">
        <v>312</v>
      </c>
      <c r="B315" s="12">
        <v>205.57101529197101</v>
      </c>
      <c r="C315" s="12">
        <v>172.59298770960083</v>
      </c>
      <c r="D315" s="12">
        <v>87.934781626393629</v>
      </c>
    </row>
    <row r="316" spans="1:4">
      <c r="A316">
        <v>313</v>
      </c>
      <c r="B316" s="12">
        <v>148.79023438133694</v>
      </c>
      <c r="C316" s="12">
        <v>214.27956759715505</v>
      </c>
      <c r="D316" s="12">
        <v>70.893174933864998</v>
      </c>
    </row>
    <row r="317" spans="1:4">
      <c r="A317">
        <v>314</v>
      </c>
      <c r="B317" s="12">
        <v>159.41786972432641</v>
      </c>
      <c r="C317" s="12">
        <v>163.25577234643748</v>
      </c>
      <c r="D317" s="12">
        <v>94.933370973717032</v>
      </c>
    </row>
    <row r="318" spans="1:4">
      <c r="A318">
        <v>315</v>
      </c>
      <c r="B318" s="12">
        <v>106.83381452326562</v>
      </c>
      <c r="C318" s="12">
        <v>198.38485961336735</v>
      </c>
      <c r="D318" s="12">
        <v>156.7163657746612</v>
      </c>
    </row>
    <row r="319" spans="1:4">
      <c r="A319">
        <v>316</v>
      </c>
      <c r="B319" s="12">
        <v>223.19145747692249</v>
      </c>
      <c r="C319" s="12">
        <v>110.96776815998622</v>
      </c>
      <c r="D319" s="12">
        <v>117.69546154253467</v>
      </c>
    </row>
    <row r="320" spans="1:4">
      <c r="A320">
        <v>317</v>
      </c>
      <c r="B320" s="12">
        <v>206.94126065057279</v>
      </c>
      <c r="C320" s="12">
        <v>241.45419440983636</v>
      </c>
      <c r="D320" s="12">
        <v>87.762221969543347</v>
      </c>
    </row>
    <row r="321" spans="1:4">
      <c r="A321">
        <v>318</v>
      </c>
      <c r="B321" s="12">
        <v>201.47452712682173</v>
      </c>
      <c r="C321" s="12">
        <v>178.64556587349807</v>
      </c>
      <c r="D321" s="12">
        <v>73.319064746066346</v>
      </c>
    </row>
    <row r="322" spans="1:4">
      <c r="A322">
        <v>319</v>
      </c>
      <c r="B322" s="12">
        <v>227.08746360308615</v>
      </c>
      <c r="C322" s="12">
        <v>217.43108471347111</v>
      </c>
      <c r="D322" s="12">
        <v>128.46781908846771</v>
      </c>
    </row>
    <row r="323" spans="1:4">
      <c r="A323">
        <v>320</v>
      </c>
      <c r="B323" s="12">
        <v>144.23570911895371</v>
      </c>
      <c r="C323" s="12">
        <v>184.12663361497349</v>
      </c>
      <c r="D323" s="12">
        <v>96.867182049780368</v>
      </c>
    </row>
    <row r="324" spans="1:4">
      <c r="A324">
        <v>321</v>
      </c>
      <c r="B324" s="12">
        <v>154.21826316991394</v>
      </c>
      <c r="C324" s="12">
        <v>122.43299321262153</v>
      </c>
      <c r="D324" s="12">
        <v>131.48741600194467</v>
      </c>
    </row>
    <row r="325" spans="1:4">
      <c r="A325">
        <v>322</v>
      </c>
      <c r="B325" s="12">
        <v>138.02273948468485</v>
      </c>
      <c r="C325" s="12">
        <v>120.72839513249895</v>
      </c>
      <c r="D325" s="12">
        <v>136.75289125052163</v>
      </c>
    </row>
    <row r="326" spans="1:4">
      <c r="A326">
        <v>323</v>
      </c>
      <c r="B326" s="12">
        <v>127.27685184158254</v>
      </c>
      <c r="C326" s="12">
        <v>145.61179441452765</v>
      </c>
      <c r="D326" s="12">
        <v>54.481843528691407</v>
      </c>
    </row>
    <row r="327" spans="1:4">
      <c r="A327">
        <v>324</v>
      </c>
      <c r="B327" s="12">
        <v>91.064999630129591</v>
      </c>
      <c r="C327" s="12">
        <v>173.2927202946201</v>
      </c>
      <c r="D327" s="12">
        <v>121.17801172399588</v>
      </c>
    </row>
    <row r="328" spans="1:4">
      <c r="A328">
        <v>325</v>
      </c>
      <c r="B328" s="12">
        <v>142.46074257150499</v>
      </c>
      <c r="C328" s="12">
        <v>152.1040534509373</v>
      </c>
      <c r="D328" s="12">
        <v>114.39099564319393</v>
      </c>
    </row>
    <row r="329" spans="1:4">
      <c r="A329">
        <v>326</v>
      </c>
      <c r="B329" s="12">
        <v>137.20095950319057</v>
      </c>
      <c r="C329" s="12">
        <v>162.09579688587667</v>
      </c>
      <c r="D329" s="12">
        <v>80.462410736764241</v>
      </c>
    </row>
    <row r="330" spans="1:4">
      <c r="A330">
        <v>327</v>
      </c>
      <c r="B330" s="12">
        <v>179.60901163258384</v>
      </c>
      <c r="C330" s="12">
        <v>112.00911088839528</v>
      </c>
      <c r="D330" s="12">
        <v>83.380179517769577</v>
      </c>
    </row>
    <row r="331" spans="1:4">
      <c r="A331">
        <v>328</v>
      </c>
      <c r="B331" s="12">
        <v>102.86932147497593</v>
      </c>
      <c r="C331" s="12">
        <v>210.20670348553952</v>
      </c>
      <c r="D331" s="12">
        <v>133.12999108081377</v>
      </c>
    </row>
    <row r="332" spans="1:4">
      <c r="A332">
        <v>329</v>
      </c>
      <c r="B332" s="12">
        <v>134.69937756018436</v>
      </c>
      <c r="C332" s="12">
        <v>131.94487341326479</v>
      </c>
      <c r="D332" s="12">
        <v>106.18026888100981</v>
      </c>
    </row>
    <row r="333" spans="1:4">
      <c r="A333">
        <v>330</v>
      </c>
      <c r="B333" s="12">
        <v>141.43629993386637</v>
      </c>
      <c r="C333" s="12">
        <v>154.04021187422475</v>
      </c>
      <c r="D333" s="12">
        <v>106.67140419389963</v>
      </c>
    </row>
    <row r="334" spans="1:4">
      <c r="A334">
        <v>331</v>
      </c>
      <c r="B334" s="12">
        <v>163.97603588576828</v>
      </c>
      <c r="C334" s="12">
        <v>172.03013123136625</v>
      </c>
      <c r="D334" s="12">
        <v>67.401132064479427</v>
      </c>
    </row>
    <row r="335" spans="1:4">
      <c r="A335">
        <v>332</v>
      </c>
      <c r="B335" s="12">
        <v>119.58874353639307</v>
      </c>
      <c r="C335" s="12">
        <v>155.33997612930102</v>
      </c>
      <c r="D335" s="12">
        <v>102.08198132109646</v>
      </c>
    </row>
    <row r="336" spans="1:4">
      <c r="A336">
        <v>333</v>
      </c>
      <c r="B336" s="12">
        <v>184.17844066155749</v>
      </c>
      <c r="C336" s="12">
        <v>133.4281767661333</v>
      </c>
      <c r="D336" s="12">
        <v>125.7345584629811</v>
      </c>
    </row>
    <row r="337" spans="1:4">
      <c r="A337">
        <v>334</v>
      </c>
      <c r="B337" s="12">
        <v>150.1279628204986</v>
      </c>
      <c r="C337" s="12">
        <v>166.23631318179409</v>
      </c>
      <c r="D337" s="12">
        <v>86.503488978767322</v>
      </c>
    </row>
    <row r="338" spans="1:4">
      <c r="A338">
        <v>335</v>
      </c>
      <c r="B338" s="12">
        <v>154.58279930762808</v>
      </c>
      <c r="C338" s="12">
        <v>175.8449308472683</v>
      </c>
      <c r="D338" s="12">
        <v>153.5160642104988</v>
      </c>
    </row>
    <row r="339" spans="1:4">
      <c r="A339">
        <v>336</v>
      </c>
      <c r="B339" s="12">
        <v>187.74760277751756</v>
      </c>
      <c r="C339" s="12">
        <v>146.02302440023456</v>
      </c>
      <c r="D339" s="12">
        <v>83.846951090626746</v>
      </c>
    </row>
    <row r="340" spans="1:4">
      <c r="A340">
        <v>337</v>
      </c>
      <c r="B340" s="12">
        <v>140.79378328910298</v>
      </c>
      <c r="C340" s="12">
        <v>138.61105163027298</v>
      </c>
      <c r="D340" s="12">
        <v>88.910996010148054</v>
      </c>
    </row>
    <row r="341" spans="1:4">
      <c r="A341">
        <v>338</v>
      </c>
      <c r="B341" s="12">
        <v>109.96946756404216</v>
      </c>
      <c r="C341" s="12">
        <v>191.3444862622303</v>
      </c>
      <c r="D341" s="12">
        <v>63.823778684414734</v>
      </c>
    </row>
    <row r="342" spans="1:4">
      <c r="A342">
        <v>339</v>
      </c>
      <c r="B342" s="12">
        <v>174.93424290544476</v>
      </c>
      <c r="C342" s="12">
        <v>131.5849146016505</v>
      </c>
      <c r="D342" s="12">
        <v>134.87921807425127</v>
      </c>
    </row>
    <row r="343" spans="1:4">
      <c r="A343">
        <v>340</v>
      </c>
      <c r="B343" s="12">
        <v>131.15046012362467</v>
      </c>
      <c r="C343" s="12">
        <v>139.35689432589788</v>
      </c>
      <c r="D343" s="12">
        <v>86.776120746124477</v>
      </c>
    </row>
    <row r="344" spans="1:4">
      <c r="A344">
        <v>341</v>
      </c>
      <c r="B344" s="12">
        <v>126.7575702097739</v>
      </c>
      <c r="C344" s="12">
        <v>162.80837925766463</v>
      </c>
      <c r="D344" s="12">
        <v>77.975399940473608</v>
      </c>
    </row>
    <row r="345" spans="1:4">
      <c r="A345">
        <v>342</v>
      </c>
      <c r="B345" s="12">
        <v>191.80751289092916</v>
      </c>
      <c r="C345" s="12">
        <v>152.99247457063794</v>
      </c>
      <c r="D345" s="12">
        <v>92.145882585307461</v>
      </c>
    </row>
    <row r="346" spans="1:4">
      <c r="A346">
        <v>343</v>
      </c>
      <c r="B346" s="12">
        <v>129.41845789308854</v>
      </c>
      <c r="C346" s="12">
        <v>158.64889114983106</v>
      </c>
      <c r="D346" s="12">
        <v>91.448894051410321</v>
      </c>
    </row>
    <row r="347" spans="1:4">
      <c r="A347">
        <v>344</v>
      </c>
      <c r="B347" s="12">
        <v>133.1013737609739</v>
      </c>
      <c r="C347" s="12">
        <v>152.74826424301742</v>
      </c>
      <c r="D347" s="12">
        <v>111.67035823185083</v>
      </c>
    </row>
    <row r="348" spans="1:4">
      <c r="A348">
        <v>345</v>
      </c>
      <c r="B348" s="12">
        <v>146.4625869730819</v>
      </c>
      <c r="C348" s="12">
        <v>144.2747596432101</v>
      </c>
      <c r="D348" s="12">
        <v>67.926397324669594</v>
      </c>
    </row>
    <row r="349" spans="1:4">
      <c r="A349">
        <v>346</v>
      </c>
      <c r="B349" s="12">
        <v>198.44615511960603</v>
      </c>
      <c r="C349" s="12">
        <v>145.19873342850883</v>
      </c>
      <c r="D349" s="12">
        <v>121.60900174745024</v>
      </c>
    </row>
    <row r="350" spans="1:4">
      <c r="A350">
        <v>347</v>
      </c>
      <c r="B350" s="12">
        <v>93.895377127358501</v>
      </c>
      <c r="C350" s="12">
        <v>141.78699400671664</v>
      </c>
      <c r="D350" s="12">
        <v>147.89931350840422</v>
      </c>
    </row>
    <row r="351" spans="1:4">
      <c r="A351">
        <v>348</v>
      </c>
      <c r="B351" s="12">
        <v>140.14621546119864</v>
      </c>
      <c r="C351" s="12">
        <v>224.76760690924817</v>
      </c>
      <c r="D351" s="12">
        <v>67.054991736004396</v>
      </c>
    </row>
    <row r="352" spans="1:4">
      <c r="A352">
        <v>349</v>
      </c>
      <c r="B352" s="12">
        <v>168.44276641908539</v>
      </c>
      <c r="C352" s="12">
        <v>145.36023899691381</v>
      </c>
      <c r="D352" s="12">
        <v>86.054377957873555</v>
      </c>
    </row>
    <row r="353" spans="1:4">
      <c r="A353">
        <v>350</v>
      </c>
      <c r="B353" s="12">
        <v>130.68195911615001</v>
      </c>
      <c r="C353" s="12">
        <v>156.6513574468874</v>
      </c>
      <c r="D353" s="12">
        <v>97.745298152071015</v>
      </c>
    </row>
    <row r="354" spans="1:4">
      <c r="A354">
        <v>351</v>
      </c>
      <c r="B354" s="12">
        <v>218.51165568760459</v>
      </c>
      <c r="C354" s="12">
        <v>144.52964071838085</v>
      </c>
      <c r="D354" s="12">
        <v>125.24402602618441</v>
      </c>
    </row>
    <row r="355" spans="1:4">
      <c r="A355">
        <v>352</v>
      </c>
      <c r="B355" s="12">
        <v>220.53548240299179</v>
      </c>
      <c r="C355" s="12">
        <v>180.9997634338275</v>
      </c>
      <c r="D355" s="12">
        <v>65.918796773867413</v>
      </c>
    </row>
    <row r="356" spans="1:4">
      <c r="A356">
        <v>353</v>
      </c>
      <c r="B356" s="12">
        <v>124.43711889641868</v>
      </c>
      <c r="C356" s="12">
        <v>149.5280201700736</v>
      </c>
      <c r="D356" s="12">
        <v>127.93038710962166</v>
      </c>
    </row>
    <row r="357" spans="1:4">
      <c r="A357">
        <v>354</v>
      </c>
      <c r="B357" s="12">
        <v>204.76021014107928</v>
      </c>
      <c r="C357" s="12">
        <v>115.39011801479361</v>
      </c>
      <c r="D357" s="12">
        <v>81.065644594810024</v>
      </c>
    </row>
    <row r="358" spans="1:4">
      <c r="A358">
        <v>355</v>
      </c>
      <c r="B358" s="12">
        <v>123.86933803906848</v>
      </c>
      <c r="C358" s="12">
        <v>167.31082003170056</v>
      </c>
      <c r="D358" s="12">
        <v>182.11779090988816</v>
      </c>
    </row>
    <row r="359" spans="1:4">
      <c r="A359">
        <v>356</v>
      </c>
      <c r="B359" s="12">
        <v>148.18500219315024</v>
      </c>
      <c r="C359" s="12">
        <v>171.14376297325146</v>
      </c>
      <c r="D359" s="12">
        <v>71.170005445238189</v>
      </c>
    </row>
    <row r="360" spans="1:4">
      <c r="A360">
        <v>357</v>
      </c>
      <c r="B360" s="12">
        <v>291.32700538900667</v>
      </c>
      <c r="C360" s="12">
        <v>176.23258941377938</v>
      </c>
      <c r="D360" s="12">
        <v>93.369699578758727</v>
      </c>
    </row>
    <row r="361" spans="1:4">
      <c r="A361">
        <v>358</v>
      </c>
      <c r="B361" s="12">
        <v>169.09231722399505</v>
      </c>
      <c r="C361" s="12">
        <v>160.43416567538245</v>
      </c>
      <c r="D361" s="12">
        <v>103.57695006971367</v>
      </c>
    </row>
    <row r="362" spans="1:4">
      <c r="A362">
        <v>359</v>
      </c>
      <c r="B362" s="12">
        <v>176.78883241536545</v>
      </c>
      <c r="C362" s="12">
        <v>146.68146052147719</v>
      </c>
      <c r="D362" s="12">
        <v>81.554247466376296</v>
      </c>
    </row>
    <row r="363" spans="1:4">
      <c r="A363">
        <v>360</v>
      </c>
      <c r="B363" s="12">
        <v>149.76115758733027</v>
      </c>
      <c r="C363" s="12">
        <v>200.24979065820716</v>
      </c>
      <c r="D363" s="12">
        <v>79.452778307856207</v>
      </c>
    </row>
    <row r="364" spans="1:4">
      <c r="A364">
        <v>361</v>
      </c>
      <c r="B364" s="12">
        <v>131.90812939530983</v>
      </c>
      <c r="C364" s="12">
        <v>154.68888177190456</v>
      </c>
      <c r="D364" s="12">
        <v>104.33645233326706</v>
      </c>
    </row>
    <row r="365" spans="1:4">
      <c r="A365">
        <v>362</v>
      </c>
      <c r="B365" s="12">
        <v>173.39474055599689</v>
      </c>
      <c r="C365" s="12">
        <v>152.50420022824613</v>
      </c>
      <c r="D365" s="12">
        <v>151.19646625855154</v>
      </c>
    </row>
    <row r="366" spans="1:4">
      <c r="A366">
        <v>363</v>
      </c>
      <c r="B366" s="12">
        <v>136.93548390296866</v>
      </c>
      <c r="C366" s="12">
        <v>125.3378261929674</v>
      </c>
      <c r="D366" s="12">
        <v>123.22797572174414</v>
      </c>
    </row>
    <row r="367" spans="1:4">
      <c r="A367">
        <v>364</v>
      </c>
      <c r="B367" s="12">
        <v>155.91087421394883</v>
      </c>
      <c r="C367" s="12">
        <v>153.79508921599626</v>
      </c>
      <c r="D367" s="12">
        <v>136.02735828658794</v>
      </c>
    </row>
    <row r="368" spans="1:4">
      <c r="A368">
        <v>365</v>
      </c>
      <c r="B368" s="12">
        <v>154.94741565615735</v>
      </c>
      <c r="C368" s="12">
        <v>155.74592534308343</v>
      </c>
      <c r="D368" s="12">
        <v>122.77510977265288</v>
      </c>
    </row>
    <row r="369" spans="1:4">
      <c r="A369">
        <v>366</v>
      </c>
      <c r="B369" s="12">
        <v>254.40880723310005</v>
      </c>
      <c r="C369" s="12">
        <v>147.82990456045482</v>
      </c>
      <c r="D369" s="12">
        <v>109.9464329539404</v>
      </c>
    </row>
    <row r="370" spans="1:4">
      <c r="A370">
        <v>367</v>
      </c>
      <c r="B370" s="12">
        <v>152.29286328686521</v>
      </c>
      <c r="C370" s="12">
        <v>129.97548073174136</v>
      </c>
      <c r="D370" s="12">
        <v>111.12781650868413</v>
      </c>
    </row>
    <row r="371" spans="1:4">
      <c r="A371">
        <v>368</v>
      </c>
      <c r="B371" s="12">
        <v>118.20605030271575</v>
      </c>
      <c r="C371" s="12">
        <v>121.399269385406</v>
      </c>
      <c r="D371" s="12">
        <v>106.97288915229059</v>
      </c>
    </row>
    <row r="372" spans="1:4">
      <c r="A372">
        <v>369</v>
      </c>
      <c r="B372" s="12">
        <v>138.28375218905163</v>
      </c>
      <c r="C372" s="12">
        <v>160.00707084860611</v>
      </c>
      <c r="D372" s="12">
        <v>87.221675076978912</v>
      </c>
    </row>
    <row r="373" spans="1:4">
      <c r="A373">
        <v>370</v>
      </c>
      <c r="B373" s="12">
        <v>151.69406019228481</v>
      </c>
      <c r="C373" s="12">
        <v>187.12779201196702</v>
      </c>
      <c r="D373" s="12">
        <v>92.673376678654677</v>
      </c>
    </row>
    <row r="374" spans="1:4">
      <c r="A374">
        <v>371</v>
      </c>
      <c r="B374" s="12">
        <v>172.29764962772543</v>
      </c>
      <c r="C374" s="12">
        <v>154.44296425013323</v>
      </c>
      <c r="D374" s="12">
        <v>130.8901541867281</v>
      </c>
    </row>
    <row r="375" spans="1:4">
      <c r="A375">
        <v>372</v>
      </c>
      <c r="B375" s="12">
        <v>193.7619760743984</v>
      </c>
      <c r="C375" s="12">
        <v>137.55844027741102</v>
      </c>
      <c r="D375" s="12">
        <v>110.2679621718152</v>
      </c>
    </row>
    <row r="376" spans="1:4">
      <c r="A376">
        <v>373</v>
      </c>
      <c r="B376" s="12">
        <v>123.29046584448716</v>
      </c>
      <c r="C376" s="12">
        <v>205.28110439538912</v>
      </c>
      <c r="D376" s="12">
        <v>138.77361859408234</v>
      </c>
    </row>
    <row r="377" spans="1:4">
      <c r="A377">
        <v>374</v>
      </c>
      <c r="B377" s="12">
        <v>122.91350137569852</v>
      </c>
      <c r="C377" s="12">
        <v>151.46039630249933</v>
      </c>
      <c r="D377" s="12">
        <v>117.31026715295505</v>
      </c>
    </row>
    <row r="378" spans="1:4">
      <c r="A378">
        <v>375</v>
      </c>
      <c r="B378" s="12">
        <v>126.2302190680399</v>
      </c>
      <c r="C378" s="12">
        <v>189.46681932553329</v>
      </c>
      <c r="D378" s="12">
        <v>68.434767856366406</v>
      </c>
    </row>
    <row r="379" spans="1:4">
      <c r="A379">
        <v>376</v>
      </c>
      <c r="B379" s="12">
        <v>165.36364175146358</v>
      </c>
      <c r="C379" s="12">
        <v>151.21668427369218</v>
      </c>
      <c r="D379" s="12">
        <v>45.203402246884906</v>
      </c>
    </row>
    <row r="380" spans="1:4">
      <c r="A380">
        <v>377</v>
      </c>
      <c r="B380" s="12">
        <v>108.09465806959297</v>
      </c>
      <c r="C380" s="12">
        <v>165.76072703873939</v>
      </c>
      <c r="D380" s="12">
        <v>64.260139275954742</v>
      </c>
    </row>
    <row r="381" spans="1:4">
      <c r="A381">
        <v>378</v>
      </c>
      <c r="B381" s="12">
        <v>128.61240124023445</v>
      </c>
      <c r="C381" s="12">
        <v>143.59740569165365</v>
      </c>
      <c r="D381" s="12">
        <v>71.594492916774726</v>
      </c>
    </row>
    <row r="382" spans="1:4">
      <c r="A382">
        <v>379</v>
      </c>
      <c r="B382" s="12">
        <v>184.67901488425022</v>
      </c>
      <c r="C382" s="12">
        <v>188.15006823751941</v>
      </c>
      <c r="D382" s="12">
        <v>141.53444962676994</v>
      </c>
    </row>
    <row r="383" spans="1:4">
      <c r="A383">
        <v>380</v>
      </c>
      <c r="B383" s="12">
        <v>209.26233053514426</v>
      </c>
      <c r="C383" s="12">
        <v>206.34582039389622</v>
      </c>
      <c r="D383" s="12">
        <v>94.066385983367823</v>
      </c>
    </row>
    <row r="384" spans="1:4">
      <c r="A384">
        <v>381</v>
      </c>
      <c r="B384" s="12">
        <v>165.99417734058835</v>
      </c>
      <c r="C384" s="12">
        <v>167.01292692602658</v>
      </c>
      <c r="D384" s="12">
        <v>84.31009643443646</v>
      </c>
    </row>
    <row r="385" spans="1:4">
      <c r="A385">
        <v>382</v>
      </c>
      <c r="B385" s="12">
        <v>163.35553707770504</v>
      </c>
      <c r="C385" s="12">
        <v>155.09308464513754</v>
      </c>
      <c r="D385" s="12">
        <v>126.55696195367759</v>
      </c>
    </row>
    <row r="386" spans="1:4">
      <c r="A386">
        <v>383</v>
      </c>
      <c r="B386" s="12">
        <v>211.74709782490586</v>
      </c>
      <c r="C386" s="12">
        <v>196.34450113465337</v>
      </c>
      <c r="D386" s="12">
        <v>122.3285486097608</v>
      </c>
    </row>
    <row r="387" spans="1:4">
      <c r="A387">
        <v>384</v>
      </c>
      <c r="B387" s="12">
        <v>139.34938141545598</v>
      </c>
      <c r="C387" s="12">
        <v>157.97829690832552</v>
      </c>
      <c r="D387" s="12">
        <v>93.538647998970276</v>
      </c>
    </row>
    <row r="388" spans="1:4">
      <c r="A388">
        <v>385</v>
      </c>
      <c r="B388" s="12">
        <v>120.66745500432029</v>
      </c>
      <c r="C388" s="12">
        <v>172.3720672498398</v>
      </c>
      <c r="D388" s="12">
        <v>124.76124780993557</v>
      </c>
    </row>
    <row r="389" spans="1:4">
      <c r="A389">
        <v>386</v>
      </c>
      <c r="B389" s="12">
        <v>132.65310181660737</v>
      </c>
      <c r="C389" s="12">
        <v>171.4767020407744</v>
      </c>
      <c r="D389" s="12">
        <v>128.81739273145183</v>
      </c>
    </row>
    <row r="390" spans="1:4">
      <c r="A390">
        <v>387</v>
      </c>
      <c r="B390" s="12">
        <v>120.01544605020749</v>
      </c>
      <c r="C390" s="12">
        <v>114.66958545350134</v>
      </c>
      <c r="D390" s="12">
        <v>114.74758850732894</v>
      </c>
    </row>
    <row r="391" spans="1:4">
      <c r="A391">
        <v>388</v>
      </c>
      <c r="B391" s="12">
        <v>238.28572991791404</v>
      </c>
      <c r="C391" s="12">
        <v>151.70412044237926</v>
      </c>
      <c r="D391" s="12">
        <v>96.334217739123801</v>
      </c>
    </row>
    <row r="392" spans="1:4">
      <c r="A392">
        <v>389</v>
      </c>
      <c r="B392" s="12">
        <v>248.30583517870315</v>
      </c>
      <c r="C392" s="12">
        <v>130.3621689785617</v>
      </c>
      <c r="D392" s="12">
        <v>91.71295483039242</v>
      </c>
    </row>
    <row r="393" spans="1:4">
      <c r="A393">
        <v>390</v>
      </c>
      <c r="B393" s="12">
        <v>221.83541013755101</v>
      </c>
      <c r="C393" s="12">
        <v>142.48420664776179</v>
      </c>
      <c r="D393" s="12">
        <v>140.1156927241995</v>
      </c>
    </row>
    <row r="394" spans="1:4">
      <c r="A394">
        <v>391</v>
      </c>
      <c r="B394" s="12">
        <v>149.15836823394613</v>
      </c>
      <c r="C394" s="12">
        <v>168.61159509813399</v>
      </c>
      <c r="D394" s="12">
        <v>79.651973741013535</v>
      </c>
    </row>
    <row r="395" spans="1:4">
      <c r="A395">
        <v>392</v>
      </c>
      <c r="B395" s="12">
        <v>183.36729829314012</v>
      </c>
      <c r="C395" s="12">
        <v>193.95362155301271</v>
      </c>
      <c r="D395" s="12">
        <v>126.05298974621411</v>
      </c>
    </row>
    <row r="396" spans="1:4">
      <c r="A396">
        <v>393</v>
      </c>
      <c r="B396" s="12">
        <v>128.92916241538316</v>
      </c>
      <c r="C396" s="12">
        <v>180.70235542782117</v>
      </c>
      <c r="D396" s="12">
        <v>84.870199524476206</v>
      </c>
    </row>
    <row r="397" spans="1:4">
      <c r="A397">
        <v>394</v>
      </c>
      <c r="B397" s="12">
        <v>240.69665482889533</v>
      </c>
      <c r="C397" s="12">
        <v>133.21174229050612</v>
      </c>
      <c r="D397" s="12">
        <v>85.326222312824129</v>
      </c>
    </row>
    <row r="398" spans="1:4">
      <c r="A398">
        <v>395</v>
      </c>
      <c r="B398" s="12">
        <v>134.26545511423558</v>
      </c>
      <c r="C398" s="12">
        <v>150.81682319936149</v>
      </c>
      <c r="D398" s="12">
        <v>120.48282230018712</v>
      </c>
    </row>
    <row r="399" spans="1:4">
      <c r="A399">
        <v>396</v>
      </c>
      <c r="B399" s="12">
        <v>108.85239560681443</v>
      </c>
      <c r="C399" s="12">
        <v>134.9461271343603</v>
      </c>
      <c r="D399" s="12">
        <v>80.765109119459567</v>
      </c>
    </row>
    <row r="400" spans="1:4">
      <c r="A400">
        <v>397</v>
      </c>
      <c r="B400" s="12">
        <v>152.65763039647956</v>
      </c>
      <c r="C400" s="12">
        <v>182.76201071746794</v>
      </c>
      <c r="D400" s="12">
        <v>120.06599820756099</v>
      </c>
    </row>
    <row r="401" spans="1:4">
      <c r="A401">
        <v>398</v>
      </c>
      <c r="B401" s="12">
        <v>145.47417608611585</v>
      </c>
      <c r="C401" s="12">
        <v>146.27285884527487</v>
      </c>
      <c r="D401" s="12">
        <v>174.22109370773433</v>
      </c>
    </row>
    <row r="402" spans="1:4">
      <c r="A402">
        <v>399</v>
      </c>
      <c r="B402" s="12">
        <v>121.30336381201175</v>
      </c>
      <c r="C402" s="12">
        <v>153.39349514307102</v>
      </c>
      <c r="D402" s="12">
        <v>109.10764965676486</v>
      </c>
    </row>
    <row r="403" spans="1:4">
      <c r="A403">
        <v>400</v>
      </c>
      <c r="B403" s="12">
        <v>155.181027739234</v>
      </c>
      <c r="C403" s="12">
        <v>116.42471485005102</v>
      </c>
      <c r="D403" s="12">
        <v>152.58163613383655</v>
      </c>
    </row>
    <row r="404" spans="1:4">
      <c r="A404">
        <v>401</v>
      </c>
      <c r="B404" s="12">
        <v>236.8431921386767</v>
      </c>
      <c r="C404" s="12">
        <v>193.41618848339911</v>
      </c>
      <c r="D404" s="12">
        <v>56.147256228760405</v>
      </c>
    </row>
    <row r="405" spans="1:4">
      <c r="A405">
        <v>402</v>
      </c>
      <c r="B405" s="12">
        <v>186.02441964353073</v>
      </c>
      <c r="C405" s="12">
        <v>183.60044888427984</v>
      </c>
      <c r="D405" s="12">
        <v>213.95883469101949</v>
      </c>
    </row>
    <row r="406" spans="1:4">
      <c r="A406">
        <v>403</v>
      </c>
      <c r="B406" s="12">
        <v>145.23334793281819</v>
      </c>
      <c r="C406" s="12">
        <v>180.24497626270895</v>
      </c>
      <c r="D406" s="12">
        <v>127.40269192343906</v>
      </c>
    </row>
    <row r="407" spans="1:4">
      <c r="A407">
        <v>404</v>
      </c>
      <c r="B407" s="12">
        <v>124.79529800838567</v>
      </c>
      <c r="C407" s="12">
        <v>195.7360443700907</v>
      </c>
      <c r="D407" s="12">
        <v>178.65369435008637</v>
      </c>
    </row>
    <row r="408" spans="1:4">
      <c r="A408">
        <v>405</v>
      </c>
      <c r="B408" s="12">
        <v>200.28642003901803</v>
      </c>
      <c r="C408" s="12">
        <v>143.17315105066277</v>
      </c>
      <c r="D408" s="12">
        <v>134.20317952842234</v>
      </c>
    </row>
    <row r="409" spans="1:4">
      <c r="A409">
        <v>406</v>
      </c>
      <c r="B409" s="12">
        <v>157.84311507219402</v>
      </c>
      <c r="C409" s="12">
        <v>149.92878127418285</v>
      </c>
      <c r="D409" s="12">
        <v>66.498028270509764</v>
      </c>
    </row>
    <row r="410" spans="1:4">
      <c r="A410">
        <v>407</v>
      </c>
      <c r="B410" s="12">
        <v>204.25001910887502</v>
      </c>
      <c r="C410" s="12">
        <v>138.89514707809815</v>
      </c>
      <c r="D410" s="12">
        <v>64.912875839435387</v>
      </c>
    </row>
    <row r="411" spans="1:4">
      <c r="A411">
        <v>408</v>
      </c>
      <c r="B411" s="12">
        <v>211.12781013680888</v>
      </c>
      <c r="C411" s="12">
        <v>131.3513771001422</v>
      </c>
      <c r="D411" s="12">
        <v>89.614949222304261</v>
      </c>
    </row>
    <row r="412" spans="1:4">
      <c r="A412">
        <v>409</v>
      </c>
      <c r="B412" s="12">
        <v>97.144543288687785</v>
      </c>
      <c r="C412" s="12">
        <v>104.29425860807515</v>
      </c>
      <c r="D412" s="12">
        <v>120.90485734068857</v>
      </c>
    </row>
    <row r="413" spans="1:4">
      <c r="A413">
        <v>410</v>
      </c>
      <c r="B413" s="12">
        <v>190.65662854830646</v>
      </c>
      <c r="C413" s="12">
        <v>141.95693261254772</v>
      </c>
      <c r="D413" s="12">
        <v>96.600502528928615</v>
      </c>
    </row>
    <row r="414" spans="1:4">
      <c r="A414">
        <v>411</v>
      </c>
      <c r="B414" s="12">
        <v>181.60921125074458</v>
      </c>
      <c r="C414" s="12">
        <v>138.32486102280279</v>
      </c>
      <c r="D414" s="12">
        <v>107.77705001834087</v>
      </c>
    </row>
    <row r="415" spans="1:4">
      <c r="A415">
        <v>412</v>
      </c>
      <c r="B415" s="12">
        <v>134.9754464561548</v>
      </c>
      <c r="C415" s="12">
        <v>166.52876586879631</v>
      </c>
      <c r="D415" s="12">
        <v>57.056994779036359</v>
      </c>
    </row>
    <row r="416" spans="1:4">
      <c r="A416">
        <v>413</v>
      </c>
      <c r="B416" s="12">
        <v>139.0923563657291</v>
      </c>
      <c r="C416" s="12">
        <v>113.43064228757137</v>
      </c>
      <c r="D416" s="12">
        <v>168.56188663198651</v>
      </c>
    </row>
    <row r="417" spans="1:4">
      <c r="A417">
        <v>414</v>
      </c>
      <c r="B417" s="12">
        <v>206.40010802489962</v>
      </c>
      <c r="C417" s="12">
        <v>136.58227107582471</v>
      </c>
      <c r="D417" s="12">
        <v>75.635206187967498</v>
      </c>
    </row>
    <row r="418" spans="1:4">
      <c r="A418">
        <v>415</v>
      </c>
      <c r="B418" s="12">
        <v>170.55045683006676</v>
      </c>
      <c r="C418" s="12">
        <v>141.25283355140684</v>
      </c>
      <c r="D418" s="12">
        <v>98.726149364309677</v>
      </c>
    </row>
    <row r="419" spans="1:4">
      <c r="A419">
        <v>416</v>
      </c>
      <c r="B419" s="12">
        <v>171.21562169364225</v>
      </c>
      <c r="C419" s="12">
        <v>156.40196910812261</v>
      </c>
      <c r="D419" s="12">
        <v>119.39300625034419</v>
      </c>
    </row>
    <row r="420" spans="1:4">
      <c r="A420">
        <v>417</v>
      </c>
      <c r="B420" s="12">
        <v>116.24363228098511</v>
      </c>
      <c r="C420" s="12">
        <v>125.83220770977476</v>
      </c>
      <c r="D420" s="12">
        <v>100.16397591560116</v>
      </c>
    </row>
    <row r="421" spans="1:4">
      <c r="A421">
        <v>418</v>
      </c>
      <c r="B421" s="12">
        <v>164.98094350990911</v>
      </c>
      <c r="C421" s="12">
        <v>169.43625469752857</v>
      </c>
      <c r="D421" s="12">
        <v>77.104273849656352</v>
      </c>
    </row>
    <row r="422" spans="1:4">
      <c r="A422">
        <v>419</v>
      </c>
      <c r="B422" s="12">
        <v>196.68608659097848</v>
      </c>
      <c r="C422" s="12">
        <v>147.17765297080174</v>
      </c>
      <c r="D422" s="12">
        <v>112.5579052591163</v>
      </c>
    </row>
    <row r="423" spans="1:4">
      <c r="A423">
        <v>420</v>
      </c>
      <c r="B423" s="12">
        <v>143.47437851784727</v>
      </c>
      <c r="C423" s="12">
        <v>150.1728589444036</v>
      </c>
      <c r="D423" s="12">
        <v>123.98522129630082</v>
      </c>
    </row>
    <row r="424" spans="1:4">
      <c r="A424">
        <v>421</v>
      </c>
      <c r="B424" s="12">
        <v>232.75705908329138</v>
      </c>
      <c r="C424" s="12">
        <v>171.69169723632874</v>
      </c>
      <c r="D424" s="12">
        <v>90.050899106828524</v>
      </c>
    </row>
    <row r="425" spans="1:4">
      <c r="A425">
        <v>422</v>
      </c>
      <c r="B425" s="12">
        <v>139.74885068118724</v>
      </c>
      <c r="C425" s="12">
        <v>140.81042271036006</v>
      </c>
      <c r="D425" s="12">
        <v>82.329967527970211</v>
      </c>
    </row>
    <row r="426" spans="1:4">
      <c r="A426">
        <v>423</v>
      </c>
      <c r="B426" s="12">
        <v>146.83521511130985</v>
      </c>
      <c r="C426" s="12">
        <v>118.76840635825035</v>
      </c>
      <c r="D426" s="12">
        <v>143.38335899573147</v>
      </c>
    </row>
    <row r="427" spans="1:4">
      <c r="A427">
        <v>424</v>
      </c>
      <c r="B427" s="12">
        <v>111.01753054919639</v>
      </c>
      <c r="C427" s="12">
        <v>163.53033794718573</v>
      </c>
      <c r="D427" s="12">
        <v>75.280488233129006</v>
      </c>
    </row>
    <row r="428" spans="1:4">
      <c r="A428">
        <v>425</v>
      </c>
      <c r="B428" s="12">
        <v>208.68524200243056</v>
      </c>
      <c r="C428" s="12">
        <v>134.09273186025951</v>
      </c>
      <c r="D428" s="12">
        <v>83.093758421237766</v>
      </c>
    </row>
    <row r="429" spans="1:4">
      <c r="A429">
        <v>426</v>
      </c>
      <c r="B429" s="12">
        <v>143.85569555988204</v>
      </c>
      <c r="C429" s="12">
        <v>130.98192179827473</v>
      </c>
      <c r="D429" s="12">
        <v>108.59363810542335</v>
      </c>
    </row>
    <row r="430" spans="1:4">
      <c r="A430">
        <v>427</v>
      </c>
      <c r="B430" s="12">
        <v>131.44786234512196</v>
      </c>
      <c r="C430" s="12">
        <v>174.2411078600079</v>
      </c>
      <c r="D430" s="12">
        <v>97.573465710032394</v>
      </c>
    </row>
    <row r="431" spans="1:4">
      <c r="A431">
        <v>428</v>
      </c>
      <c r="B431" s="12">
        <v>151.32875451998666</v>
      </c>
      <c r="C431" s="12">
        <v>132.87015026976073</v>
      </c>
      <c r="D431" s="12">
        <v>103.86357662716276</v>
      </c>
    </row>
    <row r="432" spans="1:4">
      <c r="A432">
        <v>429</v>
      </c>
      <c r="B432" s="12">
        <v>150.36269264752102</v>
      </c>
      <c r="C432" s="12">
        <v>135.46384053104828</v>
      </c>
      <c r="D432" s="12">
        <v>97.305609362493755</v>
      </c>
    </row>
    <row r="433" spans="1:4">
      <c r="A433">
        <v>430</v>
      </c>
      <c r="B433" s="12">
        <v>177.9590856052437</v>
      </c>
      <c r="C433" s="12">
        <v>144.69245942136209</v>
      </c>
      <c r="D433" s="12">
        <v>88.203672981950405</v>
      </c>
    </row>
    <row r="434" spans="1:4">
      <c r="A434">
        <v>431</v>
      </c>
      <c r="B434" s="12">
        <v>117.0072790759573</v>
      </c>
      <c r="C434" s="12">
        <v>178.37398936973</v>
      </c>
      <c r="D434" s="12">
        <v>89.177950721677192</v>
      </c>
    </row>
    <row r="435" spans="1:4">
      <c r="A435">
        <v>432</v>
      </c>
      <c r="B435" s="12">
        <v>191.22843703937062</v>
      </c>
      <c r="C435" s="12">
        <v>106.51692814013668</v>
      </c>
      <c r="D435" s="12">
        <v>85.602792926982758</v>
      </c>
    </row>
    <row r="436" spans="1:4">
      <c r="A436">
        <v>433</v>
      </c>
      <c r="B436" s="12">
        <v>225.55312409341528</v>
      </c>
      <c r="C436" s="12">
        <v>140.3638979779391</v>
      </c>
      <c r="D436" s="12">
        <v>189.15249958036608</v>
      </c>
    </row>
    <row r="437" spans="1:4">
      <c r="A437">
        <v>434</v>
      </c>
      <c r="B437" s="12">
        <v>115.73989387193639</v>
      </c>
      <c r="C437" s="12">
        <v>159.32495891493707</v>
      </c>
      <c r="D437" s="12">
        <v>89.348709248831952</v>
      </c>
    </row>
    <row r="438" spans="1:4">
      <c r="A438">
        <v>435</v>
      </c>
      <c r="B438" s="12">
        <v>142.84581778804673</v>
      </c>
      <c r="C438" s="12">
        <v>133.76252560089975</v>
      </c>
      <c r="D438" s="12">
        <v>101.6234681341721</v>
      </c>
    </row>
    <row r="439" spans="1:4">
      <c r="A439">
        <v>436</v>
      </c>
      <c r="B439" s="12">
        <v>159.04917756030994</v>
      </c>
      <c r="C439" s="12">
        <v>190.61290232824459</v>
      </c>
      <c r="D439" s="12">
        <v>88.471982743636246</v>
      </c>
    </row>
    <row r="440" spans="1:4">
      <c r="A440">
        <v>437</v>
      </c>
      <c r="B440" s="12">
        <v>196.03865257400165</v>
      </c>
      <c r="C440" s="12">
        <v>191.8274800356823</v>
      </c>
      <c r="D440" s="12">
        <v>130.30544873100246</v>
      </c>
    </row>
    <row r="441" spans="1:4">
      <c r="A441">
        <v>438</v>
      </c>
      <c r="B441" s="12">
        <v>114.08351319772983</v>
      </c>
      <c r="C441" s="12">
        <v>129.32518963919938</v>
      </c>
      <c r="D441" s="12">
        <v>93.802467415589447</v>
      </c>
    </row>
    <row r="442" spans="1:4">
      <c r="A442">
        <v>439</v>
      </c>
      <c r="B442" s="12">
        <v>199.57945314709968</v>
      </c>
      <c r="C442" s="12">
        <v>182.26506942471994</v>
      </c>
      <c r="D442" s="12">
        <v>60.052801331380735</v>
      </c>
    </row>
    <row r="443" spans="1:4">
      <c r="A443">
        <v>440</v>
      </c>
      <c r="B443" s="12">
        <v>135.82848631434865</v>
      </c>
      <c r="C443" s="12">
        <v>128.91835270461439</v>
      </c>
      <c r="D443" s="12">
        <v>113.81276557765025</v>
      </c>
    </row>
    <row r="444" spans="1:4">
      <c r="A444">
        <v>441</v>
      </c>
      <c r="B444" s="12">
        <v>268.83637426808463</v>
      </c>
      <c r="C444" s="12">
        <v>145.86266962240231</v>
      </c>
      <c r="D444" s="12">
        <v>118.33641456469857</v>
      </c>
    </row>
    <row r="445" spans="1:4">
      <c r="A445">
        <v>442</v>
      </c>
      <c r="B445" s="12">
        <v>121.70278018544631</v>
      </c>
      <c r="C445" s="12">
        <v>232.38514997495929</v>
      </c>
      <c r="D445" s="12">
        <v>124.45593895588854</v>
      </c>
    </row>
    <row r="446" spans="1:4">
      <c r="A446">
        <v>443</v>
      </c>
      <c r="B446" s="12">
        <v>153.02226815803985</v>
      </c>
      <c r="C446" s="12">
        <v>159.7479997181774</v>
      </c>
      <c r="D446" s="12">
        <v>105.88293463624652</v>
      </c>
    </row>
    <row r="447" spans="1:4">
      <c r="A447">
        <v>444</v>
      </c>
      <c r="B447" s="12">
        <v>167.01656770374314</v>
      </c>
      <c r="C447" s="12">
        <v>164.7228307067563</v>
      </c>
      <c r="D447" s="12">
        <v>90.750759543037702</v>
      </c>
    </row>
    <row r="448" spans="1:4">
      <c r="A448">
        <v>445</v>
      </c>
      <c r="B448" s="12">
        <v>136.51869694021329</v>
      </c>
      <c r="C448" s="12">
        <v>146.92980878130109</v>
      </c>
      <c r="D448" s="12">
        <v>155.05820435053377</v>
      </c>
    </row>
    <row r="449" spans="1:4">
      <c r="A449">
        <v>446</v>
      </c>
      <c r="B449" s="12">
        <v>133.54546835013926</v>
      </c>
      <c r="C449" s="12">
        <v>134.62597280287417</v>
      </c>
      <c r="D449" s="12">
        <v>99.442633160308603</v>
      </c>
    </row>
    <row r="450" spans="1:4">
      <c r="A450">
        <v>447</v>
      </c>
      <c r="B450" s="12">
        <v>168.04897947603109</v>
      </c>
      <c r="C450" s="12">
        <v>162.53745533392126</v>
      </c>
      <c r="D450" s="12">
        <v>97.038221709860494</v>
      </c>
    </row>
    <row r="451" spans="1:4">
      <c r="A451">
        <v>448</v>
      </c>
      <c r="B451" s="12">
        <v>229.78707562068701</v>
      </c>
      <c r="C451" s="12">
        <v>138.14040354980864</v>
      </c>
      <c r="D451" s="12">
        <v>69.23611560255614</v>
      </c>
    </row>
    <row r="452" spans="1:4">
      <c r="A452">
        <v>449</v>
      </c>
      <c r="B452" s="12">
        <v>193.373560284283</v>
      </c>
      <c r="C452" s="12">
        <v>151.06057105692787</v>
      </c>
      <c r="D452" s="12">
        <v>98.455966017956612</v>
      </c>
    </row>
    <row r="453" spans="1:4">
      <c r="A453">
        <v>450</v>
      </c>
      <c r="B453" s="12">
        <v>210.18261222302314</v>
      </c>
      <c r="C453" s="12">
        <v>150.41681130104561</v>
      </c>
      <c r="D453" s="12">
        <v>100.61482890651808</v>
      </c>
    </row>
    <row r="454" spans="1:4">
      <c r="A454">
        <v>451</v>
      </c>
      <c r="B454" s="12">
        <v>192.77396454309843</v>
      </c>
      <c r="C454" s="12">
        <v>211.67213351894569</v>
      </c>
      <c r="D454" s="12">
        <v>91.976882178159954</v>
      </c>
    </row>
    <row r="455" spans="1:4">
      <c r="A455">
        <v>452</v>
      </c>
      <c r="B455" s="12">
        <v>175.63899879052835</v>
      </c>
      <c r="C455" s="12">
        <v>148.63662525056509</v>
      </c>
      <c r="D455" s="12">
        <v>73.703040933739047</v>
      </c>
    </row>
    <row r="456" spans="1:4">
      <c r="A456">
        <v>453</v>
      </c>
      <c r="B456" s="12">
        <v>177.22953263220174</v>
      </c>
      <c r="C456" s="12">
        <v>124.82803297278292</v>
      </c>
      <c r="D456" s="12">
        <v>65.5348282715849</v>
      </c>
    </row>
    <row r="457" spans="1:4">
      <c r="A457">
        <v>454</v>
      </c>
      <c r="B457" s="12">
        <v>171.62369772727638</v>
      </c>
      <c r="C457" s="12">
        <v>139.07605942600748</v>
      </c>
      <c r="D457" s="12">
        <v>105.39835779903065</v>
      </c>
    </row>
    <row r="458" spans="1:4">
      <c r="A458">
        <v>455</v>
      </c>
      <c r="B458" s="12">
        <v>144.47846791951471</v>
      </c>
      <c r="C458" s="12">
        <v>148.23372825309167</v>
      </c>
      <c r="D458" s="12">
        <v>137.98935850491429</v>
      </c>
    </row>
    <row r="459" spans="1:4">
      <c r="A459">
        <v>456</v>
      </c>
      <c r="B459" s="12">
        <v>152.05912796738497</v>
      </c>
      <c r="C459" s="12">
        <v>161.82822673100776</v>
      </c>
      <c r="D459" s="12">
        <v>99.170751284891438</v>
      </c>
    </row>
    <row r="460" spans="1:4">
      <c r="A460">
        <v>457</v>
      </c>
      <c r="B460" s="12">
        <v>203.46717854625788</v>
      </c>
      <c r="C460" s="12">
        <v>175.46241407350459</v>
      </c>
      <c r="D460" s="12">
        <v>81.257057566317783</v>
      </c>
    </row>
    <row r="461" spans="1:4">
      <c r="A461">
        <v>458</v>
      </c>
      <c r="B461" s="12">
        <v>176.07214746500773</v>
      </c>
      <c r="C461" s="12">
        <v>128.50297081700455</v>
      </c>
      <c r="D461" s="12">
        <v>161.82270956341279</v>
      </c>
    </row>
    <row r="462" spans="1:4">
      <c r="A462">
        <v>459</v>
      </c>
      <c r="B462" s="12">
        <v>213.75621953132114</v>
      </c>
      <c r="C462" s="12">
        <v>128.2321459133089</v>
      </c>
      <c r="D462" s="12">
        <v>95.898148143691188</v>
      </c>
    </row>
    <row r="463" spans="1:4">
      <c r="A463">
        <v>460</v>
      </c>
      <c r="B463" s="12">
        <v>185.51075747053594</v>
      </c>
      <c r="C463" s="12">
        <v>130.60624313971218</v>
      </c>
      <c r="D463" s="12">
        <v>140.9707467635742</v>
      </c>
    </row>
    <row r="464" spans="1:4">
      <c r="A464">
        <v>461</v>
      </c>
      <c r="B464" s="12">
        <v>117.74548408456329</v>
      </c>
      <c r="C464" s="12">
        <v>157.31262839430846</v>
      </c>
      <c r="D464" s="12">
        <v>95.632771719791165</v>
      </c>
    </row>
    <row r="465" spans="1:4">
      <c r="A465">
        <v>462</v>
      </c>
      <c r="B465" s="12">
        <v>82.990482773970157</v>
      </c>
      <c r="C465" s="12">
        <v>117.36964928274881</v>
      </c>
      <c r="D465" s="12">
        <v>112.00435460755295</v>
      </c>
    </row>
    <row r="466" spans="1:4">
      <c r="A466">
        <v>463</v>
      </c>
      <c r="B466" s="12">
        <v>111.65741090717793</v>
      </c>
      <c r="C466" s="12">
        <v>132.29943939330755</v>
      </c>
      <c r="D466" s="12">
        <v>87.492291742401051</v>
      </c>
    </row>
    <row r="467" spans="1:4">
      <c r="A467">
        <v>464</v>
      </c>
      <c r="B467" s="12">
        <v>122.3147670621874</v>
      </c>
      <c r="C467" s="12">
        <v>169.75339425674395</v>
      </c>
      <c r="D467" s="12">
        <v>139.28909565668678</v>
      </c>
    </row>
    <row r="468" spans="1:4">
      <c r="A468">
        <v>465</v>
      </c>
      <c r="B468" s="12">
        <v>217.33764695633263</v>
      </c>
      <c r="C468" s="12">
        <v>185.01675827675624</v>
      </c>
      <c r="D468" s="12">
        <v>163.26968484949043</v>
      </c>
    </row>
    <row r="469" spans="1:4">
      <c r="A469">
        <v>466</v>
      </c>
      <c r="B469" s="12">
        <v>153.98478667164227</v>
      </c>
      <c r="C469" s="12">
        <v>157.7256509365445</v>
      </c>
      <c r="D469" s="12">
        <v>113.46428803926979</v>
      </c>
    </row>
    <row r="470" spans="1:4">
      <c r="A470">
        <v>467</v>
      </c>
      <c r="B470" s="12">
        <v>140.39967972230764</v>
      </c>
      <c r="C470" s="12">
        <v>155.99397256546672</v>
      </c>
      <c r="D470" s="12">
        <v>99.890189585171498</v>
      </c>
    </row>
    <row r="471" spans="1:4">
      <c r="A471">
        <v>468</v>
      </c>
      <c r="B471" s="12">
        <v>197.77065799726481</v>
      </c>
      <c r="C471" s="12">
        <v>186.52755117501056</v>
      </c>
      <c r="D471" s="12">
        <v>149.89126539228582</v>
      </c>
    </row>
    <row r="472" spans="1:4">
      <c r="A472">
        <v>469</v>
      </c>
      <c r="B472" s="12">
        <v>192.18237729597783</v>
      </c>
      <c r="C472" s="12">
        <v>139.81356631307739</v>
      </c>
      <c r="D472" s="12">
        <v>103.10926655589647</v>
      </c>
    </row>
    <row r="473" spans="1:4">
      <c r="A473">
        <v>470</v>
      </c>
      <c r="B473" s="12">
        <v>153.25578455331367</v>
      </c>
      <c r="C473" s="12">
        <v>126.6131111241821</v>
      </c>
      <c r="D473" s="12">
        <v>119.80166080766638</v>
      </c>
    </row>
    <row r="474" spans="1:4">
      <c r="A474">
        <v>471</v>
      </c>
      <c r="B474" s="12">
        <v>195.4010654019954</v>
      </c>
      <c r="C474" s="12">
        <v>135.1493497482918</v>
      </c>
      <c r="D474" s="12">
        <v>118.73283187290849</v>
      </c>
    </row>
    <row r="475" spans="1:4">
      <c r="A475">
        <v>472</v>
      </c>
      <c r="B475" s="12">
        <v>200.74601945315416</v>
      </c>
      <c r="C475" s="12">
        <v>126.14136807117025</v>
      </c>
      <c r="D475" s="12">
        <v>59.4089798612317</v>
      </c>
    </row>
    <row r="476" spans="1:4">
      <c r="A476">
        <v>473</v>
      </c>
      <c r="B476" s="12">
        <v>182.08661835193521</v>
      </c>
      <c r="C476" s="12">
        <v>202.33618399100763</v>
      </c>
      <c r="D476" s="12">
        <v>96.163845740089982</v>
      </c>
    </row>
    <row r="477" spans="1:4">
      <c r="A477">
        <v>474</v>
      </c>
      <c r="B477" s="12">
        <v>157.11027283650631</v>
      </c>
      <c r="C477" s="12">
        <v>208.16053340132669</v>
      </c>
      <c r="D477" s="12">
        <v>74.080766530341435</v>
      </c>
    </row>
    <row r="478" spans="1:4">
      <c r="A478">
        <v>475</v>
      </c>
      <c r="B478" s="12">
        <v>150.7288295684167</v>
      </c>
      <c r="C478" s="12">
        <v>192.60578904943381</v>
      </c>
      <c r="D478" s="12">
        <v>86.328416860116846</v>
      </c>
    </row>
    <row r="479" spans="1:4">
      <c r="A479">
        <v>476</v>
      </c>
      <c r="B479" s="12">
        <v>215.49857509541698</v>
      </c>
      <c r="C479" s="12">
        <v>146.52210352194319</v>
      </c>
      <c r="D479" s="12">
        <v>115.33966216318626</v>
      </c>
    </row>
    <row r="480" spans="1:4">
      <c r="A480">
        <v>477</v>
      </c>
      <c r="B480" s="12">
        <v>133.82782000568633</v>
      </c>
      <c r="C480" s="12">
        <v>168.9217843644827</v>
      </c>
      <c r="D480" s="12">
        <v>146.76425574233082</v>
      </c>
    </row>
    <row r="481" spans="1:4">
      <c r="A481">
        <v>478</v>
      </c>
      <c r="B481" s="12">
        <v>197.10615955858287</v>
      </c>
      <c r="C481" s="12">
        <v>132.5238475695306</v>
      </c>
      <c r="D481" s="12">
        <v>129.93722978627227</v>
      </c>
    </row>
    <row r="482" spans="1:4">
      <c r="A482">
        <v>479</v>
      </c>
      <c r="B482" s="12">
        <v>141.18601046669946</v>
      </c>
      <c r="C482" s="12">
        <v>203.7444220908485</v>
      </c>
      <c r="D482" s="12">
        <v>76.889179233379764</v>
      </c>
    </row>
    <row r="483" spans="1:4">
      <c r="A483">
        <v>480</v>
      </c>
      <c r="B483" s="12">
        <v>141.82562266411148</v>
      </c>
      <c r="C483" s="12">
        <v>136.27898221757511</v>
      </c>
      <c r="D483" s="12">
        <v>95.198033137049336</v>
      </c>
    </row>
    <row r="484" spans="1:4">
      <c r="A484">
        <v>481</v>
      </c>
      <c r="B484" s="12">
        <v>189.7336265440868</v>
      </c>
      <c r="C484" s="12">
        <v>117.93588320531185</v>
      </c>
      <c r="D484" s="12">
        <v>78.619891903872613</v>
      </c>
    </row>
    <row r="485" spans="1:4">
      <c r="A485">
        <v>482</v>
      </c>
      <c r="B485" s="12">
        <v>135.40362033440269</v>
      </c>
      <c r="C485" s="12">
        <v>148.88181262168013</v>
      </c>
      <c r="D485" s="12">
        <v>132.49622207480579</v>
      </c>
    </row>
    <row r="486" spans="1:4">
      <c r="A486">
        <v>483</v>
      </c>
      <c r="B486" s="12">
        <v>189.17981023270858</v>
      </c>
      <c r="C486" s="12">
        <v>144.01900005392025</v>
      </c>
      <c r="D486" s="12">
        <v>90.316184226165021</v>
      </c>
    </row>
    <row r="487" spans="1:4">
      <c r="A487">
        <v>484</v>
      </c>
      <c r="B487" s="12">
        <v>258.97009234365328</v>
      </c>
      <c r="C487" s="12">
        <v>127.07244225429427</v>
      </c>
      <c r="D487" s="12">
        <v>98.013984538819258</v>
      </c>
    </row>
    <row r="488" spans="1:4">
      <c r="A488">
        <v>485</v>
      </c>
      <c r="B488" s="12">
        <v>174.50809518124692</v>
      </c>
      <c r="C488" s="12">
        <v>150.57301932570988</v>
      </c>
      <c r="D488" s="12">
        <v>60.982328112422458</v>
      </c>
    </row>
    <row r="489" spans="1:4">
      <c r="A489">
        <v>486</v>
      </c>
      <c r="B489" s="12">
        <v>231.56148014584937</v>
      </c>
      <c r="C489" s="12">
        <v>201.49146889365383</v>
      </c>
      <c r="D489" s="12">
        <v>146.06515628833139</v>
      </c>
    </row>
    <row r="490" spans="1:4">
      <c r="A490">
        <v>487</v>
      </c>
      <c r="B490" s="12">
        <v>99.643371577835183</v>
      </c>
      <c r="C490" s="12">
        <v>170.60445566031436</v>
      </c>
      <c r="D490" s="12">
        <v>133.54391000333626</v>
      </c>
    </row>
    <row r="491" spans="1:4">
      <c r="A491">
        <v>488</v>
      </c>
      <c r="B491" s="12">
        <v>307.9733344344337</v>
      </c>
      <c r="C491" s="12">
        <v>143.85469505004465</v>
      </c>
      <c r="D491" s="12">
        <v>129.37180358345816</v>
      </c>
    </row>
    <row r="492" spans="1:4">
      <c r="A492">
        <v>489</v>
      </c>
      <c r="B492" s="12">
        <v>198.88484212564578</v>
      </c>
      <c r="C492" s="12">
        <v>129.58154180894283</v>
      </c>
      <c r="D492" s="12">
        <v>149.092851541496</v>
      </c>
    </row>
    <row r="493" spans="1:4">
      <c r="A493">
        <v>490</v>
      </c>
      <c r="B493" s="12">
        <v>264.51668550808466</v>
      </c>
      <c r="C493" s="12">
        <v>179.51199053618868</v>
      </c>
      <c r="D493" s="12">
        <v>87.047954001674199</v>
      </c>
    </row>
    <row r="494" spans="1:4">
      <c r="A494">
        <v>491</v>
      </c>
      <c r="B494" s="12">
        <v>207.80264015277848</v>
      </c>
      <c r="C494" s="12">
        <v>152.34793223824181</v>
      </c>
      <c r="D494" s="12">
        <v>94.235502042753637</v>
      </c>
    </row>
    <row r="495" spans="1:4">
      <c r="A495">
        <v>492</v>
      </c>
      <c r="B495" s="12">
        <v>114.92848860730386</v>
      </c>
      <c r="C495" s="12">
        <v>181.95206036425503</v>
      </c>
      <c r="D495" s="12">
        <v>82.620551176794251</v>
      </c>
    </row>
    <row r="496" spans="1:4">
      <c r="A496">
        <v>493</v>
      </c>
      <c r="B496" s="12">
        <v>112.61331833227585</v>
      </c>
      <c r="C496" s="12">
        <v>186.15152898031334</v>
      </c>
      <c r="D496" s="12">
        <v>75.050724630736823</v>
      </c>
    </row>
    <row r="497" spans="1:4">
      <c r="A497">
        <v>494</v>
      </c>
      <c r="B497" s="12">
        <v>147.81521542038706</v>
      </c>
      <c r="C497" s="12">
        <v>109.04294052674715</v>
      </c>
      <c r="D497" s="12">
        <v>50.46342730242992</v>
      </c>
    </row>
    <row r="498" spans="1:4">
      <c r="A498">
        <v>495</v>
      </c>
      <c r="B498" s="12">
        <v>190.29406097248776</v>
      </c>
      <c r="C498" s="12">
        <v>173.52013221389365</v>
      </c>
      <c r="D498" s="12">
        <v>85.779420019244483</v>
      </c>
    </row>
    <row r="499" spans="1:4">
      <c r="A499">
        <v>496</v>
      </c>
      <c r="B499" s="12">
        <v>157.47650167540127</v>
      </c>
      <c r="C499" s="12">
        <v>167.8042735813282</v>
      </c>
      <c r="D499" s="12">
        <v>82.037674592555433</v>
      </c>
    </row>
    <row r="500" spans="1:4">
      <c r="A500">
        <v>497</v>
      </c>
      <c r="B500" s="12">
        <v>172.71129386982932</v>
      </c>
      <c r="C500" s="12">
        <v>136.77507047162442</v>
      </c>
      <c r="D500" s="12">
        <v>112.89886816843712</v>
      </c>
    </row>
    <row r="501" spans="1:4">
      <c r="A501">
        <v>498</v>
      </c>
      <c r="B501" s="12">
        <v>101.00345291271231</v>
      </c>
      <c r="C501" s="12">
        <v>139.63584392075444</v>
      </c>
      <c r="D501" s="12">
        <v>58.308745133622494</v>
      </c>
    </row>
    <row r="502" spans="1:4">
      <c r="A502">
        <v>499</v>
      </c>
      <c r="B502" s="12">
        <v>251.85636633062813</v>
      </c>
      <c r="C502" s="12">
        <v>183.26953043952841</v>
      </c>
      <c r="D502" s="12">
        <v>80.267337698349507</v>
      </c>
    </row>
    <row r="503" spans="1:4">
      <c r="A503">
        <v>500</v>
      </c>
      <c r="B503" s="12">
        <v>128.11241137716766</v>
      </c>
      <c r="C503" s="12">
        <v>160.69582394710335</v>
      </c>
      <c r="D503" s="12">
        <v>85.04860225321606</v>
      </c>
    </row>
    <row r="504" spans="1:4">
      <c r="A504">
        <v>501</v>
      </c>
      <c r="B504" s="12">
        <v>160.39434032978929</v>
      </c>
      <c r="C504" s="12">
        <v>161.12735865418244</v>
      </c>
      <c r="D504" s="12">
        <v>101.3452323983972</v>
      </c>
    </row>
    <row r="505" spans="1:4">
      <c r="A505">
        <v>502</v>
      </c>
      <c r="B505" s="12">
        <v>188.28499878929898</v>
      </c>
      <c r="C505" s="12">
        <v>123.39653827383194</v>
      </c>
      <c r="D505" s="12">
        <v>69.706719648596319</v>
      </c>
    </row>
    <row r="506" spans="1:4">
      <c r="A506">
        <v>503</v>
      </c>
      <c r="B506" s="12">
        <v>162.36243897955745</v>
      </c>
      <c r="C506" s="12">
        <v>157.06170899719285</v>
      </c>
      <c r="D506" s="12">
        <v>116.31208832866652</v>
      </c>
    </row>
    <row r="507" spans="1:4">
      <c r="A507">
        <v>504</v>
      </c>
      <c r="B507" s="12">
        <v>130.20811226285741</v>
      </c>
      <c r="C507" s="12">
        <v>177.28250597028079</v>
      </c>
      <c r="D507" s="12">
        <v>91.279667821700656</v>
      </c>
    </row>
    <row r="508" spans="1:4">
      <c r="A508">
        <v>505</v>
      </c>
      <c r="B508" s="12">
        <v>179.15137112953963</v>
      </c>
      <c r="C508" s="12">
        <v>142.65205590399808</v>
      </c>
      <c r="D508" s="12">
        <v>94.499644658202499</v>
      </c>
    </row>
    <row r="509" spans="1:4">
      <c r="A509">
        <v>506</v>
      </c>
      <c r="B509" s="12">
        <v>194.37538591946864</v>
      </c>
      <c r="C509" s="12">
        <v>199.08999118848288</v>
      </c>
      <c r="D509" s="12">
        <v>118.98911311955533</v>
      </c>
    </row>
    <row r="510" spans="1:4">
      <c r="A510">
        <v>507</v>
      </c>
      <c r="B510" s="12">
        <v>148.42151352914749</v>
      </c>
      <c r="C510" s="12">
        <v>140.08958087517834</v>
      </c>
      <c r="D510" s="12">
        <v>84.590743696825086</v>
      </c>
    </row>
    <row r="511" spans="1:4">
      <c r="A511">
        <v>508</v>
      </c>
      <c r="B511" s="12">
        <v>137.61316825709739</v>
      </c>
      <c r="C511" s="12">
        <v>144.94598450734173</v>
      </c>
      <c r="D511" s="12">
        <v>63.110070363461624</v>
      </c>
    </row>
    <row r="512" spans="1:4">
      <c r="A512">
        <v>509</v>
      </c>
      <c r="B512" s="12">
        <v>219.72998452667593</v>
      </c>
      <c r="C512" s="12">
        <v>119.54711046251715</v>
      </c>
      <c r="D512" s="12">
        <v>109.42360236924307</v>
      </c>
    </row>
    <row r="513" spans="1:4">
      <c r="A513">
        <v>510</v>
      </c>
      <c r="B513" s="12">
        <v>127.60543693379324</v>
      </c>
      <c r="C513" s="12">
        <v>184.66507908828339</v>
      </c>
      <c r="D513" s="12">
        <v>77.76628694149845</v>
      </c>
    </row>
    <row r="514" spans="1:4">
      <c r="A514">
        <v>511</v>
      </c>
      <c r="B514" s="12">
        <v>138.68923263819283</v>
      </c>
      <c r="C514" s="12">
        <v>142.91315678527963</v>
      </c>
      <c r="D514" s="12">
        <v>74.687840659514706</v>
      </c>
    </row>
    <row r="515" spans="1:4">
      <c r="A515">
        <v>512</v>
      </c>
      <c r="B515" s="12">
        <v>173.81439842455191</v>
      </c>
      <c r="C515" s="12">
        <v>134.30215485622924</v>
      </c>
      <c r="D515" s="12">
        <v>122.04571319271471</v>
      </c>
    </row>
    <row r="516" spans="1:4">
      <c r="A516">
        <v>513</v>
      </c>
      <c r="B516" s="12">
        <v>158.8133054847921</v>
      </c>
      <c r="C516" s="12">
        <v>147.98769407970056</v>
      </c>
      <c r="D516" s="12">
        <v>76.55021412206888</v>
      </c>
    </row>
    <row r="517" spans="1:4">
      <c r="A517">
        <v>514</v>
      </c>
      <c r="B517" s="12">
        <v>167.40632560693552</v>
      </c>
      <c r="C517" s="12">
        <v>147.33615717664267</v>
      </c>
      <c r="D517" s="12">
        <v>79.139633476029275</v>
      </c>
    </row>
    <row r="518" spans="1:4">
      <c r="A518">
        <v>515</v>
      </c>
      <c r="B518" s="12">
        <v>158.44549295793041</v>
      </c>
      <c r="C518" s="12">
        <v>165.47329589676059</v>
      </c>
      <c r="D518" s="12">
        <v>88.643558370462202</v>
      </c>
    </row>
    <row r="519" spans="1:4">
      <c r="A519">
        <v>516</v>
      </c>
      <c r="B519" s="12">
        <v>145.84929958314063</v>
      </c>
      <c r="C519" s="12">
        <v>123.95447051325353</v>
      </c>
      <c r="D519" s="12">
        <v>127.06959799205615</v>
      </c>
    </row>
    <row r="520" spans="1:4">
      <c r="A520">
        <v>517</v>
      </c>
      <c r="B520" s="12">
        <v>147.2069954572149</v>
      </c>
      <c r="C520" s="12">
        <v>173.87851239763305</v>
      </c>
      <c r="D520" s="12">
        <v>52.32823377368134</v>
      </c>
    </row>
    <row r="521" spans="1:4">
      <c r="A521">
        <v>518</v>
      </c>
      <c r="B521" s="12">
        <v>142.21327660492017</v>
      </c>
      <c r="C521" s="12">
        <v>194.82391940590108</v>
      </c>
      <c r="D521" s="12">
        <v>84.129677802090995</v>
      </c>
    </row>
    <row r="522" spans="1:4">
      <c r="A522">
        <v>519</v>
      </c>
      <c r="B522" s="12">
        <v>277.56934862843275</v>
      </c>
      <c r="C522" s="12">
        <v>123.02787507856505</v>
      </c>
      <c r="D522" s="12">
        <v>104.62637343019185</v>
      </c>
    </row>
    <row r="523" spans="1:4">
      <c r="A523">
        <v>520</v>
      </c>
      <c r="B523" s="12">
        <v>147.4447147086631</v>
      </c>
      <c r="C523" s="12">
        <v>142.22118709172025</v>
      </c>
      <c r="D523" s="12">
        <v>77.437047436057995</v>
      </c>
    </row>
    <row r="524" spans="1:4">
      <c r="A524">
        <v>521</v>
      </c>
      <c r="B524" s="12">
        <v>164.35567659603055</v>
      </c>
      <c r="C524" s="12">
        <v>153.14899002508093</v>
      </c>
      <c r="D524" s="12">
        <v>142.44130866107372</v>
      </c>
    </row>
    <row r="525" spans="1:4">
      <c r="A525">
        <v>522</v>
      </c>
      <c r="B525" s="12">
        <v>146.22343334592028</v>
      </c>
      <c r="C525" s="12">
        <v>176.88024479781504</v>
      </c>
      <c r="D525" s="12">
        <v>144.00672818915712</v>
      </c>
    </row>
    <row r="526" spans="1:4">
      <c r="A526">
        <v>523</v>
      </c>
      <c r="B526" s="12">
        <v>202.70025403001051</v>
      </c>
      <c r="C526" s="12">
        <v>121.81210916905265</v>
      </c>
      <c r="D526" s="12">
        <v>73.069647106465126</v>
      </c>
    </row>
    <row r="527" spans="1:4">
      <c r="A527">
        <v>524</v>
      </c>
      <c r="B527" s="12">
        <v>153.62029737307358</v>
      </c>
      <c r="C527" s="12">
        <v>179.07519568389981</v>
      </c>
      <c r="D527" s="12">
        <v>131.87689087625333</v>
      </c>
    </row>
    <row r="528" spans="1:4">
      <c r="A528">
        <v>525</v>
      </c>
      <c r="B528" s="12">
        <v>105.45862206269419</v>
      </c>
      <c r="C528" s="12">
        <v>137.37003816623155</v>
      </c>
      <c r="D528" s="12">
        <v>72.674546534332293</v>
      </c>
    </row>
    <row r="529" spans="1:4">
      <c r="A529">
        <v>526</v>
      </c>
      <c r="B529" s="12">
        <v>180.83458032064789</v>
      </c>
      <c r="C529" s="12">
        <v>219.87126682415195</v>
      </c>
      <c r="D529" s="12">
        <v>89.880799665343403</v>
      </c>
    </row>
    <row r="530" spans="1:4">
      <c r="A530">
        <v>527</v>
      </c>
      <c r="B530" s="12">
        <v>186.87855702400904</v>
      </c>
      <c r="C530" s="12">
        <v>127.36056665639241</v>
      </c>
      <c r="D530" s="12">
        <v>200.31792929271231</v>
      </c>
    </row>
    <row r="531" spans="1:4">
      <c r="A531">
        <v>528</v>
      </c>
      <c r="B531" s="12">
        <v>194.99765611802098</v>
      </c>
      <c r="C531" s="12">
        <v>149.12673098957538</v>
      </c>
      <c r="D531" s="12">
        <v>105.10487249669977</v>
      </c>
    </row>
    <row r="532" spans="1:4">
      <c r="A532">
        <v>529</v>
      </c>
      <c r="B532" s="12">
        <v>170.14753082945361</v>
      </c>
      <c r="C532" s="12">
        <v>158.39431643909356</v>
      </c>
      <c r="D532" s="12">
        <v>110.80028457523677</v>
      </c>
    </row>
    <row r="533" spans="1:4">
      <c r="A533">
        <v>530</v>
      </c>
      <c r="B533" s="12">
        <v>149.39388641292399</v>
      </c>
      <c r="C533" s="12">
        <v>137.85058751331692</v>
      </c>
      <c r="D533" s="12">
        <v>91.015321405649516</v>
      </c>
    </row>
    <row r="534" spans="1:4">
      <c r="A534">
        <v>531</v>
      </c>
      <c r="B534" s="12">
        <v>234.72770531621171</v>
      </c>
      <c r="C534" s="12">
        <v>135.77507595478818</v>
      </c>
      <c r="D534" s="12">
        <v>78.299201452914787</v>
      </c>
    </row>
    <row r="535" spans="1:4">
      <c r="A535">
        <v>532</v>
      </c>
      <c r="B535" s="12">
        <v>161.37562091248265</v>
      </c>
      <c r="C535" s="12">
        <v>159.06824550076541</v>
      </c>
      <c r="D535" s="12">
        <v>108.28286701356112</v>
      </c>
    </row>
    <row r="536" spans="1:4">
      <c r="A536">
        <v>533</v>
      </c>
      <c r="B536" s="12">
        <v>152.45258902325898</v>
      </c>
      <c r="C536" s="12">
        <v>185.82670117799844</v>
      </c>
      <c r="D536" s="12">
        <v>77.036371251189891</v>
      </c>
    </row>
    <row r="537" spans="1:4">
      <c r="A537">
        <v>534</v>
      </c>
      <c r="B537" s="12">
        <v>103.60937718450197</v>
      </c>
      <c r="C537" s="12">
        <v>169.89312083045402</v>
      </c>
      <c r="D537" s="12">
        <v>91.395347737128375</v>
      </c>
    </row>
    <row r="538" spans="1:4">
      <c r="A538">
        <v>535</v>
      </c>
      <c r="B538" s="12">
        <v>154.37786188577547</v>
      </c>
      <c r="C538" s="12">
        <v>178.13789686222481</v>
      </c>
      <c r="D538" s="12">
        <v>90.697101558506887</v>
      </c>
    </row>
    <row r="539" spans="1:4">
      <c r="A539">
        <v>536</v>
      </c>
      <c r="B539" s="12">
        <v>157.27057516590858</v>
      </c>
      <c r="C539" s="12">
        <v>169.57477154932363</v>
      </c>
      <c r="D539" s="12">
        <v>144.44235544261591</v>
      </c>
    </row>
    <row r="540" spans="1:4">
      <c r="A540">
        <v>537</v>
      </c>
      <c r="B540" s="12">
        <v>145.3980098002948</v>
      </c>
      <c r="C540" s="12">
        <v>159.86131464568504</v>
      </c>
      <c r="D540" s="12">
        <v>88.760713262289727</v>
      </c>
    </row>
    <row r="541" spans="1:4">
      <c r="A541">
        <v>538</v>
      </c>
      <c r="B541" s="12">
        <v>115.28766083108768</v>
      </c>
      <c r="C541" s="12">
        <v>160.81071261938988</v>
      </c>
      <c r="D541" s="12">
        <v>57.627043596713015</v>
      </c>
    </row>
    <row r="542" spans="1:4">
      <c r="A542">
        <v>539</v>
      </c>
      <c r="B542" s="12">
        <v>301.32671414097894</v>
      </c>
      <c r="C542" s="12">
        <v>157.42268608682048</v>
      </c>
      <c r="D542" s="12">
        <v>78.117563470264486</v>
      </c>
    </row>
    <row r="543" spans="1:4">
      <c r="A543">
        <v>540</v>
      </c>
      <c r="B543" s="12">
        <v>163.52086441592226</v>
      </c>
      <c r="C543" s="12">
        <v>139.19925517773532</v>
      </c>
      <c r="D543" s="12">
        <v>88.321217262970464</v>
      </c>
    </row>
    <row r="544" spans="1:4">
      <c r="A544">
        <v>541</v>
      </c>
      <c r="B544" s="12">
        <v>199.88743303358041</v>
      </c>
      <c r="C544" s="12">
        <v>144.64096979333618</v>
      </c>
      <c r="D544" s="12">
        <v>102.94970691191457</v>
      </c>
    </row>
    <row r="545" spans="1:4">
      <c r="A545">
        <v>542</v>
      </c>
      <c r="B545" s="12">
        <v>155.34074339130217</v>
      </c>
      <c r="C545" s="12">
        <v>175.00889278992577</v>
      </c>
      <c r="D545" s="12">
        <v>117.09549199923416</v>
      </c>
    </row>
    <row r="546" spans="1:4">
      <c r="A546">
        <v>543</v>
      </c>
      <c r="B546" s="12">
        <v>129.14416188555649</v>
      </c>
      <c r="C546" s="12">
        <v>160.12079858733983</v>
      </c>
      <c r="D546" s="12">
        <v>64.549989375191601</v>
      </c>
    </row>
    <row r="547" spans="1:4">
      <c r="A547">
        <v>544</v>
      </c>
      <c r="B547" s="12">
        <v>217.10474643855923</v>
      </c>
      <c r="C547" s="12">
        <v>179.70557372912972</v>
      </c>
      <c r="D547" s="12">
        <v>64.123678652951241</v>
      </c>
    </row>
    <row r="548" spans="1:4">
      <c r="A548">
        <v>545</v>
      </c>
      <c r="B548" s="12">
        <v>150.8890238729619</v>
      </c>
      <c r="C548" s="12">
        <v>165.59891817540739</v>
      </c>
      <c r="D548" s="12">
        <v>67.633297463904356</v>
      </c>
    </row>
    <row r="549" spans="1:4">
      <c r="A549">
        <v>546</v>
      </c>
      <c r="B549" s="12">
        <v>202.54666134404644</v>
      </c>
      <c r="C549" s="12">
        <v>111.69240602035643</v>
      </c>
      <c r="D549" s="12">
        <v>98.131793779687399</v>
      </c>
    </row>
    <row r="550" spans="1:4">
      <c r="A550">
        <v>547</v>
      </c>
      <c r="B550" s="12">
        <v>150.52304543651823</v>
      </c>
      <c r="C550" s="12">
        <v>197.78794242367917</v>
      </c>
      <c r="D550" s="12">
        <v>169.92562605275202</v>
      </c>
    </row>
    <row r="551" spans="1:4">
      <c r="A551">
        <v>548</v>
      </c>
      <c r="B551" s="12">
        <v>171.80301128175233</v>
      </c>
      <c r="C551" s="12">
        <v>221.81185878567734</v>
      </c>
      <c r="D551" s="12">
        <v>69.908867269774447</v>
      </c>
    </row>
    <row r="552" spans="1:4">
      <c r="A552">
        <v>549</v>
      </c>
      <c r="B552" s="12">
        <v>138.86601778906098</v>
      </c>
      <c r="C552" s="12">
        <v>119.11545305192936</v>
      </c>
      <c r="D552" s="12">
        <v>111.27196978856924</v>
      </c>
    </row>
    <row r="553" spans="1:4">
      <c r="A553">
        <v>550</v>
      </c>
      <c r="B553" s="12">
        <v>201.06330745578819</v>
      </c>
      <c r="C553" s="12">
        <v>181.20511489565007</v>
      </c>
      <c r="D553" s="12">
        <v>126.27260306118056</v>
      </c>
    </row>
    <row r="554" spans="1:4">
      <c r="A554">
        <v>551</v>
      </c>
      <c r="B554" s="12">
        <v>217.84644779253358</v>
      </c>
      <c r="C554" s="12">
        <v>145.97230599810581</v>
      </c>
      <c r="D554" s="12">
        <v>98.574186943099463</v>
      </c>
    </row>
    <row r="555" spans="1:4">
      <c r="A555">
        <v>552</v>
      </c>
      <c r="B555" s="12">
        <v>173.57818983606788</v>
      </c>
      <c r="C555" s="12">
        <v>136.10721623259028</v>
      </c>
      <c r="D555" s="12">
        <v>96.717213499018257</v>
      </c>
    </row>
    <row r="556" spans="1:4">
      <c r="A556">
        <v>553</v>
      </c>
      <c r="B556" s="12">
        <v>156.30474532592967</v>
      </c>
      <c r="C556" s="12">
        <v>172.17940418022218</v>
      </c>
      <c r="D556" s="12">
        <v>127.63256427662243</v>
      </c>
    </row>
    <row r="557" spans="1:4">
      <c r="A557">
        <v>554</v>
      </c>
      <c r="B557" s="12">
        <v>209.66229378830386</v>
      </c>
      <c r="C557" s="12">
        <v>169.2591607099661</v>
      </c>
      <c r="D557" s="12">
        <v>78.962395023307835</v>
      </c>
    </row>
    <row r="558" spans="1:4">
      <c r="A558">
        <v>555</v>
      </c>
      <c r="B558" s="12">
        <v>160.55669633609202</v>
      </c>
      <c r="C558" s="12">
        <v>145.47046433245566</v>
      </c>
      <c r="D558" s="12">
        <v>61.36465810168071</v>
      </c>
    </row>
    <row r="559" spans="1:4">
      <c r="A559">
        <v>556</v>
      </c>
      <c r="B559" s="12">
        <v>181.04029673140639</v>
      </c>
      <c r="C559" s="12">
        <v>170.95800972006873</v>
      </c>
      <c r="D559" s="12">
        <v>73.487976037070311</v>
      </c>
    </row>
    <row r="560" spans="1:4">
      <c r="A560">
        <v>557</v>
      </c>
      <c r="B560" s="12">
        <v>179.81048087418415</v>
      </c>
      <c r="C560" s="12">
        <v>173.67653398027949</v>
      </c>
      <c r="D560" s="12">
        <v>60.470156003150919</v>
      </c>
    </row>
    <row r="561" spans="1:4">
      <c r="A561">
        <v>558</v>
      </c>
      <c r="B561" s="12">
        <v>244.57628861081724</v>
      </c>
      <c r="C561" s="12">
        <v>163.65100832357192</v>
      </c>
      <c r="D561" s="12">
        <v>139.64764221202151</v>
      </c>
    </row>
    <row r="562" spans="1:4">
      <c r="A562">
        <v>559</v>
      </c>
      <c r="B562" s="12">
        <v>151.25467129041277</v>
      </c>
      <c r="C562" s="12">
        <v>148.095460283747</v>
      </c>
      <c r="D562" s="12">
        <v>142.84926029950577</v>
      </c>
    </row>
    <row r="563" spans="1:4">
      <c r="A563">
        <v>560</v>
      </c>
      <c r="B563" s="12">
        <v>116.08550073837313</v>
      </c>
      <c r="C563" s="12">
        <v>143.71017464988179</v>
      </c>
      <c r="D563" s="12">
        <v>132.77188349936444</v>
      </c>
    </row>
    <row r="564" spans="1:4">
      <c r="A564">
        <v>561</v>
      </c>
      <c r="B564" s="12">
        <v>137.11706967107526</v>
      </c>
      <c r="C564" s="12">
        <v>180.44421278089655</v>
      </c>
      <c r="D564" s="12">
        <v>86.448122957110343</v>
      </c>
    </row>
    <row r="565" spans="1:4">
      <c r="A565">
        <v>562</v>
      </c>
      <c r="B565" s="12">
        <v>175.82830714710857</v>
      </c>
      <c r="C565" s="12">
        <v>130.77151625013744</v>
      </c>
      <c r="D565" s="12">
        <v>110.40943392402797</v>
      </c>
    </row>
    <row r="566" spans="1:4">
      <c r="A566">
        <v>563</v>
      </c>
      <c r="B566" s="12">
        <v>207.31586806833045</v>
      </c>
      <c r="C566" s="12">
        <v>171.8394515427031</v>
      </c>
      <c r="D566" s="12">
        <v>70.200564369650479</v>
      </c>
    </row>
    <row r="567" spans="1:4">
      <c r="A567">
        <v>564</v>
      </c>
      <c r="B567" s="12">
        <v>192.0634074379636</v>
      </c>
      <c r="C567" s="12">
        <v>136.71417807189155</v>
      </c>
      <c r="D567" s="12">
        <v>140.48643213893254</v>
      </c>
    </row>
    <row r="568" spans="1:4">
      <c r="A568">
        <v>565</v>
      </c>
      <c r="B568" s="12">
        <v>121.57702380876054</v>
      </c>
      <c r="C568" s="12">
        <v>137.20384657389587</v>
      </c>
      <c r="D568" s="12">
        <v>74.847364895428655</v>
      </c>
    </row>
    <row r="569" spans="1:4">
      <c r="A569">
        <v>566</v>
      </c>
      <c r="B569" s="12">
        <v>149.92181186292214</v>
      </c>
      <c r="C569" s="12">
        <v>167.93699728199468</v>
      </c>
      <c r="D569" s="12">
        <v>172.10010399872144</v>
      </c>
    </row>
    <row r="570" spans="1:4">
      <c r="A570">
        <v>567</v>
      </c>
      <c r="B570" s="12">
        <v>124.68239860500339</v>
      </c>
      <c r="C570" s="12">
        <v>132.10076131114118</v>
      </c>
      <c r="D570" s="12">
        <v>89.027934988950022</v>
      </c>
    </row>
    <row r="571" spans="1:4">
      <c r="A571">
        <v>568</v>
      </c>
      <c r="B571" s="12">
        <v>194.64672560514282</v>
      </c>
      <c r="C571" s="12">
        <v>167.6345026037867</v>
      </c>
      <c r="D571" s="12">
        <v>83.687424072232119</v>
      </c>
    </row>
    <row r="572" spans="1:4">
      <c r="A572">
        <v>569</v>
      </c>
      <c r="B572" s="12">
        <v>143.01394708054983</v>
      </c>
      <c r="C572" s="12">
        <v>192.95647941968252</v>
      </c>
      <c r="D572" s="12">
        <v>62.190546141047612</v>
      </c>
    </row>
    <row r="573" spans="1:4">
      <c r="A573">
        <v>570</v>
      </c>
      <c r="B573" s="12">
        <v>153.77988351214518</v>
      </c>
      <c r="C573" s="12">
        <v>159.18053857647303</v>
      </c>
      <c r="D573" s="12">
        <v>90.866622101620194</v>
      </c>
    </row>
    <row r="574" spans="1:4">
      <c r="A574">
        <v>571</v>
      </c>
      <c r="B574" s="12">
        <v>249.80261915802492</v>
      </c>
      <c r="C574" s="12">
        <v>186.40785827515998</v>
      </c>
      <c r="D574" s="12">
        <v>139.12481864456876</v>
      </c>
    </row>
    <row r="575" spans="1:4">
      <c r="A575">
        <v>572</v>
      </c>
      <c r="B575" s="12">
        <v>206.76913072503723</v>
      </c>
      <c r="C575" s="12">
        <v>202.06435536279648</v>
      </c>
      <c r="D575" s="12">
        <v>112.1513961518078</v>
      </c>
    </row>
    <row r="576" spans="1:4">
      <c r="A576">
        <v>573</v>
      </c>
      <c r="B576" s="12">
        <v>195.67903611145002</v>
      </c>
      <c r="C576" s="12">
        <v>196.7721739424619</v>
      </c>
      <c r="D576" s="12">
        <v>83.505123458413422</v>
      </c>
    </row>
    <row r="577" spans="1:4">
      <c r="A577">
        <v>574</v>
      </c>
      <c r="B577" s="12">
        <v>191.48106584810094</v>
      </c>
      <c r="C577" s="12">
        <v>172.74486737480271</v>
      </c>
      <c r="D577" s="12">
        <v>66.175308581701572</v>
      </c>
    </row>
    <row r="578" spans="1:4">
      <c r="A578">
        <v>575</v>
      </c>
      <c r="B578" s="12">
        <v>209.07868203039348</v>
      </c>
      <c r="C578" s="12">
        <v>193.78192037687714</v>
      </c>
      <c r="D578" s="12">
        <v>121.09132573148946</v>
      </c>
    </row>
    <row r="579" spans="1:4">
      <c r="A579">
        <v>576</v>
      </c>
      <c r="B579" s="12">
        <v>138.20126154514307</v>
      </c>
      <c r="C579" s="12">
        <v>177.05565110985785</v>
      </c>
      <c r="D579" s="12">
        <v>92.788832683032879</v>
      </c>
    </row>
    <row r="580" spans="1:4">
      <c r="A580">
        <v>577</v>
      </c>
      <c r="B580" s="12">
        <v>148.5830270788563</v>
      </c>
      <c r="C580" s="12">
        <v>101.48719815742707</v>
      </c>
      <c r="D580" s="12">
        <v>123.42830174584576</v>
      </c>
    </row>
    <row r="581" spans="1:4">
      <c r="A581">
        <v>578</v>
      </c>
      <c r="B581" s="12">
        <v>131.35396751185274</v>
      </c>
      <c r="C581" s="12">
        <v>227.59879918530737</v>
      </c>
      <c r="D581" s="12">
        <v>127.29687185132681</v>
      </c>
    </row>
    <row r="582" spans="1:4">
      <c r="A582">
        <v>579</v>
      </c>
      <c r="B582" s="12">
        <v>118.06128975381873</v>
      </c>
      <c r="C582" s="12">
        <v>141.63740279546877</v>
      </c>
      <c r="D582" s="12">
        <v>155.76883752065947</v>
      </c>
    </row>
    <row r="583" spans="1:4">
      <c r="A583">
        <v>580</v>
      </c>
      <c r="B583" s="12">
        <v>232.37338685643559</v>
      </c>
      <c r="C583" s="12">
        <v>168.2418129795895</v>
      </c>
      <c r="D583" s="12">
        <v>115.13576573938062</v>
      </c>
    </row>
    <row r="584" spans="1:4">
      <c r="A584">
        <v>581</v>
      </c>
      <c r="B584" s="12">
        <v>136.28310500908833</v>
      </c>
      <c r="C584" s="12">
        <v>148.34134015557373</v>
      </c>
      <c r="D584" s="12">
        <v>109.2457339749122</v>
      </c>
    </row>
    <row r="585" spans="1:4">
      <c r="A585">
        <v>582</v>
      </c>
      <c r="B585" s="12">
        <v>130.41625286083928</v>
      </c>
      <c r="C585" s="12">
        <v>158.08913432828837</v>
      </c>
      <c r="D585" s="12">
        <v>75.436381686639294</v>
      </c>
    </row>
    <row r="586" spans="1:4">
      <c r="A586">
        <v>583</v>
      </c>
      <c r="B586" s="12">
        <v>172.89309716458274</v>
      </c>
      <c r="C586" s="12">
        <v>202.93846394323867</v>
      </c>
      <c r="D586" s="12">
        <v>78.759358648451624</v>
      </c>
    </row>
    <row r="587" spans="1:4">
      <c r="A587">
        <v>584</v>
      </c>
      <c r="B587" s="12">
        <v>241.82146256249032</v>
      </c>
      <c r="C587" s="12">
        <v>191.67336384416339</v>
      </c>
      <c r="D587" s="12">
        <v>124.66430195623023</v>
      </c>
    </row>
    <row r="588" spans="1:4">
      <c r="A588">
        <v>585</v>
      </c>
      <c r="B588" s="12">
        <v>127.50178362431981</v>
      </c>
      <c r="C588" s="12">
        <v>125.55610197737144</v>
      </c>
      <c r="D588" s="12">
        <v>101.74558366955814</v>
      </c>
    </row>
    <row r="589" spans="1:4">
      <c r="A589">
        <v>586</v>
      </c>
      <c r="B589" s="12">
        <v>135.16333161747102</v>
      </c>
      <c r="C589" s="12">
        <v>150.27968328832142</v>
      </c>
      <c r="D589" s="12">
        <v>102.20479810642652</v>
      </c>
    </row>
    <row r="590" spans="1:4">
      <c r="A590">
        <v>587</v>
      </c>
      <c r="B590" s="12">
        <v>158.23893667230797</v>
      </c>
      <c r="C590" s="12">
        <v>167.14309074679861</v>
      </c>
      <c r="D590" s="12">
        <v>53.353105986391569</v>
      </c>
    </row>
    <row r="591" spans="1:4">
      <c r="A591">
        <v>588</v>
      </c>
      <c r="B591" s="12">
        <v>105.16341690295319</v>
      </c>
      <c r="C591" s="12">
        <v>151.56710386463024</v>
      </c>
      <c r="D591" s="12">
        <v>97.862872965834526</v>
      </c>
    </row>
    <row r="592" spans="1:4">
      <c r="A592">
        <v>589</v>
      </c>
      <c r="B592" s="12">
        <v>176.98142044483004</v>
      </c>
      <c r="C592" s="12">
        <v>127.55490871211127</v>
      </c>
      <c r="D592" s="12">
        <v>118.90780693190203</v>
      </c>
    </row>
    <row r="593" spans="1:4">
      <c r="A593">
        <v>590</v>
      </c>
      <c r="B593" s="12">
        <v>144.40169759780127</v>
      </c>
      <c r="C593" s="12">
        <v>161.94522809590759</v>
      </c>
      <c r="D593" s="12">
        <v>82.165865467163485</v>
      </c>
    </row>
    <row r="594" spans="1:4">
      <c r="A594">
        <v>591</v>
      </c>
      <c r="B594" s="12">
        <v>148.95148514934692</v>
      </c>
      <c r="C594" s="12">
        <v>170.42155273499722</v>
      </c>
      <c r="D594" s="12">
        <v>137.55888855146171</v>
      </c>
    </row>
    <row r="595" spans="1:4">
      <c r="A595">
        <v>592</v>
      </c>
      <c r="B595" s="12">
        <v>180.10645690742604</v>
      </c>
      <c r="C595" s="12">
        <v>142.07278728500842</v>
      </c>
      <c r="D595" s="12">
        <v>79.277069596105363</v>
      </c>
    </row>
    <row r="596" spans="1:4">
      <c r="A596">
        <v>593</v>
      </c>
      <c r="B596" s="12">
        <v>134.45588814327508</v>
      </c>
      <c r="C596" s="12">
        <v>133.90759920783356</v>
      </c>
      <c r="D596" s="12">
        <v>84.71324211010905</v>
      </c>
    </row>
    <row r="597" spans="1:4">
      <c r="A597">
        <v>594</v>
      </c>
      <c r="B597" s="12">
        <v>261.25198821043051</v>
      </c>
      <c r="C597" s="12">
        <v>182.16557493721322</v>
      </c>
      <c r="D597" s="12">
        <v>180.95461896976511</v>
      </c>
    </row>
    <row r="598" spans="1:4">
      <c r="A598">
        <v>595</v>
      </c>
      <c r="B598" s="12">
        <v>168.61568553303383</v>
      </c>
      <c r="C598" s="12">
        <v>125.05322130038498</v>
      </c>
      <c r="D598" s="12">
        <v>125.95185374979083</v>
      </c>
    </row>
    <row r="599" spans="1:4">
      <c r="A599">
        <v>596</v>
      </c>
      <c r="B599" s="12">
        <v>123.17170555048595</v>
      </c>
      <c r="C599" s="12">
        <v>134.76658814386084</v>
      </c>
      <c r="D599" s="12">
        <v>82.457400631550811</v>
      </c>
    </row>
    <row r="600" spans="1:4">
      <c r="A600">
        <v>597</v>
      </c>
      <c r="B600" s="12">
        <v>117.33347680771557</v>
      </c>
      <c r="C600" s="12">
        <v>158.76059768725892</v>
      </c>
      <c r="D600" s="12">
        <v>72.449228047062192</v>
      </c>
    </row>
    <row r="601" spans="1:4">
      <c r="A601">
        <v>598</v>
      </c>
      <c r="B601" s="12">
        <v>183.58258222374263</v>
      </c>
      <c r="C601" s="12">
        <v>149.23388688633418</v>
      </c>
      <c r="D601" s="12">
        <v>88.052585285667135</v>
      </c>
    </row>
    <row r="602" spans="1:4">
      <c r="A602">
        <v>599</v>
      </c>
      <c r="B602" s="12">
        <v>120.94778602314129</v>
      </c>
      <c r="C602" s="12">
        <v>154.79666058183579</v>
      </c>
      <c r="D602" s="12">
        <v>87.340247200872881</v>
      </c>
    </row>
    <row r="603" spans="1:4">
      <c r="A603">
        <v>600</v>
      </c>
      <c r="B603" s="12">
        <v>125.58460875200134</v>
      </c>
      <c r="C603" s="12">
        <v>148.98907751353542</v>
      </c>
      <c r="D603" s="12">
        <v>106.80320371749238</v>
      </c>
    </row>
    <row r="604" spans="1:4">
      <c r="A604">
        <v>601</v>
      </c>
      <c r="B604" s="12">
        <v>140.57246764073713</v>
      </c>
      <c r="C604" s="12">
        <v>140.20989100179884</v>
      </c>
      <c r="D604" s="12">
        <v>55.255263850329641</v>
      </c>
    </row>
    <row r="605" spans="1:4">
      <c r="A605">
        <v>602</v>
      </c>
      <c r="B605" s="12">
        <v>189.06833349213628</v>
      </c>
      <c r="C605" s="12">
        <v>141.19838223406882</v>
      </c>
      <c r="D605" s="12">
        <v>115.49920780659141</v>
      </c>
    </row>
    <row r="606" spans="1:4">
      <c r="A606">
        <v>603</v>
      </c>
      <c r="B606" s="12">
        <v>233.60342934279137</v>
      </c>
      <c r="C606" s="12">
        <v>137.49892682078053</v>
      </c>
      <c r="D606" s="12">
        <v>134.49704934938094</v>
      </c>
    </row>
    <row r="607" spans="1:4">
      <c r="A607">
        <v>604</v>
      </c>
      <c r="B607" s="12">
        <v>133.7386402749793</v>
      </c>
      <c r="C607" s="12">
        <v>195.21786089662717</v>
      </c>
      <c r="D607" s="12">
        <v>51.794872778973662</v>
      </c>
    </row>
    <row r="608" spans="1:4">
      <c r="A608">
        <v>605</v>
      </c>
      <c r="B608" s="12">
        <v>162.52665198643666</v>
      </c>
      <c r="C608" s="12">
        <v>141.37024392338049</v>
      </c>
      <c r="D608" s="12">
        <v>81.683756952574626</v>
      </c>
    </row>
    <row r="609" spans="1:4">
      <c r="A609">
        <v>606</v>
      </c>
      <c r="B609" s="12">
        <v>122.57848955244189</v>
      </c>
      <c r="C609" s="12">
        <v>152.85516817791196</v>
      </c>
      <c r="D609" s="12">
        <v>93.654146567638946</v>
      </c>
    </row>
    <row r="610" spans="1:4">
      <c r="A610">
        <v>607</v>
      </c>
      <c r="B610" s="12">
        <v>203.80792535564652</v>
      </c>
      <c r="C610" s="12">
        <v>140.48348586290822</v>
      </c>
      <c r="D610" s="12">
        <v>118.50943389662535</v>
      </c>
    </row>
    <row r="611" spans="1:4">
      <c r="A611">
        <v>608</v>
      </c>
      <c r="B611" s="12">
        <v>205.11302009695794</v>
      </c>
      <c r="C611" s="12">
        <v>174.63702588008204</v>
      </c>
      <c r="D611" s="12">
        <v>238.80271447223006</v>
      </c>
    </row>
    <row r="612" spans="1:4">
      <c r="A612">
        <v>609</v>
      </c>
      <c r="B612" s="12">
        <v>113.90777945264327</v>
      </c>
      <c r="C612" s="12">
        <v>145.72171759233322</v>
      </c>
      <c r="D612" s="12">
        <v>120.66695129043228</v>
      </c>
    </row>
    <row r="613" spans="1:4">
      <c r="A613">
        <v>610</v>
      </c>
      <c r="B613" s="12">
        <v>194.02947897989711</v>
      </c>
      <c r="C613" s="12">
        <v>207.11552162819345</v>
      </c>
      <c r="D613" s="12">
        <v>76.137175829765411</v>
      </c>
    </row>
    <row r="614" spans="1:4">
      <c r="A614">
        <v>611</v>
      </c>
      <c r="B614" s="12">
        <v>113.01685546040511</v>
      </c>
      <c r="C614" s="12">
        <v>162.92741944650859</v>
      </c>
      <c r="D614" s="12">
        <v>147.25442590313233</v>
      </c>
    </row>
    <row r="615" spans="1:4">
      <c r="A615">
        <v>612</v>
      </c>
      <c r="B615" s="12">
        <v>142.38249815302296</v>
      </c>
      <c r="C615" s="12">
        <v>166.3641153644698</v>
      </c>
      <c r="D615" s="12">
        <v>62.68932422009</v>
      </c>
    </row>
    <row r="616" spans="1:4">
      <c r="A616">
        <v>613</v>
      </c>
      <c r="B616" s="12">
        <v>227.78451407097808</v>
      </c>
      <c r="C616" s="12">
        <v>170.74757006825735</v>
      </c>
      <c r="D616" s="12">
        <v>89.294689615550226</v>
      </c>
    </row>
    <row r="617" spans="1:4">
      <c r="A617">
        <v>614</v>
      </c>
      <c r="B617" s="12">
        <v>163.14354439432793</v>
      </c>
      <c r="C617" s="12">
        <v>156.51109282453911</v>
      </c>
      <c r="D617" s="12">
        <v>99.289706396404128</v>
      </c>
    </row>
    <row r="618" spans="1:4">
      <c r="A618">
        <v>615</v>
      </c>
      <c r="B618" s="12">
        <v>170.32371476027598</v>
      </c>
      <c r="C618" s="12">
        <v>142.76651377309975</v>
      </c>
      <c r="D618" s="12">
        <v>76.699108725606521</v>
      </c>
    </row>
    <row r="619" spans="1:4">
      <c r="A619">
        <v>616</v>
      </c>
      <c r="B619" s="12">
        <v>144.02223484577561</v>
      </c>
      <c r="C619" s="12">
        <v>187.39590413689453</v>
      </c>
      <c r="D619" s="12">
        <v>74.244273484570101</v>
      </c>
    </row>
    <row r="620" spans="1:4">
      <c r="A620">
        <v>617</v>
      </c>
      <c r="B620" s="12">
        <v>124.11925455790499</v>
      </c>
      <c r="C620" s="12">
        <v>150.92354950851802</v>
      </c>
      <c r="D620" s="12">
        <v>100.00996881755326</v>
      </c>
    </row>
    <row r="621" spans="1:4">
      <c r="A621">
        <v>618</v>
      </c>
      <c r="B621" s="12">
        <v>167.18703705411497</v>
      </c>
      <c r="C621" s="12">
        <v>148.74401136921506</v>
      </c>
      <c r="D621" s="12">
        <v>136.34252082352489</v>
      </c>
    </row>
    <row r="622" spans="1:4">
      <c r="A622">
        <v>619</v>
      </c>
      <c r="B622" s="12">
        <v>130.1113843192409</v>
      </c>
      <c r="C622" s="12">
        <v>113.99223577080532</v>
      </c>
      <c r="D622" s="12">
        <v>116.85228933874218</v>
      </c>
    </row>
    <row r="623" spans="1:4">
      <c r="A623">
        <v>620</v>
      </c>
      <c r="B623" s="12">
        <v>150.28842713996275</v>
      </c>
      <c r="C623" s="12">
        <v>150.03566374805428</v>
      </c>
      <c r="D623" s="12">
        <v>126.78032272924362</v>
      </c>
    </row>
    <row r="624" spans="1:4">
      <c r="A624">
        <v>621</v>
      </c>
      <c r="B624" s="12">
        <v>149.31937667395971</v>
      </c>
      <c r="C624" s="12">
        <v>151.96698944484567</v>
      </c>
      <c r="D624" s="12">
        <v>116.47576065187839</v>
      </c>
    </row>
    <row r="625" spans="1:4">
      <c r="A625">
        <v>622</v>
      </c>
      <c r="B625" s="12">
        <v>221.09806210171661</v>
      </c>
      <c r="C625" s="12">
        <v>143.96704476022094</v>
      </c>
      <c r="D625" s="12">
        <v>105.23319763632134</v>
      </c>
    </row>
    <row r="626" spans="1:4">
      <c r="A626">
        <v>623</v>
      </c>
      <c r="B626" s="12">
        <v>146.62584369717857</v>
      </c>
      <c r="C626" s="12">
        <v>122.69648097468969</v>
      </c>
      <c r="D626" s="12">
        <v>106.31093245030478</v>
      </c>
    </row>
    <row r="627" spans="1:4">
      <c r="A627">
        <v>624</v>
      </c>
      <c r="B627" s="12">
        <v>101.85395818852896</v>
      </c>
      <c r="C627" s="12">
        <v>237.85181581452716</v>
      </c>
      <c r="D627" s="12">
        <v>102.48603969056268</v>
      </c>
    </row>
    <row r="628" spans="1:4">
      <c r="A628">
        <v>625</v>
      </c>
      <c r="B628" s="12">
        <v>131.6499771926056</v>
      </c>
      <c r="C628" s="12">
        <v>156.10272727514757</v>
      </c>
      <c r="D628" s="12">
        <v>82.932079606253239</v>
      </c>
    </row>
    <row r="629" spans="1:4">
      <c r="A629">
        <v>626</v>
      </c>
      <c r="B629" s="12">
        <v>146.0132263745881</v>
      </c>
      <c r="C629" s="12">
        <v>179.26553809501632</v>
      </c>
      <c r="D629" s="12">
        <v>88.589284407623978</v>
      </c>
    </row>
    <row r="630" spans="1:4">
      <c r="A630">
        <v>627</v>
      </c>
      <c r="B630" s="12">
        <v>166.16304583663668</v>
      </c>
      <c r="C630" s="12">
        <v>150.67977336049373</v>
      </c>
      <c r="D630" s="12">
        <v>122.9725996555938</v>
      </c>
    </row>
    <row r="631" spans="1:4">
      <c r="A631">
        <v>628</v>
      </c>
      <c r="B631" s="12">
        <v>185.22423716378484</v>
      </c>
      <c r="C631" s="12">
        <v>132.67606538177014</v>
      </c>
      <c r="D631" s="12">
        <v>105.52730101468561</v>
      </c>
    </row>
    <row r="632" spans="1:4">
      <c r="A632">
        <v>629</v>
      </c>
      <c r="B632" s="12">
        <v>112.08207184063481</v>
      </c>
      <c r="C632" s="12">
        <v>189.7664988939413</v>
      </c>
      <c r="D632" s="12">
        <v>128.70630540783699</v>
      </c>
    </row>
    <row r="633" spans="1:4">
      <c r="A633">
        <v>630</v>
      </c>
      <c r="B633" s="12">
        <v>111.45737797667954</v>
      </c>
      <c r="C633" s="12">
        <v>147.69128935933782</v>
      </c>
      <c r="D633" s="12">
        <v>111.81628052799763</v>
      </c>
    </row>
    <row r="634" spans="1:4">
      <c r="A634">
        <v>631</v>
      </c>
      <c r="B634" s="12">
        <v>116.58127592190863</v>
      </c>
      <c r="C634" s="12">
        <v>180.90526095223134</v>
      </c>
      <c r="D634" s="12">
        <v>56.779666861552364</v>
      </c>
    </row>
    <row r="635" spans="1:4">
      <c r="A635">
        <v>632</v>
      </c>
      <c r="B635" s="12">
        <v>159.57947796744148</v>
      </c>
      <c r="C635" s="12">
        <v>147.44439312686578</v>
      </c>
      <c r="D635" s="12">
        <v>151.79248042892814</v>
      </c>
    </row>
    <row r="636" spans="1:4">
      <c r="A636">
        <v>633</v>
      </c>
      <c r="B636" s="12">
        <v>253.57398506537993</v>
      </c>
      <c r="C636" s="12">
        <v>161.50800221887275</v>
      </c>
      <c r="D636" s="12">
        <v>184.89253169744111</v>
      </c>
    </row>
    <row r="637" spans="1:4">
      <c r="A637">
        <v>634</v>
      </c>
      <c r="B637" s="12">
        <v>119.88120042696946</v>
      </c>
      <c r="C637" s="12">
        <v>139.47925538194423</v>
      </c>
      <c r="D637" s="12">
        <v>63.427734968471654</v>
      </c>
    </row>
    <row r="638" spans="1:4">
      <c r="A638">
        <v>635</v>
      </c>
      <c r="B638" s="12">
        <v>177.42342905666766</v>
      </c>
      <c r="C638" s="12">
        <v>179.99143267494699</v>
      </c>
      <c r="D638" s="12">
        <v>130.55994773371705</v>
      </c>
    </row>
    <row r="639" spans="1:4">
      <c r="A639">
        <v>636</v>
      </c>
      <c r="B639" s="12">
        <v>197.39577556733639</v>
      </c>
      <c r="C639" s="12">
        <v>190.21292194776507</v>
      </c>
      <c r="D639" s="12">
        <v>89.997084012341134</v>
      </c>
    </row>
    <row r="640" spans="1:4">
      <c r="A640">
        <v>637</v>
      </c>
      <c r="B640" s="12">
        <v>160.18607287119536</v>
      </c>
      <c r="C640" s="12">
        <v>162.65591210502424</v>
      </c>
      <c r="D640" s="12">
        <v>79.787527393339701</v>
      </c>
    </row>
    <row r="641" spans="1:4">
      <c r="A641">
        <v>638</v>
      </c>
      <c r="B641" s="12">
        <v>157.63696767849865</v>
      </c>
      <c r="C641" s="12">
        <v>151.32338968715393</v>
      </c>
      <c r="D641" s="12">
        <v>119.57133339538863</v>
      </c>
    </row>
    <row r="642" spans="1:4">
      <c r="A642">
        <v>639</v>
      </c>
      <c r="B642" s="12">
        <v>199.18748089800241</v>
      </c>
      <c r="C642" s="12">
        <v>185.26031990732153</v>
      </c>
      <c r="D642" s="12">
        <v>116.10297347180612</v>
      </c>
    </row>
    <row r="643" spans="1:4">
      <c r="A643">
        <v>640</v>
      </c>
      <c r="B643" s="12">
        <v>132.84989653625777</v>
      </c>
      <c r="C643" s="12">
        <v>154.14762141461622</v>
      </c>
      <c r="D643" s="12">
        <v>89.465328149388469</v>
      </c>
    </row>
    <row r="644" spans="1:4">
      <c r="A644">
        <v>641</v>
      </c>
      <c r="B644" s="12">
        <v>107.39849985374956</v>
      </c>
      <c r="C644" s="12">
        <v>167.44192901626215</v>
      </c>
      <c r="D644" s="12">
        <v>118.11548693684428</v>
      </c>
    </row>
    <row r="645" spans="1:4">
      <c r="A645">
        <v>642</v>
      </c>
      <c r="B645" s="12">
        <v>125.03775671245253</v>
      </c>
      <c r="C645" s="12">
        <v>166.65744020435363</v>
      </c>
      <c r="D645" s="12">
        <v>121.36602254460877</v>
      </c>
    </row>
    <row r="646" spans="1:4">
      <c r="A646">
        <v>643</v>
      </c>
      <c r="B646" s="12">
        <v>106.0764883386086</v>
      </c>
      <c r="C646" s="12">
        <v>206.00137132847166</v>
      </c>
      <c r="D646" s="12">
        <v>109.5625832344427</v>
      </c>
    </row>
    <row r="647" spans="1:4">
      <c r="A647">
        <v>644</v>
      </c>
      <c r="B647" s="12">
        <v>214.89122368579052</v>
      </c>
      <c r="C647" s="12">
        <v>147.93777634202112</v>
      </c>
      <c r="D647" s="12">
        <v>92.261380214329918</v>
      </c>
    </row>
    <row r="648" spans="1:4">
      <c r="A648">
        <v>645</v>
      </c>
      <c r="B648" s="12">
        <v>219.0394031095995</v>
      </c>
      <c r="C648" s="12">
        <v>123.2808626082427</v>
      </c>
      <c r="D648" s="12">
        <v>87.610558272046703</v>
      </c>
    </row>
    <row r="649" spans="1:4">
      <c r="A649">
        <v>646</v>
      </c>
      <c r="B649" s="12">
        <v>205.93170998341813</v>
      </c>
      <c r="C649" s="12">
        <v>138.26658478630534</v>
      </c>
      <c r="D649" s="12">
        <v>129.61797893162887</v>
      </c>
    </row>
    <row r="650" spans="1:4">
      <c r="A650">
        <v>647</v>
      </c>
      <c r="B650" s="12">
        <v>143.39691774357593</v>
      </c>
      <c r="C650" s="12">
        <v>164.10570560490081</v>
      </c>
      <c r="D650" s="12">
        <v>74.481506849438858</v>
      </c>
    </row>
    <row r="651" spans="1:4">
      <c r="A651">
        <v>648</v>
      </c>
      <c r="B651" s="12">
        <v>176.26266874418502</v>
      </c>
      <c r="C651" s="12">
        <v>183.8293661820322</v>
      </c>
      <c r="D651" s="12">
        <v>119.16537522053648</v>
      </c>
    </row>
    <row r="652" spans="1:4">
      <c r="A652">
        <v>649</v>
      </c>
      <c r="B652" s="12">
        <v>120.30297981228702</v>
      </c>
      <c r="C652" s="12">
        <v>174.40123087158952</v>
      </c>
      <c r="D652" s="12">
        <v>80.400778817586527</v>
      </c>
    </row>
    <row r="653" spans="1:4">
      <c r="A653">
        <v>650</v>
      </c>
      <c r="B653" s="12">
        <v>215.97942835837839</v>
      </c>
      <c r="C653" s="12">
        <v>127.26988236013665</v>
      </c>
      <c r="D653" s="12">
        <v>80.896954084716896</v>
      </c>
    </row>
    <row r="654" spans="1:4">
      <c r="A654">
        <v>651</v>
      </c>
      <c r="B654" s="12">
        <v>126.98589557734361</v>
      </c>
      <c r="C654" s="12">
        <v>147.03838341192275</v>
      </c>
      <c r="D654" s="12">
        <v>114.54673101799617</v>
      </c>
    </row>
    <row r="655" spans="1:4">
      <c r="A655">
        <v>652</v>
      </c>
      <c r="B655" s="12">
        <v>256.30827047364761</v>
      </c>
      <c r="C655" s="12">
        <v>129.5007633689861</v>
      </c>
      <c r="D655" s="12">
        <v>75.789041108554244</v>
      </c>
    </row>
    <row r="656" spans="1:4">
      <c r="A656">
        <v>653</v>
      </c>
      <c r="B656" s="12">
        <v>146.99809422359823</v>
      </c>
      <c r="C656" s="12">
        <v>176.01401598610008</v>
      </c>
      <c r="D656" s="12">
        <v>114.19191910669092</v>
      </c>
    </row>
    <row r="657" spans="1:4">
      <c r="A657">
        <v>654</v>
      </c>
      <c r="B657" s="12">
        <v>139.52454723075672</v>
      </c>
      <c r="C657" s="12">
        <v>142.33649483329779</v>
      </c>
      <c r="D657" s="12">
        <v>145.46827106899113</v>
      </c>
    </row>
    <row r="658" spans="1:4">
      <c r="A658">
        <v>655</v>
      </c>
      <c r="B658" s="12">
        <v>108.61642835742902</v>
      </c>
      <c r="C658" s="12">
        <v>149.63502337473275</v>
      </c>
      <c r="D658" s="12">
        <v>104.46322984412738</v>
      </c>
    </row>
    <row r="659" spans="1:4">
      <c r="A659">
        <v>656</v>
      </c>
      <c r="B659" s="12">
        <v>149.55475021458997</v>
      </c>
      <c r="C659" s="12">
        <v>209.02423179595769</v>
      </c>
      <c r="D659" s="12">
        <v>137.0770888471765</v>
      </c>
    </row>
    <row r="660" spans="1:4">
      <c r="A660">
        <v>657</v>
      </c>
      <c r="B660" s="12">
        <v>214.2124208205548</v>
      </c>
      <c r="C660" s="12">
        <v>183.49521950786456</v>
      </c>
      <c r="D660" s="12">
        <v>157.48389888264435</v>
      </c>
    </row>
    <row r="661" spans="1:4">
      <c r="A661">
        <v>658</v>
      </c>
      <c r="B661" s="12">
        <v>178.60547081494275</v>
      </c>
      <c r="C661" s="12">
        <v>176.65663082517412</v>
      </c>
      <c r="D661" s="12">
        <v>150.45352403035409</v>
      </c>
    </row>
    <row r="662" spans="1:4">
      <c r="A662">
        <v>659</v>
      </c>
      <c r="B662" s="12">
        <v>139.26814094108914</v>
      </c>
      <c r="C662" s="12">
        <v>174.03674096756129</v>
      </c>
      <c r="D662" s="12">
        <v>120.24786793575436</v>
      </c>
    </row>
    <row r="663" spans="1:4">
      <c r="A663">
        <v>660</v>
      </c>
      <c r="B663" s="12">
        <v>114.45785207032408</v>
      </c>
      <c r="C663" s="12">
        <v>184.90487518207891</v>
      </c>
      <c r="D663" s="12">
        <v>146.54075278226225</v>
      </c>
    </row>
    <row r="664" spans="1:4">
      <c r="A664">
        <v>661</v>
      </c>
      <c r="B664" s="12">
        <v>190.54158100183292</v>
      </c>
      <c r="C664" s="12">
        <v>139.01889524495493</v>
      </c>
      <c r="D664" s="12">
        <v>125.4578243396026</v>
      </c>
    </row>
    <row r="665" spans="1:4">
      <c r="A665">
        <v>662</v>
      </c>
      <c r="B665" s="12">
        <v>152.21890256656906</v>
      </c>
      <c r="C665" s="12">
        <v>146.13248498108609</v>
      </c>
      <c r="D665" s="12">
        <v>48.148963512759586</v>
      </c>
    </row>
    <row r="666" spans="1:4">
      <c r="A666">
        <v>663</v>
      </c>
      <c r="B666" s="12">
        <v>193.63868240155216</v>
      </c>
      <c r="C666" s="12">
        <v>134.2360524638874</v>
      </c>
      <c r="D666" s="12">
        <v>193.27099572616731</v>
      </c>
    </row>
    <row r="667" spans="1:4">
      <c r="A667">
        <v>664</v>
      </c>
      <c r="B667" s="12">
        <v>198.74549583868131</v>
      </c>
      <c r="C667" s="12">
        <v>124.72269058375328</v>
      </c>
      <c r="D667" s="12">
        <v>85.447440287069341</v>
      </c>
    </row>
    <row r="668" spans="1:4">
      <c r="A668">
        <v>665</v>
      </c>
      <c r="B668" s="12">
        <v>235.63476442655801</v>
      </c>
      <c r="C668" s="12">
        <v>198.86383103039864</v>
      </c>
      <c r="D668" s="12">
        <v>114.90473164596114</v>
      </c>
    </row>
    <row r="669" spans="1:4">
      <c r="A669">
        <v>666</v>
      </c>
      <c r="B669" s="12">
        <v>182.60604677532638</v>
      </c>
      <c r="C669" s="12">
        <v>137.68664510955404</v>
      </c>
      <c r="D669" s="12">
        <v>92.525126966637174</v>
      </c>
    </row>
    <row r="670" spans="1:4">
      <c r="A670">
        <v>667</v>
      </c>
      <c r="B670" s="12">
        <v>174.69436297555117</v>
      </c>
      <c r="C670" s="12">
        <v>133.5750883958921</v>
      </c>
      <c r="D670" s="12">
        <v>103.23378184084945</v>
      </c>
    </row>
    <row r="671" spans="1:4">
      <c r="A671">
        <v>668</v>
      </c>
      <c r="B671" s="12">
        <v>127.82829087938406</v>
      </c>
      <c r="C671" s="12">
        <v>162.21333520317879</v>
      </c>
      <c r="D671" s="12">
        <v>158.65802379552352</v>
      </c>
    </row>
    <row r="672" spans="1:4">
      <c r="A672">
        <v>669</v>
      </c>
      <c r="B672" s="12">
        <v>132.56170696702719</v>
      </c>
      <c r="C672" s="12">
        <v>204.39992804888499</v>
      </c>
      <c r="D672" s="12">
        <v>143.80769722166329</v>
      </c>
    </row>
    <row r="673" spans="1:4">
      <c r="A673">
        <v>670</v>
      </c>
      <c r="B673" s="12">
        <v>195.27298611435569</v>
      </c>
      <c r="C673" s="12">
        <v>131.51126460223517</v>
      </c>
      <c r="D673" s="12">
        <v>69.443728693999674</v>
      </c>
    </row>
    <row r="674" spans="1:4">
      <c r="A674">
        <v>671</v>
      </c>
      <c r="B674" s="12">
        <v>164.52224660912535</v>
      </c>
      <c r="C674" s="12">
        <v>136.90621448196686</v>
      </c>
      <c r="D674" s="12">
        <v>94.615348152271807</v>
      </c>
    </row>
    <row r="675" spans="1:4">
      <c r="A675">
        <v>672</v>
      </c>
      <c r="B675" s="12">
        <v>165.14835203631102</v>
      </c>
      <c r="C675" s="12">
        <v>152.61104321429352</v>
      </c>
      <c r="D675" s="12">
        <v>113.61649956836479</v>
      </c>
    </row>
    <row r="676" spans="1:4">
      <c r="A676">
        <v>673</v>
      </c>
      <c r="B676" s="12">
        <v>95.444167693076167</v>
      </c>
      <c r="C676" s="12">
        <v>115.16748093672672</v>
      </c>
      <c r="D676" s="12">
        <v>96.014438252407629</v>
      </c>
    </row>
    <row r="677" spans="1:4">
      <c r="A677">
        <v>674</v>
      </c>
      <c r="B677" s="12">
        <v>159.2105335218252</v>
      </c>
      <c r="C677" s="12">
        <v>164.84644038721189</v>
      </c>
      <c r="D677" s="12">
        <v>71.35698483526248</v>
      </c>
    </row>
    <row r="678" spans="1:4">
      <c r="A678">
        <v>675</v>
      </c>
      <c r="B678" s="12">
        <v>187.63938713815097</v>
      </c>
      <c r="C678" s="12">
        <v>143.28664868574808</v>
      </c>
      <c r="D678" s="12">
        <v>107.60483529659142</v>
      </c>
    </row>
    <row r="679" spans="1:4">
      <c r="A679">
        <v>676</v>
      </c>
      <c r="B679" s="12">
        <v>137.38177009498582</v>
      </c>
      <c r="C679" s="12">
        <v>146.38205710515666</v>
      </c>
      <c r="D679" s="12">
        <v>117.47841726063211</v>
      </c>
    </row>
    <row r="680" spans="1:4">
      <c r="A680">
        <v>677</v>
      </c>
      <c r="B680" s="12">
        <v>212.17691435977838</v>
      </c>
      <c r="C680" s="12">
        <v>166.84639282232794</v>
      </c>
      <c r="D680" s="12">
        <v>85.899921937199991</v>
      </c>
    </row>
    <row r="681" spans="1:4">
      <c r="A681">
        <v>678</v>
      </c>
      <c r="B681" s="12">
        <v>133.2963162159775</v>
      </c>
      <c r="C681" s="12">
        <v>136.4121223225556</v>
      </c>
      <c r="D681" s="12">
        <v>77.58162424461257</v>
      </c>
    </row>
    <row r="682" spans="1:4">
      <c r="A682">
        <v>679</v>
      </c>
      <c r="B682" s="12">
        <v>140.96573952710665</v>
      </c>
      <c r="C682" s="12">
        <v>215.57863442572565</v>
      </c>
      <c r="D682" s="12">
        <v>131.75303830688728</v>
      </c>
    </row>
    <row r="683" spans="1:4">
      <c r="A683">
        <v>680</v>
      </c>
      <c r="B683" s="12">
        <v>267.387358342646</v>
      </c>
      <c r="C683" s="12">
        <v>159.4376275190954</v>
      </c>
      <c r="D683" s="12">
        <v>68.965804755147857</v>
      </c>
    </row>
    <row r="684" spans="1:4">
      <c r="A684">
        <v>681</v>
      </c>
      <c r="B684" s="12">
        <v>196.97275947274011</v>
      </c>
      <c r="C684" s="12">
        <v>128.41767695252122</v>
      </c>
      <c r="D684" s="12">
        <v>78.439984646856601</v>
      </c>
    </row>
    <row r="685" spans="1:4">
      <c r="A685">
        <v>682</v>
      </c>
      <c r="B685" s="12">
        <v>137.79281020711133</v>
      </c>
      <c r="C685" s="12">
        <v>124.19245021740795</v>
      </c>
      <c r="D685" s="12">
        <v>103.98945212609847</v>
      </c>
    </row>
    <row r="686" spans="1:4">
      <c r="A686">
        <v>683</v>
      </c>
      <c r="B686" s="12">
        <v>123.54532698323747</v>
      </c>
      <c r="C686" s="12">
        <v>169.05839795247138</v>
      </c>
      <c r="D686" s="12">
        <v>93.485179154777612</v>
      </c>
    </row>
    <row r="687" spans="1:4">
      <c r="A687">
        <v>684</v>
      </c>
      <c r="B687" s="12">
        <v>145.6385430436483</v>
      </c>
      <c r="C687" s="12">
        <v>126.81569304202411</v>
      </c>
      <c r="D687" s="12">
        <v>99.561889679453998</v>
      </c>
    </row>
    <row r="688" spans="1:4">
      <c r="A688">
        <v>685</v>
      </c>
      <c r="B688" s="12">
        <v>144.64411780934597</v>
      </c>
      <c r="C688" s="12">
        <v>130.14565271128177</v>
      </c>
      <c r="D688" s="12">
        <v>93.221441170206276</v>
      </c>
    </row>
    <row r="689" spans="1:4">
      <c r="A689">
        <v>686</v>
      </c>
      <c r="B689" s="12">
        <v>171.39404158445831</v>
      </c>
      <c r="C689" s="12">
        <v>140.65788843438676</v>
      </c>
      <c r="D689" s="12">
        <v>83.970900427380911</v>
      </c>
    </row>
    <row r="690" spans="1:4">
      <c r="A690">
        <v>687</v>
      </c>
      <c r="B690" s="12">
        <v>98.30646829274508</v>
      </c>
      <c r="C690" s="12">
        <v>172.52291156455186</v>
      </c>
      <c r="D690" s="12">
        <v>84.992193791053666</v>
      </c>
    </row>
    <row r="691" spans="1:4">
      <c r="A691">
        <v>688</v>
      </c>
      <c r="B691" s="12">
        <v>183.09212812222441</v>
      </c>
      <c r="C691" s="12">
        <v>199.58848464026653</v>
      </c>
      <c r="D691" s="12">
        <v>81.196572592149664</v>
      </c>
    </row>
    <row r="692" spans="1:4">
      <c r="A692">
        <v>689</v>
      </c>
      <c r="B692" s="12">
        <v>208.18638707608702</v>
      </c>
      <c r="C692" s="12">
        <v>135.91035640286015</v>
      </c>
      <c r="D692" s="12">
        <v>148.41430269651042</v>
      </c>
    </row>
    <row r="693" spans="1:4">
      <c r="A693">
        <v>690</v>
      </c>
      <c r="B693" s="12">
        <v>93.087485578581948</v>
      </c>
      <c r="C693" s="12">
        <v>155.44820290197453</v>
      </c>
      <c r="D693" s="12">
        <v>85.170286047181335</v>
      </c>
    </row>
    <row r="694" spans="1:4">
      <c r="A694">
        <v>691</v>
      </c>
      <c r="B694" s="12">
        <v>136.70153609990416</v>
      </c>
      <c r="C694" s="12">
        <v>127.99124441913011</v>
      </c>
      <c r="D694" s="12">
        <v>97.422826470490108</v>
      </c>
    </row>
    <row r="695" spans="1:4">
      <c r="A695">
        <v>692</v>
      </c>
      <c r="B695" s="12">
        <v>153.41538587018189</v>
      </c>
      <c r="C695" s="12">
        <v>181.68063319011608</v>
      </c>
      <c r="D695" s="12">
        <v>84.253056592196771</v>
      </c>
    </row>
    <row r="696" spans="1:4">
      <c r="A696">
        <v>693</v>
      </c>
      <c r="B696" s="12">
        <v>187.10899924801035</v>
      </c>
      <c r="C696" s="12">
        <v>182.48138120936795</v>
      </c>
      <c r="D696" s="12">
        <v>122.52330711903757</v>
      </c>
    </row>
    <row r="697" spans="1:4">
      <c r="A697">
        <v>694</v>
      </c>
      <c r="B697" s="12">
        <v>337.8740573986542</v>
      </c>
      <c r="C697" s="12">
        <v>121.68280140291726</v>
      </c>
      <c r="D697" s="12">
        <v>89.731393328916312</v>
      </c>
    </row>
    <row r="698" spans="1:4">
      <c r="A698">
        <v>695</v>
      </c>
      <c r="B698" s="12">
        <v>189.97817530263072</v>
      </c>
      <c r="C698" s="12">
        <v>175.62927268407662</v>
      </c>
      <c r="D698" s="12">
        <v>164.31908589842953</v>
      </c>
    </row>
    <row r="699" spans="1:4">
      <c r="A699">
        <v>696</v>
      </c>
      <c r="B699" s="12">
        <v>128.82920749535438</v>
      </c>
      <c r="C699" s="12">
        <v>121.02628740060106</v>
      </c>
      <c r="D699" s="12">
        <v>108.73030453618389</v>
      </c>
    </row>
    <row r="700" spans="1:4">
      <c r="A700">
        <v>697</v>
      </c>
      <c r="B700" s="12">
        <v>224.72329020216887</v>
      </c>
      <c r="C700" s="12">
        <v>141.90321092520381</v>
      </c>
      <c r="D700" s="12">
        <v>112.7068533280592</v>
      </c>
    </row>
    <row r="701" spans="1:4">
      <c r="A701">
        <v>698</v>
      </c>
      <c r="B701" s="12">
        <v>109.35074387326274</v>
      </c>
      <c r="C701" s="12">
        <v>196.14978917631214</v>
      </c>
      <c r="D701" s="12">
        <v>117.8654072383091</v>
      </c>
    </row>
    <row r="702" spans="1:4">
      <c r="A702">
        <v>699</v>
      </c>
      <c r="B702" s="12">
        <v>147.36951967806857</v>
      </c>
      <c r="C702" s="12">
        <v>155.854470610812</v>
      </c>
      <c r="D702" s="12">
        <v>101.46693942029326</v>
      </c>
    </row>
    <row r="703" spans="1:4">
      <c r="A703">
        <v>700</v>
      </c>
      <c r="B703" s="12">
        <v>161.16626890313034</v>
      </c>
      <c r="C703" s="12">
        <v>160.54860238607819</v>
      </c>
      <c r="D703" s="12">
        <v>86.622957365242343</v>
      </c>
    </row>
    <row r="704" spans="1:4">
      <c r="A704">
        <v>701</v>
      </c>
      <c r="B704" s="12">
        <v>129.63075238923867</v>
      </c>
      <c r="C704" s="12">
        <v>143.02712440131461</v>
      </c>
      <c r="D704" s="12">
        <v>138.32974641017361</v>
      </c>
    </row>
    <row r="705" spans="1:4">
      <c r="A705">
        <v>702</v>
      </c>
      <c r="B705" s="12">
        <v>126.12229530888604</v>
      </c>
      <c r="C705" s="12">
        <v>129.09749886178955</v>
      </c>
      <c r="D705" s="12">
        <v>95.313987371844945</v>
      </c>
    </row>
    <row r="706" spans="1:4">
      <c r="A706">
        <v>703</v>
      </c>
      <c r="B706" s="12">
        <v>162.15184640037671</v>
      </c>
      <c r="C706" s="12">
        <v>158.5056831021237</v>
      </c>
      <c r="D706" s="12">
        <v>92.957739224003419</v>
      </c>
    </row>
    <row r="707" spans="1:4">
      <c r="A707">
        <v>704</v>
      </c>
      <c r="B707" s="12">
        <v>210.59329118544392</v>
      </c>
      <c r="C707" s="12">
        <v>133.35987854013607</v>
      </c>
      <c r="D707" s="12">
        <v>58.80639675624208</v>
      </c>
    </row>
    <row r="708" spans="1:4">
      <c r="A708">
        <v>705</v>
      </c>
      <c r="B708" s="12">
        <v>184.89969387610026</v>
      </c>
      <c r="C708" s="12">
        <v>147.28601680664244</v>
      </c>
      <c r="D708" s="12">
        <v>94.351132911975668</v>
      </c>
    </row>
    <row r="709" spans="1:4">
      <c r="A709">
        <v>706</v>
      </c>
      <c r="B709" s="12">
        <v>198.065031562787</v>
      </c>
      <c r="C709" s="12">
        <v>146.63105397937036</v>
      </c>
      <c r="D709" s="12">
        <v>96.450759317490991</v>
      </c>
    </row>
    <row r="710" spans="1:4">
      <c r="A710">
        <v>707</v>
      </c>
      <c r="B710" s="12">
        <v>184.39702417964219</v>
      </c>
      <c r="C710" s="12">
        <v>192.16448945594163</v>
      </c>
      <c r="D710" s="12">
        <v>87.880200759200662</v>
      </c>
    </row>
    <row r="711" spans="1:4">
      <c r="A711">
        <v>708</v>
      </c>
      <c r="B711" s="12">
        <v>169.26643668832526</v>
      </c>
      <c r="C711" s="12">
        <v>144.80355909755968</v>
      </c>
      <c r="D711" s="12">
        <v>66.744480975021403</v>
      </c>
    </row>
    <row r="712" spans="1:4">
      <c r="A712">
        <v>709</v>
      </c>
      <c r="B712" s="12">
        <v>170.7274668319659</v>
      </c>
      <c r="C712" s="12">
        <v>112.65808130513925</v>
      </c>
      <c r="D712" s="12">
        <v>208.49539313877312</v>
      </c>
    </row>
    <row r="713" spans="1:4">
      <c r="A713">
        <v>710</v>
      </c>
      <c r="B713" s="12">
        <v>165.5315869689733</v>
      </c>
      <c r="C713" s="12">
        <v>134.44439482579617</v>
      </c>
      <c r="D713" s="12">
        <v>101.0117983126059</v>
      </c>
    </row>
    <row r="714" spans="1:4">
      <c r="A714">
        <v>711</v>
      </c>
      <c r="B714" s="12">
        <v>138.46158158482572</v>
      </c>
      <c r="C714" s="12">
        <v>144.38646084388878</v>
      </c>
      <c r="D714" s="12">
        <v>128.16446821520933</v>
      </c>
    </row>
    <row r="715" spans="1:4">
      <c r="A715">
        <v>712</v>
      </c>
      <c r="B715" s="12">
        <v>146.3869441209375</v>
      </c>
      <c r="C715" s="12">
        <v>157.83618272501226</v>
      </c>
      <c r="D715" s="12">
        <v>95.049220212932255</v>
      </c>
    </row>
    <row r="716" spans="1:4">
      <c r="A716">
        <v>713</v>
      </c>
      <c r="B716" s="12">
        <v>193.03548417110923</v>
      </c>
      <c r="C716" s="12">
        <v>170.09851661732449</v>
      </c>
      <c r="D716" s="12">
        <v>76.357901323781093</v>
      </c>
    </row>
    <row r="717" spans="1:4">
      <c r="A717">
        <v>714</v>
      </c>
      <c r="B717" s="12">
        <v>169.6653690169091</v>
      </c>
      <c r="C717" s="12">
        <v>120.3357206528795</v>
      </c>
      <c r="D717" s="12">
        <v>141.35465428727437</v>
      </c>
    </row>
    <row r="718" spans="1:4">
      <c r="A718">
        <v>715</v>
      </c>
      <c r="B718" s="12">
        <v>200.59998938464645</v>
      </c>
      <c r="C718" s="12">
        <v>119.87323249282606</v>
      </c>
      <c r="D718" s="12">
        <v>91.828525654744823</v>
      </c>
    </row>
    <row r="719" spans="1:4">
      <c r="A719">
        <v>716</v>
      </c>
      <c r="B719" s="12">
        <v>178.15521177573734</v>
      </c>
      <c r="C719" s="12">
        <v>123.64336613337659</v>
      </c>
      <c r="D719" s="12">
        <v>130.18839850691936</v>
      </c>
    </row>
    <row r="720" spans="1:4">
      <c r="A720">
        <v>717</v>
      </c>
      <c r="B720" s="12">
        <v>100.58920300231249</v>
      </c>
      <c r="C720" s="12">
        <v>153.50061322305123</v>
      </c>
      <c r="D720" s="12">
        <v>91.564527055500747</v>
      </c>
    </row>
    <row r="721" spans="1:4">
      <c r="A721">
        <v>718</v>
      </c>
      <c r="B721" s="12">
        <v>230.55088111265948</v>
      </c>
      <c r="C721" s="12">
        <v>211.19334339923512</v>
      </c>
      <c r="D721" s="12">
        <v>107.10540738832874</v>
      </c>
    </row>
    <row r="722" spans="1:4">
      <c r="A722">
        <v>719</v>
      </c>
      <c r="B722" s="12">
        <v>272.28716787258224</v>
      </c>
      <c r="C722" s="12">
        <v>126.04413950535415</v>
      </c>
      <c r="D722" s="12">
        <v>83.219346019008569</v>
      </c>
    </row>
    <row r="723" spans="1:4">
      <c r="A723">
        <v>720</v>
      </c>
      <c r="B723" s="12">
        <v>110.4361780265169</v>
      </c>
      <c r="C723" s="12">
        <v>165.12997877843537</v>
      </c>
      <c r="D723" s="12">
        <v>129.05881028147175</v>
      </c>
    </row>
    <row r="724" spans="1:4">
      <c r="A724">
        <v>721</v>
      </c>
      <c r="B724" s="12">
        <v>203.03413179326225</v>
      </c>
      <c r="C724" s="12">
        <v>177.72297430139812</v>
      </c>
      <c r="D724" s="12">
        <v>141.92735977626816</v>
      </c>
    </row>
    <row r="725" spans="1:4">
      <c r="A725">
        <v>722</v>
      </c>
      <c r="B725" s="12">
        <v>148.34669498478434</v>
      </c>
      <c r="C725" s="12">
        <v>153.9023792587663</v>
      </c>
      <c r="D725" s="12">
        <v>108.41870036757413</v>
      </c>
    </row>
    <row r="726" spans="1:4">
      <c r="A726">
        <v>723</v>
      </c>
      <c r="B726" s="12">
        <v>134.01989875013783</v>
      </c>
      <c r="C726" s="12">
        <v>152.21082045090347</v>
      </c>
      <c r="D726" s="12">
        <v>95.748924633078929</v>
      </c>
    </row>
    <row r="727" spans="1:4">
      <c r="A727">
        <v>724</v>
      </c>
      <c r="B727" s="12">
        <v>188.52217961717398</v>
      </c>
      <c r="C727" s="12">
        <v>178.83281085069669</v>
      </c>
      <c r="D727" s="12">
        <v>135.62822051021692</v>
      </c>
    </row>
    <row r="728" spans="1:4">
      <c r="A728">
        <v>725</v>
      </c>
      <c r="B728" s="12">
        <v>183.89909881481768</v>
      </c>
      <c r="C728" s="12">
        <v>135.28745418157791</v>
      </c>
      <c r="D728" s="12">
        <v>98.844637881054666</v>
      </c>
    </row>
    <row r="729" spans="1:4">
      <c r="A729">
        <v>726</v>
      </c>
      <c r="B729" s="12">
        <v>147.60702331848412</v>
      </c>
      <c r="C729" s="12">
        <v>116.84834260706062</v>
      </c>
      <c r="D729" s="12">
        <v>113.96627966133332</v>
      </c>
    </row>
    <row r="730" spans="1:4">
      <c r="A730">
        <v>727</v>
      </c>
      <c r="B730" s="12">
        <v>186.58422967554833</v>
      </c>
      <c r="C730" s="12">
        <v>129.75494190880903</v>
      </c>
      <c r="D730" s="12">
        <v>113.04902302015653</v>
      </c>
    </row>
    <row r="731" spans="1:4">
      <c r="A731">
        <v>728</v>
      </c>
      <c r="B731" s="12">
        <v>190.90610769908778</v>
      </c>
      <c r="C731" s="12">
        <v>115.85547250749769</v>
      </c>
      <c r="D731" s="12">
        <v>162.80097972856962</v>
      </c>
    </row>
    <row r="732" spans="1:4">
      <c r="A732">
        <v>729</v>
      </c>
      <c r="B732" s="12">
        <v>175.12163519306995</v>
      </c>
      <c r="C732" s="12">
        <v>188.43137016427889</v>
      </c>
      <c r="D732" s="12">
        <v>92.09240415830989</v>
      </c>
    </row>
    <row r="733" spans="1:4">
      <c r="A733">
        <v>730</v>
      </c>
      <c r="B733" s="12">
        <v>151.48872949093317</v>
      </c>
      <c r="C733" s="12">
        <v>190.92996024222035</v>
      </c>
      <c r="D733" s="12">
        <v>67.292443047823511</v>
      </c>
    </row>
    <row r="734" spans="1:4">
      <c r="A734">
        <v>731</v>
      </c>
      <c r="B734" s="12">
        <v>145.02162145286653</v>
      </c>
      <c r="C734" s="12">
        <v>182.98288397587885</v>
      </c>
      <c r="D734" s="12">
        <v>81.978209123802813</v>
      </c>
    </row>
    <row r="735" spans="1:4">
      <c r="A735">
        <v>732</v>
      </c>
      <c r="B735" s="12">
        <v>201.79785003190608</v>
      </c>
      <c r="C735" s="12">
        <v>142.59898948761975</v>
      </c>
      <c r="D735" s="12">
        <v>110.08693976015307</v>
      </c>
    </row>
    <row r="736" spans="1:4">
      <c r="A736">
        <v>733</v>
      </c>
      <c r="B736" s="12">
        <v>126.46213353036302</v>
      </c>
      <c r="C736" s="12">
        <v>164.38490686748739</v>
      </c>
      <c r="D736" s="12">
        <v>133.83055887694232</v>
      </c>
    </row>
    <row r="737" spans="1:4">
      <c r="A737">
        <v>734</v>
      </c>
      <c r="B737" s="12">
        <v>187.98216162776262</v>
      </c>
      <c r="C737" s="12">
        <v>126.34950317693047</v>
      </c>
      <c r="D737" s="12">
        <v>122.23877468200111</v>
      </c>
    </row>
    <row r="738" spans="1:4">
      <c r="A738">
        <v>735</v>
      </c>
      <c r="B738" s="12">
        <v>134.88823581214086</v>
      </c>
      <c r="C738" s="12">
        <v>189.08827352563748</v>
      </c>
      <c r="D738" s="12">
        <v>71.082827056838951</v>
      </c>
    </row>
    <row r="739" spans="1:4">
      <c r="A739">
        <v>736</v>
      </c>
      <c r="B739" s="12">
        <v>135.59003952604439</v>
      </c>
      <c r="C739" s="12">
        <v>131.14442720325141</v>
      </c>
      <c r="D739" s="12">
        <v>91.131085742358195</v>
      </c>
    </row>
    <row r="740" spans="1:4">
      <c r="A740">
        <v>737</v>
      </c>
      <c r="B740" s="12">
        <v>181.81773862965335</v>
      </c>
      <c r="C740" s="12">
        <v>212.75970369732039</v>
      </c>
      <c r="D740" s="12">
        <v>73.240433012975785</v>
      </c>
    </row>
    <row r="741" spans="1:4">
      <c r="A741">
        <v>738</v>
      </c>
      <c r="B741" s="12">
        <v>128.33216148314114</v>
      </c>
      <c r="C741" s="12">
        <v>145.05673973660768</v>
      </c>
      <c r="D741" s="12">
        <v>124.19044246897242</v>
      </c>
    </row>
    <row r="742" spans="1:4">
      <c r="A742">
        <v>739</v>
      </c>
      <c r="B742" s="12">
        <v>181.34258597204234</v>
      </c>
      <c r="C742" s="12">
        <v>139.93462794781601</v>
      </c>
      <c r="D742" s="12">
        <v>86.174471652065648</v>
      </c>
    </row>
    <row r="743" spans="1:4">
      <c r="A743">
        <v>740</v>
      </c>
      <c r="B743" s="12">
        <v>222.42190741311126</v>
      </c>
      <c r="C743" s="12">
        <v>117.75968397758419</v>
      </c>
      <c r="D743" s="12">
        <v>93.9180058941634</v>
      </c>
    </row>
    <row r="744" spans="1:4">
      <c r="A744">
        <v>741</v>
      </c>
      <c r="B744" s="12">
        <v>168.22119677902165</v>
      </c>
      <c r="C744" s="12">
        <v>146.79025974676873</v>
      </c>
      <c r="D744" s="12">
        <v>166.93353584420896</v>
      </c>
    </row>
    <row r="745" spans="1:4">
      <c r="A745">
        <v>742</v>
      </c>
      <c r="B745" s="12">
        <v>211.5499090552907</v>
      </c>
      <c r="C745" s="12">
        <v>188.02108146428458</v>
      </c>
      <c r="D745" s="12">
        <v>133.41222878865545</v>
      </c>
    </row>
    <row r="746" spans="1:4">
      <c r="A746">
        <v>743</v>
      </c>
      <c r="B746" s="12">
        <v>237.82122517954343</v>
      </c>
      <c r="C746" s="12">
        <v>165.88715444847702</v>
      </c>
      <c r="D746" s="12">
        <v>124.97169013118925</v>
      </c>
    </row>
    <row r="747" spans="1:4">
      <c r="A747">
        <v>744</v>
      </c>
      <c r="B747" s="12">
        <v>228.83431824168002</v>
      </c>
      <c r="C747" s="12">
        <v>139.75740285045066</v>
      </c>
      <c r="D747" s="12">
        <v>121.79949223894062</v>
      </c>
    </row>
    <row r="748" spans="1:4">
      <c r="A748">
        <v>745</v>
      </c>
      <c r="B748" s="12">
        <v>189.42148969247907</v>
      </c>
      <c r="C748" s="12">
        <v>122.08734750255861</v>
      </c>
      <c r="D748" s="12">
        <v>135.18074891400354</v>
      </c>
    </row>
    <row r="749" spans="1:4">
      <c r="A749">
        <v>746</v>
      </c>
      <c r="B749" s="12">
        <v>223.80428050166617</v>
      </c>
      <c r="C749" s="12">
        <v>173.44798594786278</v>
      </c>
      <c r="D749" s="12">
        <v>82.747259575391709</v>
      </c>
    </row>
    <row r="750" spans="1:4">
      <c r="A750">
        <v>747</v>
      </c>
      <c r="B750" s="12">
        <v>196.32088506532344</v>
      </c>
      <c r="C750" s="12">
        <v>148.58688843280814</v>
      </c>
      <c r="D750" s="12">
        <v>90.167088895882415</v>
      </c>
    </row>
    <row r="751" spans="1:4">
      <c r="A751">
        <v>748</v>
      </c>
      <c r="B751" s="12">
        <v>87.529218775732161</v>
      </c>
      <c r="C751" s="12">
        <v>175.3854838322699</v>
      </c>
      <c r="D751" s="12">
        <v>77.909369991800432</v>
      </c>
    </row>
    <row r="752" spans="1:4">
      <c r="A752">
        <v>749</v>
      </c>
      <c r="B752" s="12">
        <v>282.65843255063265</v>
      </c>
      <c r="C752" s="12">
        <v>178.55932144225704</v>
      </c>
      <c r="D752" s="12">
        <v>68.652430757029279</v>
      </c>
    </row>
    <row r="753" spans="1:4">
      <c r="A753">
        <v>750</v>
      </c>
      <c r="B753" s="12">
        <v>141.99555145680529</v>
      </c>
      <c r="C753" s="12">
        <v>200.78261056871358</v>
      </c>
      <c r="D753" s="12">
        <v>153.21610041173318</v>
      </c>
    </row>
    <row r="754" spans="1:4">
      <c r="A754">
        <v>751</v>
      </c>
      <c r="B754" s="12">
        <v>182.29692809512255</v>
      </c>
      <c r="C754" s="12">
        <v>168.43831325102585</v>
      </c>
      <c r="D754" s="12">
        <v>81.387419345191603</v>
      </c>
    </row>
    <row r="755" spans="1:4">
      <c r="A755">
        <v>752</v>
      </c>
      <c r="B755" s="12">
        <v>151.85392586984844</v>
      </c>
      <c r="C755" s="12">
        <v>163.37580970991695</v>
      </c>
      <c r="D755" s="12">
        <v>77.250419386076373</v>
      </c>
    </row>
    <row r="756" spans="1:4">
      <c r="A756">
        <v>753</v>
      </c>
      <c r="B756" s="12">
        <v>166.54970167497018</v>
      </c>
      <c r="C756" s="12">
        <v>131.74319864784474</v>
      </c>
      <c r="D756" s="12">
        <v>107.91156593509174</v>
      </c>
    </row>
    <row r="757" spans="1:4">
      <c r="A757">
        <v>754</v>
      </c>
      <c r="B757" s="12">
        <v>239.31591833125034</v>
      </c>
      <c r="C757" s="12">
        <v>135.08519000898099</v>
      </c>
      <c r="D757" s="12">
        <v>160.62925227205264</v>
      </c>
    </row>
    <row r="758" spans="1:4">
      <c r="A758">
        <v>755</v>
      </c>
      <c r="B758" s="12">
        <v>220.27836032436156</v>
      </c>
      <c r="C758" s="12">
        <v>176.40399020262538</v>
      </c>
      <c r="D758" s="12">
        <v>75.207996638624891</v>
      </c>
    </row>
    <row r="759" spans="1:4">
      <c r="A759">
        <v>756</v>
      </c>
      <c r="B759" s="12">
        <v>119.20806280557591</v>
      </c>
      <c r="C759" s="12">
        <v>156.76072175779422</v>
      </c>
      <c r="D759" s="12">
        <v>80.595214623211447</v>
      </c>
    </row>
    <row r="760" spans="1:4">
      <c r="A760">
        <v>757</v>
      </c>
      <c r="B760" s="12">
        <v>154.74242834692049</v>
      </c>
      <c r="C760" s="12">
        <v>157.17149408978739</v>
      </c>
      <c r="D760" s="12">
        <v>97.155237069683707</v>
      </c>
    </row>
    <row r="761" spans="1:4">
      <c r="A761">
        <v>758</v>
      </c>
      <c r="B761" s="12">
        <v>180.57151095809644</v>
      </c>
      <c r="C761" s="12">
        <v>107.72434536702781</v>
      </c>
      <c r="D761" s="12">
        <v>59.853556896717883</v>
      </c>
    </row>
    <row r="762" spans="1:4">
      <c r="A762">
        <v>759</v>
      </c>
      <c r="B762" s="12">
        <v>156.67026178100852</v>
      </c>
      <c r="C762" s="12">
        <v>153.25601792463871</v>
      </c>
      <c r="D762" s="12">
        <v>110.9433989271642</v>
      </c>
    </row>
    <row r="763" spans="1:4">
      <c r="A763">
        <v>760</v>
      </c>
      <c r="B763" s="12">
        <v>121.97242002324933</v>
      </c>
      <c r="C763" s="12">
        <v>171.62351022858394</v>
      </c>
      <c r="D763" s="12">
        <v>87.166731464281156</v>
      </c>
    </row>
    <row r="764" spans="1:4">
      <c r="A764">
        <v>761</v>
      </c>
      <c r="B764" s="12">
        <v>172.47848737775828</v>
      </c>
      <c r="C764" s="12">
        <v>138.45042809495266</v>
      </c>
      <c r="D764" s="12">
        <v>90.432238347753881</v>
      </c>
    </row>
    <row r="765" spans="1:4">
      <c r="A765">
        <v>762</v>
      </c>
      <c r="B765" s="12">
        <v>185.735020436447</v>
      </c>
      <c r="C765" s="12">
        <v>186.78832825354954</v>
      </c>
      <c r="D765" s="12">
        <v>113.26967032048476</v>
      </c>
    </row>
    <row r="766" spans="1:4">
      <c r="A766">
        <v>763</v>
      </c>
      <c r="B766" s="12">
        <v>142.62952777248731</v>
      </c>
      <c r="C766" s="12">
        <v>135.60050203033319</v>
      </c>
      <c r="D766" s="12">
        <v>80.095347201775013</v>
      </c>
    </row>
    <row r="767" spans="1:4">
      <c r="A767">
        <v>764</v>
      </c>
      <c r="B767" s="12">
        <v>130.88772724100403</v>
      </c>
      <c r="C767" s="12">
        <v>140.92888621524082</v>
      </c>
      <c r="D767" s="12">
        <v>176.04257608826018</v>
      </c>
    </row>
    <row r="768" spans="1:4">
      <c r="A768">
        <v>765</v>
      </c>
      <c r="B768" s="12">
        <v>204.59799557593686</v>
      </c>
      <c r="C768" s="12">
        <v>219.05408984146356</v>
      </c>
      <c r="D768" s="12">
        <v>104.75372289673784</v>
      </c>
    </row>
    <row r="769" spans="1:4">
      <c r="A769">
        <v>766</v>
      </c>
      <c r="B769" s="12">
        <v>118.5156870064796</v>
      </c>
      <c r="C769" s="12">
        <v>177.46048885346045</v>
      </c>
      <c r="D769" s="12">
        <v>72.189546423334335</v>
      </c>
    </row>
    <row r="770" spans="1:4">
      <c r="A770">
        <v>767</v>
      </c>
      <c r="B770" s="12">
        <v>132.10815242456189</v>
      </c>
      <c r="C770" s="12">
        <v>138.73569100774358</v>
      </c>
      <c r="D770" s="12">
        <v>68.150962724370771</v>
      </c>
    </row>
    <row r="771" spans="1:4">
      <c r="A771">
        <v>768</v>
      </c>
      <c r="B771" s="12">
        <v>167.57743925554655</v>
      </c>
      <c r="C771" s="12">
        <v>128.68592635215165</v>
      </c>
      <c r="D771" s="12">
        <v>115.86610088556883</v>
      </c>
    </row>
    <row r="772" spans="1:4">
      <c r="A772">
        <v>769</v>
      </c>
      <c r="B772" s="12">
        <v>153.18188836372246</v>
      </c>
      <c r="C772" s="12">
        <v>144.13109083433304</v>
      </c>
      <c r="D772" s="12">
        <v>70.64687065695</v>
      </c>
    </row>
    <row r="773" spans="1:4">
      <c r="A773">
        <v>770</v>
      </c>
      <c r="B773" s="12">
        <v>161.53884442773148</v>
      </c>
      <c r="C773" s="12">
        <v>143.45233502663197</v>
      </c>
      <c r="D773" s="12">
        <v>73.869169023416092</v>
      </c>
    </row>
    <row r="774" spans="1:4">
      <c r="A774">
        <v>771</v>
      </c>
      <c r="B774" s="12">
        <v>152.81729450841996</v>
      </c>
      <c r="C774" s="12">
        <v>161.24302222246251</v>
      </c>
      <c r="D774" s="12">
        <v>84.433123419807387</v>
      </c>
    </row>
    <row r="775" spans="1:4">
      <c r="A775">
        <v>772</v>
      </c>
      <c r="B775" s="12">
        <v>139.92308391177556</v>
      </c>
      <c r="C775" s="12">
        <v>109.93985416730027</v>
      </c>
      <c r="D775" s="12">
        <v>119.98212374802299</v>
      </c>
    </row>
    <row r="776" spans="1:4">
      <c r="A776">
        <v>773</v>
      </c>
      <c r="B776" s="12">
        <v>141.35717077623011</v>
      </c>
      <c r="C776" s="12">
        <v>168.74709586725854</v>
      </c>
      <c r="D776" s="12">
        <v>154.17810032777004</v>
      </c>
    </row>
    <row r="777" spans="1:4">
      <c r="A777">
        <v>774</v>
      </c>
      <c r="B777" s="12">
        <v>136.01350164369831</v>
      </c>
      <c r="C777" s="12">
        <v>184.3608318337551</v>
      </c>
      <c r="D777" s="12">
        <v>79.589050163158774</v>
      </c>
    </row>
    <row r="778" spans="1:4">
      <c r="A778">
        <v>775</v>
      </c>
      <c r="B778" s="12">
        <v>226.21539949862955</v>
      </c>
      <c r="C778" s="12">
        <v>105.88464996443204</v>
      </c>
      <c r="D778" s="12">
        <v>100.28409119417422</v>
      </c>
    </row>
    <row r="779" spans="1:4">
      <c r="A779">
        <v>776</v>
      </c>
      <c r="B779" s="12">
        <v>141.60696863126856</v>
      </c>
      <c r="C779" s="12">
        <v>137.97775997059796</v>
      </c>
      <c r="D779" s="12">
        <v>71.777538258860147</v>
      </c>
    </row>
    <row r="780" spans="1:4">
      <c r="A780">
        <v>777</v>
      </c>
      <c r="B780" s="12">
        <v>158.60647154820302</v>
      </c>
      <c r="C780" s="12">
        <v>149.39057539773091</v>
      </c>
      <c r="D780" s="12">
        <v>131.1500718714247</v>
      </c>
    </row>
    <row r="781" spans="1:4">
      <c r="A781">
        <v>778</v>
      </c>
      <c r="B781" s="12">
        <v>140.31955549107721</v>
      </c>
      <c r="C781" s="12">
        <v>171.28913411018146</v>
      </c>
      <c r="D781" s="12">
        <v>132.14632793311472</v>
      </c>
    </row>
    <row r="782" spans="1:4">
      <c r="A782">
        <v>779</v>
      </c>
      <c r="B782" s="12">
        <v>192.4404274533016</v>
      </c>
      <c r="C782" s="12">
        <v>257.37119442920886</v>
      </c>
      <c r="D782" s="12">
        <v>65.798430886897947</v>
      </c>
    </row>
    <row r="783" spans="1:4">
      <c r="A783">
        <v>780</v>
      </c>
      <c r="B783" s="12">
        <v>147.97720537267801</v>
      </c>
      <c r="C783" s="12">
        <v>173.09447861692226</v>
      </c>
      <c r="D783" s="12">
        <v>123.72368007276302</v>
      </c>
    </row>
    <row r="784" spans="1:4">
      <c r="A784">
        <v>781</v>
      </c>
      <c r="B784" s="12">
        <v>246.49858168084305</v>
      </c>
      <c r="C784" s="12">
        <v>132.45305344757361</v>
      </c>
      <c r="D784" s="12">
        <v>65.188738416467785</v>
      </c>
    </row>
    <row r="785" spans="1:4">
      <c r="A785">
        <v>782</v>
      </c>
      <c r="B785" s="12">
        <v>173.9988899804319</v>
      </c>
      <c r="C785" s="12">
        <v>194.32980082446969</v>
      </c>
      <c r="D785" s="12">
        <v>85.723567456549077</v>
      </c>
    </row>
    <row r="786" spans="1:4">
      <c r="A786">
        <v>783</v>
      </c>
      <c r="B786" s="12">
        <v>179.3513159166487</v>
      </c>
      <c r="C786" s="12">
        <v>118.30761524200408</v>
      </c>
      <c r="D786" s="12">
        <v>149.63557103179298</v>
      </c>
    </row>
    <row r="787" spans="1:4">
      <c r="A787">
        <v>784</v>
      </c>
      <c r="B787" s="12">
        <v>186.2509609442354</v>
      </c>
      <c r="C787" s="12">
        <v>145.30916053838686</v>
      </c>
      <c r="D787" s="12">
        <v>100.73552451081505</v>
      </c>
    </row>
    <row r="788" spans="1:4">
      <c r="A788">
        <v>785</v>
      </c>
      <c r="B788" s="12">
        <v>164.14211993562046</v>
      </c>
      <c r="C788" s="12">
        <v>154.55059401252217</v>
      </c>
      <c r="D788" s="12">
        <v>106.01293132624708</v>
      </c>
    </row>
    <row r="789" spans="1:4">
      <c r="A789">
        <v>786</v>
      </c>
      <c r="B789" s="12">
        <v>143.64149636739472</v>
      </c>
      <c r="C789" s="12">
        <v>133.02027664088703</v>
      </c>
      <c r="D789" s="12">
        <v>86.895234104470802</v>
      </c>
    </row>
    <row r="790" spans="1:4">
      <c r="A790">
        <v>787</v>
      </c>
      <c r="B790" s="12">
        <v>213.17938050263723</v>
      </c>
      <c r="C790" s="12">
        <v>130.52929941595153</v>
      </c>
      <c r="D790" s="12">
        <v>72.848414147340321</v>
      </c>
    </row>
    <row r="791" spans="1:4">
      <c r="A791">
        <v>788</v>
      </c>
      <c r="B791" s="12">
        <v>155.7056505490963</v>
      </c>
      <c r="C791" s="12">
        <v>155.20113243931172</v>
      </c>
      <c r="D791" s="12">
        <v>103.70229736136517</v>
      </c>
    </row>
    <row r="792" spans="1:4">
      <c r="A792">
        <v>789</v>
      </c>
      <c r="B792" s="12">
        <v>152.45258902325898</v>
      </c>
      <c r="C792" s="12">
        <v>185.82670117799844</v>
      </c>
      <c r="D792" s="12">
        <v>77.036371251189891</v>
      </c>
    </row>
    <row r="793" spans="1:4">
      <c r="A793">
        <v>790</v>
      </c>
      <c r="B793" s="12">
        <v>103.60937718450197</v>
      </c>
      <c r="C793" s="12">
        <v>169.89312083045402</v>
      </c>
      <c r="D793" s="12">
        <v>91.395347737128375</v>
      </c>
    </row>
    <row r="794" spans="1:4">
      <c r="A794">
        <v>791</v>
      </c>
      <c r="B794" s="12">
        <v>154.37786188577547</v>
      </c>
      <c r="C794" s="12">
        <v>178.13789686222481</v>
      </c>
      <c r="D794" s="12">
        <v>90.697101558506887</v>
      </c>
    </row>
    <row r="795" spans="1:4">
      <c r="A795">
        <v>792</v>
      </c>
      <c r="B795" s="12">
        <v>157.27057516590858</v>
      </c>
      <c r="C795" s="12">
        <v>169.57477154932363</v>
      </c>
      <c r="D795" s="12">
        <v>144.44235544261591</v>
      </c>
    </row>
    <row r="796" spans="1:4">
      <c r="A796">
        <v>793</v>
      </c>
      <c r="B796" s="12">
        <v>145.3980098002948</v>
      </c>
      <c r="C796" s="12">
        <v>159.86131464568504</v>
      </c>
      <c r="D796" s="12">
        <v>88.760713262289727</v>
      </c>
    </row>
    <row r="797" spans="1:4">
      <c r="A797">
        <v>794</v>
      </c>
      <c r="B797" s="12">
        <v>115.28766083108768</v>
      </c>
      <c r="C797" s="12">
        <v>160.81071261938988</v>
      </c>
      <c r="D797" s="12">
        <v>57.627043596713015</v>
      </c>
    </row>
    <row r="798" spans="1:4">
      <c r="A798">
        <v>795</v>
      </c>
      <c r="B798" s="12">
        <v>301.32671414097894</v>
      </c>
      <c r="C798" s="12">
        <v>157.42268608682048</v>
      </c>
      <c r="D798" s="12">
        <v>78.117563470264486</v>
      </c>
    </row>
    <row r="799" spans="1:4">
      <c r="A799">
        <v>796</v>
      </c>
      <c r="B799" s="12">
        <v>163.52086441592226</v>
      </c>
      <c r="C799" s="12">
        <v>139.19925517773532</v>
      </c>
      <c r="D799" s="12">
        <v>88.321217262970464</v>
      </c>
    </row>
    <row r="800" spans="1:4">
      <c r="A800">
        <v>797</v>
      </c>
      <c r="B800" s="12">
        <v>199.88743303358041</v>
      </c>
      <c r="C800" s="12">
        <v>144.64096979333618</v>
      </c>
      <c r="D800" s="12">
        <v>102.94970691191457</v>
      </c>
    </row>
    <row r="801" spans="1:4">
      <c r="A801">
        <v>798</v>
      </c>
      <c r="B801" s="12">
        <v>155.34074339130217</v>
      </c>
      <c r="C801" s="12">
        <v>175.00889278992577</v>
      </c>
      <c r="D801" s="12">
        <v>117.09549199923416</v>
      </c>
    </row>
    <row r="802" spans="1:4">
      <c r="A802">
        <v>799</v>
      </c>
      <c r="B802" s="12">
        <v>129.14416188555649</v>
      </c>
      <c r="C802" s="12">
        <v>160.12079858733983</v>
      </c>
      <c r="D802" s="12">
        <v>64.549989375191601</v>
      </c>
    </row>
    <row r="803" spans="1:4">
      <c r="A803">
        <v>800</v>
      </c>
      <c r="B803" s="12">
        <v>217.10474643855923</v>
      </c>
      <c r="C803" s="12">
        <v>179.70557372912972</v>
      </c>
      <c r="D803" s="12">
        <v>64.123678652951241</v>
      </c>
    </row>
    <row r="804" spans="1:4">
      <c r="A804">
        <v>801</v>
      </c>
      <c r="B804" s="12">
        <v>150.8890238729619</v>
      </c>
      <c r="C804" s="12">
        <v>165.59891817540739</v>
      </c>
      <c r="D804" s="12">
        <v>67.633297463904356</v>
      </c>
    </row>
    <row r="805" spans="1:4">
      <c r="A805">
        <v>802</v>
      </c>
      <c r="B805" s="12">
        <v>202.54666134404644</v>
      </c>
      <c r="C805" s="12">
        <v>111.69240602035643</v>
      </c>
      <c r="D805" s="12">
        <v>98.131793779687399</v>
      </c>
    </row>
    <row r="806" spans="1:4">
      <c r="A806">
        <v>803</v>
      </c>
      <c r="B806" s="12">
        <v>150.52304543651823</v>
      </c>
      <c r="C806" s="12">
        <v>197.78794242367917</v>
      </c>
      <c r="D806" s="12">
        <v>169.92562605275202</v>
      </c>
    </row>
    <row r="807" spans="1:4">
      <c r="A807">
        <v>804</v>
      </c>
      <c r="B807" s="12">
        <v>171.80301128175233</v>
      </c>
      <c r="C807" s="12">
        <v>221.81185878567734</v>
      </c>
      <c r="D807" s="12">
        <v>69.908867269774447</v>
      </c>
    </row>
    <row r="808" spans="1:4">
      <c r="A808">
        <v>805</v>
      </c>
      <c r="B808" s="12">
        <v>138.86601778906098</v>
      </c>
      <c r="C808" s="12">
        <v>119.11545305192936</v>
      </c>
      <c r="D808" s="12">
        <v>111.27196978856924</v>
      </c>
    </row>
    <row r="809" spans="1:4">
      <c r="A809">
        <v>806</v>
      </c>
      <c r="B809" s="12">
        <v>201.06330745578819</v>
      </c>
      <c r="C809" s="12">
        <v>181.20511489565007</v>
      </c>
      <c r="D809" s="12">
        <v>126.27260306118056</v>
      </c>
    </row>
    <row r="810" spans="1:4">
      <c r="A810">
        <v>807</v>
      </c>
      <c r="B810" s="12">
        <v>217.84644779253358</v>
      </c>
      <c r="C810" s="12">
        <v>145.97230599810581</v>
      </c>
      <c r="D810" s="12">
        <v>98.574186943099463</v>
      </c>
    </row>
    <row r="811" spans="1:4">
      <c r="A811">
        <v>808</v>
      </c>
      <c r="B811" s="12">
        <v>173.57818983606788</v>
      </c>
      <c r="C811" s="12">
        <v>136.10721623259028</v>
      </c>
      <c r="D811" s="12">
        <v>96.717213499018257</v>
      </c>
    </row>
    <row r="812" spans="1:4">
      <c r="A812">
        <v>809</v>
      </c>
      <c r="B812" s="12">
        <v>156.30474532592967</v>
      </c>
      <c r="C812" s="12">
        <v>172.17940418022218</v>
      </c>
      <c r="D812" s="12">
        <v>127.63256427662243</v>
      </c>
    </row>
    <row r="813" spans="1:4">
      <c r="A813">
        <v>810</v>
      </c>
      <c r="B813" s="12">
        <v>209.66229378830386</v>
      </c>
      <c r="C813" s="12">
        <v>169.2591607099661</v>
      </c>
      <c r="D813" s="12">
        <v>78.962395023307835</v>
      </c>
    </row>
    <row r="814" spans="1:4">
      <c r="A814">
        <v>811</v>
      </c>
      <c r="B814" s="12">
        <v>160.55669633609202</v>
      </c>
      <c r="C814" s="12">
        <v>145.47046433245566</v>
      </c>
      <c r="D814" s="12">
        <v>61.36465810168071</v>
      </c>
    </row>
    <row r="815" spans="1:4">
      <c r="A815">
        <v>812</v>
      </c>
      <c r="B815" s="12">
        <v>181.04029673140639</v>
      </c>
      <c r="C815" s="12">
        <v>170.95800972006873</v>
      </c>
      <c r="D815" s="12">
        <v>73.487976037070311</v>
      </c>
    </row>
    <row r="816" spans="1:4">
      <c r="A816">
        <v>813</v>
      </c>
      <c r="B816" s="12">
        <v>179.81048087418415</v>
      </c>
      <c r="C816" s="12">
        <v>173.67653398027949</v>
      </c>
      <c r="D816" s="12">
        <v>60.470156003150919</v>
      </c>
    </row>
    <row r="817" spans="1:4">
      <c r="A817">
        <v>814</v>
      </c>
      <c r="B817" s="12">
        <v>244.57628861081724</v>
      </c>
      <c r="C817" s="12">
        <v>163.65100832357192</v>
      </c>
      <c r="D817" s="12">
        <v>139.64764221202151</v>
      </c>
    </row>
    <row r="818" spans="1:4">
      <c r="A818">
        <v>815</v>
      </c>
      <c r="B818" s="12">
        <v>151.25467129041277</v>
      </c>
      <c r="C818" s="12">
        <v>148.095460283747</v>
      </c>
      <c r="D818" s="12">
        <v>142.84926029950577</v>
      </c>
    </row>
    <row r="819" spans="1:4">
      <c r="A819">
        <v>816</v>
      </c>
      <c r="B819" s="12">
        <v>116.08550073837313</v>
      </c>
      <c r="C819" s="12">
        <v>143.71017464988179</v>
      </c>
      <c r="D819" s="12">
        <v>132.77188349936444</v>
      </c>
    </row>
    <row r="820" spans="1:4">
      <c r="A820">
        <v>817</v>
      </c>
      <c r="B820" s="12">
        <v>137.11706967107526</v>
      </c>
      <c r="C820" s="12">
        <v>180.44421278089655</v>
      </c>
      <c r="D820" s="12">
        <v>86.448122957110343</v>
      </c>
    </row>
    <row r="821" spans="1:4">
      <c r="A821">
        <v>818</v>
      </c>
      <c r="B821" s="12">
        <v>175.82830714710857</v>
      </c>
      <c r="C821" s="12">
        <v>130.77151625013744</v>
      </c>
      <c r="D821" s="12">
        <v>110.40943392402797</v>
      </c>
    </row>
    <row r="822" spans="1:4">
      <c r="A822">
        <v>819</v>
      </c>
      <c r="B822" s="12">
        <v>207.31586806833045</v>
      </c>
      <c r="C822" s="12">
        <v>171.8394515427031</v>
      </c>
      <c r="D822" s="12">
        <v>70.200564369650479</v>
      </c>
    </row>
    <row r="823" spans="1:4">
      <c r="A823">
        <v>820</v>
      </c>
      <c r="B823" s="12">
        <v>192.0634074379636</v>
      </c>
      <c r="C823" s="12">
        <v>136.71417807189155</v>
      </c>
      <c r="D823" s="12">
        <v>140.48643213893254</v>
      </c>
    </row>
    <row r="824" spans="1:4">
      <c r="A824">
        <v>821</v>
      </c>
      <c r="B824" s="12">
        <v>121.57702380876054</v>
      </c>
      <c r="C824" s="12">
        <v>137.20384657389587</v>
      </c>
      <c r="D824" s="12">
        <v>74.847364895428655</v>
      </c>
    </row>
    <row r="825" spans="1:4">
      <c r="A825">
        <v>822</v>
      </c>
      <c r="B825" s="12">
        <v>149.92181186292214</v>
      </c>
      <c r="C825" s="12">
        <v>167.93699728199468</v>
      </c>
      <c r="D825" s="12">
        <v>172.10010399872144</v>
      </c>
    </row>
    <row r="826" spans="1:4">
      <c r="A826">
        <v>823</v>
      </c>
      <c r="B826" s="12">
        <v>124.68239860500339</v>
      </c>
      <c r="C826" s="12">
        <v>132.10076131114118</v>
      </c>
      <c r="D826" s="12">
        <v>89.027934988950022</v>
      </c>
    </row>
    <row r="827" spans="1:4">
      <c r="A827">
        <v>824</v>
      </c>
      <c r="B827" s="12">
        <v>194.64672560514282</v>
      </c>
      <c r="C827" s="12">
        <v>167.6345026037867</v>
      </c>
      <c r="D827" s="12">
        <v>83.687424072232119</v>
      </c>
    </row>
    <row r="828" spans="1:4">
      <c r="A828">
        <v>825</v>
      </c>
      <c r="B828" s="12">
        <v>143.01394708054983</v>
      </c>
      <c r="C828" s="12">
        <v>192.95647941968252</v>
      </c>
      <c r="D828" s="12">
        <v>62.190546141047612</v>
      </c>
    </row>
    <row r="829" spans="1:4">
      <c r="A829">
        <v>826</v>
      </c>
      <c r="B829" s="12">
        <v>153.77988351214518</v>
      </c>
      <c r="C829" s="12">
        <v>159.18053857647303</v>
      </c>
      <c r="D829" s="12">
        <v>90.866622101620194</v>
      </c>
    </row>
    <row r="830" spans="1:4">
      <c r="A830">
        <v>827</v>
      </c>
      <c r="B830" s="12">
        <v>249.80261915802492</v>
      </c>
      <c r="C830" s="12">
        <v>186.40785827515998</v>
      </c>
      <c r="D830" s="12">
        <v>139.12481864456876</v>
      </c>
    </row>
    <row r="831" spans="1:4">
      <c r="A831">
        <v>828</v>
      </c>
      <c r="B831" s="12">
        <v>206.76913072503723</v>
      </c>
      <c r="C831" s="12">
        <v>202.06435536279648</v>
      </c>
      <c r="D831" s="12">
        <v>112.1513961518078</v>
      </c>
    </row>
    <row r="832" spans="1:4">
      <c r="A832">
        <v>829</v>
      </c>
      <c r="B832" s="12">
        <v>195.67903611145002</v>
      </c>
      <c r="C832" s="12">
        <v>196.7721739424619</v>
      </c>
      <c r="D832" s="12">
        <v>83.505123458413422</v>
      </c>
    </row>
    <row r="833" spans="1:4">
      <c r="A833">
        <v>830</v>
      </c>
      <c r="B833" s="12">
        <v>191.48106584810094</v>
      </c>
      <c r="C833" s="12">
        <v>172.74486737480271</v>
      </c>
      <c r="D833" s="12">
        <v>66.175308581701572</v>
      </c>
    </row>
    <row r="834" spans="1:4">
      <c r="A834">
        <v>831</v>
      </c>
      <c r="B834" s="12">
        <v>209.07868203039348</v>
      </c>
      <c r="C834" s="12">
        <v>193.78192037687714</v>
      </c>
      <c r="D834" s="12">
        <v>121.09132573148946</v>
      </c>
    </row>
    <row r="835" spans="1:4">
      <c r="A835">
        <v>832</v>
      </c>
      <c r="B835" s="12">
        <v>138.20126154514307</v>
      </c>
      <c r="C835" s="12">
        <v>177.05565110985785</v>
      </c>
      <c r="D835" s="12">
        <v>92.788832683032879</v>
      </c>
    </row>
    <row r="836" spans="1:4">
      <c r="A836">
        <v>833</v>
      </c>
      <c r="B836" s="12">
        <v>148.5830270788563</v>
      </c>
      <c r="C836" s="12">
        <v>101.48719815742707</v>
      </c>
      <c r="D836" s="12">
        <v>123.42830174584576</v>
      </c>
    </row>
    <row r="837" spans="1:4">
      <c r="A837">
        <v>834</v>
      </c>
      <c r="B837" s="12">
        <v>131.35396751185274</v>
      </c>
      <c r="C837" s="12">
        <v>227.59879918530737</v>
      </c>
      <c r="D837" s="12">
        <v>127.29687185132681</v>
      </c>
    </row>
    <row r="838" spans="1:4">
      <c r="A838">
        <v>835</v>
      </c>
      <c r="B838" s="12">
        <v>118.06128975381873</v>
      </c>
      <c r="C838" s="12">
        <v>141.63740279546877</v>
      </c>
      <c r="D838" s="12">
        <v>155.76883752065947</v>
      </c>
    </row>
    <row r="839" spans="1:4">
      <c r="A839">
        <v>836</v>
      </c>
      <c r="B839" s="12">
        <v>232.37338685643559</v>
      </c>
      <c r="C839" s="12">
        <v>168.2418129795895</v>
      </c>
      <c r="D839" s="12">
        <v>115.13576573938062</v>
      </c>
    </row>
    <row r="840" spans="1:4">
      <c r="A840">
        <v>837</v>
      </c>
      <c r="B840" s="12">
        <v>136.28310500908833</v>
      </c>
      <c r="C840" s="12">
        <v>148.34134015557373</v>
      </c>
      <c r="D840" s="12">
        <v>109.2457339749122</v>
      </c>
    </row>
    <row r="841" spans="1:4">
      <c r="A841">
        <v>838</v>
      </c>
      <c r="B841" s="12">
        <v>130.41625286083928</v>
      </c>
      <c r="C841" s="12">
        <v>158.08913432828837</v>
      </c>
      <c r="D841" s="12">
        <v>75.436381686639294</v>
      </c>
    </row>
    <row r="842" spans="1:4">
      <c r="A842">
        <v>839</v>
      </c>
      <c r="B842" s="12">
        <v>172.89309716458274</v>
      </c>
      <c r="C842" s="12">
        <v>202.93846394323867</v>
      </c>
      <c r="D842" s="12">
        <v>78.759358648451624</v>
      </c>
    </row>
    <row r="843" spans="1:4">
      <c r="A843">
        <v>840</v>
      </c>
      <c r="B843" s="12">
        <v>241.82146256249032</v>
      </c>
      <c r="C843" s="12">
        <v>191.67336384416339</v>
      </c>
      <c r="D843" s="12">
        <v>124.66430195623023</v>
      </c>
    </row>
    <row r="844" spans="1:4">
      <c r="A844">
        <v>841</v>
      </c>
      <c r="B844" s="12">
        <v>127.50178362431981</v>
      </c>
      <c r="C844" s="12">
        <v>125.55610197737144</v>
      </c>
      <c r="D844" s="12">
        <v>101.74558366955814</v>
      </c>
    </row>
    <row r="845" spans="1:4">
      <c r="A845">
        <v>842</v>
      </c>
      <c r="B845" s="12">
        <v>135.16333161747102</v>
      </c>
      <c r="C845" s="12">
        <v>150.27968328832142</v>
      </c>
      <c r="D845" s="12">
        <v>102.20479810642652</v>
      </c>
    </row>
    <row r="846" spans="1:4">
      <c r="A846">
        <v>843</v>
      </c>
      <c r="B846" s="12">
        <v>158.23893667230797</v>
      </c>
      <c r="C846" s="12">
        <v>167.14309074679861</v>
      </c>
      <c r="D846" s="12">
        <v>53.353105986391569</v>
      </c>
    </row>
    <row r="847" spans="1:4">
      <c r="A847">
        <v>844</v>
      </c>
      <c r="B847" s="12">
        <v>105.16341690295319</v>
      </c>
      <c r="C847" s="12">
        <v>151.56710386463024</v>
      </c>
      <c r="D847" s="12">
        <v>97.862872965834526</v>
      </c>
    </row>
    <row r="848" spans="1:4">
      <c r="A848">
        <v>845</v>
      </c>
      <c r="B848" s="12">
        <v>176.98142044483004</v>
      </c>
      <c r="C848" s="12">
        <v>127.55490871211127</v>
      </c>
      <c r="D848" s="12">
        <v>118.90780693190203</v>
      </c>
    </row>
    <row r="849" spans="1:4">
      <c r="A849">
        <v>846</v>
      </c>
      <c r="B849" s="12">
        <v>144.40169759780127</v>
      </c>
      <c r="C849" s="12">
        <v>161.94522809590759</v>
      </c>
      <c r="D849" s="12">
        <v>82.165865467163485</v>
      </c>
    </row>
    <row r="850" spans="1:4">
      <c r="A850">
        <v>847</v>
      </c>
      <c r="B850" s="12">
        <v>148.95148514934692</v>
      </c>
      <c r="C850" s="12">
        <v>170.42155273499722</v>
      </c>
      <c r="D850" s="12">
        <v>137.55888855146171</v>
      </c>
    </row>
    <row r="851" spans="1:4">
      <c r="A851">
        <v>848</v>
      </c>
      <c r="B851" s="12">
        <v>180.10645690742604</v>
      </c>
      <c r="C851" s="12">
        <v>142.07278728500842</v>
      </c>
      <c r="D851" s="12">
        <v>79.277069596105363</v>
      </c>
    </row>
    <row r="852" spans="1:4">
      <c r="A852">
        <v>849</v>
      </c>
      <c r="B852" s="12">
        <v>134.45588814327508</v>
      </c>
      <c r="C852" s="12">
        <v>133.90759920783356</v>
      </c>
      <c r="D852" s="12">
        <v>84.71324211010905</v>
      </c>
    </row>
    <row r="853" spans="1:4">
      <c r="A853">
        <v>850</v>
      </c>
      <c r="B853" s="12">
        <v>261.25198821043051</v>
      </c>
      <c r="C853" s="12">
        <v>182.16557493721322</v>
      </c>
      <c r="D853" s="12">
        <v>180.95461896976511</v>
      </c>
    </row>
    <row r="854" spans="1:4">
      <c r="A854">
        <v>851</v>
      </c>
      <c r="B854" s="12">
        <v>168.61568553303383</v>
      </c>
      <c r="C854" s="12">
        <v>125.05322130038498</v>
      </c>
      <c r="D854" s="12">
        <v>125.95185374979083</v>
      </c>
    </row>
    <row r="855" spans="1:4">
      <c r="A855">
        <v>852</v>
      </c>
      <c r="B855" s="12">
        <v>123.17170555048595</v>
      </c>
      <c r="C855" s="12">
        <v>134.76658814386084</v>
      </c>
      <c r="D855" s="12">
        <v>82.457400631550811</v>
      </c>
    </row>
    <row r="856" spans="1:4">
      <c r="A856">
        <v>853</v>
      </c>
      <c r="B856" s="12">
        <v>117.33347680771557</v>
      </c>
      <c r="C856" s="12">
        <v>158.76059768725892</v>
      </c>
      <c r="D856" s="12">
        <v>72.449228047062192</v>
      </c>
    </row>
    <row r="857" spans="1:4">
      <c r="A857">
        <v>854</v>
      </c>
      <c r="B857" s="12">
        <v>183.58258222374263</v>
      </c>
      <c r="C857" s="12">
        <v>149.23388688633418</v>
      </c>
      <c r="D857" s="12">
        <v>88.052585285667135</v>
      </c>
    </row>
    <row r="858" spans="1:4">
      <c r="A858">
        <v>855</v>
      </c>
      <c r="B858" s="12">
        <v>120.94778602314129</v>
      </c>
      <c r="C858" s="12">
        <v>154.79666058183579</v>
      </c>
      <c r="D858" s="12">
        <v>87.340247200872881</v>
      </c>
    </row>
    <row r="859" spans="1:4">
      <c r="A859">
        <v>856</v>
      </c>
      <c r="B859" s="12">
        <v>125.58460875200134</v>
      </c>
      <c r="C859" s="12">
        <v>148.98907751353542</v>
      </c>
      <c r="D859" s="12">
        <v>106.80320371749238</v>
      </c>
    </row>
    <row r="860" spans="1:4">
      <c r="A860">
        <v>857</v>
      </c>
      <c r="B860" s="12">
        <v>140.57246764073713</v>
      </c>
      <c r="C860" s="12">
        <v>140.20989100179884</v>
      </c>
      <c r="D860" s="12">
        <v>55.255263850329641</v>
      </c>
    </row>
    <row r="861" spans="1:4">
      <c r="A861">
        <v>858</v>
      </c>
      <c r="B861" s="12">
        <v>189.06833349213628</v>
      </c>
      <c r="C861" s="12">
        <v>141.19838223406882</v>
      </c>
      <c r="D861" s="12">
        <v>115.49920780659141</v>
      </c>
    </row>
    <row r="862" spans="1:4">
      <c r="A862">
        <v>859</v>
      </c>
      <c r="B862" s="12">
        <v>233.60342934279137</v>
      </c>
      <c r="C862" s="12">
        <v>137.49892682078053</v>
      </c>
      <c r="D862" s="12">
        <v>134.49704934938094</v>
      </c>
    </row>
    <row r="863" spans="1:4">
      <c r="A863">
        <v>860</v>
      </c>
      <c r="B863" s="12">
        <v>133.7386402749793</v>
      </c>
      <c r="C863" s="12">
        <v>195.21786089662717</v>
      </c>
      <c r="D863" s="12">
        <v>51.794872778973662</v>
      </c>
    </row>
    <row r="864" spans="1:4">
      <c r="A864">
        <v>861</v>
      </c>
      <c r="B864" s="12">
        <v>162.52665198643666</v>
      </c>
      <c r="C864" s="12">
        <v>141.37024392338049</v>
      </c>
      <c r="D864" s="12">
        <v>81.683756952574626</v>
      </c>
    </row>
    <row r="865" spans="1:4">
      <c r="A865">
        <v>862</v>
      </c>
      <c r="B865" s="12">
        <v>122.57848955244189</v>
      </c>
      <c r="C865" s="12">
        <v>152.85516817791196</v>
      </c>
      <c r="D865" s="12">
        <v>93.654146567638946</v>
      </c>
    </row>
    <row r="866" spans="1:4">
      <c r="A866">
        <v>863</v>
      </c>
      <c r="B866" s="12">
        <v>203.80792535564652</v>
      </c>
      <c r="C866" s="12">
        <v>140.48348586290822</v>
      </c>
      <c r="D866" s="12">
        <v>118.50943389662535</v>
      </c>
    </row>
    <row r="867" spans="1:4">
      <c r="A867">
        <v>864</v>
      </c>
      <c r="B867" s="12">
        <v>205.11302009695794</v>
      </c>
      <c r="C867" s="12">
        <v>174.63702588008204</v>
      </c>
      <c r="D867" s="12">
        <v>238.80271447223006</v>
      </c>
    </row>
    <row r="868" spans="1:4">
      <c r="A868">
        <v>865</v>
      </c>
      <c r="B868" s="12">
        <v>113.90777945264327</v>
      </c>
      <c r="C868" s="12">
        <v>145.72171759233322</v>
      </c>
      <c r="D868" s="12">
        <v>120.66695129043228</v>
      </c>
    </row>
    <row r="869" spans="1:4">
      <c r="A869">
        <v>866</v>
      </c>
      <c r="B869" s="12">
        <v>194.02947897989711</v>
      </c>
      <c r="C869" s="12">
        <v>207.11552162819345</v>
      </c>
      <c r="D869" s="12">
        <v>76.137175829765411</v>
      </c>
    </row>
    <row r="870" spans="1:4">
      <c r="A870">
        <v>867</v>
      </c>
      <c r="B870" s="12">
        <v>113.01685546040511</v>
      </c>
      <c r="C870" s="12">
        <v>162.92741944650859</v>
      </c>
      <c r="D870" s="12">
        <v>147.25442590313233</v>
      </c>
    </row>
    <row r="871" spans="1:4">
      <c r="A871">
        <v>868</v>
      </c>
      <c r="B871" s="12">
        <v>142.38249815302296</v>
      </c>
      <c r="C871" s="12">
        <v>166.3641153644698</v>
      </c>
      <c r="D871" s="12">
        <v>62.68932422009</v>
      </c>
    </row>
    <row r="872" spans="1:4">
      <c r="A872">
        <v>869</v>
      </c>
      <c r="B872" s="12">
        <v>227.78451407097808</v>
      </c>
      <c r="C872" s="12">
        <v>170.74757006825735</v>
      </c>
      <c r="D872" s="12">
        <v>89.294689615550226</v>
      </c>
    </row>
    <row r="873" spans="1:4">
      <c r="A873">
        <v>870</v>
      </c>
      <c r="B873" s="12">
        <v>163.14354439432793</v>
      </c>
      <c r="C873" s="12">
        <v>156.51109282453911</v>
      </c>
      <c r="D873" s="12">
        <v>99.289706396404128</v>
      </c>
    </row>
    <row r="874" spans="1:4">
      <c r="A874">
        <v>871</v>
      </c>
      <c r="B874" s="12">
        <v>170.32371476027598</v>
      </c>
      <c r="C874" s="12">
        <v>142.76651377309975</v>
      </c>
      <c r="D874" s="12">
        <v>76.699108725606521</v>
      </c>
    </row>
    <row r="875" spans="1:4">
      <c r="A875">
        <v>872</v>
      </c>
      <c r="B875" s="12">
        <v>144.02223484577561</v>
      </c>
      <c r="C875" s="12">
        <v>187.39590413689453</v>
      </c>
      <c r="D875" s="12">
        <v>74.244273484570101</v>
      </c>
    </row>
    <row r="876" spans="1:4">
      <c r="A876">
        <v>873</v>
      </c>
      <c r="B876" s="12">
        <v>124.11925455790499</v>
      </c>
      <c r="C876" s="12">
        <v>150.92354950851802</v>
      </c>
      <c r="D876" s="12">
        <v>100.00996881755326</v>
      </c>
    </row>
    <row r="877" spans="1:4">
      <c r="A877">
        <v>874</v>
      </c>
      <c r="B877" s="12">
        <v>167.18703705411497</v>
      </c>
      <c r="C877" s="12">
        <v>148.74401136921506</v>
      </c>
      <c r="D877" s="12">
        <v>136.34252082352489</v>
      </c>
    </row>
    <row r="878" spans="1:4">
      <c r="A878">
        <v>875</v>
      </c>
      <c r="B878" s="12">
        <v>130.1113843192409</v>
      </c>
      <c r="C878" s="12">
        <v>113.99223577080532</v>
      </c>
      <c r="D878" s="12">
        <v>116.85228933874218</v>
      </c>
    </row>
    <row r="879" spans="1:4">
      <c r="A879">
        <v>876</v>
      </c>
      <c r="B879" s="12">
        <v>150.28842713996275</v>
      </c>
      <c r="C879" s="12">
        <v>150.03566374805428</v>
      </c>
      <c r="D879" s="12">
        <v>126.78032272924362</v>
      </c>
    </row>
    <row r="880" spans="1:4">
      <c r="A880">
        <v>877</v>
      </c>
      <c r="B880" s="12">
        <v>149.31937667395971</v>
      </c>
      <c r="C880" s="12">
        <v>151.96698944484567</v>
      </c>
      <c r="D880" s="12">
        <v>116.47576065187839</v>
      </c>
    </row>
    <row r="881" spans="1:4">
      <c r="A881">
        <v>878</v>
      </c>
      <c r="B881" s="12">
        <v>221.09806210171661</v>
      </c>
      <c r="C881" s="12">
        <v>143.96704476022094</v>
      </c>
      <c r="D881" s="12">
        <v>105.23319763632134</v>
      </c>
    </row>
    <row r="882" spans="1:4">
      <c r="A882">
        <v>879</v>
      </c>
      <c r="B882" s="12">
        <v>146.62584369717857</v>
      </c>
      <c r="C882" s="12">
        <v>122.69648097468969</v>
      </c>
      <c r="D882" s="12">
        <v>106.31093245030478</v>
      </c>
    </row>
    <row r="883" spans="1:4">
      <c r="A883">
        <v>880</v>
      </c>
      <c r="B883" s="12">
        <v>101.85395818852896</v>
      </c>
      <c r="C883" s="12">
        <v>237.85181581452716</v>
      </c>
      <c r="D883" s="12">
        <v>102.48603969056268</v>
      </c>
    </row>
    <row r="884" spans="1:4">
      <c r="A884">
        <v>881</v>
      </c>
      <c r="B884" s="12">
        <v>131.6499771926056</v>
      </c>
      <c r="C884" s="12">
        <v>156.10272727514757</v>
      </c>
      <c r="D884" s="12">
        <v>82.932079606253239</v>
      </c>
    </row>
    <row r="885" spans="1:4">
      <c r="A885">
        <v>882</v>
      </c>
      <c r="B885" s="12">
        <v>146.0132263745881</v>
      </c>
      <c r="C885" s="12">
        <v>179.26553809501632</v>
      </c>
      <c r="D885" s="12">
        <v>88.589284407623978</v>
      </c>
    </row>
    <row r="886" spans="1:4">
      <c r="A886">
        <v>883</v>
      </c>
      <c r="B886" s="12">
        <v>166.16304583663668</v>
      </c>
      <c r="C886" s="12">
        <v>150.67977336049373</v>
      </c>
      <c r="D886" s="12">
        <v>122.9725996555938</v>
      </c>
    </row>
    <row r="887" spans="1:4">
      <c r="A887">
        <v>884</v>
      </c>
      <c r="B887" s="12">
        <v>185.22423716378484</v>
      </c>
      <c r="C887" s="12">
        <v>132.67606538177014</v>
      </c>
      <c r="D887" s="12">
        <v>105.52730101468561</v>
      </c>
    </row>
    <row r="888" spans="1:4">
      <c r="A888">
        <v>885</v>
      </c>
      <c r="B888" s="12">
        <v>112.08207184063481</v>
      </c>
      <c r="C888" s="12">
        <v>189.7664988939413</v>
      </c>
      <c r="D888" s="12">
        <v>128.70630540783699</v>
      </c>
    </row>
    <row r="889" spans="1:4">
      <c r="A889">
        <v>886</v>
      </c>
      <c r="B889" s="12">
        <v>111.45737797667954</v>
      </c>
      <c r="C889" s="12">
        <v>147.69128935933782</v>
      </c>
      <c r="D889" s="12">
        <v>111.81628052799763</v>
      </c>
    </row>
    <row r="890" spans="1:4">
      <c r="A890">
        <v>887</v>
      </c>
      <c r="B890" s="12">
        <v>116.58127592190863</v>
      </c>
      <c r="C890" s="12">
        <v>180.90526095223134</v>
      </c>
      <c r="D890" s="12">
        <v>56.779666861552364</v>
      </c>
    </row>
    <row r="891" spans="1:4">
      <c r="A891">
        <v>888</v>
      </c>
      <c r="B891" s="12">
        <v>159.57947796744148</v>
      </c>
      <c r="C891" s="12">
        <v>147.44439312686578</v>
      </c>
      <c r="D891" s="12">
        <v>151.79248042892814</v>
      </c>
    </row>
    <row r="892" spans="1:4">
      <c r="A892">
        <v>889</v>
      </c>
      <c r="B892" s="12">
        <v>253.57398506537993</v>
      </c>
      <c r="C892" s="12">
        <v>161.50800221887275</v>
      </c>
      <c r="D892" s="12">
        <v>184.89253169744111</v>
      </c>
    </row>
    <row r="893" spans="1:4">
      <c r="A893">
        <v>890</v>
      </c>
      <c r="B893" s="12">
        <v>119.88120042696946</v>
      </c>
      <c r="C893" s="12">
        <v>139.47925538194423</v>
      </c>
      <c r="D893" s="12">
        <v>63.427734968471654</v>
      </c>
    </row>
    <row r="894" spans="1:4">
      <c r="A894">
        <v>891</v>
      </c>
      <c r="B894" s="12">
        <v>177.42342905666766</v>
      </c>
      <c r="C894" s="12">
        <v>179.99143267494699</v>
      </c>
      <c r="D894" s="12">
        <v>130.55994773371705</v>
      </c>
    </row>
    <row r="895" spans="1:4">
      <c r="A895">
        <v>892</v>
      </c>
      <c r="B895" s="12">
        <v>197.39577556733639</v>
      </c>
      <c r="C895" s="12">
        <v>190.21292194776507</v>
      </c>
      <c r="D895" s="12">
        <v>89.997084012341134</v>
      </c>
    </row>
    <row r="896" spans="1:4">
      <c r="A896">
        <v>893</v>
      </c>
      <c r="B896" s="12">
        <v>160.18607287119536</v>
      </c>
      <c r="C896" s="12">
        <v>162.65591210502424</v>
      </c>
      <c r="D896" s="12">
        <v>79.787527393339701</v>
      </c>
    </row>
    <row r="897" spans="1:4">
      <c r="A897">
        <v>894</v>
      </c>
      <c r="B897" s="12">
        <v>157.63696767849865</v>
      </c>
      <c r="C897" s="12">
        <v>151.32338968715393</v>
      </c>
      <c r="D897" s="12">
        <v>119.57133339538863</v>
      </c>
    </row>
    <row r="898" spans="1:4">
      <c r="A898">
        <v>895</v>
      </c>
      <c r="B898" s="12">
        <v>199.18748089800241</v>
      </c>
      <c r="C898" s="12">
        <v>185.26031990732153</v>
      </c>
      <c r="D898" s="12">
        <v>116.10297347180612</v>
      </c>
    </row>
    <row r="899" spans="1:4">
      <c r="A899">
        <v>896</v>
      </c>
      <c r="B899" s="12">
        <v>132.84989653625777</v>
      </c>
      <c r="C899" s="12">
        <v>154.14762141461622</v>
      </c>
      <c r="D899" s="12">
        <v>89.465328149388469</v>
      </c>
    </row>
    <row r="900" spans="1:4">
      <c r="A900">
        <v>897</v>
      </c>
      <c r="B900" s="12">
        <v>107.39849985374956</v>
      </c>
      <c r="C900" s="12">
        <v>167.44192901626215</v>
      </c>
      <c r="D900" s="12">
        <v>118.11548693684428</v>
      </c>
    </row>
    <row r="901" spans="1:4">
      <c r="A901">
        <v>898</v>
      </c>
      <c r="B901" s="12">
        <v>125.03775671245253</v>
      </c>
      <c r="C901" s="12">
        <v>166.65744020435363</v>
      </c>
      <c r="D901" s="12">
        <v>121.36602254460877</v>
      </c>
    </row>
    <row r="902" spans="1:4">
      <c r="A902">
        <v>899</v>
      </c>
      <c r="B902" s="12">
        <v>106.0764883386086</v>
      </c>
      <c r="C902" s="12">
        <v>206.00137132847166</v>
      </c>
      <c r="D902" s="12">
        <v>109.5625832344427</v>
      </c>
    </row>
    <row r="903" spans="1:4">
      <c r="A903">
        <v>900</v>
      </c>
      <c r="B903" s="12">
        <v>214.89122368579052</v>
      </c>
      <c r="C903" s="12">
        <v>147.93777634202112</v>
      </c>
      <c r="D903" s="12">
        <v>92.261380214329918</v>
      </c>
    </row>
    <row r="904" spans="1:4">
      <c r="A904">
        <v>901</v>
      </c>
      <c r="B904" s="12">
        <v>219.0394031095995</v>
      </c>
      <c r="C904" s="12">
        <v>123.2808626082427</v>
      </c>
      <c r="D904" s="12">
        <v>87.610558272046703</v>
      </c>
    </row>
    <row r="905" spans="1:4">
      <c r="A905">
        <v>902</v>
      </c>
      <c r="B905" s="12">
        <v>205.93170998341813</v>
      </c>
      <c r="C905" s="12">
        <v>138.26658478630534</v>
      </c>
      <c r="D905" s="12">
        <v>129.61797893162887</v>
      </c>
    </row>
    <row r="906" spans="1:4">
      <c r="A906">
        <v>903</v>
      </c>
      <c r="B906" s="12">
        <v>143.39691774357593</v>
      </c>
      <c r="C906" s="12">
        <v>164.10570560490081</v>
      </c>
      <c r="D906" s="12">
        <v>74.481506849438858</v>
      </c>
    </row>
    <row r="907" spans="1:4">
      <c r="A907">
        <v>904</v>
      </c>
      <c r="B907" s="12">
        <v>176.26266874418502</v>
      </c>
      <c r="C907" s="12">
        <v>183.8293661820322</v>
      </c>
      <c r="D907" s="12">
        <v>119.16537522053648</v>
      </c>
    </row>
    <row r="908" spans="1:4">
      <c r="A908">
        <v>905</v>
      </c>
      <c r="B908" s="12">
        <v>120.30297981228702</v>
      </c>
      <c r="C908" s="12">
        <v>174.40123087158952</v>
      </c>
      <c r="D908" s="12">
        <v>80.400778817586527</v>
      </c>
    </row>
    <row r="909" spans="1:4">
      <c r="A909">
        <v>906</v>
      </c>
      <c r="B909" s="12">
        <v>215.97942835837839</v>
      </c>
      <c r="C909" s="12">
        <v>127.26988236013665</v>
      </c>
      <c r="D909" s="12">
        <v>80.896954084716896</v>
      </c>
    </row>
    <row r="910" spans="1:4">
      <c r="A910">
        <v>907</v>
      </c>
      <c r="B910" s="12">
        <v>126.98589557734361</v>
      </c>
      <c r="C910" s="12">
        <v>147.03838341192275</v>
      </c>
      <c r="D910" s="12">
        <v>114.54673101799617</v>
      </c>
    </row>
    <row r="911" spans="1:4">
      <c r="A911">
        <v>908</v>
      </c>
      <c r="B911" s="12">
        <v>256.30827047364761</v>
      </c>
      <c r="C911" s="12">
        <v>129.5007633689861</v>
      </c>
      <c r="D911" s="12">
        <v>75.789041108554244</v>
      </c>
    </row>
    <row r="912" spans="1:4">
      <c r="A912">
        <v>909</v>
      </c>
      <c r="B912" s="12">
        <v>146.99809422359823</v>
      </c>
      <c r="C912" s="12">
        <v>176.01401598610008</v>
      </c>
      <c r="D912" s="12">
        <v>114.19191910669092</v>
      </c>
    </row>
    <row r="913" spans="1:4">
      <c r="A913">
        <v>910</v>
      </c>
      <c r="B913" s="12">
        <v>139.52454723075672</v>
      </c>
      <c r="C913" s="12">
        <v>142.33649483329779</v>
      </c>
      <c r="D913" s="12">
        <v>145.46827106899113</v>
      </c>
    </row>
    <row r="914" spans="1:4">
      <c r="A914">
        <v>911</v>
      </c>
      <c r="B914" s="12">
        <v>108.61642835742902</v>
      </c>
      <c r="C914" s="12">
        <v>149.63502337473275</v>
      </c>
      <c r="D914" s="12">
        <v>104.46322984412738</v>
      </c>
    </row>
    <row r="915" spans="1:4">
      <c r="A915">
        <v>912</v>
      </c>
      <c r="B915" s="12">
        <v>149.55475021458997</v>
      </c>
      <c r="C915" s="12">
        <v>209.02423179595769</v>
      </c>
      <c r="D915" s="12">
        <v>137.0770888471765</v>
      </c>
    </row>
    <row r="916" spans="1:4">
      <c r="A916">
        <v>913</v>
      </c>
      <c r="B916" s="12">
        <v>214.2124208205548</v>
      </c>
      <c r="C916" s="12">
        <v>183.49521950786456</v>
      </c>
      <c r="D916" s="12">
        <v>157.48389888264435</v>
      </c>
    </row>
    <row r="917" spans="1:4">
      <c r="A917">
        <v>914</v>
      </c>
      <c r="B917" s="12">
        <v>178.60547081494275</v>
      </c>
      <c r="C917" s="12">
        <v>176.65663082517412</v>
      </c>
      <c r="D917" s="12">
        <v>150.45352403035409</v>
      </c>
    </row>
    <row r="918" spans="1:4">
      <c r="A918">
        <v>915</v>
      </c>
      <c r="B918" s="12">
        <v>139.26814094108914</v>
      </c>
      <c r="C918" s="12">
        <v>174.03674096756129</v>
      </c>
      <c r="D918" s="12">
        <v>120.24786793575436</v>
      </c>
    </row>
    <row r="919" spans="1:4">
      <c r="A919">
        <v>916</v>
      </c>
      <c r="B919" s="12">
        <v>114.45785207032408</v>
      </c>
      <c r="C919" s="12">
        <v>184.90487518207891</v>
      </c>
      <c r="D919" s="12">
        <v>146.54075278226225</v>
      </c>
    </row>
    <row r="920" spans="1:4">
      <c r="A920">
        <v>917</v>
      </c>
      <c r="B920" s="12">
        <v>190.54158100183292</v>
      </c>
      <c r="C920" s="12">
        <v>139.01889524495493</v>
      </c>
      <c r="D920" s="12">
        <v>125.4578243396026</v>
      </c>
    </row>
    <row r="921" spans="1:4">
      <c r="A921">
        <v>918</v>
      </c>
      <c r="B921" s="12">
        <v>152.21890256656906</v>
      </c>
      <c r="C921" s="12">
        <v>146.13248498108609</v>
      </c>
      <c r="D921" s="12">
        <v>48.148963512759586</v>
      </c>
    </row>
    <row r="922" spans="1:4">
      <c r="A922">
        <v>919</v>
      </c>
      <c r="B922" s="12">
        <v>193.63868240155216</v>
      </c>
      <c r="C922" s="12">
        <v>134.2360524638874</v>
      </c>
      <c r="D922" s="12">
        <v>193.27099572616731</v>
      </c>
    </row>
    <row r="923" spans="1:4">
      <c r="A923">
        <v>920</v>
      </c>
      <c r="B923" s="12">
        <v>198.74549583868131</v>
      </c>
      <c r="C923" s="12">
        <v>124.72269058375328</v>
      </c>
      <c r="D923" s="12">
        <v>85.447440287069341</v>
      </c>
    </row>
    <row r="924" spans="1:4">
      <c r="A924">
        <v>921</v>
      </c>
      <c r="B924" s="12">
        <v>235.63476442655801</v>
      </c>
      <c r="C924" s="12">
        <v>198.86383103039864</v>
      </c>
      <c r="D924" s="12">
        <v>114.90473164596114</v>
      </c>
    </row>
    <row r="925" spans="1:4">
      <c r="A925">
        <v>922</v>
      </c>
      <c r="B925" s="12">
        <v>182.60604677532638</v>
      </c>
      <c r="C925" s="12">
        <v>137.68664510955404</v>
      </c>
      <c r="D925" s="12">
        <v>92.525126966637174</v>
      </c>
    </row>
    <row r="926" spans="1:4">
      <c r="A926">
        <v>923</v>
      </c>
      <c r="B926" s="12">
        <v>174.69436297555117</v>
      </c>
      <c r="C926" s="12">
        <v>133.5750883958921</v>
      </c>
      <c r="D926" s="12">
        <v>103.23378184084945</v>
      </c>
    </row>
    <row r="927" spans="1:4">
      <c r="A927">
        <v>924</v>
      </c>
      <c r="B927" s="12">
        <v>127.82829087938406</v>
      </c>
      <c r="C927" s="12">
        <v>162.21333520317879</v>
      </c>
      <c r="D927" s="12">
        <v>158.65802379552352</v>
      </c>
    </row>
    <row r="928" spans="1:4">
      <c r="A928">
        <v>925</v>
      </c>
      <c r="B928" s="12">
        <v>132.56170696702719</v>
      </c>
      <c r="C928" s="12">
        <v>204.39992804888499</v>
      </c>
      <c r="D928" s="12">
        <v>143.80769722166329</v>
      </c>
    </row>
    <row r="929" spans="1:4">
      <c r="A929">
        <v>926</v>
      </c>
      <c r="B929" s="12">
        <v>195.27298611435569</v>
      </c>
      <c r="C929" s="12">
        <v>131.51126460223517</v>
      </c>
      <c r="D929" s="12">
        <v>69.443728693999674</v>
      </c>
    </row>
    <row r="930" spans="1:4">
      <c r="A930">
        <v>927</v>
      </c>
      <c r="B930" s="12">
        <v>164.52224660912535</v>
      </c>
      <c r="C930" s="12">
        <v>136.90621448196686</v>
      </c>
      <c r="D930" s="12">
        <v>94.615348152271807</v>
      </c>
    </row>
    <row r="931" spans="1:4">
      <c r="A931">
        <v>928</v>
      </c>
      <c r="B931" s="12">
        <v>165.14835203631102</v>
      </c>
      <c r="C931" s="12">
        <v>152.61104321429352</v>
      </c>
      <c r="D931" s="12">
        <v>113.61649956836479</v>
      </c>
    </row>
    <row r="932" spans="1:4">
      <c r="A932">
        <v>929</v>
      </c>
      <c r="B932" s="12">
        <v>95.444167693076167</v>
      </c>
      <c r="C932" s="12">
        <v>115.16748093672672</v>
      </c>
      <c r="D932" s="12">
        <v>96.014438252407629</v>
      </c>
    </row>
    <row r="933" spans="1:4">
      <c r="A933">
        <v>930</v>
      </c>
      <c r="B933" s="12">
        <v>159.2105335218252</v>
      </c>
      <c r="C933" s="12">
        <v>164.84644038721189</v>
      </c>
      <c r="D933" s="12">
        <v>71.35698483526248</v>
      </c>
    </row>
    <row r="934" spans="1:4">
      <c r="A934">
        <v>931</v>
      </c>
      <c r="B934" s="12">
        <v>187.63938713815097</v>
      </c>
      <c r="C934" s="12">
        <v>143.28664868574808</v>
      </c>
      <c r="D934" s="12">
        <v>107.60483529659142</v>
      </c>
    </row>
    <row r="935" spans="1:4">
      <c r="A935">
        <v>932</v>
      </c>
      <c r="B935" s="12">
        <v>137.38177009498582</v>
      </c>
      <c r="C935" s="12">
        <v>146.38205710515666</v>
      </c>
      <c r="D935" s="12">
        <v>117.47841726063211</v>
      </c>
    </row>
    <row r="936" spans="1:4">
      <c r="A936">
        <v>933</v>
      </c>
      <c r="B936" s="12">
        <v>212.17691435977838</v>
      </c>
      <c r="C936" s="12">
        <v>166.84639282232794</v>
      </c>
      <c r="D936" s="12">
        <v>85.899921937199991</v>
      </c>
    </row>
    <row r="937" spans="1:4">
      <c r="A937">
        <v>934</v>
      </c>
      <c r="B937" s="12">
        <v>133.2963162159775</v>
      </c>
      <c r="C937" s="12">
        <v>136.4121223225556</v>
      </c>
      <c r="D937" s="12">
        <v>77.58162424461257</v>
      </c>
    </row>
    <row r="938" spans="1:4">
      <c r="A938">
        <v>935</v>
      </c>
      <c r="B938" s="12">
        <v>140.96573952710665</v>
      </c>
      <c r="C938" s="12">
        <v>215.57863442572565</v>
      </c>
      <c r="D938" s="12">
        <v>131.75303830688728</v>
      </c>
    </row>
    <row r="939" spans="1:4">
      <c r="A939">
        <v>936</v>
      </c>
      <c r="B939" s="12">
        <v>267.387358342646</v>
      </c>
      <c r="C939" s="12">
        <v>159.4376275190954</v>
      </c>
      <c r="D939" s="12">
        <v>68.965804755147857</v>
      </c>
    </row>
    <row r="940" spans="1:4">
      <c r="A940">
        <v>937</v>
      </c>
      <c r="B940" s="12">
        <v>196.97275947274011</v>
      </c>
      <c r="C940" s="12">
        <v>128.41767695252122</v>
      </c>
      <c r="D940" s="12">
        <v>78.439984646856601</v>
      </c>
    </row>
    <row r="941" spans="1:4">
      <c r="A941">
        <v>938</v>
      </c>
      <c r="B941" s="12">
        <v>137.79281020711133</v>
      </c>
      <c r="C941" s="12">
        <v>124.19245021740795</v>
      </c>
      <c r="D941" s="12">
        <v>103.98945212609847</v>
      </c>
    </row>
    <row r="942" spans="1:4">
      <c r="A942">
        <v>939</v>
      </c>
      <c r="B942" s="12">
        <v>123.54532698323747</v>
      </c>
      <c r="C942" s="12">
        <v>169.05839795247138</v>
      </c>
      <c r="D942" s="12">
        <v>93.485179154777612</v>
      </c>
    </row>
    <row r="943" spans="1:4">
      <c r="A943">
        <v>940</v>
      </c>
      <c r="B943" s="12">
        <v>145.6385430436483</v>
      </c>
      <c r="C943" s="12">
        <v>126.81569304202411</v>
      </c>
      <c r="D943" s="12">
        <v>99.561889679453998</v>
      </c>
    </row>
    <row r="944" spans="1:4">
      <c r="A944">
        <v>941</v>
      </c>
      <c r="B944" s="12">
        <v>144.64411780934597</v>
      </c>
      <c r="C944" s="12">
        <v>130.14565271128177</v>
      </c>
      <c r="D944" s="12">
        <v>93.221441170206276</v>
      </c>
    </row>
    <row r="945" spans="1:4">
      <c r="A945">
        <v>942</v>
      </c>
      <c r="B945" s="12">
        <v>171.39404158445831</v>
      </c>
      <c r="C945" s="12">
        <v>140.65788843438676</v>
      </c>
      <c r="D945" s="12">
        <v>83.970900427380911</v>
      </c>
    </row>
    <row r="946" spans="1:4">
      <c r="A946">
        <v>943</v>
      </c>
      <c r="B946" s="12">
        <v>98.30646829274508</v>
      </c>
      <c r="C946" s="12">
        <v>172.52291156455186</v>
      </c>
      <c r="D946" s="12">
        <v>84.992193791053666</v>
      </c>
    </row>
    <row r="947" spans="1:4">
      <c r="A947">
        <v>944</v>
      </c>
      <c r="B947" s="12">
        <v>183.09212812222441</v>
      </c>
      <c r="C947" s="12">
        <v>199.58848464026653</v>
      </c>
      <c r="D947" s="12">
        <v>81.196572592149664</v>
      </c>
    </row>
    <row r="948" spans="1:4">
      <c r="A948">
        <v>945</v>
      </c>
      <c r="B948" s="12">
        <v>208.18638707608702</v>
      </c>
      <c r="C948" s="12">
        <v>135.91035640286015</v>
      </c>
      <c r="D948" s="12">
        <v>148.41430269651042</v>
      </c>
    </row>
    <row r="949" spans="1:4">
      <c r="A949">
        <v>946</v>
      </c>
      <c r="B949" s="12">
        <v>93.087485578581948</v>
      </c>
      <c r="C949" s="12">
        <v>155.44820290197453</v>
      </c>
      <c r="D949" s="12">
        <v>85.170286047181335</v>
      </c>
    </row>
    <row r="950" spans="1:4">
      <c r="A950">
        <v>947</v>
      </c>
      <c r="B950" s="12">
        <v>136.70153609990416</v>
      </c>
      <c r="C950" s="12">
        <v>127.99124441913011</v>
      </c>
      <c r="D950" s="12">
        <v>97.422826470490108</v>
      </c>
    </row>
    <row r="951" spans="1:4">
      <c r="A951">
        <v>948</v>
      </c>
      <c r="B951" s="12">
        <v>153.41538587018189</v>
      </c>
      <c r="C951" s="12">
        <v>181.68063319011608</v>
      </c>
      <c r="D951" s="12">
        <v>84.253056592196771</v>
      </c>
    </row>
    <row r="952" spans="1:4">
      <c r="A952">
        <v>949</v>
      </c>
      <c r="B952" s="12">
        <v>187.10899924801035</v>
      </c>
      <c r="C952" s="12">
        <v>182.48138120936795</v>
      </c>
      <c r="D952" s="12">
        <v>122.52330711903757</v>
      </c>
    </row>
    <row r="953" spans="1:4">
      <c r="A953">
        <v>950</v>
      </c>
      <c r="B953" s="12">
        <v>337.8740573986542</v>
      </c>
      <c r="C953" s="12">
        <v>121.68280140291726</v>
      </c>
      <c r="D953" s="12">
        <v>89.731393328916312</v>
      </c>
    </row>
    <row r="954" spans="1:4">
      <c r="A954">
        <v>951</v>
      </c>
      <c r="B954" s="12">
        <v>189.97817530263072</v>
      </c>
      <c r="C954" s="12">
        <v>175.62927268407662</v>
      </c>
      <c r="D954" s="12">
        <v>164.31908589842953</v>
      </c>
    </row>
    <row r="955" spans="1:4">
      <c r="A955">
        <v>952</v>
      </c>
      <c r="B955" s="12">
        <v>128.82920749535438</v>
      </c>
      <c r="C955" s="12">
        <v>121.02628740060106</v>
      </c>
      <c r="D955" s="12">
        <v>108.73030453618389</v>
      </c>
    </row>
    <row r="956" spans="1:4">
      <c r="A956">
        <v>953</v>
      </c>
      <c r="B956" s="12">
        <v>224.72329020216887</v>
      </c>
      <c r="C956" s="12">
        <v>141.90321092520381</v>
      </c>
      <c r="D956" s="12">
        <v>112.7068533280592</v>
      </c>
    </row>
    <row r="957" spans="1:4">
      <c r="A957">
        <v>954</v>
      </c>
      <c r="B957" s="12">
        <v>109.35074387326274</v>
      </c>
      <c r="C957" s="12">
        <v>196.14978917631214</v>
      </c>
      <c r="D957" s="12">
        <v>117.8654072383091</v>
      </c>
    </row>
    <row r="958" spans="1:4">
      <c r="A958">
        <v>955</v>
      </c>
      <c r="B958" s="12">
        <v>147.36951967806857</v>
      </c>
      <c r="C958" s="12">
        <v>155.854470610812</v>
      </c>
      <c r="D958" s="12">
        <v>101.46693942029326</v>
      </c>
    </row>
    <row r="959" spans="1:4">
      <c r="A959">
        <v>956</v>
      </c>
      <c r="B959" s="12">
        <v>161.16626890313034</v>
      </c>
      <c r="C959" s="12">
        <v>160.54860238607819</v>
      </c>
      <c r="D959" s="12">
        <v>86.622957365242343</v>
      </c>
    </row>
    <row r="960" spans="1:4">
      <c r="A960">
        <v>957</v>
      </c>
      <c r="B960" s="12">
        <v>129.63075238923867</v>
      </c>
      <c r="C960" s="12">
        <v>143.02712440131461</v>
      </c>
      <c r="D960" s="12">
        <v>138.32974641017361</v>
      </c>
    </row>
    <row r="961" spans="1:4">
      <c r="A961">
        <v>958</v>
      </c>
      <c r="B961" s="12">
        <v>126.12229530888604</v>
      </c>
      <c r="C961" s="12">
        <v>129.09749886178955</v>
      </c>
      <c r="D961" s="12">
        <v>95.313987371844945</v>
      </c>
    </row>
    <row r="962" spans="1:4">
      <c r="A962">
        <v>959</v>
      </c>
      <c r="B962" s="12">
        <v>162.15184640037671</v>
      </c>
      <c r="C962" s="12">
        <v>158.5056831021237</v>
      </c>
      <c r="D962" s="12">
        <v>92.957739224003419</v>
      </c>
    </row>
    <row r="963" spans="1:4">
      <c r="A963">
        <v>960</v>
      </c>
      <c r="B963" s="12">
        <v>210.59329118544392</v>
      </c>
      <c r="C963" s="12">
        <v>133.35987854013607</v>
      </c>
      <c r="D963" s="12">
        <v>58.80639675624208</v>
      </c>
    </row>
    <row r="964" spans="1:4">
      <c r="A964">
        <v>961</v>
      </c>
      <c r="B964" s="12">
        <v>184.89969387610026</v>
      </c>
      <c r="C964" s="12">
        <v>147.28601680664244</v>
      </c>
      <c r="D964" s="12">
        <v>94.351132911975668</v>
      </c>
    </row>
    <row r="965" spans="1:4">
      <c r="A965">
        <v>962</v>
      </c>
      <c r="B965" s="12">
        <v>198.065031562787</v>
      </c>
      <c r="C965" s="12">
        <v>146.63105397937036</v>
      </c>
      <c r="D965" s="12">
        <v>96.450759317490991</v>
      </c>
    </row>
    <row r="966" spans="1:4">
      <c r="A966">
        <v>963</v>
      </c>
      <c r="B966" s="12">
        <v>184.39702417964219</v>
      </c>
      <c r="C966" s="12">
        <v>192.16448945594163</v>
      </c>
      <c r="D966" s="12">
        <v>87.880200759200662</v>
      </c>
    </row>
    <row r="967" spans="1:4">
      <c r="A967">
        <v>964</v>
      </c>
      <c r="B967" s="12">
        <v>169.26643668832526</v>
      </c>
      <c r="C967" s="12">
        <v>144.80355909755968</v>
      </c>
      <c r="D967" s="12">
        <v>66.744480975021403</v>
      </c>
    </row>
    <row r="968" spans="1:4">
      <c r="A968">
        <v>965</v>
      </c>
      <c r="B968" s="12">
        <v>170.7274668319659</v>
      </c>
      <c r="C968" s="12">
        <v>112.65808130513925</v>
      </c>
      <c r="D968" s="12">
        <v>208.49539313877312</v>
      </c>
    </row>
    <row r="969" spans="1:4">
      <c r="A969">
        <v>966</v>
      </c>
      <c r="B969" s="12">
        <v>165.5315869689733</v>
      </c>
      <c r="C969" s="12">
        <v>134.44439482579617</v>
      </c>
      <c r="D969" s="12">
        <v>101.0117983126059</v>
      </c>
    </row>
    <row r="970" spans="1:4">
      <c r="A970">
        <v>967</v>
      </c>
      <c r="B970" s="12">
        <v>138.46158158482572</v>
      </c>
      <c r="C970" s="12">
        <v>144.38646084388878</v>
      </c>
      <c r="D970" s="12">
        <v>128.16446821520933</v>
      </c>
    </row>
    <row r="971" spans="1:4">
      <c r="A971">
        <v>968</v>
      </c>
      <c r="B971" s="12">
        <v>146.3869441209375</v>
      </c>
      <c r="C971" s="12">
        <v>157.83618272501226</v>
      </c>
      <c r="D971" s="12">
        <v>95.049220212932255</v>
      </c>
    </row>
    <row r="972" spans="1:4">
      <c r="A972">
        <v>969</v>
      </c>
      <c r="B972" s="12">
        <v>193.03548417110923</v>
      </c>
      <c r="C972" s="12">
        <v>170.09851661732449</v>
      </c>
      <c r="D972" s="12">
        <v>76.357901323781093</v>
      </c>
    </row>
    <row r="973" spans="1:4">
      <c r="A973">
        <v>970</v>
      </c>
      <c r="B973" s="12">
        <v>169.6653690169091</v>
      </c>
      <c r="C973" s="12">
        <v>120.3357206528795</v>
      </c>
      <c r="D973" s="12">
        <v>141.35465428727437</v>
      </c>
    </row>
    <row r="974" spans="1:4">
      <c r="A974">
        <v>971</v>
      </c>
      <c r="B974" s="12">
        <v>200.59998938464645</v>
      </c>
      <c r="C974" s="12">
        <v>119.87323249282606</v>
      </c>
      <c r="D974" s="12">
        <v>91.828525654744823</v>
      </c>
    </row>
    <row r="975" spans="1:4">
      <c r="A975">
        <v>972</v>
      </c>
      <c r="B975" s="12">
        <v>178.15521177573734</v>
      </c>
      <c r="C975" s="12">
        <v>123.64336613337659</v>
      </c>
      <c r="D975" s="12">
        <v>130.18839850691936</v>
      </c>
    </row>
    <row r="976" spans="1:4">
      <c r="A976">
        <v>973</v>
      </c>
      <c r="B976" s="12">
        <v>100.58920300231249</v>
      </c>
      <c r="C976" s="12">
        <v>153.50061322305123</v>
      </c>
      <c r="D976" s="12">
        <v>91.564527055500747</v>
      </c>
    </row>
    <row r="977" spans="1:4">
      <c r="A977">
        <v>974</v>
      </c>
      <c r="B977" s="12">
        <v>230.55088111265948</v>
      </c>
      <c r="C977" s="12">
        <v>211.19334339923512</v>
      </c>
      <c r="D977" s="12">
        <v>107.10540738832874</v>
      </c>
    </row>
    <row r="978" spans="1:4">
      <c r="A978">
        <v>975</v>
      </c>
      <c r="B978" s="12">
        <v>272.28716787258224</v>
      </c>
      <c r="C978" s="12">
        <v>126.04413950535415</v>
      </c>
      <c r="D978" s="12">
        <v>83.219346019008569</v>
      </c>
    </row>
    <row r="979" spans="1:4">
      <c r="A979">
        <v>976</v>
      </c>
      <c r="B979" s="12">
        <v>110.4361780265169</v>
      </c>
      <c r="C979" s="12">
        <v>165.12997877843537</v>
      </c>
      <c r="D979" s="12">
        <v>129.05881028147175</v>
      </c>
    </row>
    <row r="980" spans="1:4">
      <c r="A980">
        <v>977</v>
      </c>
      <c r="B980" s="12">
        <v>203.03413179326225</v>
      </c>
      <c r="C980" s="12">
        <v>177.72297430139812</v>
      </c>
      <c r="D980" s="12">
        <v>141.92735977626816</v>
      </c>
    </row>
    <row r="981" spans="1:4">
      <c r="A981">
        <v>978</v>
      </c>
      <c r="B981" s="12">
        <v>148.34669498478434</v>
      </c>
      <c r="C981" s="12">
        <v>153.9023792587663</v>
      </c>
      <c r="D981" s="12">
        <v>108.41870036757413</v>
      </c>
    </row>
    <row r="982" spans="1:4">
      <c r="A982">
        <v>979</v>
      </c>
      <c r="B982" s="12">
        <v>134.01989875013783</v>
      </c>
      <c r="C982" s="12">
        <v>152.21082045090347</v>
      </c>
      <c r="D982" s="12">
        <v>95.748924633078929</v>
      </c>
    </row>
    <row r="983" spans="1:4">
      <c r="A983">
        <v>980</v>
      </c>
      <c r="B983" s="12">
        <v>188.52217961717398</v>
      </c>
      <c r="C983" s="12">
        <v>178.83281085069669</v>
      </c>
      <c r="D983" s="12">
        <v>135.62822051021692</v>
      </c>
    </row>
    <row r="984" spans="1:4">
      <c r="A984">
        <v>981</v>
      </c>
      <c r="B984" s="12">
        <v>183.89909881481768</v>
      </c>
      <c r="C984" s="12">
        <v>135.28745418157791</v>
      </c>
      <c r="D984" s="12">
        <v>98.844637881054666</v>
      </c>
    </row>
    <row r="985" spans="1:4">
      <c r="A985">
        <v>982</v>
      </c>
      <c r="B985" s="12">
        <v>147.60702331848412</v>
      </c>
      <c r="C985" s="12">
        <v>116.84834260706062</v>
      </c>
      <c r="D985" s="12">
        <v>113.96627966133332</v>
      </c>
    </row>
    <row r="986" spans="1:4">
      <c r="A986">
        <v>983</v>
      </c>
      <c r="B986" s="12">
        <v>186.58422967554833</v>
      </c>
      <c r="C986" s="12">
        <v>129.75494190880903</v>
      </c>
      <c r="D986" s="12">
        <v>113.04902302015653</v>
      </c>
    </row>
    <row r="987" spans="1:4">
      <c r="A987">
        <v>984</v>
      </c>
      <c r="B987" s="12">
        <v>190.90610769908778</v>
      </c>
      <c r="C987" s="12">
        <v>115.85547250749769</v>
      </c>
      <c r="D987" s="12">
        <v>162.80097972856962</v>
      </c>
    </row>
    <row r="988" spans="1:4">
      <c r="A988">
        <v>985</v>
      </c>
      <c r="B988" s="12">
        <v>175.12163519306995</v>
      </c>
      <c r="C988" s="12">
        <v>188.43137016427889</v>
      </c>
      <c r="D988" s="12">
        <v>92.09240415830989</v>
      </c>
    </row>
    <row r="989" spans="1:4">
      <c r="A989">
        <v>986</v>
      </c>
      <c r="B989" s="12">
        <v>151.48872949093317</v>
      </c>
      <c r="C989" s="12">
        <v>190.92996024222035</v>
      </c>
      <c r="D989" s="12">
        <v>67.292443047823511</v>
      </c>
    </row>
    <row r="990" spans="1:4">
      <c r="A990">
        <v>987</v>
      </c>
      <c r="B990" s="12">
        <v>145.02162145286653</v>
      </c>
      <c r="C990" s="12">
        <v>182.98288397587885</v>
      </c>
      <c r="D990" s="12">
        <v>81.978209123802813</v>
      </c>
    </row>
    <row r="991" spans="1:4">
      <c r="A991">
        <v>988</v>
      </c>
      <c r="B991" s="12">
        <v>201.79785003190608</v>
      </c>
      <c r="C991" s="12">
        <v>142.59898948761975</v>
      </c>
      <c r="D991" s="12">
        <v>110.08693976015307</v>
      </c>
    </row>
    <row r="992" spans="1:4">
      <c r="A992">
        <v>989</v>
      </c>
      <c r="B992" s="12">
        <v>126.46213353036302</v>
      </c>
      <c r="C992" s="12">
        <v>164.38490686748739</v>
      </c>
      <c r="D992" s="12">
        <v>133.83055887694232</v>
      </c>
    </row>
    <row r="993" spans="1:4">
      <c r="A993">
        <v>990</v>
      </c>
      <c r="B993" s="12">
        <v>187.98216162776262</v>
      </c>
      <c r="C993" s="12">
        <v>126.34950317693047</v>
      </c>
      <c r="D993" s="12">
        <v>122.23877468200111</v>
      </c>
    </row>
    <row r="994" spans="1:4">
      <c r="A994">
        <v>991</v>
      </c>
      <c r="B994" s="12">
        <v>134.88823581214086</v>
      </c>
      <c r="C994" s="12">
        <v>189.08827352563748</v>
      </c>
      <c r="D994" s="12">
        <v>71.082827056838951</v>
      </c>
    </row>
    <row r="995" spans="1:4">
      <c r="A995">
        <v>992</v>
      </c>
      <c r="B995" s="12">
        <v>135.59003952604439</v>
      </c>
      <c r="C995" s="12">
        <v>131.14442720325141</v>
      </c>
      <c r="D995" s="12">
        <v>91.131085742358195</v>
      </c>
    </row>
    <row r="996" spans="1:4">
      <c r="A996">
        <v>993</v>
      </c>
      <c r="B996" s="12">
        <v>181.81773862965335</v>
      </c>
      <c r="C996" s="12">
        <v>212.75970369732039</v>
      </c>
      <c r="D996" s="12">
        <v>73.240433012975785</v>
      </c>
    </row>
    <row r="997" spans="1:4">
      <c r="A997">
        <v>994</v>
      </c>
      <c r="B997" s="12">
        <v>128.33216148314114</v>
      </c>
      <c r="C997" s="12">
        <v>145.05673973660768</v>
      </c>
      <c r="D997" s="12">
        <v>124.19044246897242</v>
      </c>
    </row>
    <row r="998" spans="1:4">
      <c r="A998">
        <v>995</v>
      </c>
      <c r="B998" s="12">
        <v>181.34258597204234</v>
      </c>
      <c r="C998" s="12">
        <v>139.93462794781601</v>
      </c>
      <c r="D998" s="12">
        <v>86.174471652065648</v>
      </c>
    </row>
    <row r="999" spans="1:4">
      <c r="A999">
        <v>996</v>
      </c>
      <c r="B999" s="12">
        <v>222.42190741311126</v>
      </c>
      <c r="C999" s="12">
        <v>117.75968397758419</v>
      </c>
      <c r="D999" s="12">
        <v>93.9180058941634</v>
      </c>
    </row>
    <row r="1000" spans="1:4">
      <c r="A1000">
        <v>997</v>
      </c>
      <c r="B1000" s="12">
        <v>168.22119677902165</v>
      </c>
      <c r="C1000" s="12">
        <v>146.79025974676873</v>
      </c>
      <c r="D1000" s="12">
        <v>166.93353584420896</v>
      </c>
    </row>
    <row r="1001" spans="1:4">
      <c r="A1001">
        <v>998</v>
      </c>
      <c r="B1001" s="12">
        <v>211.5499090552907</v>
      </c>
      <c r="C1001" s="12">
        <v>188.02108146428458</v>
      </c>
      <c r="D1001" s="12">
        <v>133.41222878865545</v>
      </c>
    </row>
    <row r="1002" spans="1:4">
      <c r="A1002">
        <v>999</v>
      </c>
      <c r="B1002" s="12">
        <v>237.82122517954343</v>
      </c>
      <c r="C1002" s="12">
        <v>165.88715444847702</v>
      </c>
      <c r="D1002" s="12">
        <v>124.97169013118925</v>
      </c>
    </row>
    <row r="1003" spans="1:4">
      <c r="A1003">
        <v>1000</v>
      </c>
      <c r="B1003" s="12">
        <v>228.83431824168002</v>
      </c>
      <c r="C1003" s="12">
        <v>139.75740285045066</v>
      </c>
      <c r="D1003" s="12">
        <v>121.79949223894062</v>
      </c>
    </row>
    <row r="1004" spans="1:4">
      <c r="A1004">
        <v>1001</v>
      </c>
      <c r="B1004" s="12">
        <v>189.42148969247907</v>
      </c>
      <c r="C1004" s="12">
        <v>122.08734750255861</v>
      </c>
      <c r="D1004" s="12">
        <v>135.18074891400354</v>
      </c>
    </row>
    <row r="1005" spans="1:4">
      <c r="A1005">
        <v>1002</v>
      </c>
      <c r="B1005" s="12">
        <v>223.80428050166617</v>
      </c>
      <c r="C1005" s="12">
        <v>173.44798594786278</v>
      </c>
      <c r="D1005" s="12">
        <v>82.747259575391709</v>
      </c>
    </row>
    <row r="1006" spans="1:4">
      <c r="A1006">
        <v>1003</v>
      </c>
      <c r="B1006" s="12">
        <v>196.32088506532344</v>
      </c>
      <c r="C1006" s="12">
        <v>148.58688843280814</v>
      </c>
      <c r="D1006" s="12">
        <v>90.167088895882415</v>
      </c>
    </row>
    <row r="1007" spans="1:4">
      <c r="A1007">
        <v>1004</v>
      </c>
      <c r="B1007" s="12">
        <v>87.529218775732161</v>
      </c>
      <c r="C1007" s="12">
        <v>175.3854838322699</v>
      </c>
      <c r="D1007" s="12">
        <v>77.909369991800432</v>
      </c>
    </row>
    <row r="1008" spans="1:4">
      <c r="A1008">
        <v>1005</v>
      </c>
      <c r="B1008" s="12">
        <v>282.65843255063265</v>
      </c>
      <c r="C1008" s="12">
        <v>178.55932144225704</v>
      </c>
      <c r="D1008" s="12">
        <v>68.652430757029279</v>
      </c>
    </row>
    <row r="1009" spans="1:4">
      <c r="A1009">
        <v>1006</v>
      </c>
      <c r="B1009" s="12">
        <v>141.99555145680529</v>
      </c>
      <c r="C1009" s="12">
        <v>200.78261056871358</v>
      </c>
      <c r="D1009" s="12">
        <v>153.21610041173318</v>
      </c>
    </row>
    <row r="1010" spans="1:4">
      <c r="A1010">
        <v>1007</v>
      </c>
      <c r="B1010" s="12">
        <v>182.29692809512255</v>
      </c>
      <c r="C1010" s="12">
        <v>168.43831325102585</v>
      </c>
      <c r="D1010" s="12">
        <v>81.387419345191603</v>
      </c>
    </row>
    <row r="1011" spans="1:4">
      <c r="A1011">
        <v>1008</v>
      </c>
      <c r="B1011" s="12">
        <v>151.85392586984844</v>
      </c>
      <c r="C1011" s="12">
        <v>163.37580970991695</v>
      </c>
      <c r="D1011" s="12">
        <v>77.250419386076373</v>
      </c>
    </row>
    <row r="1012" spans="1:4">
      <c r="A1012">
        <v>1009</v>
      </c>
      <c r="B1012" s="12">
        <v>166.54970167497018</v>
      </c>
      <c r="C1012" s="12">
        <v>131.74319864784474</v>
      </c>
      <c r="D1012" s="12">
        <v>107.91156593509174</v>
      </c>
    </row>
    <row r="1013" spans="1:4">
      <c r="A1013">
        <v>1010</v>
      </c>
      <c r="B1013" s="12">
        <v>239.31591833125034</v>
      </c>
      <c r="C1013" s="12">
        <v>135.08519000898099</v>
      </c>
      <c r="D1013" s="12">
        <v>160.62925227205264</v>
      </c>
    </row>
    <row r="1014" spans="1:4">
      <c r="A1014">
        <v>1011</v>
      </c>
      <c r="B1014" s="12">
        <v>220.27836032436156</v>
      </c>
      <c r="C1014" s="12">
        <v>176.40399020262538</v>
      </c>
      <c r="D1014" s="12">
        <v>75.207996638624891</v>
      </c>
    </row>
    <row r="1015" spans="1:4">
      <c r="A1015">
        <v>1012</v>
      </c>
      <c r="B1015" s="12">
        <v>119.20806280557591</v>
      </c>
      <c r="C1015" s="12">
        <v>156.76072175779422</v>
      </c>
      <c r="D1015" s="12">
        <v>80.595214623211447</v>
      </c>
    </row>
    <row r="1016" spans="1:4">
      <c r="A1016">
        <v>1013</v>
      </c>
      <c r="B1016" s="12">
        <v>154.74242834692049</v>
      </c>
      <c r="C1016" s="12">
        <v>157.17149408978739</v>
      </c>
      <c r="D1016" s="12">
        <v>97.155237069683707</v>
      </c>
    </row>
    <row r="1017" spans="1:4">
      <c r="A1017">
        <v>1014</v>
      </c>
      <c r="B1017" s="12">
        <v>180.57151095809644</v>
      </c>
      <c r="C1017" s="12">
        <v>107.72434536702781</v>
      </c>
      <c r="D1017" s="12">
        <v>59.853556896717883</v>
      </c>
    </row>
    <row r="1018" spans="1:4">
      <c r="A1018">
        <v>1015</v>
      </c>
      <c r="B1018" s="12">
        <v>156.67026178100852</v>
      </c>
      <c r="C1018" s="12">
        <v>153.25601792463871</v>
      </c>
      <c r="D1018" s="12">
        <v>110.9433989271642</v>
      </c>
    </row>
    <row r="1019" spans="1:4">
      <c r="A1019">
        <v>1016</v>
      </c>
      <c r="B1019" s="12">
        <v>121.97242002324933</v>
      </c>
      <c r="C1019" s="12">
        <v>171.62351022858394</v>
      </c>
      <c r="D1019" s="12">
        <v>87.166731464281156</v>
      </c>
    </row>
    <row r="1020" spans="1:4">
      <c r="A1020">
        <v>1017</v>
      </c>
      <c r="B1020" s="12">
        <v>172.47848737775828</v>
      </c>
      <c r="C1020" s="12">
        <v>138.45042809495266</v>
      </c>
      <c r="D1020" s="12">
        <v>90.432238347753881</v>
      </c>
    </row>
    <row r="1021" spans="1:4">
      <c r="A1021">
        <v>1018</v>
      </c>
      <c r="B1021" s="12">
        <v>185.735020436447</v>
      </c>
      <c r="C1021" s="12">
        <v>186.78832825354954</v>
      </c>
      <c r="D1021" s="12">
        <v>113.26967032048476</v>
      </c>
    </row>
    <row r="1022" spans="1:4">
      <c r="A1022">
        <v>1019</v>
      </c>
      <c r="B1022" s="12">
        <v>142.62952777248731</v>
      </c>
      <c r="C1022" s="12">
        <v>135.60050203033319</v>
      </c>
      <c r="D1022" s="12">
        <v>80.095347201775013</v>
      </c>
    </row>
    <row r="1023" spans="1:4">
      <c r="A1023">
        <v>1020</v>
      </c>
      <c r="B1023" s="12">
        <v>130.88772724100403</v>
      </c>
      <c r="C1023" s="12">
        <v>140.92888621524082</v>
      </c>
      <c r="D1023" s="12">
        <v>176.04257608826018</v>
      </c>
    </row>
    <row r="1024" spans="1:4">
      <c r="A1024">
        <v>1021</v>
      </c>
      <c r="B1024" s="12">
        <v>204.59799557593686</v>
      </c>
      <c r="C1024" s="12">
        <v>219.05408984146356</v>
      </c>
      <c r="D1024" s="12">
        <v>104.75372289673784</v>
      </c>
    </row>
    <row r="1025" spans="1:4">
      <c r="A1025">
        <v>1022</v>
      </c>
      <c r="B1025" s="12">
        <v>118.5156870064796</v>
      </c>
      <c r="C1025" s="12">
        <v>177.46048885346045</v>
      </c>
      <c r="D1025" s="12">
        <v>72.189546423334335</v>
      </c>
    </row>
    <row r="1026" spans="1:4">
      <c r="A1026">
        <v>1023</v>
      </c>
      <c r="B1026" s="12">
        <v>132.10815242456189</v>
      </c>
      <c r="C1026" s="12">
        <v>138.73569100774358</v>
      </c>
      <c r="D1026" s="12">
        <v>68.150962724370771</v>
      </c>
    </row>
    <row r="1027" spans="1:4">
      <c r="A1027">
        <v>1024</v>
      </c>
      <c r="B1027" s="12">
        <v>167.57743925554655</v>
      </c>
      <c r="C1027" s="12">
        <v>128.68592635215165</v>
      </c>
      <c r="D1027" s="12">
        <v>115.86610088556883</v>
      </c>
    </row>
    <row r="1028" spans="1:4">
      <c r="A1028">
        <v>1025</v>
      </c>
      <c r="B1028" s="12">
        <v>153.18188836372246</v>
      </c>
      <c r="C1028" s="12">
        <v>144.13109083433304</v>
      </c>
      <c r="D1028" s="12">
        <v>70.64687065695</v>
      </c>
    </row>
    <row r="1029" spans="1:4">
      <c r="A1029">
        <v>1026</v>
      </c>
      <c r="B1029" s="12">
        <v>161.53884442773148</v>
      </c>
      <c r="C1029" s="12">
        <v>143.45233502663197</v>
      </c>
      <c r="D1029" s="12">
        <v>73.869169023416092</v>
      </c>
    </row>
    <row r="1030" spans="1:4">
      <c r="A1030">
        <v>1027</v>
      </c>
      <c r="B1030" s="12">
        <v>152.81729450841996</v>
      </c>
      <c r="C1030" s="12">
        <v>161.24302222246251</v>
      </c>
      <c r="D1030" s="12">
        <v>84.433123419807387</v>
      </c>
    </row>
    <row r="1031" spans="1:4">
      <c r="A1031">
        <v>1028</v>
      </c>
      <c r="B1031" s="12">
        <v>139.92308391177556</v>
      </c>
      <c r="C1031" s="12">
        <v>109.93985416730027</v>
      </c>
      <c r="D1031" s="12">
        <v>119.98212374802299</v>
      </c>
    </row>
    <row r="1032" spans="1:4">
      <c r="A1032">
        <v>1029</v>
      </c>
      <c r="B1032" s="12">
        <v>141.35717077623011</v>
      </c>
      <c r="C1032" s="12">
        <v>168.74709586725854</v>
      </c>
      <c r="D1032" s="12">
        <v>154.17810032777004</v>
      </c>
    </row>
    <row r="1033" spans="1:4">
      <c r="A1033">
        <v>1030</v>
      </c>
      <c r="B1033" s="12">
        <v>136.01350164369831</v>
      </c>
      <c r="C1033" s="12">
        <v>184.3608318337551</v>
      </c>
      <c r="D1033" s="12">
        <v>79.589050163158774</v>
      </c>
    </row>
    <row r="1034" spans="1:4">
      <c r="A1034">
        <v>1031</v>
      </c>
      <c r="B1034" s="12">
        <v>226.21539949862955</v>
      </c>
      <c r="C1034" s="12">
        <v>105.88464996443204</v>
      </c>
      <c r="D1034" s="12">
        <v>100.28409119417422</v>
      </c>
    </row>
    <row r="1035" spans="1:4">
      <c r="A1035">
        <v>1032</v>
      </c>
      <c r="B1035" s="12">
        <v>141.60696863126856</v>
      </c>
      <c r="C1035" s="12">
        <v>137.97775997059796</v>
      </c>
      <c r="D1035" s="12">
        <v>71.777538258860147</v>
      </c>
    </row>
    <row r="1036" spans="1:4">
      <c r="A1036">
        <v>1033</v>
      </c>
      <c r="B1036" s="12">
        <v>158.60647154820302</v>
      </c>
      <c r="C1036" s="12">
        <v>149.39057539773091</v>
      </c>
      <c r="D1036" s="12">
        <v>131.1500718714247</v>
      </c>
    </row>
    <row r="1037" spans="1:4">
      <c r="A1037">
        <v>1034</v>
      </c>
      <c r="B1037" s="12">
        <v>140.31955549107721</v>
      </c>
      <c r="C1037" s="12">
        <v>171.28913411018146</v>
      </c>
      <c r="D1037" s="12">
        <v>132.14632793311472</v>
      </c>
    </row>
    <row r="1038" spans="1:4">
      <c r="A1038">
        <v>1035</v>
      </c>
      <c r="B1038" s="12">
        <v>192.4404274533016</v>
      </c>
      <c r="C1038" s="12">
        <v>257.37119442920886</v>
      </c>
      <c r="D1038" s="12">
        <v>65.798430886897947</v>
      </c>
    </row>
    <row r="1039" spans="1:4">
      <c r="A1039">
        <v>1036</v>
      </c>
      <c r="B1039" s="12">
        <v>147.97720537267801</v>
      </c>
      <c r="C1039" s="12">
        <v>173.09447861692226</v>
      </c>
      <c r="D1039" s="12">
        <v>123.72368007276302</v>
      </c>
    </row>
    <row r="1040" spans="1:4">
      <c r="A1040">
        <v>1037</v>
      </c>
      <c r="B1040" s="12">
        <v>246.49858168084305</v>
      </c>
      <c r="C1040" s="12">
        <v>132.45305344757361</v>
      </c>
      <c r="D1040" s="12">
        <v>65.188738416467785</v>
      </c>
    </row>
    <row r="1041" spans="1:4">
      <c r="A1041">
        <v>1038</v>
      </c>
      <c r="B1041" s="12">
        <v>173.9988899804319</v>
      </c>
      <c r="C1041" s="12">
        <v>194.32980082446969</v>
      </c>
      <c r="D1041" s="12">
        <v>85.723567456549077</v>
      </c>
    </row>
    <row r="1042" spans="1:4">
      <c r="A1042">
        <v>1039</v>
      </c>
      <c r="B1042" s="12">
        <v>179.3513159166487</v>
      </c>
      <c r="C1042" s="12">
        <v>118.30761524200408</v>
      </c>
      <c r="D1042" s="12">
        <v>149.63557103179298</v>
      </c>
    </row>
    <row r="1043" spans="1:4">
      <c r="A1043">
        <v>1040</v>
      </c>
      <c r="B1043" s="12">
        <v>186.2509609442354</v>
      </c>
      <c r="C1043" s="12">
        <v>145.30916053838686</v>
      </c>
      <c r="D1043" s="12">
        <v>100.73552451081505</v>
      </c>
    </row>
    <row r="1044" spans="1:4">
      <c r="A1044">
        <v>1041</v>
      </c>
      <c r="B1044" s="12">
        <v>164.14211993562046</v>
      </c>
      <c r="C1044" s="12">
        <v>154.55059401252217</v>
      </c>
      <c r="D1044" s="12">
        <v>106.01293132624708</v>
      </c>
    </row>
    <row r="1045" spans="1:4">
      <c r="A1045">
        <v>1042</v>
      </c>
      <c r="B1045" s="12">
        <v>143.64149636739472</v>
      </c>
      <c r="C1045" s="12">
        <v>133.02027664088703</v>
      </c>
      <c r="D1045" s="12">
        <v>86.895234104470802</v>
      </c>
    </row>
    <row r="1046" spans="1:4">
      <c r="A1046">
        <v>1043</v>
      </c>
      <c r="B1046" s="12">
        <v>213.17938050263723</v>
      </c>
      <c r="C1046" s="12">
        <v>130.52929941595153</v>
      </c>
      <c r="D1046" s="12">
        <v>72.848414147340321</v>
      </c>
    </row>
    <row r="1047" spans="1:4">
      <c r="A1047">
        <v>1044</v>
      </c>
      <c r="B1047" s="12">
        <v>155.7056505490963</v>
      </c>
      <c r="C1047" s="12">
        <v>155.20113243931172</v>
      </c>
      <c r="D1047" s="12">
        <v>103.70229736136517</v>
      </c>
    </row>
    <row r="1048" spans="1:4">
      <c r="A1048">
        <v>1045</v>
      </c>
      <c r="B1048" s="12">
        <v>152.45258902325898</v>
      </c>
      <c r="C1048" s="12">
        <v>185.82670117799844</v>
      </c>
      <c r="D1048" s="12">
        <v>77.036371251189891</v>
      </c>
    </row>
    <row r="1049" spans="1:4">
      <c r="A1049">
        <v>1046</v>
      </c>
      <c r="B1049" s="12">
        <v>103.60937718450197</v>
      </c>
      <c r="C1049" s="12">
        <v>169.89312083045402</v>
      </c>
      <c r="D1049" s="12">
        <v>91.395347737128375</v>
      </c>
    </row>
    <row r="1050" spans="1:4">
      <c r="A1050">
        <v>1047</v>
      </c>
      <c r="B1050" s="12">
        <v>154.37786188577547</v>
      </c>
      <c r="C1050" s="12">
        <v>178.13789686222481</v>
      </c>
      <c r="D1050" s="12">
        <v>90.697101558506887</v>
      </c>
    </row>
    <row r="1051" spans="1:4">
      <c r="A1051">
        <v>1048</v>
      </c>
      <c r="B1051" s="12">
        <v>157.27057516590858</v>
      </c>
      <c r="C1051" s="12">
        <v>169.57477154932363</v>
      </c>
      <c r="D1051" s="12">
        <v>144.44235544261591</v>
      </c>
    </row>
    <row r="1052" spans="1:4">
      <c r="A1052">
        <v>1049</v>
      </c>
      <c r="B1052" s="12">
        <v>145.3980098002948</v>
      </c>
      <c r="C1052" s="12">
        <v>159.86131464568504</v>
      </c>
      <c r="D1052" s="12">
        <v>88.760713262289727</v>
      </c>
    </row>
    <row r="1053" spans="1:4">
      <c r="A1053">
        <v>1050</v>
      </c>
      <c r="B1053" s="12">
        <v>115.28766083108768</v>
      </c>
      <c r="C1053" s="12">
        <v>160.81071261938988</v>
      </c>
      <c r="D1053" s="12">
        <v>57.627043596713015</v>
      </c>
    </row>
    <row r="1054" spans="1:4">
      <c r="A1054">
        <v>1051</v>
      </c>
      <c r="B1054" s="12">
        <v>301.32671414097894</v>
      </c>
      <c r="C1054" s="12">
        <v>157.42268608682048</v>
      </c>
      <c r="D1054" s="12">
        <v>78.117563470264486</v>
      </c>
    </row>
    <row r="1055" spans="1:4">
      <c r="A1055">
        <v>1052</v>
      </c>
      <c r="B1055" s="12">
        <v>163.52086441592226</v>
      </c>
      <c r="C1055" s="12">
        <v>139.19925517773532</v>
      </c>
      <c r="D1055" s="12">
        <v>88.321217262970464</v>
      </c>
    </row>
    <row r="1056" spans="1:4">
      <c r="A1056">
        <v>1053</v>
      </c>
      <c r="B1056" s="12">
        <v>199.88743303358041</v>
      </c>
      <c r="C1056" s="12">
        <v>144.64096979333618</v>
      </c>
      <c r="D1056" s="12">
        <v>102.94970691191457</v>
      </c>
    </row>
    <row r="1057" spans="1:4">
      <c r="A1057">
        <v>1054</v>
      </c>
      <c r="B1057" s="12">
        <v>155.34074339130217</v>
      </c>
      <c r="C1057" s="12">
        <v>175.00889278992577</v>
      </c>
      <c r="D1057" s="12">
        <v>117.09549199923416</v>
      </c>
    </row>
    <row r="1058" spans="1:4">
      <c r="A1058">
        <v>1055</v>
      </c>
      <c r="B1058" s="12">
        <v>129.14416188555649</v>
      </c>
      <c r="C1058" s="12">
        <v>160.12079858733983</v>
      </c>
      <c r="D1058" s="12">
        <v>64.549989375191601</v>
      </c>
    </row>
    <row r="1059" spans="1:4">
      <c r="A1059">
        <v>1056</v>
      </c>
      <c r="B1059" s="12">
        <v>217.10474643855923</v>
      </c>
      <c r="C1059" s="12">
        <v>179.70557372912972</v>
      </c>
      <c r="D1059" s="12">
        <v>64.123678652951241</v>
      </c>
    </row>
    <row r="1060" spans="1:4">
      <c r="A1060">
        <v>1057</v>
      </c>
      <c r="B1060" s="12">
        <v>150.8890238729619</v>
      </c>
      <c r="C1060" s="12">
        <v>165.59891817540739</v>
      </c>
      <c r="D1060" s="12">
        <v>67.633297463904356</v>
      </c>
    </row>
    <row r="1061" spans="1:4">
      <c r="A1061">
        <v>1058</v>
      </c>
      <c r="B1061" s="12">
        <v>202.54666134404644</v>
      </c>
      <c r="C1061" s="12">
        <v>111.69240602035643</v>
      </c>
      <c r="D1061" s="12">
        <v>98.131793779687399</v>
      </c>
    </row>
    <row r="1062" spans="1:4">
      <c r="A1062">
        <v>1059</v>
      </c>
      <c r="B1062" s="12">
        <v>150.52304543651823</v>
      </c>
      <c r="C1062" s="12">
        <v>197.78794242367917</v>
      </c>
      <c r="D1062" s="12">
        <v>169.92562605275202</v>
      </c>
    </row>
    <row r="1063" spans="1:4">
      <c r="A1063">
        <v>1060</v>
      </c>
      <c r="B1063" s="12">
        <v>171.80301128175233</v>
      </c>
      <c r="C1063" s="12">
        <v>221.81185878567734</v>
      </c>
      <c r="D1063" s="12">
        <v>69.908867269774447</v>
      </c>
    </row>
    <row r="1064" spans="1:4">
      <c r="A1064">
        <v>1061</v>
      </c>
      <c r="B1064" s="12">
        <v>138.86601778906098</v>
      </c>
      <c r="C1064" s="12">
        <v>119.11545305192936</v>
      </c>
      <c r="D1064" s="12">
        <v>111.27196978856924</v>
      </c>
    </row>
    <row r="1065" spans="1:4">
      <c r="A1065">
        <v>1062</v>
      </c>
      <c r="B1065" s="12">
        <v>201.06330745578819</v>
      </c>
      <c r="C1065" s="12">
        <v>181.20511489565007</v>
      </c>
      <c r="D1065" s="12">
        <v>126.27260306118056</v>
      </c>
    </row>
    <row r="1066" spans="1:4">
      <c r="A1066">
        <v>1063</v>
      </c>
      <c r="B1066" s="12">
        <v>217.84644779253358</v>
      </c>
      <c r="C1066" s="12">
        <v>145.97230599810581</v>
      </c>
      <c r="D1066" s="12">
        <v>98.574186943099463</v>
      </c>
    </row>
    <row r="1067" spans="1:4">
      <c r="A1067">
        <v>1064</v>
      </c>
      <c r="B1067" s="12">
        <v>173.57818983606788</v>
      </c>
      <c r="C1067" s="12">
        <v>136.10721623259028</v>
      </c>
      <c r="D1067" s="12">
        <v>96.717213499018257</v>
      </c>
    </row>
    <row r="1068" spans="1:4">
      <c r="A1068">
        <v>1065</v>
      </c>
      <c r="B1068" s="12">
        <v>156.30474532592967</v>
      </c>
      <c r="C1068" s="12">
        <v>172.17940418022218</v>
      </c>
      <c r="D1068" s="12">
        <v>127.63256427662243</v>
      </c>
    </row>
    <row r="1069" spans="1:4">
      <c r="A1069">
        <v>1066</v>
      </c>
      <c r="B1069" s="12">
        <v>209.66229378830386</v>
      </c>
      <c r="C1069" s="12">
        <v>169.2591607099661</v>
      </c>
      <c r="D1069" s="12">
        <v>78.962395023307835</v>
      </c>
    </row>
    <row r="1070" spans="1:4">
      <c r="A1070">
        <v>1067</v>
      </c>
      <c r="B1070" s="12">
        <v>160.55669633609202</v>
      </c>
      <c r="C1070" s="12">
        <v>145.47046433245566</v>
      </c>
      <c r="D1070" s="12">
        <v>61.36465810168071</v>
      </c>
    </row>
    <row r="1071" spans="1:4">
      <c r="A1071">
        <v>1068</v>
      </c>
      <c r="B1071" s="12">
        <v>181.04029673140639</v>
      </c>
      <c r="C1071" s="12">
        <v>170.95800972006873</v>
      </c>
      <c r="D1071" s="12">
        <v>73.487976037070311</v>
      </c>
    </row>
    <row r="1072" spans="1:4">
      <c r="A1072">
        <v>1069</v>
      </c>
      <c r="B1072" s="12">
        <v>179.81048087418415</v>
      </c>
      <c r="C1072" s="12">
        <v>173.67653398027949</v>
      </c>
      <c r="D1072" s="12">
        <v>60.470156003150919</v>
      </c>
    </row>
    <row r="1073" spans="1:4">
      <c r="A1073">
        <v>1070</v>
      </c>
      <c r="B1073" s="12">
        <v>244.57628861081724</v>
      </c>
      <c r="C1073" s="12">
        <v>163.65100832357192</v>
      </c>
      <c r="D1073" s="12">
        <v>139.64764221202151</v>
      </c>
    </row>
    <row r="1074" spans="1:4">
      <c r="A1074">
        <v>1071</v>
      </c>
      <c r="B1074" s="12">
        <v>151.25467129041277</v>
      </c>
      <c r="C1074" s="12">
        <v>148.095460283747</v>
      </c>
      <c r="D1074" s="12">
        <v>142.84926029950577</v>
      </c>
    </row>
    <row r="1075" spans="1:4">
      <c r="A1075">
        <v>1072</v>
      </c>
      <c r="B1075" s="12">
        <v>116.08550073837313</v>
      </c>
      <c r="C1075" s="12">
        <v>143.71017464988179</v>
      </c>
      <c r="D1075" s="12">
        <v>132.77188349936444</v>
      </c>
    </row>
    <row r="1076" spans="1:4">
      <c r="A1076">
        <v>1073</v>
      </c>
      <c r="B1076" s="12">
        <v>137.11706967107526</v>
      </c>
      <c r="C1076" s="12">
        <v>180.44421278089655</v>
      </c>
      <c r="D1076" s="12">
        <v>86.448122957110343</v>
      </c>
    </row>
    <row r="1077" spans="1:4">
      <c r="A1077">
        <v>1074</v>
      </c>
      <c r="B1077" s="12">
        <v>175.82830714710857</v>
      </c>
      <c r="C1077" s="12">
        <v>130.77151625013744</v>
      </c>
      <c r="D1077" s="12">
        <v>110.40943392402797</v>
      </c>
    </row>
    <row r="1078" spans="1:4">
      <c r="A1078">
        <v>1075</v>
      </c>
      <c r="B1078" s="12">
        <v>207.31586806833045</v>
      </c>
      <c r="C1078" s="12">
        <v>171.8394515427031</v>
      </c>
      <c r="D1078" s="12">
        <v>70.200564369650479</v>
      </c>
    </row>
    <row r="1079" spans="1:4">
      <c r="A1079">
        <v>1076</v>
      </c>
      <c r="B1079" s="12">
        <v>192.0634074379636</v>
      </c>
      <c r="C1079" s="12">
        <v>136.71417807189155</v>
      </c>
      <c r="D1079" s="12">
        <v>140.48643213893254</v>
      </c>
    </row>
    <row r="1080" spans="1:4">
      <c r="A1080">
        <v>1077</v>
      </c>
      <c r="B1080" s="12">
        <v>121.57702380876054</v>
      </c>
      <c r="C1080" s="12">
        <v>137.20384657389587</v>
      </c>
      <c r="D1080" s="12">
        <v>74.847364895428655</v>
      </c>
    </row>
    <row r="1081" spans="1:4">
      <c r="A1081">
        <v>1078</v>
      </c>
      <c r="B1081" s="12">
        <v>149.92181186292214</v>
      </c>
      <c r="C1081" s="12">
        <v>167.93699728199468</v>
      </c>
      <c r="D1081" s="12">
        <v>172.10010399872144</v>
      </c>
    </row>
    <row r="1082" spans="1:4">
      <c r="A1082">
        <v>1079</v>
      </c>
      <c r="B1082" s="12">
        <v>124.68239860500339</v>
      </c>
      <c r="C1082" s="12">
        <v>132.10076131114118</v>
      </c>
      <c r="D1082" s="12">
        <v>89.027934988950022</v>
      </c>
    </row>
    <row r="1083" spans="1:4">
      <c r="A1083">
        <v>1080</v>
      </c>
      <c r="B1083" s="12">
        <v>194.64672560514282</v>
      </c>
      <c r="C1083" s="12">
        <v>167.6345026037867</v>
      </c>
      <c r="D1083" s="12">
        <v>83.687424072232119</v>
      </c>
    </row>
    <row r="1084" spans="1:4">
      <c r="A1084">
        <v>1081</v>
      </c>
      <c r="B1084" s="12">
        <v>143.01394708054983</v>
      </c>
      <c r="C1084" s="12">
        <v>192.95647941968252</v>
      </c>
      <c r="D1084" s="12">
        <v>62.190546141047612</v>
      </c>
    </row>
    <row r="1085" spans="1:4">
      <c r="A1085">
        <v>1082</v>
      </c>
      <c r="B1085" s="12">
        <v>153.77988351214518</v>
      </c>
      <c r="C1085" s="12">
        <v>159.18053857647303</v>
      </c>
      <c r="D1085" s="12">
        <v>90.866622101620194</v>
      </c>
    </row>
    <row r="1086" spans="1:4">
      <c r="A1086">
        <v>1083</v>
      </c>
      <c r="B1086" s="12">
        <v>249.80261915802492</v>
      </c>
      <c r="C1086" s="12">
        <v>186.40785827515998</v>
      </c>
      <c r="D1086" s="12">
        <v>139.12481864456876</v>
      </c>
    </row>
    <row r="1087" spans="1:4">
      <c r="A1087">
        <v>1084</v>
      </c>
      <c r="B1087" s="12">
        <v>206.76913072503723</v>
      </c>
      <c r="C1087" s="12">
        <v>202.06435536279648</v>
      </c>
      <c r="D1087" s="12">
        <v>112.1513961518078</v>
      </c>
    </row>
    <row r="1088" spans="1:4">
      <c r="A1088">
        <v>1085</v>
      </c>
      <c r="B1088" s="12">
        <v>195.67903611145002</v>
      </c>
      <c r="C1088" s="12">
        <v>196.7721739424619</v>
      </c>
      <c r="D1088" s="12">
        <v>83.505123458413422</v>
      </c>
    </row>
    <row r="1089" spans="1:4">
      <c r="A1089">
        <v>1086</v>
      </c>
      <c r="B1089" s="12">
        <v>191.48106584810094</v>
      </c>
      <c r="C1089" s="12">
        <v>172.74486737480271</v>
      </c>
      <c r="D1089" s="12">
        <v>66.175308581701572</v>
      </c>
    </row>
    <row r="1090" spans="1:4">
      <c r="A1090">
        <v>1087</v>
      </c>
      <c r="B1090" s="12">
        <v>209.07868203039348</v>
      </c>
      <c r="C1090" s="12">
        <v>193.78192037687714</v>
      </c>
      <c r="D1090" s="12">
        <v>121.09132573148946</v>
      </c>
    </row>
    <row r="1091" spans="1:4">
      <c r="A1091">
        <v>1088</v>
      </c>
      <c r="B1091" s="12">
        <v>138.20126154514307</v>
      </c>
      <c r="C1091" s="12">
        <v>177.05565110985785</v>
      </c>
      <c r="D1091" s="12">
        <v>92.788832683032879</v>
      </c>
    </row>
    <row r="1092" spans="1:4">
      <c r="A1092">
        <v>1089</v>
      </c>
      <c r="B1092" s="12">
        <v>148.5830270788563</v>
      </c>
      <c r="C1092" s="12">
        <v>101.48719815742707</v>
      </c>
      <c r="D1092" s="12">
        <v>123.42830174584576</v>
      </c>
    </row>
    <row r="1093" spans="1:4">
      <c r="A1093">
        <v>1090</v>
      </c>
      <c r="B1093" s="12">
        <v>131.35396751185274</v>
      </c>
      <c r="C1093" s="12">
        <v>227.59879918530737</v>
      </c>
      <c r="D1093" s="12">
        <v>127.29687185132681</v>
      </c>
    </row>
    <row r="1094" spans="1:4">
      <c r="A1094">
        <v>1091</v>
      </c>
      <c r="B1094" s="12">
        <v>118.06128975381873</v>
      </c>
      <c r="C1094" s="12">
        <v>141.63740279546877</v>
      </c>
      <c r="D1094" s="12">
        <v>155.76883752065947</v>
      </c>
    </row>
    <row r="1095" spans="1:4">
      <c r="A1095">
        <v>1092</v>
      </c>
      <c r="B1095" s="12">
        <v>232.37338685643559</v>
      </c>
      <c r="C1095" s="12">
        <v>168.2418129795895</v>
      </c>
      <c r="D1095" s="12">
        <v>115.13576573938062</v>
      </c>
    </row>
    <row r="1096" spans="1:4">
      <c r="A1096">
        <v>1093</v>
      </c>
      <c r="B1096" s="12">
        <v>136.28310500908833</v>
      </c>
      <c r="C1096" s="12">
        <v>148.34134015557373</v>
      </c>
      <c r="D1096" s="12">
        <v>109.2457339749122</v>
      </c>
    </row>
    <row r="1097" spans="1:4">
      <c r="A1097">
        <v>1094</v>
      </c>
      <c r="B1097" s="12">
        <v>130.41625286083928</v>
      </c>
      <c r="C1097" s="12">
        <v>158.08913432828837</v>
      </c>
      <c r="D1097" s="12">
        <v>75.436381686639294</v>
      </c>
    </row>
    <row r="1098" spans="1:4">
      <c r="A1098">
        <v>1095</v>
      </c>
      <c r="B1098" s="12">
        <v>172.89309716458274</v>
      </c>
      <c r="C1098" s="12">
        <v>202.93846394323867</v>
      </c>
      <c r="D1098" s="12">
        <v>78.759358648451624</v>
      </c>
    </row>
    <row r="1099" spans="1:4">
      <c r="A1099">
        <v>1096</v>
      </c>
      <c r="B1099" s="12">
        <v>241.82146256249032</v>
      </c>
      <c r="C1099" s="12">
        <v>191.67336384416339</v>
      </c>
      <c r="D1099" s="12">
        <v>124.66430195623023</v>
      </c>
    </row>
    <row r="1100" spans="1:4">
      <c r="A1100">
        <v>1097</v>
      </c>
      <c r="B1100" s="12">
        <v>127.50178362431981</v>
      </c>
      <c r="C1100" s="12">
        <v>125.55610197737144</v>
      </c>
      <c r="D1100" s="12">
        <v>101.74558366955814</v>
      </c>
    </row>
    <row r="1101" spans="1:4">
      <c r="A1101">
        <v>1098</v>
      </c>
      <c r="B1101" s="12">
        <v>135.16333161747102</v>
      </c>
      <c r="C1101" s="12">
        <v>150.27968328832142</v>
      </c>
      <c r="D1101" s="12">
        <v>102.20479810642652</v>
      </c>
    </row>
    <row r="1102" spans="1:4">
      <c r="A1102">
        <v>1099</v>
      </c>
      <c r="B1102" s="12">
        <v>158.23893667230797</v>
      </c>
      <c r="C1102" s="12">
        <v>167.14309074679861</v>
      </c>
      <c r="D1102" s="12">
        <v>53.353105986391569</v>
      </c>
    </row>
    <row r="1103" spans="1:4">
      <c r="A1103">
        <v>1100</v>
      </c>
      <c r="B1103" s="12">
        <v>105.16341690295319</v>
      </c>
      <c r="C1103" s="12">
        <v>151.56710386463024</v>
      </c>
      <c r="D1103" s="12">
        <v>97.862872965834526</v>
      </c>
    </row>
    <row r="1104" spans="1:4">
      <c r="A1104">
        <v>1101</v>
      </c>
      <c r="B1104" s="12">
        <v>176.98142044483004</v>
      </c>
      <c r="C1104" s="12">
        <v>127.55490871211127</v>
      </c>
      <c r="D1104" s="12">
        <v>118.90780693190203</v>
      </c>
    </row>
    <row r="1105" spans="1:4">
      <c r="A1105">
        <v>1102</v>
      </c>
      <c r="B1105" s="12">
        <v>144.40169759780127</v>
      </c>
      <c r="C1105" s="12">
        <v>161.94522809590759</v>
      </c>
      <c r="D1105" s="12">
        <v>82.165865467163485</v>
      </c>
    </row>
    <row r="1106" spans="1:4">
      <c r="A1106">
        <v>1103</v>
      </c>
      <c r="B1106" s="12">
        <v>148.95148514934692</v>
      </c>
      <c r="C1106" s="12">
        <v>170.42155273499722</v>
      </c>
      <c r="D1106" s="12">
        <v>137.55888855146171</v>
      </c>
    </row>
    <row r="1107" spans="1:4">
      <c r="A1107">
        <v>1104</v>
      </c>
      <c r="B1107" s="12">
        <v>180.10645690742604</v>
      </c>
      <c r="C1107" s="12">
        <v>142.07278728500842</v>
      </c>
      <c r="D1107" s="12">
        <v>79.277069596105363</v>
      </c>
    </row>
    <row r="1108" spans="1:4">
      <c r="A1108">
        <v>1105</v>
      </c>
      <c r="B1108" s="12">
        <v>134.45588814327508</v>
      </c>
      <c r="C1108" s="12">
        <v>133.90759920783356</v>
      </c>
      <c r="D1108" s="12">
        <v>84.71324211010905</v>
      </c>
    </row>
    <row r="1109" spans="1:4">
      <c r="A1109">
        <v>1106</v>
      </c>
      <c r="B1109" s="12">
        <v>261.25198821043051</v>
      </c>
      <c r="C1109" s="12">
        <v>182.16557493721322</v>
      </c>
      <c r="D1109" s="12">
        <v>180.95461896976511</v>
      </c>
    </row>
    <row r="1110" spans="1:4">
      <c r="A1110">
        <v>1107</v>
      </c>
      <c r="B1110" s="12">
        <v>168.61568553303383</v>
      </c>
      <c r="C1110" s="12">
        <v>125.05322130038498</v>
      </c>
      <c r="D1110" s="12">
        <v>125.95185374979083</v>
      </c>
    </row>
    <row r="1111" spans="1:4">
      <c r="A1111">
        <v>1108</v>
      </c>
      <c r="B1111" s="12">
        <v>123.17170555048595</v>
      </c>
      <c r="C1111" s="12">
        <v>134.76658814386084</v>
      </c>
      <c r="D1111" s="12">
        <v>82.457400631550811</v>
      </c>
    </row>
    <row r="1112" spans="1:4">
      <c r="A1112">
        <v>1109</v>
      </c>
      <c r="B1112" s="12">
        <v>117.33347680771557</v>
      </c>
      <c r="C1112" s="12">
        <v>158.76059768725892</v>
      </c>
      <c r="D1112" s="12">
        <v>72.449228047062192</v>
      </c>
    </row>
    <row r="1113" spans="1:4">
      <c r="A1113">
        <v>1110</v>
      </c>
      <c r="B1113" s="12">
        <v>183.58258222374263</v>
      </c>
      <c r="C1113" s="12">
        <v>149.23388688633418</v>
      </c>
      <c r="D1113" s="12">
        <v>88.052585285667135</v>
      </c>
    </row>
    <row r="1114" spans="1:4">
      <c r="A1114">
        <v>1111</v>
      </c>
      <c r="B1114" s="12">
        <v>120.94778602314129</v>
      </c>
      <c r="C1114" s="12">
        <v>154.79666058183579</v>
      </c>
      <c r="D1114" s="12">
        <v>87.340247200872881</v>
      </c>
    </row>
    <row r="1115" spans="1:4">
      <c r="A1115">
        <v>1112</v>
      </c>
      <c r="B1115" s="12">
        <v>125.58460875200134</v>
      </c>
      <c r="C1115" s="12">
        <v>148.98907751353542</v>
      </c>
      <c r="D1115" s="12">
        <v>106.80320371749238</v>
      </c>
    </row>
    <row r="1116" spans="1:4">
      <c r="A1116">
        <v>1113</v>
      </c>
      <c r="B1116" s="12">
        <v>140.57246764073713</v>
      </c>
      <c r="C1116" s="12">
        <v>140.20989100179884</v>
      </c>
      <c r="D1116" s="12">
        <v>55.255263850329641</v>
      </c>
    </row>
    <row r="1117" spans="1:4">
      <c r="A1117">
        <v>1114</v>
      </c>
      <c r="B1117" s="12">
        <v>189.06833349213628</v>
      </c>
      <c r="C1117" s="12">
        <v>141.19838223406882</v>
      </c>
      <c r="D1117" s="12">
        <v>115.49920780659141</v>
      </c>
    </row>
    <row r="1118" spans="1:4">
      <c r="A1118">
        <v>1115</v>
      </c>
      <c r="B1118" s="12">
        <v>233.60342934279137</v>
      </c>
      <c r="C1118" s="12">
        <v>137.49892682078053</v>
      </c>
      <c r="D1118" s="12">
        <v>134.49704934938094</v>
      </c>
    </row>
    <row r="1119" spans="1:4">
      <c r="A1119">
        <v>1116</v>
      </c>
      <c r="B1119" s="12">
        <v>133.7386402749793</v>
      </c>
      <c r="C1119" s="12">
        <v>195.21786089662717</v>
      </c>
      <c r="D1119" s="12">
        <v>51.794872778973662</v>
      </c>
    </row>
    <row r="1120" spans="1:4">
      <c r="A1120">
        <v>1117</v>
      </c>
      <c r="B1120" s="12">
        <v>162.52665198643666</v>
      </c>
      <c r="C1120" s="12">
        <v>141.37024392338049</v>
      </c>
      <c r="D1120" s="12">
        <v>81.683756952574626</v>
      </c>
    </row>
    <row r="1121" spans="1:4">
      <c r="A1121">
        <v>1118</v>
      </c>
      <c r="B1121" s="12">
        <v>122.57848955244189</v>
      </c>
      <c r="C1121" s="12">
        <v>152.85516817791196</v>
      </c>
      <c r="D1121" s="12">
        <v>93.654146567638946</v>
      </c>
    </row>
    <row r="1122" spans="1:4">
      <c r="A1122">
        <v>1119</v>
      </c>
      <c r="B1122" s="12">
        <v>203.80792535564652</v>
      </c>
      <c r="C1122" s="12">
        <v>140.48348586290822</v>
      </c>
      <c r="D1122" s="12">
        <v>118.50943389662535</v>
      </c>
    </row>
    <row r="1123" spans="1:4">
      <c r="A1123">
        <v>1120</v>
      </c>
      <c r="B1123" s="12">
        <v>205.11302009695794</v>
      </c>
      <c r="C1123" s="12">
        <v>174.63702588008204</v>
      </c>
      <c r="D1123" s="12">
        <v>238.80271447223006</v>
      </c>
    </row>
    <row r="1124" spans="1:4">
      <c r="A1124">
        <v>1121</v>
      </c>
      <c r="B1124" s="12">
        <v>113.90777945264327</v>
      </c>
      <c r="C1124" s="12">
        <v>145.72171759233322</v>
      </c>
      <c r="D1124" s="12">
        <v>120.66695129043228</v>
      </c>
    </row>
    <row r="1125" spans="1:4">
      <c r="A1125">
        <v>1122</v>
      </c>
      <c r="B1125" s="12">
        <v>194.02947897989711</v>
      </c>
      <c r="C1125" s="12">
        <v>207.11552162819345</v>
      </c>
      <c r="D1125" s="12">
        <v>76.137175829765411</v>
      </c>
    </row>
    <row r="1126" spans="1:4">
      <c r="A1126">
        <v>1123</v>
      </c>
      <c r="B1126" s="12">
        <v>113.01685546040511</v>
      </c>
      <c r="C1126" s="12">
        <v>162.92741944650859</v>
      </c>
      <c r="D1126" s="12">
        <v>147.25442590313233</v>
      </c>
    </row>
    <row r="1127" spans="1:4">
      <c r="A1127">
        <v>1124</v>
      </c>
      <c r="B1127" s="12">
        <v>142.38249815302296</v>
      </c>
      <c r="C1127" s="12">
        <v>166.3641153644698</v>
      </c>
      <c r="D1127" s="12">
        <v>62.68932422009</v>
      </c>
    </row>
    <row r="1128" spans="1:4">
      <c r="A1128">
        <v>1125</v>
      </c>
      <c r="B1128" s="12">
        <v>227.78451407097808</v>
      </c>
      <c r="C1128" s="12">
        <v>170.74757006825735</v>
      </c>
      <c r="D1128" s="12">
        <v>89.294689615550226</v>
      </c>
    </row>
    <row r="1129" spans="1:4">
      <c r="A1129">
        <v>1126</v>
      </c>
      <c r="B1129" s="12">
        <v>163.14354439432793</v>
      </c>
      <c r="C1129" s="12">
        <v>156.51109282453911</v>
      </c>
      <c r="D1129" s="12">
        <v>99.289706396404128</v>
      </c>
    </row>
    <row r="1130" spans="1:4">
      <c r="A1130">
        <v>1127</v>
      </c>
      <c r="B1130" s="12">
        <v>170.32371476027598</v>
      </c>
      <c r="C1130" s="12">
        <v>142.76651377309975</v>
      </c>
      <c r="D1130" s="12">
        <v>76.699108725606521</v>
      </c>
    </row>
    <row r="1131" spans="1:4">
      <c r="A1131">
        <v>1128</v>
      </c>
      <c r="B1131" s="12">
        <v>144.02223484577561</v>
      </c>
      <c r="C1131" s="12">
        <v>187.39590413689453</v>
      </c>
      <c r="D1131" s="12">
        <v>74.244273484570101</v>
      </c>
    </row>
    <row r="1132" spans="1:4">
      <c r="A1132">
        <v>1129</v>
      </c>
      <c r="B1132" s="12">
        <v>124.11925455790499</v>
      </c>
      <c r="C1132" s="12">
        <v>150.92354950851802</v>
      </c>
      <c r="D1132" s="12">
        <v>100.00996881755326</v>
      </c>
    </row>
    <row r="1133" spans="1:4">
      <c r="A1133">
        <v>1130</v>
      </c>
      <c r="B1133" s="12">
        <v>167.18703705411497</v>
      </c>
      <c r="C1133" s="12">
        <v>148.74401136921506</v>
      </c>
      <c r="D1133" s="12">
        <v>136.34252082352489</v>
      </c>
    </row>
    <row r="1134" spans="1:4">
      <c r="A1134">
        <v>1131</v>
      </c>
      <c r="B1134" s="12">
        <v>130.1113843192409</v>
      </c>
      <c r="C1134" s="12">
        <v>113.99223577080532</v>
      </c>
      <c r="D1134" s="12">
        <v>116.85228933874218</v>
      </c>
    </row>
    <row r="1135" spans="1:4">
      <c r="A1135">
        <v>1132</v>
      </c>
      <c r="B1135" s="12">
        <v>150.28842713996275</v>
      </c>
      <c r="C1135" s="12">
        <v>150.03566374805428</v>
      </c>
      <c r="D1135" s="12">
        <v>126.78032272924362</v>
      </c>
    </row>
    <row r="1136" spans="1:4">
      <c r="A1136">
        <v>1133</v>
      </c>
      <c r="B1136" s="12">
        <v>149.31937667395971</v>
      </c>
      <c r="C1136" s="12">
        <v>151.96698944484567</v>
      </c>
      <c r="D1136" s="12">
        <v>116.47576065187839</v>
      </c>
    </row>
    <row r="1137" spans="1:4">
      <c r="A1137">
        <v>1134</v>
      </c>
      <c r="B1137" s="12">
        <v>221.09806210171661</v>
      </c>
      <c r="C1137" s="12">
        <v>143.96704476022094</v>
      </c>
      <c r="D1137" s="12">
        <v>105.23319763632134</v>
      </c>
    </row>
    <row r="1138" spans="1:4">
      <c r="A1138">
        <v>1135</v>
      </c>
      <c r="B1138" s="12">
        <v>146.62584369717857</v>
      </c>
      <c r="C1138" s="12">
        <v>122.69648097468969</v>
      </c>
      <c r="D1138" s="12">
        <v>106.31093245030478</v>
      </c>
    </row>
    <row r="1139" spans="1:4">
      <c r="A1139">
        <v>1136</v>
      </c>
      <c r="B1139" s="12">
        <v>101.85395818852896</v>
      </c>
      <c r="C1139" s="12">
        <v>237.85181581452716</v>
      </c>
      <c r="D1139" s="12">
        <v>102.48603969056268</v>
      </c>
    </row>
    <row r="1140" spans="1:4">
      <c r="A1140">
        <v>1137</v>
      </c>
      <c r="B1140" s="12">
        <v>131.6499771926056</v>
      </c>
      <c r="C1140" s="12">
        <v>156.10272727514757</v>
      </c>
      <c r="D1140" s="12">
        <v>82.932079606253239</v>
      </c>
    </row>
    <row r="1141" spans="1:4">
      <c r="A1141">
        <v>1138</v>
      </c>
      <c r="B1141" s="12">
        <v>146.0132263745881</v>
      </c>
      <c r="C1141" s="12">
        <v>179.26553809501632</v>
      </c>
      <c r="D1141" s="12">
        <v>88.589284407623978</v>
      </c>
    </row>
    <row r="1142" spans="1:4">
      <c r="A1142">
        <v>1139</v>
      </c>
      <c r="B1142" s="12">
        <v>166.16304583663668</v>
      </c>
      <c r="C1142" s="12">
        <v>150.67977336049373</v>
      </c>
      <c r="D1142" s="12">
        <v>122.9725996555938</v>
      </c>
    </row>
    <row r="1143" spans="1:4">
      <c r="A1143">
        <v>1140</v>
      </c>
      <c r="B1143" s="12">
        <v>185.22423716378484</v>
      </c>
      <c r="C1143" s="12">
        <v>132.67606538177014</v>
      </c>
      <c r="D1143" s="12">
        <v>105.52730101468561</v>
      </c>
    </row>
    <row r="1144" spans="1:4">
      <c r="A1144">
        <v>1141</v>
      </c>
      <c r="B1144" s="12">
        <v>112.08207184063481</v>
      </c>
      <c r="C1144" s="12">
        <v>189.7664988939413</v>
      </c>
      <c r="D1144" s="12">
        <v>128.70630540783699</v>
      </c>
    </row>
    <row r="1145" spans="1:4">
      <c r="A1145">
        <v>1142</v>
      </c>
      <c r="B1145" s="12">
        <v>111.45737797667954</v>
      </c>
      <c r="C1145" s="12">
        <v>147.69128935933782</v>
      </c>
      <c r="D1145" s="12">
        <v>111.81628052799763</v>
      </c>
    </row>
    <row r="1146" spans="1:4">
      <c r="A1146">
        <v>1143</v>
      </c>
      <c r="B1146" s="12">
        <v>116.58127592190863</v>
      </c>
      <c r="C1146" s="12">
        <v>180.90526095223134</v>
      </c>
      <c r="D1146" s="12">
        <v>56.779666861552364</v>
      </c>
    </row>
    <row r="1147" spans="1:4">
      <c r="A1147">
        <v>1144</v>
      </c>
      <c r="B1147" s="12">
        <v>159.57947796744148</v>
      </c>
      <c r="C1147" s="12">
        <v>147.44439312686578</v>
      </c>
      <c r="D1147" s="12">
        <v>151.79248042892814</v>
      </c>
    </row>
    <row r="1148" spans="1:4">
      <c r="A1148">
        <v>1145</v>
      </c>
      <c r="B1148" s="12">
        <v>253.57398506537993</v>
      </c>
      <c r="C1148" s="12">
        <v>161.50800221887275</v>
      </c>
      <c r="D1148" s="12">
        <v>184.89253169744111</v>
      </c>
    </row>
    <row r="1149" spans="1:4">
      <c r="A1149">
        <v>1146</v>
      </c>
      <c r="B1149" s="12">
        <v>119.88120042696946</v>
      </c>
      <c r="C1149" s="12">
        <v>139.47925538194423</v>
      </c>
      <c r="D1149" s="12">
        <v>63.427734968471654</v>
      </c>
    </row>
    <row r="1150" spans="1:4">
      <c r="A1150">
        <v>1147</v>
      </c>
      <c r="B1150" s="12">
        <v>177.42342905666766</v>
      </c>
      <c r="C1150" s="12">
        <v>179.99143267494699</v>
      </c>
      <c r="D1150" s="12">
        <v>130.55994773371705</v>
      </c>
    </row>
    <row r="1151" spans="1:4">
      <c r="A1151">
        <v>1148</v>
      </c>
      <c r="B1151" s="12">
        <v>197.39577556733639</v>
      </c>
      <c r="C1151" s="12">
        <v>190.21292194776507</v>
      </c>
      <c r="D1151" s="12">
        <v>89.997084012341134</v>
      </c>
    </row>
    <row r="1152" spans="1:4">
      <c r="A1152">
        <v>1149</v>
      </c>
      <c r="B1152" s="12">
        <v>160.18607287119536</v>
      </c>
      <c r="C1152" s="12">
        <v>162.65591210502424</v>
      </c>
      <c r="D1152" s="12">
        <v>79.787527393339701</v>
      </c>
    </row>
    <row r="1153" spans="1:4">
      <c r="A1153">
        <v>1150</v>
      </c>
      <c r="B1153" s="12">
        <v>157.63696767849865</v>
      </c>
      <c r="C1153" s="12">
        <v>151.32338968715393</v>
      </c>
      <c r="D1153" s="12">
        <v>119.57133339538863</v>
      </c>
    </row>
    <row r="1154" spans="1:4">
      <c r="A1154">
        <v>1151</v>
      </c>
      <c r="B1154" s="12">
        <v>199.18748089800241</v>
      </c>
      <c r="C1154" s="12">
        <v>185.26031990732153</v>
      </c>
      <c r="D1154" s="12">
        <v>116.10297347180612</v>
      </c>
    </row>
    <row r="1155" spans="1:4">
      <c r="A1155">
        <v>1152</v>
      </c>
      <c r="B1155" s="12">
        <v>132.84989653625777</v>
      </c>
      <c r="C1155" s="12">
        <v>154.14762141461622</v>
      </c>
      <c r="D1155" s="12">
        <v>89.465328149388469</v>
      </c>
    </row>
    <row r="1156" spans="1:4">
      <c r="A1156">
        <v>1153</v>
      </c>
      <c r="B1156" s="12">
        <v>107.39849985374956</v>
      </c>
      <c r="C1156" s="12">
        <v>167.44192901626215</v>
      </c>
      <c r="D1156" s="12">
        <v>118.11548693684428</v>
      </c>
    </row>
    <row r="1157" spans="1:4">
      <c r="A1157">
        <v>1154</v>
      </c>
      <c r="B1157" s="12">
        <v>125.03775671245253</v>
      </c>
      <c r="C1157" s="12">
        <v>166.65744020435363</v>
      </c>
      <c r="D1157" s="12">
        <v>121.36602254460877</v>
      </c>
    </row>
    <row r="1158" spans="1:4">
      <c r="A1158">
        <v>1155</v>
      </c>
      <c r="B1158" s="12">
        <v>106.0764883386086</v>
      </c>
      <c r="C1158" s="12">
        <v>206.00137132847166</v>
      </c>
      <c r="D1158" s="12">
        <v>109.5625832344427</v>
      </c>
    </row>
    <row r="1159" spans="1:4">
      <c r="A1159">
        <v>1156</v>
      </c>
      <c r="B1159" s="12">
        <v>214.89122368579052</v>
      </c>
      <c r="C1159" s="12">
        <v>147.93777634202112</v>
      </c>
      <c r="D1159" s="12">
        <v>92.261380214329918</v>
      </c>
    </row>
    <row r="1160" spans="1:4">
      <c r="A1160">
        <v>1157</v>
      </c>
      <c r="B1160" s="12">
        <v>219.0394031095995</v>
      </c>
      <c r="C1160" s="12">
        <v>123.2808626082427</v>
      </c>
      <c r="D1160" s="12">
        <v>87.610558272046703</v>
      </c>
    </row>
    <row r="1161" spans="1:4">
      <c r="A1161">
        <v>1158</v>
      </c>
      <c r="B1161" s="12">
        <v>205.93170998341813</v>
      </c>
      <c r="C1161" s="12">
        <v>138.26658478630534</v>
      </c>
      <c r="D1161" s="12">
        <v>129.61797893162887</v>
      </c>
    </row>
    <row r="1162" spans="1:4">
      <c r="A1162">
        <v>1159</v>
      </c>
      <c r="B1162" s="12">
        <v>143.39691774357593</v>
      </c>
      <c r="C1162" s="12">
        <v>164.10570560490081</v>
      </c>
      <c r="D1162" s="12">
        <v>74.481506849438858</v>
      </c>
    </row>
    <row r="1163" spans="1:4">
      <c r="A1163">
        <v>1160</v>
      </c>
      <c r="B1163" s="12">
        <v>176.26266874418502</v>
      </c>
      <c r="C1163" s="12">
        <v>183.8293661820322</v>
      </c>
      <c r="D1163" s="12">
        <v>119.16537522053648</v>
      </c>
    </row>
    <row r="1164" spans="1:4">
      <c r="A1164">
        <v>1161</v>
      </c>
      <c r="B1164" s="12">
        <v>120.30297981228702</v>
      </c>
      <c r="C1164" s="12">
        <v>174.40123087158952</v>
      </c>
      <c r="D1164" s="12">
        <v>80.400778817586527</v>
      </c>
    </row>
    <row r="1165" spans="1:4">
      <c r="A1165">
        <v>1162</v>
      </c>
      <c r="B1165" s="12">
        <v>215.97942835837839</v>
      </c>
      <c r="C1165" s="12">
        <v>127.26988236013665</v>
      </c>
      <c r="D1165" s="12">
        <v>80.896954084716896</v>
      </c>
    </row>
    <row r="1166" spans="1:4">
      <c r="A1166">
        <v>1163</v>
      </c>
      <c r="B1166" s="12">
        <v>126.98589557734361</v>
      </c>
      <c r="C1166" s="12">
        <v>147.03838341192275</v>
      </c>
      <c r="D1166" s="12">
        <v>114.54673101799617</v>
      </c>
    </row>
    <row r="1167" spans="1:4">
      <c r="A1167">
        <v>1164</v>
      </c>
      <c r="B1167" s="12">
        <v>256.30827047364761</v>
      </c>
      <c r="C1167" s="12">
        <v>129.5007633689861</v>
      </c>
      <c r="D1167" s="12">
        <v>75.789041108554244</v>
      </c>
    </row>
    <row r="1168" spans="1:4">
      <c r="A1168">
        <v>1165</v>
      </c>
      <c r="B1168" s="12">
        <v>146.99809422359823</v>
      </c>
      <c r="C1168" s="12">
        <v>176.01401598610008</v>
      </c>
      <c r="D1168" s="12">
        <v>114.19191910669092</v>
      </c>
    </row>
    <row r="1169" spans="1:4">
      <c r="A1169">
        <v>1166</v>
      </c>
      <c r="B1169" s="12">
        <v>139.52454723075672</v>
      </c>
      <c r="C1169" s="12">
        <v>142.33649483329779</v>
      </c>
      <c r="D1169" s="12">
        <v>145.46827106899113</v>
      </c>
    </row>
    <row r="1170" spans="1:4">
      <c r="A1170">
        <v>1167</v>
      </c>
      <c r="B1170" s="12">
        <v>108.61642835742902</v>
      </c>
      <c r="C1170" s="12">
        <v>149.63502337473275</v>
      </c>
      <c r="D1170" s="12">
        <v>104.46322984412738</v>
      </c>
    </row>
    <row r="1171" spans="1:4">
      <c r="A1171">
        <v>1168</v>
      </c>
      <c r="B1171" s="12">
        <v>149.55475021458997</v>
      </c>
      <c r="C1171" s="12">
        <v>209.02423179595769</v>
      </c>
      <c r="D1171" s="12">
        <v>137.0770888471765</v>
      </c>
    </row>
    <row r="1172" spans="1:4">
      <c r="A1172">
        <v>1169</v>
      </c>
      <c r="B1172" s="12">
        <v>214.2124208205548</v>
      </c>
      <c r="C1172" s="12">
        <v>183.49521950786456</v>
      </c>
      <c r="D1172" s="12">
        <v>157.48389888264435</v>
      </c>
    </row>
    <row r="1173" spans="1:4">
      <c r="A1173">
        <v>1170</v>
      </c>
      <c r="B1173" s="12">
        <v>178.60547081494275</v>
      </c>
      <c r="C1173" s="12">
        <v>176.65663082517412</v>
      </c>
      <c r="D1173" s="12">
        <v>150.45352403035409</v>
      </c>
    </row>
    <row r="1174" spans="1:4">
      <c r="A1174">
        <v>1171</v>
      </c>
      <c r="B1174" s="12">
        <v>139.26814094108914</v>
      </c>
      <c r="C1174" s="12">
        <v>174.03674096756129</v>
      </c>
      <c r="D1174" s="12">
        <v>120.24786793575436</v>
      </c>
    </row>
    <row r="1175" spans="1:4">
      <c r="A1175">
        <v>1172</v>
      </c>
      <c r="B1175" s="12">
        <v>114.45785207032408</v>
      </c>
      <c r="C1175" s="12">
        <v>184.90487518207891</v>
      </c>
      <c r="D1175" s="12">
        <v>146.54075278226225</v>
      </c>
    </row>
    <row r="1176" spans="1:4">
      <c r="A1176">
        <v>1173</v>
      </c>
      <c r="B1176" s="12">
        <v>190.54158100183292</v>
      </c>
      <c r="C1176" s="12">
        <v>139.01889524495493</v>
      </c>
      <c r="D1176" s="12">
        <v>125.4578243396026</v>
      </c>
    </row>
    <row r="1177" spans="1:4">
      <c r="A1177">
        <v>1174</v>
      </c>
      <c r="B1177" s="12">
        <v>152.21890256656906</v>
      </c>
      <c r="C1177" s="12">
        <v>146.13248498108609</v>
      </c>
      <c r="D1177" s="12">
        <v>48.148963512759586</v>
      </c>
    </row>
    <row r="1178" spans="1:4">
      <c r="A1178">
        <v>1175</v>
      </c>
      <c r="B1178" s="12">
        <v>193.63868240155216</v>
      </c>
      <c r="C1178" s="12">
        <v>134.2360524638874</v>
      </c>
      <c r="D1178" s="12">
        <v>193.27099572616731</v>
      </c>
    </row>
    <row r="1179" spans="1:4">
      <c r="A1179">
        <v>1176</v>
      </c>
      <c r="B1179" s="12">
        <v>198.74549583868131</v>
      </c>
      <c r="C1179" s="12">
        <v>124.72269058375328</v>
      </c>
      <c r="D1179" s="12">
        <v>85.447440287069341</v>
      </c>
    </row>
    <row r="1180" spans="1:4">
      <c r="A1180">
        <v>1177</v>
      </c>
      <c r="B1180" s="12">
        <v>235.63476442655801</v>
      </c>
      <c r="C1180" s="12">
        <v>198.86383103039864</v>
      </c>
      <c r="D1180" s="12">
        <v>114.90473164596114</v>
      </c>
    </row>
    <row r="1181" spans="1:4">
      <c r="A1181">
        <v>1178</v>
      </c>
      <c r="B1181" s="12">
        <v>182.60604677532638</v>
      </c>
      <c r="C1181" s="12">
        <v>137.68664510955404</v>
      </c>
      <c r="D1181" s="12">
        <v>92.525126966637174</v>
      </c>
    </row>
    <row r="1182" spans="1:4">
      <c r="A1182">
        <v>1179</v>
      </c>
      <c r="B1182" s="12">
        <v>174.69436297555117</v>
      </c>
      <c r="C1182" s="12">
        <v>133.5750883958921</v>
      </c>
      <c r="D1182" s="12">
        <v>103.23378184084945</v>
      </c>
    </row>
    <row r="1183" spans="1:4">
      <c r="A1183">
        <v>1180</v>
      </c>
      <c r="B1183" s="12">
        <v>127.82829087938406</v>
      </c>
      <c r="C1183" s="12">
        <v>162.21333520317879</v>
      </c>
      <c r="D1183" s="12">
        <v>158.65802379552352</v>
      </c>
    </row>
    <row r="1184" spans="1:4">
      <c r="A1184">
        <v>1181</v>
      </c>
      <c r="B1184" s="12">
        <v>132.56170696702719</v>
      </c>
      <c r="C1184" s="12">
        <v>204.39992804888499</v>
      </c>
      <c r="D1184" s="12">
        <v>143.80769722166329</v>
      </c>
    </row>
    <row r="1185" spans="1:4">
      <c r="A1185">
        <v>1182</v>
      </c>
      <c r="B1185" s="12">
        <v>195.27298611435569</v>
      </c>
      <c r="C1185" s="12">
        <v>131.51126460223517</v>
      </c>
      <c r="D1185" s="12">
        <v>69.443728693999674</v>
      </c>
    </row>
    <row r="1186" spans="1:4">
      <c r="A1186">
        <v>1183</v>
      </c>
      <c r="B1186" s="12">
        <v>164.52224660912535</v>
      </c>
      <c r="C1186" s="12">
        <v>136.90621448196686</v>
      </c>
      <c r="D1186" s="12">
        <v>94.615348152271807</v>
      </c>
    </row>
    <row r="1187" spans="1:4">
      <c r="A1187">
        <v>1184</v>
      </c>
      <c r="B1187" s="12">
        <v>165.14835203631102</v>
      </c>
      <c r="C1187" s="12">
        <v>152.61104321429352</v>
      </c>
      <c r="D1187" s="12">
        <v>113.61649956836479</v>
      </c>
    </row>
    <row r="1188" spans="1:4">
      <c r="A1188">
        <v>1185</v>
      </c>
      <c r="B1188" s="12">
        <v>95.444167693076167</v>
      </c>
      <c r="C1188" s="12">
        <v>115.16748093672672</v>
      </c>
      <c r="D1188" s="12">
        <v>96.014438252407629</v>
      </c>
    </row>
    <row r="1189" spans="1:4">
      <c r="A1189">
        <v>1186</v>
      </c>
      <c r="B1189" s="12">
        <v>159.2105335218252</v>
      </c>
      <c r="C1189" s="12">
        <v>164.84644038721189</v>
      </c>
      <c r="D1189" s="12">
        <v>71.35698483526248</v>
      </c>
    </row>
    <row r="1190" spans="1:4">
      <c r="A1190">
        <v>1187</v>
      </c>
      <c r="B1190" s="12">
        <v>187.63938713815097</v>
      </c>
      <c r="C1190" s="12">
        <v>143.28664868574808</v>
      </c>
      <c r="D1190" s="12">
        <v>107.60483529659142</v>
      </c>
    </row>
    <row r="1191" spans="1:4">
      <c r="A1191">
        <v>1188</v>
      </c>
      <c r="B1191" s="12">
        <v>137.38177009498582</v>
      </c>
      <c r="C1191" s="12">
        <v>146.38205710515666</v>
      </c>
      <c r="D1191" s="12">
        <v>117.47841726063211</v>
      </c>
    </row>
    <row r="1192" spans="1:4">
      <c r="A1192">
        <v>1189</v>
      </c>
      <c r="B1192" s="12">
        <v>212.17691435977838</v>
      </c>
      <c r="C1192" s="12">
        <v>166.84639282232794</v>
      </c>
      <c r="D1192" s="12">
        <v>85.899921937199991</v>
      </c>
    </row>
    <row r="1193" spans="1:4">
      <c r="A1193">
        <v>1190</v>
      </c>
      <c r="B1193" s="12">
        <v>133.2963162159775</v>
      </c>
      <c r="C1193" s="12">
        <v>136.4121223225556</v>
      </c>
      <c r="D1193" s="12">
        <v>77.58162424461257</v>
      </c>
    </row>
    <row r="1194" spans="1:4">
      <c r="A1194">
        <v>1191</v>
      </c>
      <c r="B1194" s="12">
        <v>140.96573952710665</v>
      </c>
      <c r="C1194" s="12">
        <v>215.57863442572565</v>
      </c>
      <c r="D1194" s="12">
        <v>131.75303830688728</v>
      </c>
    </row>
    <row r="1195" spans="1:4">
      <c r="A1195">
        <v>1192</v>
      </c>
      <c r="B1195" s="12">
        <v>267.387358342646</v>
      </c>
      <c r="C1195" s="12">
        <v>159.4376275190954</v>
      </c>
      <c r="D1195" s="12">
        <v>68.965804755147857</v>
      </c>
    </row>
    <row r="1196" spans="1:4">
      <c r="A1196">
        <v>1193</v>
      </c>
      <c r="B1196" s="12">
        <v>196.97275947274011</v>
      </c>
      <c r="C1196" s="12">
        <v>128.41767695252122</v>
      </c>
      <c r="D1196" s="12">
        <v>78.439984646856601</v>
      </c>
    </row>
    <row r="1197" spans="1:4">
      <c r="A1197">
        <v>1194</v>
      </c>
      <c r="B1197" s="12">
        <v>137.79281020711133</v>
      </c>
      <c r="C1197" s="12">
        <v>124.19245021740795</v>
      </c>
      <c r="D1197" s="12">
        <v>103.98945212609847</v>
      </c>
    </row>
    <row r="1198" spans="1:4">
      <c r="A1198">
        <v>1195</v>
      </c>
      <c r="B1198" s="12">
        <v>123.54532698323747</v>
      </c>
      <c r="C1198" s="12">
        <v>169.05839795247138</v>
      </c>
      <c r="D1198" s="12">
        <v>93.485179154777612</v>
      </c>
    </row>
    <row r="1199" spans="1:4">
      <c r="A1199">
        <v>1196</v>
      </c>
      <c r="B1199" s="12">
        <v>145.6385430436483</v>
      </c>
      <c r="C1199" s="12">
        <v>126.81569304202411</v>
      </c>
      <c r="D1199" s="12">
        <v>99.561889679453998</v>
      </c>
    </row>
    <row r="1200" spans="1:4">
      <c r="A1200">
        <v>1197</v>
      </c>
      <c r="B1200" s="12">
        <v>144.64411780934597</v>
      </c>
      <c r="C1200" s="12">
        <v>130.14565271128177</v>
      </c>
      <c r="D1200" s="12">
        <v>93.221441170206276</v>
      </c>
    </row>
    <row r="1201" spans="1:4">
      <c r="A1201">
        <v>1198</v>
      </c>
      <c r="B1201" s="12">
        <v>171.39404158445831</v>
      </c>
      <c r="C1201" s="12">
        <v>140.65788843438676</v>
      </c>
      <c r="D1201" s="12">
        <v>83.970900427380911</v>
      </c>
    </row>
    <row r="1202" spans="1:4">
      <c r="A1202">
        <v>1199</v>
      </c>
      <c r="B1202" s="12">
        <v>98.30646829274508</v>
      </c>
      <c r="C1202" s="12">
        <v>172.52291156455186</v>
      </c>
      <c r="D1202" s="12">
        <v>84.992193791053666</v>
      </c>
    </row>
    <row r="1203" spans="1:4">
      <c r="A1203">
        <v>1200</v>
      </c>
      <c r="B1203" s="12">
        <v>183.09212812222441</v>
      </c>
      <c r="C1203" s="12">
        <v>199.58848464026653</v>
      </c>
      <c r="D1203" s="12">
        <v>81.196572592149664</v>
      </c>
    </row>
    <row r="1204" spans="1:4">
      <c r="A1204">
        <v>1201</v>
      </c>
      <c r="B1204" s="12">
        <v>208.18638707608702</v>
      </c>
      <c r="C1204" s="12">
        <v>135.91035640286015</v>
      </c>
      <c r="D1204" s="12">
        <v>148.41430269651042</v>
      </c>
    </row>
    <row r="1205" spans="1:4">
      <c r="A1205">
        <v>1202</v>
      </c>
      <c r="B1205" s="12">
        <v>93.087485578581948</v>
      </c>
      <c r="C1205" s="12">
        <v>155.44820290197453</v>
      </c>
      <c r="D1205" s="12">
        <v>85.170286047181335</v>
      </c>
    </row>
    <row r="1206" spans="1:4">
      <c r="A1206">
        <v>1203</v>
      </c>
      <c r="B1206" s="12">
        <v>136.70153609990416</v>
      </c>
      <c r="C1206" s="12">
        <v>127.99124441913011</v>
      </c>
      <c r="D1206" s="12">
        <v>97.422826470490108</v>
      </c>
    </row>
    <row r="1207" spans="1:4">
      <c r="A1207">
        <v>1204</v>
      </c>
      <c r="B1207" s="12">
        <v>153.41538587018189</v>
      </c>
      <c r="C1207" s="12">
        <v>181.68063319011608</v>
      </c>
      <c r="D1207" s="12">
        <v>84.253056592196771</v>
      </c>
    </row>
    <row r="1208" spans="1:4">
      <c r="A1208">
        <v>1205</v>
      </c>
      <c r="B1208" s="12">
        <v>187.10899924801035</v>
      </c>
      <c r="C1208" s="12">
        <v>182.48138120936795</v>
      </c>
      <c r="D1208" s="12">
        <v>122.52330711903757</v>
      </c>
    </row>
    <row r="1209" spans="1:4">
      <c r="A1209">
        <v>1206</v>
      </c>
      <c r="B1209" s="12">
        <v>337.8740573986542</v>
      </c>
      <c r="C1209" s="12">
        <v>121.68280140291726</v>
      </c>
      <c r="D1209" s="12">
        <v>89.731393328916312</v>
      </c>
    </row>
    <row r="1210" spans="1:4">
      <c r="A1210">
        <v>1207</v>
      </c>
      <c r="B1210" s="12">
        <v>189.97817530263072</v>
      </c>
      <c r="C1210" s="12">
        <v>175.62927268407662</v>
      </c>
      <c r="D1210" s="12">
        <v>164.31908589842953</v>
      </c>
    </row>
    <row r="1211" spans="1:4">
      <c r="A1211">
        <v>1208</v>
      </c>
      <c r="B1211" s="12">
        <v>128.82920749535438</v>
      </c>
      <c r="C1211" s="12">
        <v>121.02628740060106</v>
      </c>
      <c r="D1211" s="12">
        <v>108.73030453618389</v>
      </c>
    </row>
    <row r="1212" spans="1:4">
      <c r="A1212">
        <v>1209</v>
      </c>
      <c r="B1212" s="12">
        <v>224.72329020216887</v>
      </c>
      <c r="C1212" s="12">
        <v>141.90321092520381</v>
      </c>
      <c r="D1212" s="12">
        <v>112.7068533280592</v>
      </c>
    </row>
    <row r="1213" spans="1:4">
      <c r="A1213">
        <v>1210</v>
      </c>
      <c r="B1213" s="12">
        <v>109.35074387326274</v>
      </c>
      <c r="C1213" s="12">
        <v>196.14978917631214</v>
      </c>
      <c r="D1213" s="12">
        <v>117.8654072383091</v>
      </c>
    </row>
    <row r="1214" spans="1:4">
      <c r="A1214">
        <v>1211</v>
      </c>
      <c r="B1214" s="12">
        <v>147.36951967806857</v>
      </c>
      <c r="C1214" s="12">
        <v>155.854470610812</v>
      </c>
      <c r="D1214" s="12">
        <v>101.46693942029326</v>
      </c>
    </row>
    <row r="1215" spans="1:4">
      <c r="A1215">
        <v>1212</v>
      </c>
      <c r="B1215" s="12">
        <v>161.16626890313034</v>
      </c>
      <c r="C1215" s="12">
        <v>160.54860238607819</v>
      </c>
      <c r="D1215" s="12">
        <v>86.622957365242343</v>
      </c>
    </row>
    <row r="1216" spans="1:4">
      <c r="A1216">
        <v>1213</v>
      </c>
      <c r="B1216" s="12">
        <v>129.63075238923867</v>
      </c>
      <c r="C1216" s="12">
        <v>143.02712440131461</v>
      </c>
      <c r="D1216" s="12">
        <v>138.32974641017361</v>
      </c>
    </row>
    <row r="1217" spans="1:4">
      <c r="A1217">
        <v>1214</v>
      </c>
      <c r="B1217" s="12">
        <v>126.12229530888604</v>
      </c>
      <c r="C1217" s="12">
        <v>129.09749886178955</v>
      </c>
      <c r="D1217" s="12">
        <v>95.313987371844945</v>
      </c>
    </row>
    <row r="1218" spans="1:4">
      <c r="A1218">
        <v>1215</v>
      </c>
      <c r="B1218" s="12">
        <v>162.15184640037671</v>
      </c>
      <c r="C1218" s="12">
        <v>158.5056831021237</v>
      </c>
      <c r="D1218" s="12">
        <v>92.957739224003419</v>
      </c>
    </row>
    <row r="1219" spans="1:4">
      <c r="A1219">
        <v>1216</v>
      </c>
      <c r="B1219" s="12">
        <v>210.59329118544392</v>
      </c>
      <c r="C1219" s="12">
        <v>133.35987854013607</v>
      </c>
      <c r="D1219" s="12">
        <v>58.80639675624208</v>
      </c>
    </row>
    <row r="1220" spans="1:4">
      <c r="A1220">
        <v>1217</v>
      </c>
      <c r="B1220" s="12">
        <v>184.89969387610026</v>
      </c>
      <c r="C1220" s="12">
        <v>147.28601680664244</v>
      </c>
      <c r="D1220" s="12">
        <v>94.351132911975668</v>
      </c>
    </row>
    <row r="1221" spans="1:4">
      <c r="A1221">
        <v>1218</v>
      </c>
      <c r="B1221" s="12">
        <v>198.065031562787</v>
      </c>
      <c r="C1221" s="12">
        <v>146.63105397937036</v>
      </c>
      <c r="D1221" s="12">
        <v>96.450759317490991</v>
      </c>
    </row>
    <row r="1222" spans="1:4">
      <c r="A1222">
        <v>1219</v>
      </c>
      <c r="B1222" s="12">
        <v>184.39702417964219</v>
      </c>
      <c r="C1222" s="12">
        <v>192.16448945594163</v>
      </c>
      <c r="D1222" s="12">
        <v>87.880200759200662</v>
      </c>
    </row>
    <row r="1223" spans="1:4">
      <c r="A1223">
        <v>1220</v>
      </c>
      <c r="B1223" s="12">
        <v>169.26643668832526</v>
      </c>
      <c r="C1223" s="12">
        <v>144.80355909755968</v>
      </c>
      <c r="D1223" s="12">
        <v>66.744480975021403</v>
      </c>
    </row>
    <row r="1224" spans="1:4">
      <c r="A1224">
        <v>1221</v>
      </c>
      <c r="B1224" s="12">
        <v>170.7274668319659</v>
      </c>
      <c r="C1224" s="12">
        <v>112.65808130513925</v>
      </c>
      <c r="D1224" s="12">
        <v>208.49539313877312</v>
      </c>
    </row>
    <row r="1225" spans="1:4">
      <c r="A1225">
        <v>1222</v>
      </c>
      <c r="B1225" s="12">
        <v>165.5315869689733</v>
      </c>
      <c r="C1225" s="12">
        <v>134.44439482579617</v>
      </c>
      <c r="D1225" s="12">
        <v>101.0117983126059</v>
      </c>
    </row>
    <row r="1226" spans="1:4">
      <c r="A1226">
        <v>1223</v>
      </c>
      <c r="B1226" s="12">
        <v>138.46158158482572</v>
      </c>
      <c r="C1226" s="12">
        <v>144.38646084388878</v>
      </c>
      <c r="D1226" s="12">
        <v>128.16446821520933</v>
      </c>
    </row>
    <row r="1227" spans="1:4">
      <c r="A1227">
        <v>1224</v>
      </c>
      <c r="B1227" s="12">
        <v>146.3869441209375</v>
      </c>
      <c r="C1227" s="12">
        <v>157.83618272501226</v>
      </c>
      <c r="D1227" s="12">
        <v>95.049220212932255</v>
      </c>
    </row>
    <row r="1228" spans="1:4">
      <c r="A1228">
        <v>1225</v>
      </c>
      <c r="B1228" s="12">
        <v>193.03548417110923</v>
      </c>
      <c r="C1228" s="12">
        <v>170.09851661732449</v>
      </c>
      <c r="D1228" s="12">
        <v>76.357901323781093</v>
      </c>
    </row>
    <row r="1229" spans="1:4">
      <c r="A1229">
        <v>1226</v>
      </c>
      <c r="B1229" s="12">
        <v>169.6653690169091</v>
      </c>
      <c r="C1229" s="12">
        <v>120.3357206528795</v>
      </c>
      <c r="D1229" s="12">
        <v>141.35465428727437</v>
      </c>
    </row>
    <row r="1230" spans="1:4">
      <c r="A1230">
        <v>1227</v>
      </c>
      <c r="B1230" s="12">
        <v>200.59998938464645</v>
      </c>
      <c r="C1230" s="12">
        <v>119.87323249282606</v>
      </c>
      <c r="D1230" s="12">
        <v>91.828525654744823</v>
      </c>
    </row>
    <row r="1231" spans="1:4">
      <c r="A1231">
        <v>1228</v>
      </c>
      <c r="B1231" s="12">
        <v>178.15521177573734</v>
      </c>
      <c r="C1231" s="12">
        <v>123.64336613337659</v>
      </c>
      <c r="D1231" s="12">
        <v>130.18839850691936</v>
      </c>
    </row>
    <row r="1232" spans="1:4">
      <c r="A1232">
        <v>1229</v>
      </c>
      <c r="B1232" s="12">
        <v>100.58920300231249</v>
      </c>
      <c r="C1232" s="12">
        <v>153.50061322305123</v>
      </c>
      <c r="D1232" s="12">
        <v>91.564527055500747</v>
      </c>
    </row>
    <row r="1233" spans="1:4">
      <c r="A1233">
        <v>1230</v>
      </c>
      <c r="B1233" s="12">
        <v>230.55088111265948</v>
      </c>
      <c r="C1233" s="12">
        <v>211.19334339923512</v>
      </c>
      <c r="D1233" s="12">
        <v>107.10540738832874</v>
      </c>
    </row>
    <row r="1234" spans="1:4">
      <c r="A1234">
        <v>1231</v>
      </c>
      <c r="B1234" s="12">
        <v>272.28716787258224</v>
      </c>
      <c r="C1234" s="12">
        <v>126.04413950535415</v>
      </c>
      <c r="D1234" s="12">
        <v>83.219346019008569</v>
      </c>
    </row>
    <row r="1235" spans="1:4">
      <c r="A1235">
        <v>1232</v>
      </c>
      <c r="B1235" s="12">
        <v>110.4361780265169</v>
      </c>
      <c r="C1235" s="12">
        <v>165.12997877843537</v>
      </c>
      <c r="D1235" s="12">
        <v>129.05881028147175</v>
      </c>
    </row>
    <row r="1236" spans="1:4">
      <c r="A1236">
        <v>1233</v>
      </c>
      <c r="B1236" s="12">
        <v>203.03413179326225</v>
      </c>
      <c r="C1236" s="12">
        <v>177.72297430139812</v>
      </c>
      <c r="D1236" s="12">
        <v>141.92735977626816</v>
      </c>
    </row>
    <row r="1237" spans="1:4">
      <c r="A1237">
        <v>1234</v>
      </c>
      <c r="B1237" s="12">
        <v>148.34669498478434</v>
      </c>
      <c r="C1237" s="12">
        <v>153.9023792587663</v>
      </c>
      <c r="D1237" s="12">
        <v>108.41870036757413</v>
      </c>
    </row>
    <row r="1238" spans="1:4">
      <c r="A1238">
        <v>1235</v>
      </c>
      <c r="B1238" s="12">
        <v>134.01989875013783</v>
      </c>
      <c r="C1238" s="12">
        <v>152.21082045090347</v>
      </c>
      <c r="D1238" s="12">
        <v>95.748924633078929</v>
      </c>
    </row>
    <row r="1239" spans="1:4">
      <c r="A1239">
        <v>1236</v>
      </c>
      <c r="B1239" s="12">
        <v>188.52217961717398</v>
      </c>
      <c r="C1239" s="12">
        <v>178.83281085069669</v>
      </c>
      <c r="D1239" s="12">
        <v>135.62822051021692</v>
      </c>
    </row>
    <row r="1240" spans="1:4">
      <c r="A1240">
        <v>1237</v>
      </c>
      <c r="B1240" s="12">
        <v>183.89909881481768</v>
      </c>
      <c r="C1240" s="12">
        <v>135.28745418157791</v>
      </c>
      <c r="D1240" s="12">
        <v>98.844637881054666</v>
      </c>
    </row>
    <row r="1241" spans="1:4">
      <c r="A1241">
        <v>1238</v>
      </c>
      <c r="B1241" s="12">
        <v>147.60702331848412</v>
      </c>
      <c r="C1241" s="12">
        <v>116.84834260706062</v>
      </c>
      <c r="D1241" s="12">
        <v>113.96627966133332</v>
      </c>
    </row>
    <row r="1242" spans="1:4">
      <c r="A1242">
        <v>1239</v>
      </c>
      <c r="B1242" s="12">
        <v>186.58422967554833</v>
      </c>
      <c r="C1242" s="12">
        <v>129.75494190880903</v>
      </c>
      <c r="D1242" s="12">
        <v>113.04902302015653</v>
      </c>
    </row>
    <row r="1243" spans="1:4">
      <c r="A1243">
        <v>1240</v>
      </c>
      <c r="B1243" s="12">
        <v>190.90610769908778</v>
      </c>
      <c r="C1243" s="12">
        <v>115.85547250749769</v>
      </c>
      <c r="D1243" s="12">
        <v>162.80097972856962</v>
      </c>
    </row>
    <row r="1244" spans="1:4">
      <c r="A1244">
        <v>1241</v>
      </c>
      <c r="B1244" s="12">
        <v>175.12163519306995</v>
      </c>
      <c r="C1244" s="12">
        <v>188.43137016427889</v>
      </c>
      <c r="D1244" s="12">
        <v>92.09240415830989</v>
      </c>
    </row>
    <row r="1245" spans="1:4">
      <c r="A1245">
        <v>1242</v>
      </c>
      <c r="B1245" s="12">
        <v>151.48872949093317</v>
      </c>
      <c r="C1245" s="12">
        <v>190.92996024222035</v>
      </c>
      <c r="D1245" s="12">
        <v>67.292443047823511</v>
      </c>
    </row>
    <row r="1246" spans="1:4">
      <c r="A1246">
        <v>1243</v>
      </c>
      <c r="B1246" s="12">
        <v>145.02162145286653</v>
      </c>
      <c r="C1246" s="12">
        <v>182.98288397587885</v>
      </c>
      <c r="D1246" s="12">
        <v>81.978209123802813</v>
      </c>
    </row>
    <row r="1247" spans="1:4">
      <c r="A1247">
        <v>1244</v>
      </c>
      <c r="B1247" s="12">
        <v>201.79785003190608</v>
      </c>
      <c r="C1247" s="12">
        <v>142.59898948761975</v>
      </c>
      <c r="D1247" s="12">
        <v>110.08693976015307</v>
      </c>
    </row>
    <row r="1248" spans="1:4">
      <c r="A1248">
        <v>1245</v>
      </c>
      <c r="B1248" s="12">
        <v>126.46213353036302</v>
      </c>
      <c r="C1248" s="12">
        <v>164.38490686748739</v>
      </c>
      <c r="D1248" s="12">
        <v>133.83055887694232</v>
      </c>
    </row>
    <row r="1249" spans="1:4">
      <c r="A1249">
        <v>1246</v>
      </c>
      <c r="B1249" s="12">
        <v>187.98216162776262</v>
      </c>
      <c r="C1249" s="12">
        <v>126.34950317693047</v>
      </c>
      <c r="D1249" s="12">
        <v>122.23877468200111</v>
      </c>
    </row>
    <row r="1250" spans="1:4">
      <c r="A1250">
        <v>1247</v>
      </c>
      <c r="B1250" s="12">
        <v>134.88823581214086</v>
      </c>
      <c r="C1250" s="12">
        <v>189.08827352563748</v>
      </c>
      <c r="D1250" s="12">
        <v>71.082827056838951</v>
      </c>
    </row>
    <row r="1251" spans="1:4">
      <c r="A1251">
        <v>1248</v>
      </c>
      <c r="B1251" s="12">
        <v>135.59003952604439</v>
      </c>
      <c r="C1251" s="12">
        <v>131.14442720325141</v>
      </c>
      <c r="D1251" s="12">
        <v>91.131085742358195</v>
      </c>
    </row>
    <row r="1252" spans="1:4">
      <c r="A1252">
        <v>1249</v>
      </c>
      <c r="B1252" s="12">
        <v>181.81773862965335</v>
      </c>
      <c r="C1252" s="12">
        <v>212.75970369732039</v>
      </c>
      <c r="D1252" s="12">
        <v>73.240433012975785</v>
      </c>
    </row>
    <row r="1253" spans="1:4">
      <c r="A1253">
        <v>1250</v>
      </c>
      <c r="B1253" s="12">
        <v>128.33216148314114</v>
      </c>
      <c r="C1253" s="12">
        <v>145.05673973660768</v>
      </c>
      <c r="D1253" s="12">
        <v>124.19044246897242</v>
      </c>
    </row>
    <row r="1254" spans="1:4">
      <c r="A1254">
        <v>1251</v>
      </c>
      <c r="B1254" s="12">
        <v>181.34258597204234</v>
      </c>
      <c r="C1254" s="12">
        <v>139.93462794781601</v>
      </c>
      <c r="D1254" s="12">
        <v>86.174471652065648</v>
      </c>
    </row>
    <row r="1255" spans="1:4">
      <c r="A1255">
        <v>1252</v>
      </c>
      <c r="B1255" s="12">
        <v>222.42190741311126</v>
      </c>
      <c r="C1255" s="12">
        <v>117.75968397758419</v>
      </c>
      <c r="D1255" s="12">
        <v>93.9180058941634</v>
      </c>
    </row>
    <row r="1256" spans="1:4">
      <c r="A1256">
        <v>1253</v>
      </c>
      <c r="B1256" s="12">
        <v>168.22119677902165</v>
      </c>
      <c r="C1256" s="12">
        <v>146.79025974676873</v>
      </c>
      <c r="D1256" s="12">
        <v>166.93353584420896</v>
      </c>
    </row>
    <row r="1257" spans="1:4">
      <c r="A1257">
        <v>1254</v>
      </c>
      <c r="B1257" s="12">
        <v>211.5499090552907</v>
      </c>
      <c r="C1257" s="12">
        <v>188.02108146428458</v>
      </c>
      <c r="D1257" s="12">
        <v>133.41222878865545</v>
      </c>
    </row>
    <row r="1258" spans="1:4">
      <c r="A1258">
        <v>1255</v>
      </c>
      <c r="B1258" s="12">
        <v>237.82122517954343</v>
      </c>
      <c r="C1258" s="12">
        <v>165.88715444847702</v>
      </c>
      <c r="D1258" s="12">
        <v>124.97169013118925</v>
      </c>
    </row>
    <row r="1259" spans="1:4">
      <c r="A1259">
        <v>1256</v>
      </c>
      <c r="B1259" s="12">
        <v>228.83431824168002</v>
      </c>
      <c r="C1259" s="12">
        <v>139.75740285045066</v>
      </c>
      <c r="D1259" s="12">
        <v>121.79949223894062</v>
      </c>
    </row>
    <row r="1260" spans="1:4">
      <c r="A1260">
        <v>1257</v>
      </c>
      <c r="B1260" s="12">
        <v>189.42148969247907</v>
      </c>
      <c r="C1260" s="12">
        <v>122.08734750255861</v>
      </c>
      <c r="D1260" s="12">
        <v>135.18074891400354</v>
      </c>
    </row>
    <row r="1261" spans="1:4">
      <c r="A1261">
        <v>1258</v>
      </c>
      <c r="B1261" s="12">
        <v>223.80428050166617</v>
      </c>
      <c r="C1261" s="12">
        <v>173.44798594786278</v>
      </c>
      <c r="D1261" s="12">
        <v>82.747259575391709</v>
      </c>
    </row>
    <row r="1262" spans="1:4">
      <c r="A1262">
        <v>1259</v>
      </c>
      <c r="B1262" s="12">
        <v>196.32088506532344</v>
      </c>
      <c r="C1262" s="12">
        <v>148.58688843280814</v>
      </c>
      <c r="D1262" s="12">
        <v>90.167088895882415</v>
      </c>
    </row>
    <row r="1263" spans="1:4">
      <c r="A1263">
        <v>1260</v>
      </c>
      <c r="B1263" s="12">
        <v>87.529218775732161</v>
      </c>
      <c r="C1263" s="12">
        <v>175.3854838322699</v>
      </c>
      <c r="D1263" s="12">
        <v>77.909369991800432</v>
      </c>
    </row>
    <row r="1264" spans="1:4">
      <c r="A1264">
        <v>1261</v>
      </c>
      <c r="B1264" s="12">
        <v>282.65843255063265</v>
      </c>
      <c r="C1264" s="12">
        <v>178.55932144225704</v>
      </c>
      <c r="D1264" s="12">
        <v>68.652430757029279</v>
      </c>
    </row>
    <row r="1265" spans="1:4">
      <c r="A1265">
        <v>1262</v>
      </c>
      <c r="B1265" s="12">
        <v>141.99555145680529</v>
      </c>
      <c r="C1265" s="12">
        <v>200.78261056871358</v>
      </c>
      <c r="D1265" s="12">
        <v>153.21610041173318</v>
      </c>
    </row>
    <row r="1266" spans="1:4">
      <c r="A1266">
        <v>1263</v>
      </c>
      <c r="B1266" s="12">
        <v>182.29692809512255</v>
      </c>
      <c r="C1266" s="12">
        <v>168.43831325102585</v>
      </c>
      <c r="D1266" s="12">
        <v>81.387419345191603</v>
      </c>
    </row>
    <row r="1267" spans="1:4">
      <c r="A1267">
        <v>1264</v>
      </c>
      <c r="B1267" s="12">
        <v>151.85392586984844</v>
      </c>
      <c r="C1267" s="12">
        <v>163.37580970991695</v>
      </c>
      <c r="D1267" s="12">
        <v>77.250419386076373</v>
      </c>
    </row>
    <row r="1268" spans="1:4">
      <c r="A1268">
        <v>1265</v>
      </c>
      <c r="B1268" s="12">
        <v>166.54970167497018</v>
      </c>
      <c r="C1268" s="12">
        <v>131.74319864784474</v>
      </c>
      <c r="D1268" s="12">
        <v>107.91156593509174</v>
      </c>
    </row>
    <row r="1269" spans="1:4">
      <c r="A1269">
        <v>1266</v>
      </c>
      <c r="B1269" s="12">
        <v>239.31591833125034</v>
      </c>
      <c r="C1269" s="12">
        <v>135.08519000898099</v>
      </c>
      <c r="D1269" s="12">
        <v>160.62925227205264</v>
      </c>
    </row>
    <row r="1270" spans="1:4">
      <c r="A1270">
        <v>1267</v>
      </c>
      <c r="B1270" s="12">
        <v>220.27836032436156</v>
      </c>
      <c r="C1270" s="12">
        <v>176.40399020262538</v>
      </c>
      <c r="D1270" s="12">
        <v>75.207996638624891</v>
      </c>
    </row>
    <row r="1271" spans="1:4">
      <c r="A1271">
        <v>1268</v>
      </c>
      <c r="B1271" s="12">
        <v>119.20806280557591</v>
      </c>
      <c r="C1271" s="12">
        <v>156.76072175779422</v>
      </c>
      <c r="D1271" s="12">
        <v>80.595214623211447</v>
      </c>
    </row>
    <row r="1272" spans="1:4">
      <c r="A1272">
        <v>1269</v>
      </c>
      <c r="B1272" s="12">
        <v>154.74242834692049</v>
      </c>
      <c r="C1272" s="12">
        <v>157.17149408978739</v>
      </c>
      <c r="D1272" s="12">
        <v>97.155237069683707</v>
      </c>
    </row>
    <row r="1273" spans="1:4">
      <c r="A1273">
        <v>1270</v>
      </c>
      <c r="B1273" s="12">
        <v>180.57151095809644</v>
      </c>
      <c r="C1273" s="12">
        <v>107.72434536702781</v>
      </c>
      <c r="D1273" s="12">
        <v>59.853556896717883</v>
      </c>
    </row>
    <row r="1274" spans="1:4">
      <c r="A1274">
        <v>1271</v>
      </c>
      <c r="B1274" s="12">
        <v>156.67026178100852</v>
      </c>
      <c r="C1274" s="12">
        <v>153.25601792463871</v>
      </c>
      <c r="D1274" s="12">
        <v>110.9433989271642</v>
      </c>
    </row>
    <row r="1275" spans="1:4">
      <c r="A1275">
        <v>1272</v>
      </c>
      <c r="B1275" s="12">
        <v>121.97242002324933</v>
      </c>
      <c r="C1275" s="12">
        <v>171.62351022858394</v>
      </c>
      <c r="D1275" s="12">
        <v>87.166731464281156</v>
      </c>
    </row>
    <row r="1276" spans="1:4">
      <c r="A1276">
        <v>1273</v>
      </c>
      <c r="B1276" s="12">
        <v>172.47848737775828</v>
      </c>
      <c r="C1276" s="12">
        <v>138.45042809495266</v>
      </c>
      <c r="D1276" s="12">
        <v>90.432238347753881</v>
      </c>
    </row>
    <row r="1277" spans="1:4">
      <c r="A1277">
        <v>1274</v>
      </c>
      <c r="B1277" s="12">
        <v>185.735020436447</v>
      </c>
      <c r="C1277" s="12">
        <v>186.78832825354954</v>
      </c>
      <c r="D1277" s="12">
        <v>113.26967032048476</v>
      </c>
    </row>
    <row r="1278" spans="1:4">
      <c r="A1278">
        <v>1275</v>
      </c>
      <c r="B1278" s="12">
        <v>142.62952777248731</v>
      </c>
      <c r="C1278" s="12">
        <v>135.60050203033319</v>
      </c>
      <c r="D1278" s="12">
        <v>80.095347201775013</v>
      </c>
    </row>
    <row r="1279" spans="1:4">
      <c r="A1279">
        <v>1276</v>
      </c>
      <c r="B1279" s="12">
        <v>130.88772724100403</v>
      </c>
      <c r="C1279" s="12">
        <v>140.92888621524082</v>
      </c>
      <c r="D1279" s="12">
        <v>176.04257608826018</v>
      </c>
    </row>
    <row r="1280" spans="1:4">
      <c r="A1280">
        <v>1277</v>
      </c>
      <c r="B1280" s="12">
        <v>204.59799557593686</v>
      </c>
      <c r="C1280" s="12">
        <v>219.05408984146356</v>
      </c>
      <c r="D1280" s="12">
        <v>104.75372289673784</v>
      </c>
    </row>
    <row r="1281" spans="1:4">
      <c r="A1281">
        <v>1278</v>
      </c>
      <c r="B1281" s="12">
        <v>118.5156870064796</v>
      </c>
      <c r="C1281" s="12">
        <v>177.46048885346045</v>
      </c>
      <c r="D1281" s="12">
        <v>72.189546423334335</v>
      </c>
    </row>
    <row r="1282" spans="1:4">
      <c r="A1282">
        <v>1279</v>
      </c>
      <c r="B1282" s="12">
        <v>132.10815242456189</v>
      </c>
      <c r="C1282" s="12">
        <v>138.73569100774358</v>
      </c>
      <c r="D1282" s="12">
        <v>68.150962724370771</v>
      </c>
    </row>
    <row r="1283" spans="1:4">
      <c r="A1283">
        <v>1280</v>
      </c>
      <c r="B1283" s="12">
        <v>167.57743925554655</v>
      </c>
      <c r="C1283" s="12">
        <v>128.68592635215165</v>
      </c>
      <c r="D1283" s="12">
        <v>115.86610088556883</v>
      </c>
    </row>
    <row r="1284" spans="1:4">
      <c r="A1284">
        <v>1281</v>
      </c>
      <c r="B1284" s="12">
        <v>153.18188836372246</v>
      </c>
      <c r="C1284" s="12">
        <v>144.13109083433304</v>
      </c>
      <c r="D1284" s="12">
        <v>70.64687065695</v>
      </c>
    </row>
    <row r="1285" spans="1:4">
      <c r="A1285">
        <v>1282</v>
      </c>
      <c r="B1285" s="12">
        <v>161.53884442773148</v>
      </c>
      <c r="C1285" s="12">
        <v>143.45233502663197</v>
      </c>
      <c r="D1285" s="12">
        <v>73.869169023416092</v>
      </c>
    </row>
    <row r="1286" spans="1:4">
      <c r="A1286">
        <v>1283</v>
      </c>
      <c r="B1286" s="12">
        <v>152.81729450841996</v>
      </c>
      <c r="C1286" s="12">
        <v>161.24302222246251</v>
      </c>
      <c r="D1286" s="12">
        <v>84.433123419807387</v>
      </c>
    </row>
    <row r="1287" spans="1:4">
      <c r="A1287">
        <v>1284</v>
      </c>
      <c r="B1287" s="12">
        <v>139.92308391177556</v>
      </c>
      <c r="C1287" s="12">
        <v>109.93985416730027</v>
      </c>
      <c r="D1287" s="12">
        <v>119.98212374802299</v>
      </c>
    </row>
    <row r="1288" spans="1:4">
      <c r="A1288">
        <v>1285</v>
      </c>
      <c r="B1288" s="12">
        <v>141.35717077623011</v>
      </c>
      <c r="C1288" s="12">
        <v>168.74709586725854</v>
      </c>
      <c r="D1288" s="12">
        <v>154.17810032777004</v>
      </c>
    </row>
    <row r="1289" spans="1:4">
      <c r="A1289">
        <v>1286</v>
      </c>
      <c r="B1289" s="12">
        <v>136.01350164369831</v>
      </c>
      <c r="C1289" s="12">
        <v>184.3608318337551</v>
      </c>
      <c r="D1289" s="12">
        <v>79.589050163158774</v>
      </c>
    </row>
    <row r="1290" spans="1:4">
      <c r="A1290">
        <v>1287</v>
      </c>
      <c r="B1290" s="12">
        <v>226.21539949862955</v>
      </c>
      <c r="C1290" s="12">
        <v>105.88464996443204</v>
      </c>
      <c r="D1290" s="12">
        <v>100.28409119417422</v>
      </c>
    </row>
    <row r="1291" spans="1:4">
      <c r="A1291">
        <v>1288</v>
      </c>
      <c r="B1291" s="12">
        <v>141.60696863126856</v>
      </c>
      <c r="C1291" s="12">
        <v>137.97775997059796</v>
      </c>
      <c r="D1291" s="12">
        <v>71.777538258860147</v>
      </c>
    </row>
    <row r="1292" spans="1:4">
      <c r="A1292">
        <v>1289</v>
      </c>
      <c r="B1292" s="12">
        <v>158.60647154820302</v>
      </c>
      <c r="C1292" s="12">
        <v>149.39057539773091</v>
      </c>
      <c r="D1292" s="12">
        <v>131.1500718714247</v>
      </c>
    </row>
    <row r="1293" spans="1:4">
      <c r="A1293">
        <v>1290</v>
      </c>
      <c r="B1293" s="12">
        <v>140.31955549107721</v>
      </c>
      <c r="C1293" s="12">
        <v>171.28913411018146</v>
      </c>
      <c r="D1293" s="12">
        <v>132.14632793311472</v>
      </c>
    </row>
    <row r="1294" spans="1:4">
      <c r="A1294">
        <v>1291</v>
      </c>
      <c r="B1294" s="12">
        <v>192.4404274533016</v>
      </c>
      <c r="C1294" s="12">
        <v>257.37119442920886</v>
      </c>
      <c r="D1294" s="12">
        <v>65.798430886897947</v>
      </c>
    </row>
    <row r="1295" spans="1:4">
      <c r="A1295">
        <v>1292</v>
      </c>
      <c r="B1295" s="12">
        <v>147.97720537267801</v>
      </c>
      <c r="C1295" s="12">
        <v>173.09447861692226</v>
      </c>
      <c r="D1295" s="12">
        <v>123.72368007276302</v>
      </c>
    </row>
    <row r="1296" spans="1:4">
      <c r="A1296">
        <v>1293</v>
      </c>
      <c r="B1296" s="12">
        <v>246.49858168084305</v>
      </c>
      <c r="C1296" s="12">
        <v>132.45305344757361</v>
      </c>
      <c r="D1296" s="12">
        <v>65.188738416467785</v>
      </c>
    </row>
    <row r="1297" spans="1:4">
      <c r="A1297">
        <v>1294</v>
      </c>
      <c r="B1297" s="12">
        <v>173.9988899804319</v>
      </c>
      <c r="C1297" s="12">
        <v>194.32980082446969</v>
      </c>
      <c r="D1297" s="12">
        <v>85.723567456549077</v>
      </c>
    </row>
    <row r="1298" spans="1:4">
      <c r="A1298">
        <v>1295</v>
      </c>
      <c r="B1298" s="12">
        <v>179.3513159166487</v>
      </c>
      <c r="C1298" s="12">
        <v>118.30761524200408</v>
      </c>
      <c r="D1298" s="12">
        <v>149.63557103179298</v>
      </c>
    </row>
    <row r="1299" spans="1:4">
      <c r="A1299">
        <v>1296</v>
      </c>
      <c r="B1299" s="12">
        <v>186.2509609442354</v>
      </c>
      <c r="C1299" s="12">
        <v>145.30916053838686</v>
      </c>
      <c r="D1299" s="12">
        <v>100.73552451081505</v>
      </c>
    </row>
    <row r="1300" spans="1:4">
      <c r="A1300">
        <v>1297</v>
      </c>
      <c r="B1300" s="12">
        <v>164.14211993562046</v>
      </c>
      <c r="C1300" s="12">
        <v>154.55059401252217</v>
      </c>
      <c r="D1300" s="12">
        <v>106.01293132624708</v>
      </c>
    </row>
    <row r="1301" spans="1:4">
      <c r="A1301">
        <v>1298</v>
      </c>
      <c r="B1301" s="12">
        <v>143.64149636739472</v>
      </c>
      <c r="C1301" s="12">
        <v>133.02027664088703</v>
      </c>
      <c r="D1301" s="12">
        <v>86.895234104470802</v>
      </c>
    </row>
    <row r="1302" spans="1:4">
      <c r="A1302">
        <v>1299</v>
      </c>
      <c r="B1302" s="12">
        <v>213.17938050263723</v>
      </c>
      <c r="C1302" s="12">
        <v>130.52929941595153</v>
      </c>
      <c r="D1302" s="12">
        <v>72.848414147340321</v>
      </c>
    </row>
    <row r="1303" spans="1:4">
      <c r="A1303">
        <v>1300</v>
      </c>
      <c r="B1303" s="12">
        <v>155.7056505490963</v>
      </c>
      <c r="C1303" s="12">
        <v>155.20113243931172</v>
      </c>
      <c r="D1303" s="12">
        <v>103.70229736136517</v>
      </c>
    </row>
    <row r="1304" spans="1:4">
      <c r="A1304">
        <v>1301</v>
      </c>
      <c r="B1304" s="12">
        <v>152.45258902325898</v>
      </c>
      <c r="C1304" s="12">
        <v>185.82670117799844</v>
      </c>
      <c r="D1304" s="12">
        <v>77.036371251189891</v>
      </c>
    </row>
    <row r="1305" spans="1:4">
      <c r="A1305">
        <v>1302</v>
      </c>
      <c r="B1305" s="12">
        <v>103.60937718450197</v>
      </c>
      <c r="C1305" s="12">
        <v>169.89312083045402</v>
      </c>
      <c r="D1305" s="12">
        <v>91.395347737128375</v>
      </c>
    </row>
    <row r="1306" spans="1:4">
      <c r="A1306">
        <v>1303</v>
      </c>
      <c r="B1306" s="12">
        <v>154.37786188577547</v>
      </c>
      <c r="C1306" s="12">
        <v>178.13789686222481</v>
      </c>
      <c r="D1306" s="12">
        <v>90.697101558506887</v>
      </c>
    </row>
    <row r="1307" spans="1:4">
      <c r="A1307">
        <v>1304</v>
      </c>
      <c r="B1307" s="12">
        <v>157.27057516590858</v>
      </c>
      <c r="C1307" s="12">
        <v>169.57477154932363</v>
      </c>
      <c r="D1307" s="12">
        <v>144.44235544261591</v>
      </c>
    </row>
    <row r="1308" spans="1:4">
      <c r="A1308">
        <v>1305</v>
      </c>
      <c r="B1308" s="12">
        <v>145.3980098002948</v>
      </c>
      <c r="C1308" s="12">
        <v>159.86131464568504</v>
      </c>
      <c r="D1308" s="12">
        <v>88.760713262289727</v>
      </c>
    </row>
    <row r="1309" spans="1:4">
      <c r="A1309">
        <v>1306</v>
      </c>
      <c r="B1309" s="12">
        <v>115.28766083108768</v>
      </c>
      <c r="C1309" s="12">
        <v>160.81071261938988</v>
      </c>
      <c r="D1309" s="12">
        <v>57.627043596713015</v>
      </c>
    </row>
    <row r="1310" spans="1:4">
      <c r="A1310">
        <v>1307</v>
      </c>
      <c r="B1310" s="12">
        <v>301.32671414097894</v>
      </c>
      <c r="C1310" s="12">
        <v>157.42268608682048</v>
      </c>
      <c r="D1310" s="12">
        <v>78.117563470264486</v>
      </c>
    </row>
    <row r="1311" spans="1:4">
      <c r="A1311">
        <v>1308</v>
      </c>
      <c r="B1311" s="12">
        <v>163.52086441592226</v>
      </c>
      <c r="C1311" s="12">
        <v>139.19925517773532</v>
      </c>
      <c r="D1311" s="12">
        <v>88.321217262970464</v>
      </c>
    </row>
    <row r="1312" spans="1:4">
      <c r="A1312">
        <v>1309</v>
      </c>
      <c r="B1312" s="12">
        <v>199.88743303358041</v>
      </c>
      <c r="C1312" s="12">
        <v>144.64096979333618</v>
      </c>
      <c r="D1312" s="12">
        <v>102.94970691191457</v>
      </c>
    </row>
    <row r="1313" spans="1:4">
      <c r="A1313">
        <v>1310</v>
      </c>
      <c r="B1313" s="12">
        <v>155.34074339130217</v>
      </c>
      <c r="C1313" s="12">
        <v>175.00889278992577</v>
      </c>
      <c r="D1313" s="12">
        <v>117.09549199923416</v>
      </c>
    </row>
    <row r="1314" spans="1:4">
      <c r="A1314">
        <v>1311</v>
      </c>
      <c r="B1314" s="12">
        <v>129.14416188555649</v>
      </c>
      <c r="C1314" s="12">
        <v>160.12079858733983</v>
      </c>
      <c r="D1314" s="12">
        <v>64.549989375191601</v>
      </c>
    </row>
    <row r="1315" spans="1:4">
      <c r="A1315">
        <v>1312</v>
      </c>
      <c r="B1315" s="12">
        <v>217.10474643855923</v>
      </c>
      <c r="C1315" s="12">
        <v>179.70557372912972</v>
      </c>
      <c r="D1315" s="12">
        <v>64.123678652951241</v>
      </c>
    </row>
    <row r="1316" spans="1:4">
      <c r="A1316">
        <v>1313</v>
      </c>
      <c r="B1316" s="12">
        <v>150.8890238729619</v>
      </c>
      <c r="C1316" s="12">
        <v>165.59891817540739</v>
      </c>
      <c r="D1316" s="12">
        <v>67.633297463904356</v>
      </c>
    </row>
    <row r="1317" spans="1:4">
      <c r="A1317">
        <v>1314</v>
      </c>
      <c r="B1317" s="12">
        <v>202.54666134404644</v>
      </c>
      <c r="C1317" s="12">
        <v>111.69240602035643</v>
      </c>
      <c r="D1317" s="12">
        <v>98.131793779687399</v>
      </c>
    </row>
    <row r="1318" spans="1:4">
      <c r="A1318">
        <v>1315</v>
      </c>
      <c r="B1318" s="12">
        <v>150.52304543651823</v>
      </c>
      <c r="C1318" s="12">
        <v>197.78794242367917</v>
      </c>
      <c r="D1318" s="12">
        <v>169.92562605275202</v>
      </c>
    </row>
    <row r="1319" spans="1:4">
      <c r="A1319">
        <v>1316</v>
      </c>
      <c r="B1319" s="12">
        <v>171.80301128175233</v>
      </c>
      <c r="C1319" s="12">
        <v>221.81185878567734</v>
      </c>
      <c r="D1319" s="12">
        <v>69.908867269774447</v>
      </c>
    </row>
    <row r="1320" spans="1:4">
      <c r="A1320">
        <v>1317</v>
      </c>
      <c r="B1320" s="12">
        <v>138.86601778906098</v>
      </c>
      <c r="C1320" s="12">
        <v>119.11545305192936</v>
      </c>
      <c r="D1320" s="12">
        <v>111.27196978856924</v>
      </c>
    </row>
    <row r="1321" spans="1:4">
      <c r="A1321">
        <v>1318</v>
      </c>
      <c r="B1321" s="12">
        <v>201.06330745578819</v>
      </c>
      <c r="C1321" s="12">
        <v>181.20511489565007</v>
      </c>
      <c r="D1321" s="12">
        <v>126.27260306118056</v>
      </c>
    </row>
    <row r="1322" spans="1:4">
      <c r="A1322">
        <v>1319</v>
      </c>
      <c r="B1322" s="12">
        <v>217.84644779253358</v>
      </c>
      <c r="C1322" s="12">
        <v>145.97230599810581</v>
      </c>
      <c r="D1322" s="12">
        <v>98.574186943099463</v>
      </c>
    </row>
    <row r="1323" spans="1:4">
      <c r="A1323">
        <v>1320</v>
      </c>
      <c r="B1323" s="12">
        <v>173.57818983606788</v>
      </c>
      <c r="C1323" s="12">
        <v>136.10721623259028</v>
      </c>
      <c r="D1323" s="12">
        <v>96.717213499018257</v>
      </c>
    </row>
    <row r="1324" spans="1:4">
      <c r="A1324">
        <v>1321</v>
      </c>
      <c r="B1324" s="12">
        <v>156.30474532592967</v>
      </c>
      <c r="C1324" s="12">
        <v>172.17940418022218</v>
      </c>
      <c r="D1324" s="12">
        <v>127.63256427662243</v>
      </c>
    </row>
    <row r="1325" spans="1:4">
      <c r="A1325">
        <v>1322</v>
      </c>
      <c r="B1325" s="12">
        <v>209.66229378830386</v>
      </c>
      <c r="C1325" s="12">
        <v>169.2591607099661</v>
      </c>
      <c r="D1325" s="12">
        <v>78.962395023307835</v>
      </c>
    </row>
    <row r="1326" spans="1:4">
      <c r="A1326">
        <v>1323</v>
      </c>
      <c r="B1326" s="12">
        <v>160.55669633609202</v>
      </c>
      <c r="C1326" s="12">
        <v>145.47046433245566</v>
      </c>
      <c r="D1326" s="12">
        <v>61.36465810168071</v>
      </c>
    </row>
    <row r="1327" spans="1:4">
      <c r="A1327">
        <v>1324</v>
      </c>
      <c r="B1327" s="12">
        <v>181.04029673140639</v>
      </c>
      <c r="C1327" s="12">
        <v>170.95800972006873</v>
      </c>
      <c r="D1327" s="12">
        <v>73.487976037070311</v>
      </c>
    </row>
    <row r="1328" spans="1:4">
      <c r="A1328">
        <v>1325</v>
      </c>
      <c r="B1328" s="12">
        <v>179.81048087418415</v>
      </c>
      <c r="C1328" s="12">
        <v>173.67653398027949</v>
      </c>
      <c r="D1328" s="12">
        <v>60.470156003150919</v>
      </c>
    </row>
    <row r="1329" spans="1:4">
      <c r="A1329">
        <v>1326</v>
      </c>
      <c r="B1329" s="12">
        <v>244.57628861081724</v>
      </c>
      <c r="C1329" s="12">
        <v>163.65100832357192</v>
      </c>
      <c r="D1329" s="12">
        <v>139.64764221202151</v>
      </c>
    </row>
    <row r="1330" spans="1:4">
      <c r="A1330">
        <v>1327</v>
      </c>
      <c r="B1330" s="12">
        <v>151.25467129041277</v>
      </c>
      <c r="C1330" s="12">
        <v>148.095460283747</v>
      </c>
      <c r="D1330" s="12">
        <v>142.84926029950577</v>
      </c>
    </row>
    <row r="1331" spans="1:4">
      <c r="A1331">
        <v>1328</v>
      </c>
      <c r="B1331" s="12">
        <v>116.08550073837313</v>
      </c>
      <c r="C1331" s="12">
        <v>143.71017464988179</v>
      </c>
      <c r="D1331" s="12">
        <v>132.77188349936444</v>
      </c>
    </row>
    <row r="1332" spans="1:4">
      <c r="A1332">
        <v>1329</v>
      </c>
      <c r="B1332" s="12">
        <v>137.11706967107526</v>
      </c>
      <c r="C1332" s="12">
        <v>180.44421278089655</v>
      </c>
      <c r="D1332" s="12">
        <v>86.448122957110343</v>
      </c>
    </row>
    <row r="1333" spans="1:4">
      <c r="A1333">
        <v>1330</v>
      </c>
      <c r="B1333" s="12">
        <v>175.82830714710857</v>
      </c>
      <c r="C1333" s="12">
        <v>130.77151625013744</v>
      </c>
      <c r="D1333" s="12">
        <v>110.40943392402797</v>
      </c>
    </row>
    <row r="1334" spans="1:4">
      <c r="A1334">
        <v>1331</v>
      </c>
      <c r="B1334" s="12">
        <v>207.31586806833045</v>
      </c>
      <c r="C1334" s="12">
        <v>171.8394515427031</v>
      </c>
      <c r="D1334" s="12">
        <v>70.200564369650479</v>
      </c>
    </row>
    <row r="1335" spans="1:4">
      <c r="A1335">
        <v>1332</v>
      </c>
      <c r="B1335" s="12">
        <v>192.0634074379636</v>
      </c>
      <c r="C1335" s="12">
        <v>136.71417807189155</v>
      </c>
      <c r="D1335" s="12">
        <v>140.48643213893254</v>
      </c>
    </row>
    <row r="1336" spans="1:4">
      <c r="A1336">
        <v>1333</v>
      </c>
      <c r="B1336" s="12">
        <v>121.57702380876054</v>
      </c>
      <c r="C1336" s="12">
        <v>137.20384657389587</v>
      </c>
      <c r="D1336" s="12">
        <v>74.847364895428655</v>
      </c>
    </row>
    <row r="1337" spans="1:4">
      <c r="A1337">
        <v>1334</v>
      </c>
      <c r="B1337" s="12">
        <v>149.92181186292214</v>
      </c>
      <c r="C1337" s="12">
        <v>167.93699728199468</v>
      </c>
      <c r="D1337" s="12">
        <v>172.10010399872144</v>
      </c>
    </row>
    <row r="1338" spans="1:4">
      <c r="A1338">
        <v>1335</v>
      </c>
      <c r="B1338" s="12">
        <v>124.68239860500339</v>
      </c>
      <c r="C1338" s="12">
        <v>132.10076131114118</v>
      </c>
      <c r="D1338" s="12">
        <v>89.027934988950022</v>
      </c>
    </row>
    <row r="1339" spans="1:4">
      <c r="A1339">
        <v>1336</v>
      </c>
      <c r="B1339" s="12">
        <v>194.64672560514282</v>
      </c>
      <c r="C1339" s="12">
        <v>167.6345026037867</v>
      </c>
      <c r="D1339" s="12">
        <v>83.687424072232119</v>
      </c>
    </row>
    <row r="1340" spans="1:4">
      <c r="A1340">
        <v>1337</v>
      </c>
      <c r="B1340" s="12">
        <v>143.01394708054983</v>
      </c>
      <c r="C1340" s="12">
        <v>192.95647941968252</v>
      </c>
      <c r="D1340" s="12">
        <v>62.190546141047612</v>
      </c>
    </row>
    <row r="1341" spans="1:4">
      <c r="A1341">
        <v>1338</v>
      </c>
      <c r="B1341" s="12">
        <v>153.77988351214518</v>
      </c>
      <c r="C1341" s="12">
        <v>159.18053857647303</v>
      </c>
      <c r="D1341" s="12">
        <v>90.866622101620194</v>
      </c>
    </row>
    <row r="1342" spans="1:4">
      <c r="A1342">
        <v>1339</v>
      </c>
      <c r="B1342" s="12">
        <v>249.80261915802492</v>
      </c>
      <c r="C1342" s="12">
        <v>186.40785827515998</v>
      </c>
      <c r="D1342" s="12">
        <v>139.12481864456876</v>
      </c>
    </row>
    <row r="1343" spans="1:4">
      <c r="A1343">
        <v>1340</v>
      </c>
      <c r="B1343" s="12">
        <v>206.76913072503723</v>
      </c>
      <c r="C1343" s="12">
        <v>202.06435536279648</v>
      </c>
      <c r="D1343" s="12">
        <v>112.1513961518078</v>
      </c>
    </row>
    <row r="1344" spans="1:4">
      <c r="A1344">
        <v>1341</v>
      </c>
      <c r="B1344" s="12">
        <v>195.67903611145002</v>
      </c>
      <c r="C1344" s="12">
        <v>196.7721739424619</v>
      </c>
      <c r="D1344" s="12">
        <v>83.505123458413422</v>
      </c>
    </row>
    <row r="1345" spans="1:4">
      <c r="A1345">
        <v>1342</v>
      </c>
      <c r="B1345" s="12">
        <v>191.48106584810094</v>
      </c>
      <c r="C1345" s="12">
        <v>172.74486737480271</v>
      </c>
      <c r="D1345" s="12">
        <v>66.175308581701572</v>
      </c>
    </row>
    <row r="1346" spans="1:4">
      <c r="A1346">
        <v>1343</v>
      </c>
      <c r="B1346" s="12">
        <v>209.07868203039348</v>
      </c>
      <c r="C1346" s="12">
        <v>193.78192037687714</v>
      </c>
      <c r="D1346" s="12">
        <v>121.09132573148946</v>
      </c>
    </row>
    <row r="1347" spans="1:4">
      <c r="A1347">
        <v>1344</v>
      </c>
      <c r="B1347" s="12">
        <v>138.20126154514307</v>
      </c>
      <c r="C1347" s="12">
        <v>177.05565110985785</v>
      </c>
      <c r="D1347" s="12">
        <v>92.788832683032879</v>
      </c>
    </row>
    <row r="1348" spans="1:4">
      <c r="A1348">
        <v>1345</v>
      </c>
      <c r="B1348" s="12">
        <v>148.5830270788563</v>
      </c>
      <c r="C1348" s="12">
        <v>101.48719815742707</v>
      </c>
      <c r="D1348" s="12">
        <v>123.42830174584576</v>
      </c>
    </row>
    <row r="1349" spans="1:4">
      <c r="A1349">
        <v>1346</v>
      </c>
      <c r="B1349" s="12">
        <v>131.35396751185274</v>
      </c>
      <c r="C1349" s="12">
        <v>227.59879918530737</v>
      </c>
      <c r="D1349" s="12">
        <v>127.29687185132681</v>
      </c>
    </row>
    <row r="1350" spans="1:4">
      <c r="A1350">
        <v>1347</v>
      </c>
      <c r="B1350" s="12">
        <v>118.06128975381873</v>
      </c>
      <c r="C1350" s="12">
        <v>141.63740279546877</v>
      </c>
      <c r="D1350" s="12">
        <v>155.76883752065947</v>
      </c>
    </row>
    <row r="1351" spans="1:4">
      <c r="A1351">
        <v>1348</v>
      </c>
      <c r="B1351" s="12">
        <v>232.37338685643559</v>
      </c>
      <c r="C1351" s="12">
        <v>168.2418129795895</v>
      </c>
      <c r="D1351" s="12">
        <v>115.13576573938062</v>
      </c>
    </row>
    <row r="1352" spans="1:4">
      <c r="A1352">
        <v>1349</v>
      </c>
      <c r="B1352" s="12">
        <v>136.28310500908833</v>
      </c>
      <c r="C1352" s="12">
        <v>148.34134015557373</v>
      </c>
      <c r="D1352" s="12">
        <v>109.2457339749122</v>
      </c>
    </row>
    <row r="1353" spans="1:4">
      <c r="A1353">
        <v>1350</v>
      </c>
      <c r="B1353" s="12">
        <v>130.41625286083928</v>
      </c>
      <c r="C1353" s="12">
        <v>158.08913432828837</v>
      </c>
      <c r="D1353" s="12">
        <v>75.436381686639294</v>
      </c>
    </row>
    <row r="1354" spans="1:4">
      <c r="A1354">
        <v>1351</v>
      </c>
      <c r="B1354" s="12">
        <v>172.89309716458274</v>
      </c>
      <c r="C1354" s="12">
        <v>202.93846394323867</v>
      </c>
      <c r="D1354" s="12">
        <v>78.759358648451624</v>
      </c>
    </row>
    <row r="1355" spans="1:4">
      <c r="A1355">
        <v>1352</v>
      </c>
      <c r="B1355" s="12">
        <v>241.82146256249032</v>
      </c>
      <c r="C1355" s="12">
        <v>191.67336384416339</v>
      </c>
      <c r="D1355" s="12">
        <v>124.66430195623023</v>
      </c>
    </row>
    <row r="1356" spans="1:4">
      <c r="A1356">
        <v>1353</v>
      </c>
      <c r="B1356" s="12">
        <v>127.50178362431981</v>
      </c>
      <c r="C1356" s="12">
        <v>125.55610197737144</v>
      </c>
      <c r="D1356" s="12">
        <v>101.74558366955814</v>
      </c>
    </row>
    <row r="1357" spans="1:4">
      <c r="A1357">
        <v>1354</v>
      </c>
      <c r="B1357" s="12">
        <v>135.16333161747102</v>
      </c>
      <c r="C1357" s="12">
        <v>150.27968328832142</v>
      </c>
      <c r="D1357" s="12">
        <v>102.20479810642652</v>
      </c>
    </row>
    <row r="1358" spans="1:4">
      <c r="A1358">
        <v>1355</v>
      </c>
      <c r="B1358" s="12">
        <v>158.23893667230797</v>
      </c>
      <c r="C1358" s="12">
        <v>167.14309074679861</v>
      </c>
      <c r="D1358" s="12">
        <v>53.353105986391569</v>
      </c>
    </row>
    <row r="1359" spans="1:4">
      <c r="A1359">
        <v>1356</v>
      </c>
      <c r="B1359" s="12">
        <v>105.16341690295319</v>
      </c>
      <c r="C1359" s="12">
        <v>151.56710386463024</v>
      </c>
      <c r="D1359" s="12">
        <v>97.862872965834526</v>
      </c>
    </row>
    <row r="1360" spans="1:4">
      <c r="A1360">
        <v>1357</v>
      </c>
      <c r="B1360" s="12">
        <v>176.98142044483004</v>
      </c>
      <c r="C1360" s="12">
        <v>127.55490871211127</v>
      </c>
      <c r="D1360" s="12">
        <v>118.90780693190203</v>
      </c>
    </row>
    <row r="1361" spans="1:4">
      <c r="A1361">
        <v>1358</v>
      </c>
      <c r="B1361" s="12">
        <v>144.40169759780127</v>
      </c>
      <c r="C1361" s="12">
        <v>161.94522809590759</v>
      </c>
      <c r="D1361" s="12">
        <v>82.165865467163485</v>
      </c>
    </row>
    <row r="1362" spans="1:4">
      <c r="A1362">
        <v>1359</v>
      </c>
      <c r="B1362" s="12">
        <v>148.95148514934692</v>
      </c>
      <c r="C1362" s="12">
        <v>170.42155273499722</v>
      </c>
      <c r="D1362" s="12">
        <v>137.55888855146171</v>
      </c>
    </row>
    <row r="1363" spans="1:4">
      <c r="A1363">
        <v>1360</v>
      </c>
      <c r="B1363" s="12">
        <v>180.10645690742604</v>
      </c>
      <c r="C1363" s="12">
        <v>142.07278728500842</v>
      </c>
      <c r="D1363" s="12">
        <v>79.277069596105363</v>
      </c>
    </row>
    <row r="1364" spans="1:4">
      <c r="A1364">
        <v>1361</v>
      </c>
      <c r="B1364" s="12">
        <v>134.45588814327508</v>
      </c>
      <c r="C1364" s="12">
        <v>133.90759920783356</v>
      </c>
      <c r="D1364" s="12">
        <v>84.71324211010905</v>
      </c>
    </row>
    <row r="1365" spans="1:4">
      <c r="A1365">
        <v>1362</v>
      </c>
      <c r="B1365" s="12">
        <v>261.25198821043051</v>
      </c>
      <c r="C1365" s="12">
        <v>182.16557493721322</v>
      </c>
      <c r="D1365" s="12">
        <v>180.95461896976511</v>
      </c>
    </row>
    <row r="1366" spans="1:4">
      <c r="A1366">
        <v>1363</v>
      </c>
      <c r="B1366" s="12">
        <v>168.61568553303383</v>
      </c>
      <c r="C1366" s="12">
        <v>125.05322130038498</v>
      </c>
      <c r="D1366" s="12">
        <v>125.95185374979083</v>
      </c>
    </row>
    <row r="1367" spans="1:4">
      <c r="A1367">
        <v>1364</v>
      </c>
      <c r="B1367" s="12">
        <v>123.17170555048595</v>
      </c>
      <c r="C1367" s="12">
        <v>134.76658814386084</v>
      </c>
      <c r="D1367" s="12">
        <v>82.457400631550811</v>
      </c>
    </row>
    <row r="1368" spans="1:4">
      <c r="A1368">
        <v>1365</v>
      </c>
      <c r="B1368" s="12">
        <v>117.33347680771557</v>
      </c>
      <c r="C1368" s="12">
        <v>158.76059768725892</v>
      </c>
      <c r="D1368" s="12">
        <v>72.449228047062192</v>
      </c>
    </row>
    <row r="1369" spans="1:4">
      <c r="A1369">
        <v>1366</v>
      </c>
      <c r="B1369" s="12">
        <v>183.58258222374263</v>
      </c>
      <c r="C1369" s="12">
        <v>149.23388688633418</v>
      </c>
      <c r="D1369" s="12">
        <v>88.052585285667135</v>
      </c>
    </row>
    <row r="1370" spans="1:4">
      <c r="A1370">
        <v>1367</v>
      </c>
      <c r="B1370" s="12">
        <v>120.94778602314129</v>
      </c>
      <c r="C1370" s="12">
        <v>154.79666058183579</v>
      </c>
      <c r="D1370" s="12">
        <v>87.340247200872881</v>
      </c>
    </row>
    <row r="1371" spans="1:4">
      <c r="A1371">
        <v>1368</v>
      </c>
      <c r="B1371" s="12">
        <v>125.58460875200134</v>
      </c>
      <c r="C1371" s="12">
        <v>148.98907751353542</v>
      </c>
      <c r="D1371" s="12">
        <v>106.80320371749238</v>
      </c>
    </row>
    <row r="1372" spans="1:4">
      <c r="A1372">
        <v>1369</v>
      </c>
      <c r="B1372" s="12">
        <v>140.57246764073713</v>
      </c>
      <c r="C1372" s="12">
        <v>140.20989100179884</v>
      </c>
      <c r="D1372" s="12">
        <v>55.255263850329641</v>
      </c>
    </row>
    <row r="1373" spans="1:4">
      <c r="A1373">
        <v>1370</v>
      </c>
      <c r="B1373" s="12">
        <v>189.06833349213628</v>
      </c>
      <c r="C1373" s="12">
        <v>141.19838223406882</v>
      </c>
      <c r="D1373" s="12">
        <v>115.49920780659141</v>
      </c>
    </row>
    <row r="1374" spans="1:4">
      <c r="A1374">
        <v>1371</v>
      </c>
      <c r="B1374" s="12">
        <v>233.60342934279137</v>
      </c>
      <c r="C1374" s="12">
        <v>137.49892682078053</v>
      </c>
      <c r="D1374" s="12">
        <v>134.49704934938094</v>
      </c>
    </row>
    <row r="1375" spans="1:4">
      <c r="A1375">
        <v>1372</v>
      </c>
      <c r="B1375" s="12">
        <v>133.7386402749793</v>
      </c>
      <c r="C1375" s="12">
        <v>195.21786089662717</v>
      </c>
      <c r="D1375" s="12">
        <v>51.794872778973662</v>
      </c>
    </row>
    <row r="1376" spans="1:4">
      <c r="A1376">
        <v>1373</v>
      </c>
      <c r="B1376" s="12">
        <v>162.52665198643666</v>
      </c>
      <c r="C1376" s="12">
        <v>141.37024392338049</v>
      </c>
      <c r="D1376" s="12">
        <v>81.683756952574626</v>
      </c>
    </row>
    <row r="1377" spans="1:4">
      <c r="A1377">
        <v>1374</v>
      </c>
      <c r="B1377" s="12">
        <v>122.57848955244189</v>
      </c>
      <c r="C1377" s="12">
        <v>152.85516817791196</v>
      </c>
      <c r="D1377" s="12">
        <v>93.654146567638946</v>
      </c>
    </row>
    <row r="1378" spans="1:4">
      <c r="A1378">
        <v>1375</v>
      </c>
      <c r="B1378" s="12">
        <v>203.80792535564652</v>
      </c>
      <c r="C1378" s="12">
        <v>140.48348586290822</v>
      </c>
      <c r="D1378" s="12">
        <v>118.50943389662535</v>
      </c>
    </row>
    <row r="1379" spans="1:4">
      <c r="A1379">
        <v>1376</v>
      </c>
      <c r="B1379" s="12">
        <v>205.11302009695794</v>
      </c>
      <c r="C1379" s="12">
        <v>174.63702588008204</v>
      </c>
      <c r="D1379" s="12">
        <v>238.80271447223006</v>
      </c>
    </row>
    <row r="1380" spans="1:4">
      <c r="A1380">
        <v>1377</v>
      </c>
      <c r="B1380" s="12">
        <v>113.90777945264327</v>
      </c>
      <c r="C1380" s="12">
        <v>145.72171759233322</v>
      </c>
      <c r="D1380" s="12">
        <v>120.66695129043228</v>
      </c>
    </row>
    <row r="1381" spans="1:4">
      <c r="A1381">
        <v>1378</v>
      </c>
      <c r="B1381" s="12">
        <v>194.02947897989711</v>
      </c>
      <c r="C1381" s="12">
        <v>207.11552162819345</v>
      </c>
      <c r="D1381" s="12">
        <v>76.137175829765411</v>
      </c>
    </row>
    <row r="1382" spans="1:4">
      <c r="A1382">
        <v>1379</v>
      </c>
      <c r="B1382" s="12">
        <v>113.01685546040511</v>
      </c>
      <c r="C1382" s="12">
        <v>162.92741944650859</v>
      </c>
      <c r="D1382" s="12">
        <v>147.25442590313233</v>
      </c>
    </row>
    <row r="1383" spans="1:4">
      <c r="A1383">
        <v>1380</v>
      </c>
      <c r="B1383" s="12">
        <v>142.38249815302296</v>
      </c>
      <c r="C1383" s="12">
        <v>166.3641153644698</v>
      </c>
      <c r="D1383" s="12">
        <v>62.68932422009</v>
      </c>
    </row>
    <row r="1384" spans="1:4">
      <c r="A1384">
        <v>1381</v>
      </c>
      <c r="B1384" s="12">
        <v>227.78451407097808</v>
      </c>
      <c r="C1384" s="12">
        <v>170.74757006825735</v>
      </c>
      <c r="D1384" s="12">
        <v>89.294689615550226</v>
      </c>
    </row>
    <row r="1385" spans="1:4">
      <c r="A1385">
        <v>1382</v>
      </c>
      <c r="B1385" s="12">
        <v>163.14354439432793</v>
      </c>
      <c r="C1385" s="12">
        <v>156.51109282453911</v>
      </c>
      <c r="D1385" s="12">
        <v>99.289706396404128</v>
      </c>
    </row>
    <row r="1386" spans="1:4">
      <c r="A1386">
        <v>1383</v>
      </c>
      <c r="B1386" s="12">
        <v>170.32371476027598</v>
      </c>
      <c r="C1386" s="12">
        <v>142.76651377309975</v>
      </c>
      <c r="D1386" s="12">
        <v>76.699108725606521</v>
      </c>
    </row>
    <row r="1387" spans="1:4">
      <c r="A1387">
        <v>1384</v>
      </c>
      <c r="B1387" s="12">
        <v>144.02223484577561</v>
      </c>
      <c r="C1387" s="12">
        <v>187.39590413689453</v>
      </c>
      <c r="D1387" s="12">
        <v>74.244273484570101</v>
      </c>
    </row>
    <row r="1388" spans="1:4">
      <c r="A1388">
        <v>1385</v>
      </c>
      <c r="B1388" s="12">
        <v>124.11925455790499</v>
      </c>
      <c r="C1388" s="12">
        <v>150.92354950851802</v>
      </c>
      <c r="D1388" s="12">
        <v>100.00996881755326</v>
      </c>
    </row>
    <row r="1389" spans="1:4">
      <c r="A1389">
        <v>1386</v>
      </c>
      <c r="B1389" s="12">
        <v>167.18703705411497</v>
      </c>
      <c r="C1389" s="12">
        <v>148.74401136921506</v>
      </c>
      <c r="D1389" s="12">
        <v>136.34252082352489</v>
      </c>
    </row>
    <row r="1390" spans="1:4">
      <c r="A1390">
        <v>1387</v>
      </c>
      <c r="B1390" s="12">
        <v>130.1113843192409</v>
      </c>
      <c r="C1390" s="12">
        <v>113.99223577080532</v>
      </c>
      <c r="D1390" s="12">
        <v>116.85228933874218</v>
      </c>
    </row>
    <row r="1391" spans="1:4">
      <c r="A1391">
        <v>1388</v>
      </c>
      <c r="B1391" s="12">
        <v>150.28842713996275</v>
      </c>
      <c r="C1391" s="12">
        <v>150.03566374805428</v>
      </c>
      <c r="D1391" s="12">
        <v>126.78032272924362</v>
      </c>
    </row>
    <row r="1392" spans="1:4">
      <c r="A1392">
        <v>1389</v>
      </c>
      <c r="B1392" s="12">
        <v>149.31937667395971</v>
      </c>
      <c r="C1392" s="12">
        <v>151.96698944484567</v>
      </c>
      <c r="D1392" s="12">
        <v>116.47576065187839</v>
      </c>
    </row>
    <row r="1393" spans="1:4">
      <c r="A1393">
        <v>1390</v>
      </c>
      <c r="B1393" s="12">
        <v>221.09806210171661</v>
      </c>
      <c r="C1393" s="12">
        <v>143.96704476022094</v>
      </c>
      <c r="D1393" s="12">
        <v>105.23319763632134</v>
      </c>
    </row>
    <row r="1394" spans="1:4">
      <c r="A1394">
        <v>1391</v>
      </c>
      <c r="B1394" s="12">
        <v>146.62584369717857</v>
      </c>
      <c r="C1394" s="12">
        <v>122.69648097468969</v>
      </c>
      <c r="D1394" s="12">
        <v>106.31093245030478</v>
      </c>
    </row>
    <row r="1395" spans="1:4">
      <c r="A1395">
        <v>1392</v>
      </c>
      <c r="B1395" s="12">
        <v>101.85395818852896</v>
      </c>
      <c r="C1395" s="12">
        <v>237.85181581452716</v>
      </c>
      <c r="D1395" s="12">
        <v>102.48603969056268</v>
      </c>
    </row>
    <row r="1396" spans="1:4">
      <c r="A1396">
        <v>1393</v>
      </c>
      <c r="B1396" s="12">
        <v>131.6499771926056</v>
      </c>
      <c r="C1396" s="12">
        <v>156.10272727514757</v>
      </c>
      <c r="D1396" s="12">
        <v>82.932079606253239</v>
      </c>
    </row>
    <row r="1397" spans="1:4">
      <c r="A1397">
        <v>1394</v>
      </c>
      <c r="B1397" s="12">
        <v>146.0132263745881</v>
      </c>
      <c r="C1397" s="12">
        <v>179.26553809501632</v>
      </c>
      <c r="D1397" s="12">
        <v>88.589284407623978</v>
      </c>
    </row>
    <row r="1398" spans="1:4">
      <c r="A1398">
        <v>1395</v>
      </c>
      <c r="B1398" s="12">
        <v>166.16304583663668</v>
      </c>
      <c r="C1398" s="12">
        <v>150.67977336049373</v>
      </c>
      <c r="D1398" s="12">
        <v>122.9725996555938</v>
      </c>
    </row>
    <row r="1399" spans="1:4">
      <c r="A1399">
        <v>1396</v>
      </c>
      <c r="B1399" s="12">
        <v>185.22423716378484</v>
      </c>
      <c r="C1399" s="12">
        <v>132.67606538177014</v>
      </c>
      <c r="D1399" s="12">
        <v>105.52730101468561</v>
      </c>
    </row>
    <row r="1400" spans="1:4">
      <c r="A1400">
        <v>1397</v>
      </c>
      <c r="B1400" s="12">
        <v>112.08207184063481</v>
      </c>
      <c r="C1400" s="12">
        <v>189.7664988939413</v>
      </c>
      <c r="D1400" s="12">
        <v>128.70630540783699</v>
      </c>
    </row>
    <row r="1401" spans="1:4">
      <c r="A1401">
        <v>1398</v>
      </c>
      <c r="B1401" s="12">
        <v>111.45737797667954</v>
      </c>
      <c r="C1401" s="12">
        <v>147.69128935933782</v>
      </c>
      <c r="D1401" s="12">
        <v>111.81628052799763</v>
      </c>
    </row>
    <row r="1402" spans="1:4">
      <c r="A1402">
        <v>1399</v>
      </c>
      <c r="B1402" s="12">
        <v>116.58127592190863</v>
      </c>
      <c r="C1402" s="12">
        <v>180.90526095223134</v>
      </c>
      <c r="D1402" s="12">
        <v>56.779666861552364</v>
      </c>
    </row>
    <row r="1403" spans="1:4">
      <c r="A1403">
        <v>1400</v>
      </c>
      <c r="B1403" s="12">
        <v>159.57947796744148</v>
      </c>
      <c r="C1403" s="12">
        <v>147.44439312686578</v>
      </c>
      <c r="D1403" s="12">
        <v>151.79248042892814</v>
      </c>
    </row>
    <row r="1404" spans="1:4">
      <c r="A1404">
        <v>1401</v>
      </c>
      <c r="B1404" s="12">
        <v>253.57398506537993</v>
      </c>
      <c r="C1404" s="12">
        <v>161.50800221887275</v>
      </c>
      <c r="D1404" s="12">
        <v>184.89253169744111</v>
      </c>
    </row>
    <row r="1405" spans="1:4">
      <c r="A1405">
        <v>1402</v>
      </c>
      <c r="B1405" s="12">
        <v>119.88120042696946</v>
      </c>
      <c r="C1405" s="12">
        <v>139.47925538194423</v>
      </c>
      <c r="D1405" s="12">
        <v>63.427734968471654</v>
      </c>
    </row>
    <row r="1406" spans="1:4">
      <c r="A1406">
        <v>1403</v>
      </c>
      <c r="B1406" s="12">
        <v>177.42342905666766</v>
      </c>
      <c r="C1406" s="12">
        <v>179.99143267494699</v>
      </c>
      <c r="D1406" s="12">
        <v>130.55994773371705</v>
      </c>
    </row>
    <row r="1407" spans="1:4">
      <c r="A1407">
        <v>1404</v>
      </c>
      <c r="B1407" s="12">
        <v>197.39577556733639</v>
      </c>
      <c r="C1407" s="12">
        <v>190.21292194776507</v>
      </c>
      <c r="D1407" s="12">
        <v>89.997084012341134</v>
      </c>
    </row>
    <row r="1408" spans="1:4">
      <c r="A1408">
        <v>1405</v>
      </c>
      <c r="B1408" s="12">
        <v>160.18607287119536</v>
      </c>
      <c r="C1408" s="12">
        <v>162.65591210502424</v>
      </c>
      <c r="D1408" s="12">
        <v>79.787527393339701</v>
      </c>
    </row>
    <row r="1409" spans="1:4">
      <c r="A1409">
        <v>1406</v>
      </c>
      <c r="B1409" s="12">
        <v>157.63696767849865</v>
      </c>
      <c r="C1409" s="12">
        <v>151.32338968715393</v>
      </c>
      <c r="D1409" s="12">
        <v>119.57133339538863</v>
      </c>
    </row>
    <row r="1410" spans="1:4">
      <c r="A1410">
        <v>1407</v>
      </c>
      <c r="B1410" s="12">
        <v>199.18748089800241</v>
      </c>
      <c r="C1410" s="12">
        <v>185.26031990732153</v>
      </c>
      <c r="D1410" s="12">
        <v>116.10297347180612</v>
      </c>
    </row>
    <row r="1411" spans="1:4">
      <c r="A1411">
        <v>1408</v>
      </c>
      <c r="B1411" s="12">
        <v>132.84989653625777</v>
      </c>
      <c r="C1411" s="12">
        <v>154.14762141461622</v>
      </c>
      <c r="D1411" s="12">
        <v>89.465328149388469</v>
      </c>
    </row>
    <row r="1412" spans="1:4">
      <c r="A1412">
        <v>1409</v>
      </c>
      <c r="B1412" s="12">
        <v>107.39849985374956</v>
      </c>
      <c r="C1412" s="12">
        <v>167.44192901626215</v>
      </c>
      <c r="D1412" s="12">
        <v>118.11548693684428</v>
      </c>
    </row>
    <row r="1413" spans="1:4">
      <c r="A1413">
        <v>1410</v>
      </c>
      <c r="B1413" s="12">
        <v>125.03775671245253</v>
      </c>
      <c r="C1413" s="12">
        <v>166.65744020435363</v>
      </c>
      <c r="D1413" s="12">
        <v>121.36602254460877</v>
      </c>
    </row>
    <row r="1414" spans="1:4">
      <c r="A1414">
        <v>1411</v>
      </c>
      <c r="B1414" s="12">
        <v>106.0764883386086</v>
      </c>
      <c r="C1414" s="12">
        <v>206.00137132847166</v>
      </c>
      <c r="D1414" s="12">
        <v>109.5625832344427</v>
      </c>
    </row>
    <row r="1415" spans="1:4">
      <c r="A1415">
        <v>1412</v>
      </c>
      <c r="B1415" s="12">
        <v>214.89122368579052</v>
      </c>
      <c r="C1415" s="12">
        <v>147.93777634202112</v>
      </c>
      <c r="D1415" s="12">
        <v>92.261380214329918</v>
      </c>
    </row>
    <row r="1416" spans="1:4">
      <c r="A1416">
        <v>1413</v>
      </c>
      <c r="B1416" s="12">
        <v>219.0394031095995</v>
      </c>
      <c r="C1416" s="12">
        <v>123.2808626082427</v>
      </c>
      <c r="D1416" s="12">
        <v>87.610558272046703</v>
      </c>
    </row>
    <row r="1417" spans="1:4">
      <c r="A1417">
        <v>1414</v>
      </c>
      <c r="B1417" s="12">
        <v>205.93170998341813</v>
      </c>
      <c r="C1417" s="12">
        <v>138.26658478630534</v>
      </c>
      <c r="D1417" s="12">
        <v>129.61797893162887</v>
      </c>
    </row>
    <row r="1418" spans="1:4">
      <c r="A1418">
        <v>1415</v>
      </c>
      <c r="B1418" s="12">
        <v>143.39691774357593</v>
      </c>
      <c r="C1418" s="12">
        <v>164.10570560490081</v>
      </c>
      <c r="D1418" s="12">
        <v>74.481506849438858</v>
      </c>
    </row>
    <row r="1419" spans="1:4">
      <c r="A1419">
        <v>1416</v>
      </c>
      <c r="B1419" s="12">
        <v>176.26266874418502</v>
      </c>
      <c r="C1419" s="12">
        <v>183.8293661820322</v>
      </c>
      <c r="D1419" s="12">
        <v>119.16537522053648</v>
      </c>
    </row>
    <row r="1420" spans="1:4">
      <c r="A1420">
        <v>1417</v>
      </c>
      <c r="B1420" s="12">
        <v>120.30297981228702</v>
      </c>
      <c r="C1420" s="12">
        <v>174.40123087158952</v>
      </c>
      <c r="D1420" s="12">
        <v>80.400778817586527</v>
      </c>
    </row>
    <row r="1421" spans="1:4">
      <c r="A1421">
        <v>1418</v>
      </c>
      <c r="B1421" s="12">
        <v>215.97942835837839</v>
      </c>
      <c r="C1421" s="12">
        <v>127.26988236013665</v>
      </c>
      <c r="D1421" s="12">
        <v>80.896954084716896</v>
      </c>
    </row>
    <row r="1422" spans="1:4">
      <c r="A1422">
        <v>1419</v>
      </c>
      <c r="B1422" s="12">
        <v>126.98589557734361</v>
      </c>
      <c r="C1422" s="12">
        <v>147.03838341192275</v>
      </c>
      <c r="D1422" s="12">
        <v>114.54673101799617</v>
      </c>
    </row>
    <row r="1423" spans="1:4">
      <c r="A1423">
        <v>1420</v>
      </c>
      <c r="B1423" s="12">
        <v>256.30827047364761</v>
      </c>
      <c r="C1423" s="12">
        <v>129.5007633689861</v>
      </c>
      <c r="D1423" s="12">
        <v>75.789041108554244</v>
      </c>
    </row>
    <row r="1424" spans="1:4">
      <c r="A1424">
        <v>1421</v>
      </c>
      <c r="B1424" s="12">
        <v>146.99809422359823</v>
      </c>
      <c r="C1424" s="12">
        <v>176.01401598610008</v>
      </c>
      <c r="D1424" s="12">
        <v>114.19191910669092</v>
      </c>
    </row>
    <row r="1425" spans="1:4">
      <c r="A1425">
        <v>1422</v>
      </c>
      <c r="B1425" s="12">
        <v>139.52454723075672</v>
      </c>
      <c r="C1425" s="12">
        <v>142.33649483329779</v>
      </c>
      <c r="D1425" s="12">
        <v>145.46827106899113</v>
      </c>
    </row>
    <row r="1426" spans="1:4">
      <c r="A1426">
        <v>1423</v>
      </c>
      <c r="B1426" s="12">
        <v>108.61642835742902</v>
      </c>
      <c r="C1426" s="12">
        <v>149.63502337473275</v>
      </c>
      <c r="D1426" s="12">
        <v>104.46322984412738</v>
      </c>
    </row>
    <row r="1427" spans="1:4">
      <c r="A1427">
        <v>1424</v>
      </c>
      <c r="B1427" s="12">
        <v>149.55475021458997</v>
      </c>
      <c r="C1427" s="12">
        <v>209.02423179595769</v>
      </c>
      <c r="D1427" s="12">
        <v>137.0770888471765</v>
      </c>
    </row>
    <row r="1428" spans="1:4">
      <c r="A1428">
        <v>1425</v>
      </c>
      <c r="B1428" s="12">
        <v>214.2124208205548</v>
      </c>
      <c r="C1428" s="12">
        <v>183.49521950786456</v>
      </c>
      <c r="D1428" s="12">
        <v>157.48389888264435</v>
      </c>
    </row>
    <row r="1429" spans="1:4">
      <c r="A1429">
        <v>1426</v>
      </c>
      <c r="B1429" s="12">
        <v>178.60547081494275</v>
      </c>
      <c r="C1429" s="12">
        <v>176.65663082517412</v>
      </c>
      <c r="D1429" s="12">
        <v>150.45352403035409</v>
      </c>
    </row>
    <row r="1430" spans="1:4">
      <c r="A1430">
        <v>1427</v>
      </c>
      <c r="B1430" s="12">
        <v>139.26814094108914</v>
      </c>
      <c r="C1430" s="12">
        <v>174.03674096756129</v>
      </c>
      <c r="D1430" s="12">
        <v>120.24786793575436</v>
      </c>
    </row>
    <row r="1431" spans="1:4">
      <c r="A1431">
        <v>1428</v>
      </c>
      <c r="B1431" s="12">
        <v>114.45785207032408</v>
      </c>
      <c r="C1431" s="12">
        <v>184.90487518207891</v>
      </c>
      <c r="D1431" s="12">
        <v>146.54075278226225</v>
      </c>
    </row>
    <row r="1432" spans="1:4">
      <c r="A1432">
        <v>1429</v>
      </c>
      <c r="B1432" s="12">
        <v>190.54158100183292</v>
      </c>
      <c r="C1432" s="12">
        <v>139.01889524495493</v>
      </c>
      <c r="D1432" s="12">
        <v>125.4578243396026</v>
      </c>
    </row>
    <row r="1433" spans="1:4">
      <c r="A1433">
        <v>1430</v>
      </c>
      <c r="B1433" s="12">
        <v>152.21890256656906</v>
      </c>
      <c r="C1433" s="12">
        <v>146.13248498108609</v>
      </c>
      <c r="D1433" s="12">
        <v>48.148963512759586</v>
      </c>
    </row>
    <row r="1434" spans="1:4">
      <c r="A1434">
        <v>1431</v>
      </c>
      <c r="B1434" s="12">
        <v>193.63868240155216</v>
      </c>
      <c r="C1434" s="12">
        <v>134.2360524638874</v>
      </c>
      <c r="D1434" s="12">
        <v>193.27099572616731</v>
      </c>
    </row>
    <row r="1435" spans="1:4">
      <c r="A1435">
        <v>1432</v>
      </c>
      <c r="B1435" s="12">
        <v>198.74549583868131</v>
      </c>
      <c r="C1435" s="12">
        <v>124.72269058375328</v>
      </c>
      <c r="D1435" s="12">
        <v>85.447440287069341</v>
      </c>
    </row>
    <row r="1436" spans="1:4">
      <c r="A1436">
        <v>1433</v>
      </c>
      <c r="B1436" s="12">
        <v>235.63476442655801</v>
      </c>
      <c r="C1436" s="12">
        <v>198.86383103039864</v>
      </c>
      <c r="D1436" s="12">
        <v>114.90473164596114</v>
      </c>
    </row>
    <row r="1437" spans="1:4">
      <c r="A1437">
        <v>1434</v>
      </c>
      <c r="B1437" s="12">
        <v>182.60604677532638</v>
      </c>
      <c r="C1437" s="12">
        <v>137.68664510955404</v>
      </c>
      <c r="D1437" s="12">
        <v>92.525126966637174</v>
      </c>
    </row>
    <row r="1438" spans="1:4">
      <c r="A1438">
        <v>1435</v>
      </c>
      <c r="B1438" s="12">
        <v>174.69436297555117</v>
      </c>
      <c r="C1438" s="12">
        <v>133.5750883958921</v>
      </c>
      <c r="D1438" s="12">
        <v>103.23378184084945</v>
      </c>
    </row>
    <row r="1439" spans="1:4">
      <c r="A1439">
        <v>1436</v>
      </c>
      <c r="B1439" s="12">
        <v>127.82829087938406</v>
      </c>
      <c r="C1439" s="12">
        <v>162.21333520317879</v>
      </c>
      <c r="D1439" s="12">
        <v>158.65802379552352</v>
      </c>
    </row>
    <row r="1440" spans="1:4">
      <c r="A1440">
        <v>1437</v>
      </c>
      <c r="B1440" s="12">
        <v>132.56170696702719</v>
      </c>
      <c r="C1440" s="12">
        <v>204.39992804888499</v>
      </c>
      <c r="D1440" s="12">
        <v>143.80769722166329</v>
      </c>
    </row>
    <row r="1441" spans="1:4">
      <c r="A1441">
        <v>1438</v>
      </c>
      <c r="B1441" s="12">
        <v>195.27298611435569</v>
      </c>
      <c r="C1441" s="12">
        <v>131.51126460223517</v>
      </c>
      <c r="D1441" s="12">
        <v>69.443728693999674</v>
      </c>
    </row>
    <row r="1442" spans="1:4">
      <c r="A1442">
        <v>1439</v>
      </c>
      <c r="B1442" s="12">
        <v>164.52224660912535</v>
      </c>
      <c r="C1442" s="12">
        <v>136.90621448196686</v>
      </c>
      <c r="D1442" s="12">
        <v>94.615348152271807</v>
      </c>
    </row>
    <row r="1443" spans="1:4">
      <c r="A1443">
        <v>1440</v>
      </c>
      <c r="B1443" s="12">
        <v>165.14835203631102</v>
      </c>
      <c r="C1443" s="12">
        <v>152.61104321429352</v>
      </c>
      <c r="D1443" s="12">
        <v>113.61649956836479</v>
      </c>
    </row>
    <row r="1444" spans="1:4">
      <c r="A1444">
        <v>1441</v>
      </c>
      <c r="B1444" s="12">
        <v>95.444167693076167</v>
      </c>
      <c r="C1444" s="12">
        <v>115.16748093672672</v>
      </c>
      <c r="D1444" s="12">
        <v>96.014438252407629</v>
      </c>
    </row>
    <row r="1445" spans="1:4">
      <c r="A1445">
        <v>1442</v>
      </c>
      <c r="B1445" s="12">
        <v>159.2105335218252</v>
      </c>
      <c r="C1445" s="12">
        <v>164.84644038721189</v>
      </c>
      <c r="D1445" s="12">
        <v>71.35698483526248</v>
      </c>
    </row>
    <row r="1446" spans="1:4">
      <c r="A1446">
        <v>1443</v>
      </c>
      <c r="B1446" s="12">
        <v>187.63938713815097</v>
      </c>
      <c r="C1446" s="12">
        <v>143.28664868574808</v>
      </c>
      <c r="D1446" s="12">
        <v>107.60483529659142</v>
      </c>
    </row>
    <row r="1447" spans="1:4">
      <c r="A1447">
        <v>1444</v>
      </c>
      <c r="B1447" s="12">
        <v>137.38177009498582</v>
      </c>
      <c r="C1447" s="12">
        <v>146.38205710515666</v>
      </c>
      <c r="D1447" s="12">
        <v>117.47841726063211</v>
      </c>
    </row>
    <row r="1448" spans="1:4">
      <c r="A1448">
        <v>1445</v>
      </c>
      <c r="B1448" s="12">
        <v>212.17691435977838</v>
      </c>
      <c r="C1448" s="12">
        <v>166.84639282232794</v>
      </c>
      <c r="D1448" s="12">
        <v>85.899921937199991</v>
      </c>
    </row>
    <row r="1449" spans="1:4">
      <c r="A1449">
        <v>1446</v>
      </c>
      <c r="B1449" s="12">
        <v>133.2963162159775</v>
      </c>
      <c r="C1449" s="12">
        <v>136.4121223225556</v>
      </c>
      <c r="D1449" s="12">
        <v>77.58162424461257</v>
      </c>
    </row>
    <row r="1450" spans="1:4">
      <c r="A1450">
        <v>1447</v>
      </c>
      <c r="B1450" s="12">
        <v>140.96573952710665</v>
      </c>
      <c r="C1450" s="12">
        <v>215.57863442572565</v>
      </c>
      <c r="D1450" s="12">
        <v>131.75303830688728</v>
      </c>
    </row>
    <row r="1451" spans="1:4">
      <c r="A1451">
        <v>1448</v>
      </c>
      <c r="B1451" s="12">
        <v>267.387358342646</v>
      </c>
      <c r="C1451" s="12">
        <v>159.4376275190954</v>
      </c>
      <c r="D1451" s="12">
        <v>68.965804755147857</v>
      </c>
    </row>
    <row r="1452" spans="1:4">
      <c r="A1452">
        <v>1449</v>
      </c>
      <c r="B1452" s="12">
        <v>196.97275947274011</v>
      </c>
      <c r="C1452" s="12">
        <v>128.41767695252122</v>
      </c>
      <c r="D1452" s="12">
        <v>78.439984646856601</v>
      </c>
    </row>
    <row r="1453" spans="1:4">
      <c r="A1453">
        <v>1450</v>
      </c>
      <c r="B1453" s="12">
        <v>137.79281020711133</v>
      </c>
      <c r="C1453" s="12">
        <v>124.19245021740795</v>
      </c>
      <c r="D1453" s="12">
        <v>103.98945212609847</v>
      </c>
    </row>
    <row r="1454" spans="1:4">
      <c r="A1454">
        <v>1451</v>
      </c>
      <c r="B1454" s="12">
        <v>123.54532698323747</v>
      </c>
      <c r="C1454" s="12">
        <v>169.05839795247138</v>
      </c>
      <c r="D1454" s="12">
        <v>93.485179154777612</v>
      </c>
    </row>
    <row r="1455" spans="1:4">
      <c r="A1455">
        <v>1452</v>
      </c>
      <c r="B1455" s="12">
        <v>145.6385430436483</v>
      </c>
      <c r="C1455" s="12">
        <v>126.81569304202411</v>
      </c>
      <c r="D1455" s="12">
        <v>99.561889679453998</v>
      </c>
    </row>
    <row r="1456" spans="1:4">
      <c r="A1456">
        <v>1453</v>
      </c>
      <c r="B1456" s="12">
        <v>144.64411780934597</v>
      </c>
      <c r="C1456" s="12">
        <v>130.14565271128177</v>
      </c>
      <c r="D1456" s="12">
        <v>93.221441170206276</v>
      </c>
    </row>
    <row r="1457" spans="1:4">
      <c r="A1457">
        <v>1454</v>
      </c>
      <c r="B1457" s="12">
        <v>171.39404158445831</v>
      </c>
      <c r="C1457" s="12">
        <v>140.65788843438676</v>
      </c>
      <c r="D1457" s="12">
        <v>83.970900427380911</v>
      </c>
    </row>
    <row r="1458" spans="1:4">
      <c r="A1458">
        <v>1455</v>
      </c>
      <c r="B1458" s="12">
        <v>98.30646829274508</v>
      </c>
      <c r="C1458" s="12">
        <v>172.52291156455186</v>
      </c>
      <c r="D1458" s="12">
        <v>84.992193791053666</v>
      </c>
    </row>
    <row r="1459" spans="1:4">
      <c r="A1459">
        <v>1456</v>
      </c>
      <c r="B1459" s="12">
        <v>183.09212812222441</v>
      </c>
      <c r="C1459" s="12">
        <v>199.58848464026653</v>
      </c>
      <c r="D1459" s="12">
        <v>81.196572592149664</v>
      </c>
    </row>
    <row r="1460" spans="1:4">
      <c r="A1460">
        <v>1457</v>
      </c>
      <c r="B1460" s="12">
        <v>208.18638707608702</v>
      </c>
      <c r="C1460" s="12">
        <v>135.91035640286015</v>
      </c>
      <c r="D1460" s="12">
        <v>148.41430269651042</v>
      </c>
    </row>
    <row r="1461" spans="1:4">
      <c r="A1461">
        <v>1458</v>
      </c>
      <c r="B1461" s="12">
        <v>93.087485578581948</v>
      </c>
      <c r="C1461" s="12">
        <v>155.44820290197453</v>
      </c>
      <c r="D1461" s="12">
        <v>85.170286047181335</v>
      </c>
    </row>
    <row r="1462" spans="1:4">
      <c r="A1462">
        <v>1459</v>
      </c>
      <c r="B1462" s="12">
        <v>136.70153609990416</v>
      </c>
      <c r="C1462" s="12">
        <v>127.99124441913011</v>
      </c>
      <c r="D1462" s="12">
        <v>97.422826470490108</v>
      </c>
    </row>
    <row r="1463" spans="1:4">
      <c r="A1463">
        <v>1460</v>
      </c>
      <c r="B1463" s="12">
        <v>153.41538587018189</v>
      </c>
      <c r="C1463" s="12">
        <v>181.68063319011608</v>
      </c>
      <c r="D1463" s="12">
        <v>84.253056592196771</v>
      </c>
    </row>
    <row r="1464" spans="1:4">
      <c r="A1464">
        <v>1461</v>
      </c>
      <c r="B1464" s="12">
        <v>187.10899924801035</v>
      </c>
      <c r="C1464" s="12">
        <v>182.48138120936795</v>
      </c>
      <c r="D1464" s="12">
        <v>122.52330711903757</v>
      </c>
    </row>
    <row r="1465" spans="1:4">
      <c r="A1465">
        <v>1462</v>
      </c>
      <c r="B1465" s="12">
        <v>337.8740573986542</v>
      </c>
      <c r="C1465" s="12">
        <v>121.68280140291726</v>
      </c>
      <c r="D1465" s="12">
        <v>89.731393328916312</v>
      </c>
    </row>
    <row r="1466" spans="1:4">
      <c r="A1466">
        <v>1463</v>
      </c>
      <c r="B1466" s="12">
        <v>189.97817530263072</v>
      </c>
      <c r="C1466" s="12">
        <v>175.62927268407662</v>
      </c>
      <c r="D1466" s="12">
        <v>164.31908589842953</v>
      </c>
    </row>
    <row r="1467" spans="1:4">
      <c r="A1467">
        <v>1464</v>
      </c>
      <c r="B1467" s="12">
        <v>128.82920749535438</v>
      </c>
      <c r="C1467" s="12">
        <v>121.02628740060106</v>
      </c>
      <c r="D1467" s="12">
        <v>108.73030453618389</v>
      </c>
    </row>
    <row r="1468" spans="1:4">
      <c r="A1468">
        <v>1465</v>
      </c>
      <c r="B1468" s="12">
        <v>224.72329020216887</v>
      </c>
      <c r="C1468" s="12">
        <v>141.90321092520381</v>
      </c>
      <c r="D1468" s="12">
        <v>112.7068533280592</v>
      </c>
    </row>
    <row r="1469" spans="1:4">
      <c r="A1469">
        <v>1466</v>
      </c>
      <c r="B1469" s="12">
        <v>109.35074387326274</v>
      </c>
      <c r="C1469" s="12">
        <v>196.14978917631214</v>
      </c>
      <c r="D1469" s="12">
        <v>117.8654072383091</v>
      </c>
    </row>
    <row r="1470" spans="1:4">
      <c r="A1470">
        <v>1467</v>
      </c>
      <c r="B1470" s="12">
        <v>147.36951967806857</v>
      </c>
      <c r="C1470" s="12">
        <v>155.854470610812</v>
      </c>
      <c r="D1470" s="12">
        <v>101.46693942029326</v>
      </c>
    </row>
    <row r="1471" spans="1:4">
      <c r="A1471">
        <v>1468</v>
      </c>
      <c r="B1471" s="12">
        <v>161.16626890313034</v>
      </c>
      <c r="C1471" s="12">
        <v>160.54860238607819</v>
      </c>
      <c r="D1471" s="12">
        <v>86.622957365242343</v>
      </c>
    </row>
    <row r="1472" spans="1:4">
      <c r="A1472">
        <v>1469</v>
      </c>
      <c r="B1472" s="12">
        <v>129.63075238923867</v>
      </c>
      <c r="C1472" s="12">
        <v>143.02712440131461</v>
      </c>
      <c r="D1472" s="12">
        <v>138.32974641017361</v>
      </c>
    </row>
    <row r="1473" spans="1:4">
      <c r="A1473">
        <v>1470</v>
      </c>
      <c r="B1473" s="12">
        <v>126.12229530888604</v>
      </c>
      <c r="C1473" s="12">
        <v>129.09749886178955</v>
      </c>
      <c r="D1473" s="12">
        <v>95.313987371844945</v>
      </c>
    </row>
    <row r="1474" spans="1:4">
      <c r="A1474">
        <v>1471</v>
      </c>
      <c r="B1474" s="12">
        <v>162.15184640037671</v>
      </c>
      <c r="C1474" s="12">
        <v>158.5056831021237</v>
      </c>
      <c r="D1474" s="12">
        <v>92.957739224003419</v>
      </c>
    </row>
    <row r="1475" spans="1:4">
      <c r="A1475">
        <v>1472</v>
      </c>
      <c r="B1475" s="12">
        <v>210.59329118544392</v>
      </c>
      <c r="C1475" s="12">
        <v>133.35987854013607</v>
      </c>
      <c r="D1475" s="12">
        <v>58.80639675624208</v>
      </c>
    </row>
    <row r="1476" spans="1:4">
      <c r="A1476">
        <v>1473</v>
      </c>
      <c r="B1476" s="12">
        <v>184.89969387610026</v>
      </c>
      <c r="C1476" s="12">
        <v>147.28601680664244</v>
      </c>
      <c r="D1476" s="12">
        <v>94.351132911975668</v>
      </c>
    </row>
    <row r="1477" spans="1:4">
      <c r="A1477">
        <v>1474</v>
      </c>
      <c r="B1477" s="12">
        <v>198.065031562787</v>
      </c>
      <c r="C1477" s="12">
        <v>146.63105397937036</v>
      </c>
      <c r="D1477" s="12">
        <v>96.450759317490991</v>
      </c>
    </row>
    <row r="1478" spans="1:4">
      <c r="A1478">
        <v>1475</v>
      </c>
      <c r="B1478" s="12">
        <v>184.39702417964219</v>
      </c>
      <c r="C1478" s="12">
        <v>192.16448945594163</v>
      </c>
      <c r="D1478" s="12">
        <v>87.880200759200662</v>
      </c>
    </row>
    <row r="1479" spans="1:4">
      <c r="A1479">
        <v>1476</v>
      </c>
      <c r="B1479" s="12">
        <v>169.26643668832526</v>
      </c>
      <c r="C1479" s="12">
        <v>144.80355909755968</v>
      </c>
      <c r="D1479" s="12">
        <v>66.744480975021403</v>
      </c>
    </row>
    <row r="1480" spans="1:4">
      <c r="A1480">
        <v>1477</v>
      </c>
      <c r="B1480" s="12">
        <v>170.7274668319659</v>
      </c>
      <c r="C1480" s="12">
        <v>112.65808130513925</v>
      </c>
      <c r="D1480" s="12">
        <v>208.49539313877312</v>
      </c>
    </row>
    <row r="1481" spans="1:4">
      <c r="A1481">
        <v>1478</v>
      </c>
      <c r="B1481" s="12">
        <v>165.5315869689733</v>
      </c>
      <c r="C1481" s="12">
        <v>134.44439482579617</v>
      </c>
      <c r="D1481" s="12">
        <v>101.0117983126059</v>
      </c>
    </row>
    <row r="1482" spans="1:4">
      <c r="A1482">
        <v>1479</v>
      </c>
      <c r="B1482" s="12">
        <v>138.46158158482572</v>
      </c>
      <c r="C1482" s="12">
        <v>144.38646084388878</v>
      </c>
      <c r="D1482" s="12">
        <v>128.16446821520933</v>
      </c>
    </row>
    <row r="1483" spans="1:4">
      <c r="A1483">
        <v>1480</v>
      </c>
      <c r="B1483" s="12">
        <v>146.3869441209375</v>
      </c>
      <c r="C1483" s="12">
        <v>157.83618272501226</v>
      </c>
      <c r="D1483" s="12">
        <v>95.049220212932255</v>
      </c>
    </row>
    <row r="1484" spans="1:4">
      <c r="A1484">
        <v>1481</v>
      </c>
      <c r="B1484" s="12">
        <v>193.03548417110923</v>
      </c>
      <c r="C1484" s="12">
        <v>170.09851661732449</v>
      </c>
      <c r="D1484" s="12">
        <v>76.357901323781093</v>
      </c>
    </row>
    <row r="1485" spans="1:4">
      <c r="A1485">
        <v>1482</v>
      </c>
      <c r="B1485" s="12">
        <v>169.6653690169091</v>
      </c>
      <c r="C1485" s="12">
        <v>120.3357206528795</v>
      </c>
      <c r="D1485" s="12">
        <v>141.35465428727437</v>
      </c>
    </row>
    <row r="1486" spans="1:4">
      <c r="A1486">
        <v>1483</v>
      </c>
      <c r="B1486" s="12">
        <v>200.59998938464645</v>
      </c>
      <c r="C1486" s="12">
        <v>119.87323249282606</v>
      </c>
      <c r="D1486" s="12">
        <v>91.828525654744823</v>
      </c>
    </row>
    <row r="1487" spans="1:4">
      <c r="A1487">
        <v>1484</v>
      </c>
      <c r="B1487" s="12">
        <v>178.15521177573734</v>
      </c>
      <c r="C1487" s="12">
        <v>123.64336613337659</v>
      </c>
      <c r="D1487" s="12">
        <v>130.18839850691936</v>
      </c>
    </row>
    <row r="1488" spans="1:4">
      <c r="A1488">
        <v>1485</v>
      </c>
      <c r="B1488" s="12">
        <v>100.58920300231249</v>
      </c>
      <c r="C1488" s="12">
        <v>153.50061322305123</v>
      </c>
      <c r="D1488" s="12">
        <v>91.564527055500747</v>
      </c>
    </row>
    <row r="1489" spans="1:4">
      <c r="A1489">
        <v>1486</v>
      </c>
      <c r="B1489" s="12">
        <v>230.55088111265948</v>
      </c>
      <c r="C1489" s="12">
        <v>211.19334339923512</v>
      </c>
      <c r="D1489" s="12">
        <v>107.10540738832874</v>
      </c>
    </row>
    <row r="1490" spans="1:4">
      <c r="A1490">
        <v>1487</v>
      </c>
      <c r="B1490" s="12">
        <v>272.28716787258224</v>
      </c>
      <c r="C1490" s="12">
        <v>126.04413950535415</v>
      </c>
      <c r="D1490" s="12">
        <v>83.219346019008569</v>
      </c>
    </row>
    <row r="1491" spans="1:4">
      <c r="A1491">
        <v>1488</v>
      </c>
      <c r="B1491" s="12">
        <v>110.4361780265169</v>
      </c>
      <c r="C1491" s="12">
        <v>165.12997877843537</v>
      </c>
      <c r="D1491" s="12">
        <v>129.05881028147175</v>
      </c>
    </row>
    <row r="1492" spans="1:4">
      <c r="A1492">
        <v>1489</v>
      </c>
      <c r="B1492" s="12">
        <v>203.03413179326225</v>
      </c>
      <c r="C1492" s="12">
        <v>177.72297430139812</v>
      </c>
      <c r="D1492" s="12">
        <v>141.92735977626816</v>
      </c>
    </row>
    <row r="1493" spans="1:4">
      <c r="A1493">
        <v>1490</v>
      </c>
      <c r="B1493" s="12">
        <v>148.34669498478434</v>
      </c>
      <c r="C1493" s="12">
        <v>153.9023792587663</v>
      </c>
      <c r="D1493" s="12">
        <v>108.41870036757413</v>
      </c>
    </row>
    <row r="1494" spans="1:4">
      <c r="A1494">
        <v>1491</v>
      </c>
      <c r="B1494" s="12">
        <v>134.01989875013783</v>
      </c>
      <c r="C1494" s="12">
        <v>152.21082045090347</v>
      </c>
      <c r="D1494" s="12">
        <v>95.748924633078929</v>
      </c>
    </row>
    <row r="1495" spans="1:4">
      <c r="A1495">
        <v>1492</v>
      </c>
      <c r="B1495" s="12">
        <v>188.52217961717398</v>
      </c>
      <c r="C1495" s="12">
        <v>178.83281085069669</v>
      </c>
      <c r="D1495" s="12">
        <v>135.62822051021692</v>
      </c>
    </row>
    <row r="1496" spans="1:4">
      <c r="A1496">
        <v>1493</v>
      </c>
      <c r="B1496" s="12">
        <v>183.89909881481768</v>
      </c>
      <c r="C1496" s="12">
        <v>135.28745418157791</v>
      </c>
      <c r="D1496" s="12">
        <v>98.844637881054666</v>
      </c>
    </row>
    <row r="1497" spans="1:4">
      <c r="A1497">
        <v>1494</v>
      </c>
      <c r="B1497" s="12">
        <v>147.60702331848412</v>
      </c>
      <c r="C1497" s="12">
        <v>116.84834260706062</v>
      </c>
      <c r="D1497" s="12">
        <v>113.96627966133332</v>
      </c>
    </row>
    <row r="1498" spans="1:4">
      <c r="A1498">
        <v>1495</v>
      </c>
      <c r="B1498" s="12">
        <v>186.58422967554833</v>
      </c>
      <c r="C1498" s="12">
        <v>129.75494190880903</v>
      </c>
      <c r="D1498" s="12">
        <v>113.04902302015653</v>
      </c>
    </row>
    <row r="1499" spans="1:4">
      <c r="A1499">
        <v>1496</v>
      </c>
      <c r="B1499" s="12">
        <v>190.90610769908778</v>
      </c>
      <c r="C1499" s="12">
        <v>115.85547250749769</v>
      </c>
      <c r="D1499" s="12">
        <v>162.80097972856962</v>
      </c>
    </row>
    <row r="1500" spans="1:4">
      <c r="A1500">
        <v>1497</v>
      </c>
      <c r="B1500" s="12">
        <v>175.12163519306995</v>
      </c>
      <c r="C1500" s="12">
        <v>188.43137016427889</v>
      </c>
      <c r="D1500" s="12">
        <v>92.09240415830989</v>
      </c>
    </row>
    <row r="1501" spans="1:4">
      <c r="A1501">
        <v>1498</v>
      </c>
      <c r="B1501" s="12">
        <v>151.48872949093317</v>
      </c>
      <c r="C1501" s="12">
        <v>190.92996024222035</v>
      </c>
      <c r="D1501" s="12">
        <v>67.292443047823511</v>
      </c>
    </row>
    <row r="1502" spans="1:4">
      <c r="A1502">
        <v>1499</v>
      </c>
      <c r="B1502" s="12">
        <v>145.02162145286653</v>
      </c>
      <c r="C1502" s="12">
        <v>182.98288397587885</v>
      </c>
      <c r="D1502" s="12">
        <v>81.978209123802813</v>
      </c>
    </row>
    <row r="1503" spans="1:4">
      <c r="A1503">
        <v>1500</v>
      </c>
      <c r="B1503" s="12">
        <v>201.79785003190608</v>
      </c>
      <c r="C1503" s="12">
        <v>142.59898948761975</v>
      </c>
      <c r="D1503" s="12">
        <v>110.08693976015307</v>
      </c>
    </row>
    <row r="1504" spans="1:4">
      <c r="A1504">
        <v>1501</v>
      </c>
      <c r="B1504" s="12">
        <v>126.46213353036302</v>
      </c>
      <c r="C1504" s="12">
        <v>164.38490686748739</v>
      </c>
      <c r="D1504" s="12">
        <v>133.83055887694232</v>
      </c>
    </row>
    <row r="1505" spans="1:4">
      <c r="A1505">
        <v>1502</v>
      </c>
      <c r="B1505" s="12">
        <v>187.98216162776262</v>
      </c>
      <c r="C1505" s="12">
        <v>126.34950317693047</v>
      </c>
      <c r="D1505" s="12">
        <v>122.23877468200111</v>
      </c>
    </row>
    <row r="1506" spans="1:4">
      <c r="A1506">
        <v>1503</v>
      </c>
      <c r="B1506" s="12">
        <v>134.88823581214086</v>
      </c>
      <c r="C1506" s="12">
        <v>189.08827352563748</v>
      </c>
      <c r="D1506" s="12">
        <v>71.082827056838951</v>
      </c>
    </row>
    <row r="1507" spans="1:4">
      <c r="A1507">
        <v>1504</v>
      </c>
      <c r="B1507" s="12">
        <v>135.59003952604439</v>
      </c>
      <c r="C1507" s="12">
        <v>131.14442720325141</v>
      </c>
      <c r="D1507" s="12">
        <v>91.131085742358195</v>
      </c>
    </row>
    <row r="1508" spans="1:4">
      <c r="A1508">
        <v>1505</v>
      </c>
      <c r="B1508" s="12">
        <v>181.81773862965335</v>
      </c>
      <c r="C1508" s="12">
        <v>212.75970369732039</v>
      </c>
      <c r="D1508" s="12">
        <v>73.240433012975785</v>
      </c>
    </row>
    <row r="1509" spans="1:4">
      <c r="A1509">
        <v>1506</v>
      </c>
      <c r="B1509" s="12">
        <v>128.33216148314114</v>
      </c>
      <c r="C1509" s="12">
        <v>145.05673973660768</v>
      </c>
      <c r="D1509" s="12">
        <v>124.19044246897242</v>
      </c>
    </row>
    <row r="1510" spans="1:4">
      <c r="A1510">
        <v>1507</v>
      </c>
      <c r="B1510" s="12">
        <v>181.34258597204234</v>
      </c>
      <c r="C1510" s="12">
        <v>139.93462794781601</v>
      </c>
      <c r="D1510" s="12">
        <v>86.174471652065648</v>
      </c>
    </row>
    <row r="1511" spans="1:4">
      <c r="A1511">
        <v>1508</v>
      </c>
      <c r="B1511" s="12">
        <v>222.42190741311126</v>
      </c>
      <c r="C1511" s="12">
        <v>117.75968397758419</v>
      </c>
      <c r="D1511" s="12">
        <v>93.9180058941634</v>
      </c>
    </row>
    <row r="1512" spans="1:4">
      <c r="A1512">
        <v>1509</v>
      </c>
      <c r="B1512" s="12">
        <v>168.22119677902165</v>
      </c>
      <c r="C1512" s="12">
        <v>146.79025974676873</v>
      </c>
      <c r="D1512" s="12">
        <v>166.93353584420896</v>
      </c>
    </row>
    <row r="1513" spans="1:4">
      <c r="A1513">
        <v>1510</v>
      </c>
      <c r="B1513" s="12">
        <v>211.5499090552907</v>
      </c>
      <c r="C1513" s="12">
        <v>188.02108146428458</v>
      </c>
      <c r="D1513" s="12">
        <v>133.41222878865545</v>
      </c>
    </row>
    <row r="1514" spans="1:4">
      <c r="A1514">
        <v>1511</v>
      </c>
      <c r="B1514" s="12">
        <v>237.82122517954343</v>
      </c>
      <c r="C1514" s="12">
        <v>165.88715444847702</v>
      </c>
      <c r="D1514" s="12">
        <v>124.97169013118925</v>
      </c>
    </row>
    <row r="1515" spans="1:4">
      <c r="A1515">
        <v>1512</v>
      </c>
      <c r="B1515" s="12">
        <v>228.83431824168002</v>
      </c>
      <c r="C1515" s="12">
        <v>139.75740285045066</v>
      </c>
      <c r="D1515" s="12">
        <v>121.79949223894062</v>
      </c>
    </row>
    <row r="1516" spans="1:4">
      <c r="A1516">
        <v>1513</v>
      </c>
      <c r="B1516" s="12">
        <v>189.42148969247907</v>
      </c>
      <c r="C1516" s="12">
        <v>122.08734750255861</v>
      </c>
      <c r="D1516" s="12">
        <v>135.18074891400354</v>
      </c>
    </row>
    <row r="1517" spans="1:4">
      <c r="A1517">
        <v>1514</v>
      </c>
      <c r="B1517" s="12">
        <v>223.80428050166617</v>
      </c>
      <c r="C1517" s="12">
        <v>173.44798594786278</v>
      </c>
      <c r="D1517" s="12">
        <v>82.747259575391709</v>
      </c>
    </row>
    <row r="1518" spans="1:4">
      <c r="A1518">
        <v>1515</v>
      </c>
      <c r="B1518" s="12">
        <v>196.32088506532344</v>
      </c>
      <c r="C1518" s="12">
        <v>148.58688843280814</v>
      </c>
      <c r="D1518" s="12">
        <v>90.167088895882415</v>
      </c>
    </row>
    <row r="1519" spans="1:4">
      <c r="A1519">
        <v>1516</v>
      </c>
      <c r="B1519" s="12">
        <v>87.529218775732161</v>
      </c>
      <c r="C1519" s="12">
        <v>175.3854838322699</v>
      </c>
      <c r="D1519" s="12">
        <v>77.909369991800432</v>
      </c>
    </row>
    <row r="1520" spans="1:4">
      <c r="A1520">
        <v>1517</v>
      </c>
      <c r="B1520" s="12">
        <v>282.65843255063265</v>
      </c>
      <c r="C1520" s="12">
        <v>178.55932144225704</v>
      </c>
      <c r="D1520" s="12">
        <v>68.652430757029279</v>
      </c>
    </row>
    <row r="1521" spans="1:4">
      <c r="A1521">
        <v>1518</v>
      </c>
      <c r="B1521" s="12">
        <v>141.99555145680529</v>
      </c>
      <c r="C1521" s="12">
        <v>200.78261056871358</v>
      </c>
      <c r="D1521" s="12">
        <v>153.21610041173318</v>
      </c>
    </row>
    <row r="1522" spans="1:4">
      <c r="A1522">
        <v>1519</v>
      </c>
      <c r="B1522" s="12">
        <v>182.29692809512255</v>
      </c>
      <c r="C1522" s="12">
        <v>168.43831325102585</v>
      </c>
      <c r="D1522" s="12">
        <v>81.387419345191603</v>
      </c>
    </row>
    <row r="1523" spans="1:4">
      <c r="A1523">
        <v>1520</v>
      </c>
      <c r="B1523" s="12">
        <v>151.85392586984844</v>
      </c>
      <c r="C1523" s="12">
        <v>163.37580970991695</v>
      </c>
      <c r="D1523" s="12">
        <v>77.250419386076373</v>
      </c>
    </row>
    <row r="1524" spans="1:4">
      <c r="A1524">
        <v>1521</v>
      </c>
      <c r="B1524" s="12">
        <v>166.54970167497018</v>
      </c>
      <c r="C1524" s="12">
        <v>131.74319864784474</v>
      </c>
      <c r="D1524" s="12">
        <v>107.91156593509174</v>
      </c>
    </row>
    <row r="1525" spans="1:4">
      <c r="A1525">
        <v>1522</v>
      </c>
      <c r="B1525" s="12">
        <v>239.31591833125034</v>
      </c>
      <c r="C1525" s="12">
        <v>135.08519000898099</v>
      </c>
      <c r="D1525" s="12">
        <v>160.62925227205264</v>
      </c>
    </row>
    <row r="1526" spans="1:4">
      <c r="A1526">
        <v>1523</v>
      </c>
      <c r="B1526" s="12">
        <v>220.27836032436156</v>
      </c>
      <c r="C1526" s="12">
        <v>176.40399020262538</v>
      </c>
      <c r="D1526" s="12">
        <v>75.207996638624891</v>
      </c>
    </row>
    <row r="1527" spans="1:4">
      <c r="A1527">
        <v>1524</v>
      </c>
      <c r="B1527" s="12">
        <v>119.20806280557591</v>
      </c>
      <c r="C1527" s="12">
        <v>156.76072175779422</v>
      </c>
      <c r="D1527" s="12">
        <v>80.595214623211447</v>
      </c>
    </row>
    <row r="1528" spans="1:4">
      <c r="A1528">
        <v>1525</v>
      </c>
      <c r="B1528" s="12">
        <v>154.74242834692049</v>
      </c>
      <c r="C1528" s="12">
        <v>157.17149408978739</v>
      </c>
      <c r="D1528" s="12">
        <v>97.155237069683707</v>
      </c>
    </row>
    <row r="1529" spans="1:4">
      <c r="A1529">
        <v>1526</v>
      </c>
      <c r="B1529" s="12">
        <v>180.57151095809644</v>
      </c>
      <c r="C1529" s="12">
        <v>107.72434536702781</v>
      </c>
      <c r="D1529" s="12">
        <v>59.853556896717883</v>
      </c>
    </row>
    <row r="1530" spans="1:4">
      <c r="A1530">
        <v>1527</v>
      </c>
      <c r="B1530" s="12">
        <v>156.67026178100852</v>
      </c>
      <c r="C1530" s="12">
        <v>153.25601792463871</v>
      </c>
      <c r="D1530" s="12">
        <v>110.9433989271642</v>
      </c>
    </row>
    <row r="1531" spans="1:4">
      <c r="A1531">
        <v>1528</v>
      </c>
      <c r="B1531" s="12">
        <v>121.97242002324933</v>
      </c>
      <c r="C1531" s="12">
        <v>171.62351022858394</v>
      </c>
      <c r="D1531" s="12">
        <v>87.166731464281156</v>
      </c>
    </row>
    <row r="1532" spans="1:4">
      <c r="A1532">
        <v>1529</v>
      </c>
      <c r="B1532" s="12">
        <v>172.47848737775828</v>
      </c>
      <c r="C1532" s="12">
        <v>138.45042809495266</v>
      </c>
      <c r="D1532" s="12">
        <v>90.432238347753881</v>
      </c>
    </row>
    <row r="1533" spans="1:4">
      <c r="A1533">
        <v>1530</v>
      </c>
      <c r="B1533" s="12">
        <v>185.735020436447</v>
      </c>
      <c r="C1533" s="12">
        <v>186.78832825354954</v>
      </c>
      <c r="D1533" s="12">
        <v>113.26967032048476</v>
      </c>
    </row>
    <row r="1534" spans="1:4">
      <c r="A1534">
        <v>1531</v>
      </c>
      <c r="B1534" s="12">
        <v>142.62952777248731</v>
      </c>
      <c r="C1534" s="12">
        <v>135.60050203033319</v>
      </c>
      <c r="D1534" s="12">
        <v>80.095347201775013</v>
      </c>
    </row>
    <row r="1535" spans="1:4">
      <c r="A1535">
        <v>1532</v>
      </c>
      <c r="B1535" s="12">
        <v>130.88772724100403</v>
      </c>
      <c r="C1535" s="12">
        <v>140.92888621524082</v>
      </c>
      <c r="D1535" s="12">
        <v>176.04257608826018</v>
      </c>
    </row>
    <row r="1536" spans="1:4">
      <c r="A1536">
        <v>1533</v>
      </c>
      <c r="B1536" s="12">
        <v>204.59799557593686</v>
      </c>
      <c r="C1536" s="12">
        <v>219.05408984146356</v>
      </c>
      <c r="D1536" s="12">
        <v>104.75372289673784</v>
      </c>
    </row>
    <row r="1537" spans="1:4">
      <c r="A1537">
        <v>1534</v>
      </c>
      <c r="B1537" s="12">
        <v>118.5156870064796</v>
      </c>
      <c r="C1537" s="12">
        <v>177.46048885346045</v>
      </c>
      <c r="D1537" s="12">
        <v>72.189546423334335</v>
      </c>
    </row>
    <row r="1538" spans="1:4">
      <c r="A1538">
        <v>1535</v>
      </c>
      <c r="B1538" s="12">
        <v>132.10815242456189</v>
      </c>
      <c r="C1538" s="12">
        <v>138.73569100774358</v>
      </c>
      <c r="D1538" s="12">
        <v>68.150962724370771</v>
      </c>
    </row>
    <row r="1539" spans="1:4">
      <c r="A1539">
        <v>1536</v>
      </c>
      <c r="B1539" s="12">
        <v>167.57743925554655</v>
      </c>
      <c r="C1539" s="12">
        <v>128.68592635215165</v>
      </c>
      <c r="D1539" s="12">
        <v>115.86610088556883</v>
      </c>
    </row>
    <row r="1540" spans="1:4">
      <c r="A1540">
        <v>1537</v>
      </c>
      <c r="B1540" s="12">
        <v>153.18188836372246</v>
      </c>
      <c r="C1540" s="12">
        <v>144.13109083433304</v>
      </c>
      <c r="D1540" s="12">
        <v>70.64687065695</v>
      </c>
    </row>
    <row r="1541" spans="1:4">
      <c r="A1541">
        <v>1538</v>
      </c>
      <c r="B1541" s="12">
        <v>161.53884442773148</v>
      </c>
      <c r="C1541" s="12">
        <v>143.45233502663197</v>
      </c>
      <c r="D1541" s="12">
        <v>73.869169023416092</v>
      </c>
    </row>
    <row r="1542" spans="1:4">
      <c r="A1542">
        <v>1539</v>
      </c>
      <c r="B1542" s="12">
        <v>152.81729450841996</v>
      </c>
      <c r="C1542" s="12">
        <v>161.24302222246251</v>
      </c>
      <c r="D1542" s="12">
        <v>84.433123419807387</v>
      </c>
    </row>
    <row r="1543" spans="1:4">
      <c r="A1543">
        <v>1540</v>
      </c>
      <c r="B1543" s="12">
        <v>139.92308391177556</v>
      </c>
      <c r="C1543" s="12">
        <v>109.93985416730027</v>
      </c>
      <c r="D1543" s="12">
        <v>119.98212374802299</v>
      </c>
    </row>
    <row r="1544" spans="1:4">
      <c r="A1544">
        <v>1541</v>
      </c>
      <c r="B1544" s="12">
        <v>141.35717077623011</v>
      </c>
      <c r="C1544" s="12">
        <v>168.74709586725854</v>
      </c>
      <c r="D1544" s="12">
        <v>154.17810032777004</v>
      </c>
    </row>
    <row r="1545" spans="1:4">
      <c r="A1545">
        <v>1542</v>
      </c>
      <c r="B1545" s="12">
        <v>136.01350164369831</v>
      </c>
      <c r="C1545" s="12">
        <v>184.3608318337551</v>
      </c>
      <c r="D1545" s="12">
        <v>79.589050163158774</v>
      </c>
    </row>
    <row r="1546" spans="1:4">
      <c r="A1546">
        <v>1543</v>
      </c>
      <c r="B1546" s="12">
        <v>226.21539949862955</v>
      </c>
      <c r="C1546" s="12">
        <v>105.88464996443204</v>
      </c>
      <c r="D1546" s="12">
        <v>100.28409119417422</v>
      </c>
    </row>
    <row r="1547" spans="1:4">
      <c r="A1547">
        <v>1544</v>
      </c>
      <c r="B1547" s="12">
        <v>141.60696863126856</v>
      </c>
      <c r="C1547" s="12">
        <v>137.97775997059796</v>
      </c>
      <c r="D1547" s="12">
        <v>71.777538258860147</v>
      </c>
    </row>
    <row r="1548" spans="1:4">
      <c r="A1548">
        <v>1545</v>
      </c>
      <c r="B1548" s="12">
        <v>158.60647154820302</v>
      </c>
      <c r="C1548" s="12">
        <v>149.39057539773091</v>
      </c>
      <c r="D1548" s="12">
        <v>131.1500718714247</v>
      </c>
    </row>
    <row r="1549" spans="1:4">
      <c r="A1549">
        <v>1546</v>
      </c>
      <c r="B1549" s="12">
        <v>140.31955549107721</v>
      </c>
      <c r="C1549" s="12">
        <v>171.28913411018146</v>
      </c>
      <c r="D1549" s="12">
        <v>132.14632793311472</v>
      </c>
    </row>
    <row r="1550" spans="1:4">
      <c r="A1550">
        <v>1547</v>
      </c>
      <c r="B1550" s="12">
        <v>192.4404274533016</v>
      </c>
      <c r="C1550" s="12">
        <v>257.37119442920886</v>
      </c>
      <c r="D1550" s="12">
        <v>65.798430886897947</v>
      </c>
    </row>
    <row r="1551" spans="1:4">
      <c r="A1551">
        <v>1548</v>
      </c>
      <c r="B1551" s="12">
        <v>147.97720537267801</v>
      </c>
      <c r="C1551" s="12">
        <v>173.09447861692226</v>
      </c>
      <c r="D1551" s="12">
        <v>123.72368007276302</v>
      </c>
    </row>
    <row r="1552" spans="1:4">
      <c r="A1552">
        <v>1549</v>
      </c>
      <c r="B1552" s="12">
        <v>246.49858168084305</v>
      </c>
      <c r="C1552" s="12">
        <v>132.45305344757361</v>
      </c>
      <c r="D1552" s="12">
        <v>65.188738416467785</v>
      </c>
    </row>
    <row r="1553" spans="1:4">
      <c r="A1553">
        <v>1550</v>
      </c>
      <c r="B1553" s="12">
        <v>173.9988899804319</v>
      </c>
      <c r="C1553" s="12">
        <v>194.32980082446969</v>
      </c>
      <c r="D1553" s="12">
        <v>85.723567456549077</v>
      </c>
    </row>
    <row r="1554" spans="1:4">
      <c r="A1554">
        <v>1551</v>
      </c>
      <c r="B1554" s="12">
        <v>179.3513159166487</v>
      </c>
      <c r="C1554" s="12">
        <v>118.30761524200408</v>
      </c>
      <c r="D1554" s="12">
        <v>149.63557103179298</v>
      </c>
    </row>
    <row r="1555" spans="1:4">
      <c r="A1555">
        <v>1552</v>
      </c>
      <c r="B1555" s="12">
        <v>186.2509609442354</v>
      </c>
      <c r="C1555" s="12">
        <v>145.30916053838686</v>
      </c>
      <c r="D1555" s="12">
        <v>100.73552451081505</v>
      </c>
    </row>
    <row r="1556" spans="1:4">
      <c r="A1556">
        <v>1553</v>
      </c>
      <c r="B1556" s="12">
        <v>164.14211993562046</v>
      </c>
      <c r="C1556" s="12">
        <v>154.55059401252217</v>
      </c>
      <c r="D1556" s="12">
        <v>106.01293132624708</v>
      </c>
    </row>
    <row r="1557" spans="1:4">
      <c r="A1557">
        <v>1554</v>
      </c>
      <c r="B1557" s="12">
        <v>143.64149636739472</v>
      </c>
      <c r="C1557" s="12">
        <v>133.02027664088703</v>
      </c>
      <c r="D1557" s="12">
        <v>86.895234104470802</v>
      </c>
    </row>
    <row r="1558" spans="1:4">
      <c r="A1558">
        <v>1555</v>
      </c>
      <c r="B1558" s="12">
        <v>213.17938050263723</v>
      </c>
      <c r="C1558" s="12">
        <v>130.52929941595153</v>
      </c>
      <c r="D1558" s="12">
        <v>72.848414147340321</v>
      </c>
    </row>
    <row r="1559" spans="1:4">
      <c r="A1559">
        <v>1556</v>
      </c>
      <c r="B1559" s="12">
        <v>155.7056505490963</v>
      </c>
      <c r="C1559" s="12">
        <v>155.20113243931172</v>
      </c>
      <c r="D1559" s="12">
        <v>103.70229736136517</v>
      </c>
    </row>
    <row r="1560" spans="1:4">
      <c r="A1560">
        <v>1557</v>
      </c>
      <c r="B1560" s="12">
        <v>152.45258902325898</v>
      </c>
      <c r="C1560" s="12">
        <v>185.82670117799844</v>
      </c>
      <c r="D1560" s="12">
        <v>77.036371251189891</v>
      </c>
    </row>
    <row r="1561" spans="1:4">
      <c r="A1561">
        <v>1558</v>
      </c>
      <c r="B1561" s="12">
        <v>103.60937718450197</v>
      </c>
      <c r="C1561" s="12">
        <v>169.89312083045402</v>
      </c>
      <c r="D1561" s="12">
        <v>91.395347737128375</v>
      </c>
    </row>
    <row r="1562" spans="1:4">
      <c r="A1562">
        <v>1559</v>
      </c>
      <c r="B1562" s="12">
        <v>154.37786188577547</v>
      </c>
      <c r="C1562" s="12">
        <v>178.13789686222481</v>
      </c>
      <c r="D1562" s="12">
        <v>90.697101558506887</v>
      </c>
    </row>
    <row r="1563" spans="1:4">
      <c r="A1563">
        <v>1560</v>
      </c>
      <c r="B1563" s="12">
        <v>157.27057516590858</v>
      </c>
      <c r="C1563" s="12">
        <v>169.57477154932363</v>
      </c>
      <c r="D1563" s="12">
        <v>144.44235544261591</v>
      </c>
    </row>
    <row r="1564" spans="1:4">
      <c r="A1564">
        <v>1561</v>
      </c>
      <c r="B1564" s="12">
        <v>145.3980098002948</v>
      </c>
      <c r="C1564" s="12">
        <v>159.86131464568504</v>
      </c>
      <c r="D1564" s="12">
        <v>88.760713262289727</v>
      </c>
    </row>
    <row r="1565" spans="1:4">
      <c r="A1565">
        <v>1562</v>
      </c>
      <c r="B1565" s="12">
        <v>115.28766083108768</v>
      </c>
      <c r="C1565" s="12">
        <v>160.81071261938988</v>
      </c>
      <c r="D1565" s="12">
        <v>57.627043596713015</v>
      </c>
    </row>
    <row r="1566" spans="1:4">
      <c r="A1566">
        <v>1563</v>
      </c>
      <c r="B1566" s="12">
        <v>301.32671414097894</v>
      </c>
      <c r="C1566" s="12">
        <v>157.42268608682048</v>
      </c>
      <c r="D1566" s="12">
        <v>78.117563470264486</v>
      </c>
    </row>
    <row r="1567" spans="1:4">
      <c r="A1567">
        <v>1564</v>
      </c>
      <c r="B1567" s="12">
        <v>163.52086441592226</v>
      </c>
      <c r="C1567" s="12">
        <v>139.19925517773532</v>
      </c>
      <c r="D1567" s="12">
        <v>88.321217262970464</v>
      </c>
    </row>
    <row r="1568" spans="1:4">
      <c r="A1568">
        <v>1565</v>
      </c>
      <c r="B1568" s="12">
        <v>199.88743303358041</v>
      </c>
      <c r="C1568" s="12">
        <v>144.64096979333618</v>
      </c>
      <c r="D1568" s="12">
        <v>102.94970691191457</v>
      </c>
    </row>
    <row r="1569" spans="1:4">
      <c r="A1569">
        <v>1566</v>
      </c>
      <c r="B1569" s="12">
        <v>155.34074339130217</v>
      </c>
      <c r="C1569" s="12">
        <v>175.00889278992577</v>
      </c>
      <c r="D1569" s="12">
        <v>117.09549199923416</v>
      </c>
    </row>
    <row r="1570" spans="1:4">
      <c r="A1570">
        <v>1567</v>
      </c>
      <c r="B1570" s="12">
        <v>129.14416188555649</v>
      </c>
      <c r="C1570" s="12">
        <v>160.12079858733983</v>
      </c>
      <c r="D1570" s="12">
        <v>64.549989375191601</v>
      </c>
    </row>
    <row r="1571" spans="1:4">
      <c r="A1571">
        <v>1568</v>
      </c>
      <c r="B1571" s="12">
        <v>217.10474643855923</v>
      </c>
      <c r="C1571" s="12">
        <v>179.70557372912972</v>
      </c>
      <c r="D1571" s="12">
        <v>64.123678652951241</v>
      </c>
    </row>
    <row r="1572" spans="1:4">
      <c r="A1572">
        <v>1569</v>
      </c>
      <c r="B1572" s="12">
        <v>150.8890238729619</v>
      </c>
      <c r="C1572" s="12">
        <v>165.59891817540739</v>
      </c>
      <c r="D1572" s="12">
        <v>67.633297463904356</v>
      </c>
    </row>
    <row r="1573" spans="1:4">
      <c r="A1573">
        <v>1570</v>
      </c>
      <c r="B1573" s="12">
        <v>202.54666134404644</v>
      </c>
      <c r="C1573" s="12">
        <v>111.69240602035643</v>
      </c>
      <c r="D1573" s="12">
        <v>98.131793779687399</v>
      </c>
    </row>
    <row r="1574" spans="1:4">
      <c r="A1574">
        <v>1571</v>
      </c>
      <c r="B1574" s="12">
        <v>150.52304543651823</v>
      </c>
      <c r="C1574" s="12">
        <v>197.78794242367917</v>
      </c>
      <c r="D1574" s="12">
        <v>169.92562605275202</v>
      </c>
    </row>
    <row r="1575" spans="1:4">
      <c r="A1575">
        <v>1572</v>
      </c>
      <c r="B1575" s="12">
        <v>171.80301128175233</v>
      </c>
      <c r="C1575" s="12">
        <v>221.81185878567734</v>
      </c>
      <c r="D1575" s="12">
        <v>69.908867269774447</v>
      </c>
    </row>
    <row r="1576" spans="1:4">
      <c r="A1576">
        <v>1573</v>
      </c>
      <c r="B1576" s="12">
        <v>138.86601778906098</v>
      </c>
      <c r="C1576" s="12">
        <v>119.11545305192936</v>
      </c>
      <c r="D1576" s="12">
        <v>111.27196978856924</v>
      </c>
    </row>
    <row r="1577" spans="1:4">
      <c r="A1577">
        <v>1574</v>
      </c>
      <c r="B1577" s="12">
        <v>201.06330745578819</v>
      </c>
      <c r="C1577" s="12">
        <v>181.20511489565007</v>
      </c>
      <c r="D1577" s="12">
        <v>126.27260306118056</v>
      </c>
    </row>
    <row r="1578" spans="1:4">
      <c r="A1578">
        <v>1575</v>
      </c>
      <c r="B1578" s="12">
        <v>217.84644779253358</v>
      </c>
      <c r="C1578" s="12">
        <v>145.97230599810581</v>
      </c>
      <c r="D1578" s="12">
        <v>98.574186943099463</v>
      </c>
    </row>
    <row r="1579" spans="1:4">
      <c r="A1579">
        <v>1576</v>
      </c>
      <c r="B1579" s="12">
        <v>173.57818983606788</v>
      </c>
      <c r="C1579" s="12">
        <v>136.10721623259028</v>
      </c>
      <c r="D1579" s="12">
        <v>96.717213499018257</v>
      </c>
    </row>
    <row r="1580" spans="1:4">
      <c r="A1580">
        <v>1577</v>
      </c>
      <c r="B1580" s="12">
        <v>156.30474532592967</v>
      </c>
      <c r="C1580" s="12">
        <v>172.17940418022218</v>
      </c>
      <c r="D1580" s="12">
        <v>127.63256427662243</v>
      </c>
    </row>
    <row r="1581" spans="1:4">
      <c r="A1581">
        <v>1578</v>
      </c>
      <c r="B1581" s="12">
        <v>209.66229378830386</v>
      </c>
      <c r="C1581" s="12">
        <v>169.2591607099661</v>
      </c>
      <c r="D1581" s="12">
        <v>78.962395023307835</v>
      </c>
    </row>
    <row r="1582" spans="1:4">
      <c r="A1582">
        <v>1579</v>
      </c>
      <c r="B1582" s="12">
        <v>160.55669633609202</v>
      </c>
      <c r="C1582" s="12">
        <v>145.47046433245566</v>
      </c>
      <c r="D1582" s="12">
        <v>61.36465810168071</v>
      </c>
    </row>
    <row r="1583" spans="1:4">
      <c r="A1583">
        <v>1580</v>
      </c>
      <c r="B1583" s="12">
        <v>181.04029673140639</v>
      </c>
      <c r="C1583" s="12">
        <v>170.95800972006873</v>
      </c>
      <c r="D1583" s="12">
        <v>73.487976037070311</v>
      </c>
    </row>
    <row r="1584" spans="1:4">
      <c r="A1584">
        <v>1581</v>
      </c>
      <c r="B1584" s="12">
        <v>179.81048087418415</v>
      </c>
      <c r="C1584" s="12">
        <v>173.67653398027949</v>
      </c>
      <c r="D1584" s="12">
        <v>60.470156003150919</v>
      </c>
    </row>
    <row r="1585" spans="1:4">
      <c r="A1585">
        <v>1582</v>
      </c>
      <c r="B1585" s="12">
        <v>244.57628861081724</v>
      </c>
      <c r="C1585" s="12">
        <v>163.65100832357192</v>
      </c>
      <c r="D1585" s="12">
        <v>139.64764221202151</v>
      </c>
    </row>
    <row r="1586" spans="1:4">
      <c r="A1586">
        <v>1583</v>
      </c>
      <c r="B1586" s="12">
        <v>151.25467129041277</v>
      </c>
      <c r="C1586" s="12">
        <v>148.095460283747</v>
      </c>
      <c r="D1586" s="12">
        <v>142.84926029950577</v>
      </c>
    </row>
    <row r="1587" spans="1:4">
      <c r="A1587">
        <v>1584</v>
      </c>
      <c r="B1587" s="12">
        <v>116.08550073837313</v>
      </c>
      <c r="C1587" s="12">
        <v>155.12375970010882</v>
      </c>
      <c r="D1587" s="12">
        <v>62.447919847103151</v>
      </c>
    </row>
    <row r="1588" spans="1:4">
      <c r="A1588">
        <v>1585</v>
      </c>
      <c r="B1588" s="12">
        <v>154.62812808017941</v>
      </c>
      <c r="C1588" s="12">
        <v>112.19807302057177</v>
      </c>
      <c r="D1588" s="12">
        <v>98.759784832851196</v>
      </c>
    </row>
    <row r="1589" spans="1:4">
      <c r="A1589">
        <v>1586</v>
      </c>
      <c r="B1589" s="12">
        <v>200.83585903661228</v>
      </c>
      <c r="C1589" s="12">
        <v>144.46978866652773</v>
      </c>
      <c r="D1589" s="12">
        <v>129.44149438355743</v>
      </c>
    </row>
    <row r="1590" spans="1:4">
      <c r="A1590">
        <v>1587</v>
      </c>
      <c r="B1590" s="12">
        <v>110.77673048120667</v>
      </c>
      <c r="C1590" s="12">
        <v>195.51757456796543</v>
      </c>
      <c r="D1590" s="12">
        <v>85.53785589501075</v>
      </c>
    </row>
    <row r="1591" spans="1:4">
      <c r="A1591">
        <v>1588</v>
      </c>
      <c r="B1591" s="12">
        <v>241.01147228840316</v>
      </c>
      <c r="C1591" s="12">
        <v>148.91227818963381</v>
      </c>
      <c r="D1591" s="12">
        <v>68.813164471804996</v>
      </c>
    </row>
    <row r="1592" spans="1:4">
      <c r="A1592">
        <v>1589</v>
      </c>
      <c r="B1592" s="12">
        <v>142.89359067973592</v>
      </c>
      <c r="C1592" s="12">
        <v>149.31389866864555</v>
      </c>
      <c r="D1592" s="12">
        <v>88.676837290905155</v>
      </c>
    </row>
    <row r="1593" spans="1:4">
      <c r="A1593">
        <v>1590</v>
      </c>
      <c r="B1593" s="12">
        <v>167.0649483693966</v>
      </c>
      <c r="C1593" s="12">
        <v>186.60129005970171</v>
      </c>
      <c r="D1593" s="12">
        <v>76.809831985536917</v>
      </c>
    </row>
    <row r="1594" spans="1:4">
      <c r="A1594">
        <v>1591</v>
      </c>
      <c r="B1594" s="12">
        <v>144.90339679393642</v>
      </c>
      <c r="C1594" s="12">
        <v>145.39155393241563</v>
      </c>
      <c r="D1594" s="12">
        <v>101.37977616507979</v>
      </c>
    </row>
    <row r="1595" spans="1:4">
      <c r="A1595">
        <v>1592</v>
      </c>
      <c r="B1595" s="12">
        <v>254.93431948059302</v>
      </c>
      <c r="C1595" s="12">
        <v>186.0150917148342</v>
      </c>
      <c r="D1595" s="12">
        <v>96.101343214162881</v>
      </c>
    </row>
    <row r="1596" spans="1:4">
      <c r="A1596">
        <v>1593</v>
      </c>
      <c r="B1596" s="12">
        <v>160.07002168978204</v>
      </c>
      <c r="C1596" s="12">
        <v>127.41596550083017</v>
      </c>
      <c r="D1596" s="12">
        <v>81.5910619299312</v>
      </c>
    </row>
    <row r="1597" spans="1:4">
      <c r="A1597">
        <v>1594</v>
      </c>
      <c r="B1597" s="12">
        <v>171.26624912495132</v>
      </c>
      <c r="C1597" s="12">
        <v>172.63604489708305</v>
      </c>
      <c r="D1597" s="12">
        <v>103.32693107510715</v>
      </c>
    </row>
    <row r="1598" spans="1:4">
      <c r="A1598">
        <v>1595</v>
      </c>
      <c r="B1598" s="12">
        <v>128.99034034817885</v>
      </c>
      <c r="C1598" s="12">
        <v>122.50831220196562</v>
      </c>
      <c r="D1598" s="12">
        <v>67.990491013582542</v>
      </c>
    </row>
    <row r="1599" spans="1:4">
      <c r="A1599">
        <v>1596</v>
      </c>
      <c r="B1599" s="12">
        <v>110.1033007131244</v>
      </c>
      <c r="C1599" s="12">
        <v>131.02818907362709</v>
      </c>
      <c r="D1599" s="12">
        <v>132.57421853339434</v>
      </c>
    </row>
    <row r="1600" spans="1:4">
      <c r="A1600">
        <v>1597</v>
      </c>
      <c r="B1600" s="12">
        <v>263.09991837512581</v>
      </c>
      <c r="C1600" s="12">
        <v>129.23027173886277</v>
      </c>
      <c r="D1600" s="12">
        <v>95.931165136550064</v>
      </c>
    </row>
    <row r="1601" spans="1:4">
      <c r="A1601">
        <v>1598</v>
      </c>
      <c r="B1601" s="12">
        <v>238.57446585698835</v>
      </c>
      <c r="C1601" s="12">
        <v>198.13280208243847</v>
      </c>
      <c r="D1601" s="12">
        <v>83.31296769745363</v>
      </c>
    </row>
    <row r="1602" spans="1:4">
      <c r="A1602">
        <v>1599</v>
      </c>
      <c r="B1602" s="12">
        <v>112.7287939005184</v>
      </c>
      <c r="C1602" s="12">
        <v>127.85555142309161</v>
      </c>
      <c r="D1602" s="12">
        <v>155.25768408869791</v>
      </c>
    </row>
    <row r="1603" spans="1:4">
      <c r="A1603">
        <v>1600</v>
      </c>
      <c r="B1603" s="12">
        <v>155.59123247423167</v>
      </c>
      <c r="C1603" s="12">
        <v>220.39627754860632</v>
      </c>
      <c r="D1603" s="12">
        <v>105.43494641698598</v>
      </c>
    </row>
    <row r="1604" spans="1:4">
      <c r="A1604">
        <v>1601</v>
      </c>
      <c r="B1604" s="12">
        <v>165.65719151062223</v>
      </c>
      <c r="C1604" s="12">
        <v>135.18863355133107</v>
      </c>
      <c r="D1604" s="12">
        <v>166.07810449588152</v>
      </c>
    </row>
    <row r="1605" spans="1:4">
      <c r="A1605">
        <v>1602</v>
      </c>
      <c r="B1605" s="12">
        <v>149.80678812221231</v>
      </c>
      <c r="C1605" s="12">
        <v>134.34262138853558</v>
      </c>
      <c r="D1605" s="12">
        <v>46.2334261772098</v>
      </c>
    </row>
    <row r="1606" spans="1:4">
      <c r="A1606">
        <v>1603</v>
      </c>
      <c r="B1606" s="12">
        <v>140.84265063535014</v>
      </c>
      <c r="C1606" s="12">
        <v>153.17937940129278</v>
      </c>
      <c r="D1606" s="12">
        <v>74.365686485021826</v>
      </c>
    </row>
    <row r="1607" spans="1:4">
      <c r="A1607">
        <v>1604</v>
      </c>
      <c r="B1607" s="12">
        <v>125.41418267289782</v>
      </c>
      <c r="C1607" s="12">
        <v>187.20359187498144</v>
      </c>
      <c r="D1607" s="12">
        <v>138.58701973223441</v>
      </c>
    </row>
    <row r="1608" spans="1:4">
      <c r="A1608">
        <v>1605</v>
      </c>
      <c r="B1608" s="12">
        <v>153.89908611005654</v>
      </c>
      <c r="C1608" s="12">
        <v>159.78016016377686</v>
      </c>
      <c r="D1608" s="12">
        <v>127.46778676696438</v>
      </c>
    </row>
    <row r="1609" spans="1:4">
      <c r="A1609">
        <v>1606</v>
      </c>
      <c r="B1609" s="12">
        <v>149.07186103624062</v>
      </c>
      <c r="C1609" s="12">
        <v>171.1849817386458</v>
      </c>
      <c r="D1609" s="12">
        <v>89.115224480399689</v>
      </c>
    </row>
    <row r="1610" spans="1:4">
      <c r="A1610">
        <v>1607</v>
      </c>
      <c r="B1610" s="12">
        <v>196.11860588136773</v>
      </c>
      <c r="C1610" s="12">
        <v>131.26505035914889</v>
      </c>
      <c r="D1610" s="12">
        <v>91.745776414814941</v>
      </c>
    </row>
    <row r="1611" spans="1:4">
      <c r="A1611">
        <v>1608</v>
      </c>
      <c r="B1611" s="12">
        <v>127.66886377375361</v>
      </c>
      <c r="C1611" s="12">
        <v>126.67087734807801</v>
      </c>
      <c r="D1611" s="12">
        <v>174.7218156021199</v>
      </c>
    </row>
    <row r="1612" spans="1:4">
      <c r="A1612">
        <v>1609</v>
      </c>
      <c r="B1612" s="12">
        <v>146.88148485653576</v>
      </c>
      <c r="C1612" s="12">
        <v>141.28620271193543</v>
      </c>
      <c r="D1612" s="12">
        <v>116.35849464486435</v>
      </c>
    </row>
    <row r="1613" spans="1:4">
      <c r="A1613">
        <v>1610</v>
      </c>
      <c r="B1613" s="12">
        <v>152.93654215790775</v>
      </c>
      <c r="C1613" s="12">
        <v>161.86142856353464</v>
      </c>
      <c r="D1613" s="12">
        <v>116.97626152838836</v>
      </c>
    </row>
    <row r="1614" spans="1:4">
      <c r="A1614">
        <v>1611</v>
      </c>
      <c r="B1614" s="12">
        <v>176.40533274969735</v>
      </c>
      <c r="C1614" s="12">
        <v>185.085657137732</v>
      </c>
      <c r="D1614" s="12">
        <v>79.379390635652229</v>
      </c>
    </row>
    <row r="1615" spans="1:4">
      <c r="A1615">
        <v>1612</v>
      </c>
      <c r="B1615" s="12">
        <v>135.45662245290637</v>
      </c>
      <c r="C1615" s="12">
        <v>163.28983210301695</v>
      </c>
      <c r="D1615" s="12">
        <v>111.37994821723544</v>
      </c>
    </row>
    <row r="1616" spans="1:4">
      <c r="A1616">
        <v>1613</v>
      </c>
      <c r="B1616" s="12">
        <v>202.7947689395447</v>
      </c>
      <c r="C1616" s="12">
        <v>142.42247252972922</v>
      </c>
      <c r="D1616" s="12">
        <v>148.04439516986255</v>
      </c>
    </row>
    <row r="1617" spans="1:4">
      <c r="A1617">
        <v>1614</v>
      </c>
      <c r="B1617" s="12">
        <v>161.42195650764086</v>
      </c>
      <c r="C1617" s="12">
        <v>176.53269838822337</v>
      </c>
      <c r="D1617" s="12">
        <v>94.701796516823663</v>
      </c>
    </row>
    <row r="1618" spans="1:4">
      <c r="A1618">
        <v>1615</v>
      </c>
      <c r="B1618" s="12">
        <v>166.04210582909423</v>
      </c>
      <c r="C1618" s="12">
        <v>191.92260213459602</v>
      </c>
      <c r="D1618" s="12">
        <v>66.925909752978683</v>
      </c>
    </row>
    <row r="1619" spans="1:4">
      <c r="A1619">
        <v>1616</v>
      </c>
      <c r="B1619" s="12">
        <v>208.47574512395011</v>
      </c>
      <c r="C1619" s="12">
        <v>153.58065345327861</v>
      </c>
      <c r="D1619" s="12">
        <v>92.178682419181385</v>
      </c>
    </row>
    <row r="1620" spans="1:4">
      <c r="A1620">
        <v>1617</v>
      </c>
      <c r="B1620" s="12">
        <v>152.33822438971339</v>
      </c>
      <c r="C1620" s="12">
        <v>146.71236698807883</v>
      </c>
      <c r="D1620" s="12">
        <v>97.071442326645084</v>
      </c>
    </row>
    <row r="1621" spans="1:4">
      <c r="A1621">
        <v>1618</v>
      </c>
      <c r="B1621" s="12">
        <v>130.26732712278715</v>
      </c>
      <c r="C1621" s="12">
        <v>116.54668117928213</v>
      </c>
      <c r="D1621" s="12">
        <v>77.478171703700497</v>
      </c>
    </row>
    <row r="1622" spans="1:4">
      <c r="A1622">
        <v>1619</v>
      </c>
      <c r="B1622" s="12">
        <v>189.8029421945412</v>
      </c>
      <c r="C1622" s="12">
        <v>141.01718495206026</v>
      </c>
      <c r="D1622" s="12">
        <v>190.23556598002079</v>
      </c>
    </row>
    <row r="1623" spans="1:4">
      <c r="A1623">
        <v>1620</v>
      </c>
      <c r="B1623" s="12">
        <v>143.90301353654678</v>
      </c>
      <c r="C1623" s="12">
        <v>147.36690207392741</v>
      </c>
      <c r="D1623" s="12">
        <v>94.966264747651778</v>
      </c>
    </row>
    <row r="1624" spans="1:4">
      <c r="A1624">
        <v>1621</v>
      </c>
      <c r="B1624" s="12">
        <v>140.44878486580367</v>
      </c>
      <c r="C1624" s="12">
        <v>172.07245216969781</v>
      </c>
      <c r="D1624" s="12">
        <v>86.984108669885273</v>
      </c>
    </row>
    <row r="1625" spans="1:4">
      <c r="A1625">
        <v>1622</v>
      </c>
      <c r="B1625" s="12">
        <v>215.63441580515232</v>
      </c>
      <c r="C1625" s="12">
        <v>160.72842889340538</v>
      </c>
      <c r="D1625" s="12">
        <v>100.37391041214882</v>
      </c>
    </row>
    <row r="1626" spans="1:4">
      <c r="A1626">
        <v>1623</v>
      </c>
      <c r="B1626" s="12">
        <v>142.50870308240451</v>
      </c>
      <c r="C1626" s="12">
        <v>167.04984865915816</v>
      </c>
      <c r="D1626" s="12">
        <v>99.651057479833227</v>
      </c>
    </row>
    <row r="1627" spans="1:4">
      <c r="A1627">
        <v>1624</v>
      </c>
      <c r="B1627" s="12">
        <v>145.52087218350556</v>
      </c>
      <c r="C1627" s="12">
        <v>160.46664295312928</v>
      </c>
      <c r="D1627" s="12">
        <v>123.57876759952816</v>
      </c>
    </row>
    <row r="1628" spans="1:4">
      <c r="A1628">
        <v>1625</v>
      </c>
      <c r="B1628" s="12">
        <v>157.75687846128591</v>
      </c>
      <c r="C1628" s="12">
        <v>151.89056300472609</v>
      </c>
      <c r="D1628" s="12">
        <v>79.690516692179642</v>
      </c>
    </row>
    <row r="1629" spans="1:4">
      <c r="A1629">
        <v>1626</v>
      </c>
      <c r="B1629" s="12">
        <v>230.00198184724036</v>
      </c>
      <c r="C1629" s="12">
        <v>152.77861922477931</v>
      </c>
      <c r="D1629" s="12">
        <v>139.3903921091856</v>
      </c>
    </row>
    <row r="1630" spans="1:4">
      <c r="A1630">
        <v>1627</v>
      </c>
      <c r="B1630" s="12">
        <v>125.76143686126142</v>
      </c>
      <c r="C1630" s="12">
        <v>149.55841000935661</v>
      </c>
      <c r="D1630" s="12">
        <v>64.343118699424352</v>
      </c>
    </row>
    <row r="1631" spans="1:4">
      <c r="A1631">
        <v>1628</v>
      </c>
      <c r="B1631" s="12">
        <v>151.73946235326156</v>
      </c>
      <c r="C1631" s="12">
        <v>128.55510095677087</v>
      </c>
      <c r="D1631" s="12">
        <v>79.178714848564482</v>
      </c>
    </row>
    <row r="1632" spans="1:4">
      <c r="A1632">
        <v>1629</v>
      </c>
      <c r="B1632" s="12">
        <v>181.66834950134552</v>
      </c>
      <c r="C1632" s="12">
        <v>152.93504009909381</v>
      </c>
      <c r="D1632" s="12">
        <v>94.268335248632013</v>
      </c>
    </row>
    <row r="1633" spans="1:4">
      <c r="A1633">
        <v>1630</v>
      </c>
      <c r="B1633" s="12">
        <v>143.52186204595756</v>
      </c>
      <c r="C1633" s="12">
        <v>164.75790006852807</v>
      </c>
      <c r="D1633" s="12">
        <v>106.40872640017895</v>
      </c>
    </row>
    <row r="1634" spans="1:4">
      <c r="A1634">
        <v>1631</v>
      </c>
      <c r="B1634" s="12">
        <v>105.63675188511793</v>
      </c>
      <c r="C1634" s="12">
        <v>152.13437084968785</v>
      </c>
      <c r="D1634" s="12">
        <v>146.9024079906232</v>
      </c>
    </row>
    <row r="1635" spans="1:4">
      <c r="A1635">
        <v>1632</v>
      </c>
      <c r="B1635" s="12">
        <v>107.80723798742652</v>
      </c>
      <c r="C1635" s="12">
        <v>204.90686499943962</v>
      </c>
      <c r="D1635" s="12">
        <v>78.544761548118558</v>
      </c>
    </row>
    <row r="1636" spans="1:4">
      <c r="A1636">
        <v>1633</v>
      </c>
      <c r="B1636" s="12">
        <v>138.73948056258601</v>
      </c>
      <c r="C1636" s="12">
        <v>157.09287325264191</v>
      </c>
      <c r="D1636" s="12">
        <v>153.70206912453992</v>
      </c>
    </row>
    <row r="1637" spans="1:4">
      <c r="A1637">
        <v>1634</v>
      </c>
      <c r="B1637" s="12">
        <v>250.97801829679818</v>
      </c>
      <c r="C1637" s="12">
        <v>132.21654215492339</v>
      </c>
      <c r="D1637" s="12">
        <v>89.648023772555234</v>
      </c>
    </row>
    <row r="1638" spans="1:4">
      <c r="A1638">
        <v>1635</v>
      </c>
      <c r="B1638" s="12">
        <v>138.33429863779406</v>
      </c>
      <c r="C1638" s="12">
        <v>178.00713206368479</v>
      </c>
      <c r="D1638" s="12">
        <v>71.913193778316526</v>
      </c>
    </row>
    <row r="1639" spans="1:4">
      <c r="A1639">
        <v>1636</v>
      </c>
      <c r="B1639" s="12">
        <v>159.46375066250971</v>
      </c>
      <c r="C1639" s="12">
        <v>183.66522741947594</v>
      </c>
      <c r="D1639" s="12">
        <v>81.780258448449388</v>
      </c>
    </row>
    <row r="1640" spans="1:4">
      <c r="A1640">
        <v>1637</v>
      </c>
      <c r="B1640" s="12">
        <v>123.94052126594413</v>
      </c>
      <c r="C1640" s="12">
        <v>192.70474007322747</v>
      </c>
      <c r="D1640" s="12">
        <v>101.65812727634757</v>
      </c>
    </row>
    <row r="1641" spans="1:4">
      <c r="A1641">
        <v>1638</v>
      </c>
      <c r="B1641" s="12">
        <v>182.45453956419564</v>
      </c>
      <c r="C1641" s="12">
        <v>169.16076682045997</v>
      </c>
      <c r="D1641" s="12">
        <v>113.16153338029078</v>
      </c>
    </row>
    <row r="1642" spans="1:4">
      <c r="A1642">
        <v>1639</v>
      </c>
      <c r="B1642" s="12">
        <v>192.25550540124138</v>
      </c>
      <c r="C1642" s="12">
        <v>154.22788774021367</v>
      </c>
      <c r="D1642" s="12">
        <v>90.083900355146483</v>
      </c>
    </row>
    <row r="1643" spans="1:4">
      <c r="A1643">
        <v>1640</v>
      </c>
      <c r="B1643" s="12">
        <v>161.04962717678103</v>
      </c>
      <c r="C1643" s="12">
        <v>123.46704626013559</v>
      </c>
      <c r="D1643" s="12">
        <v>88.237063681284894</v>
      </c>
    </row>
    <row r="1644" spans="1:4">
      <c r="A1644">
        <v>1641</v>
      </c>
      <c r="B1644" s="12">
        <v>144.52553134853605</v>
      </c>
      <c r="C1644" s="12">
        <v>162.57106842156833</v>
      </c>
      <c r="D1644" s="12">
        <v>114.08132723197362</v>
      </c>
    </row>
    <row r="1645" spans="1:4">
      <c r="A1645">
        <v>1642</v>
      </c>
      <c r="B1645" s="12">
        <v>187.81409672071717</v>
      </c>
      <c r="C1645" s="12">
        <v>160.20586876711127</v>
      </c>
      <c r="D1645" s="12">
        <v>65.99211528811577</v>
      </c>
    </row>
    <row r="1646" spans="1:4">
      <c r="A1646">
        <v>1643</v>
      </c>
      <c r="B1646" s="12">
        <v>148.83603665619191</v>
      </c>
      <c r="C1646" s="12">
        <v>136.81236432747036</v>
      </c>
      <c r="D1646" s="12">
        <v>142.55645998585899</v>
      </c>
    </row>
    <row r="1647" spans="1:4">
      <c r="A1647">
        <v>1644</v>
      </c>
      <c r="B1647" s="12">
        <v>167.45488829020314</v>
      </c>
      <c r="C1647" s="12">
        <v>161.5949101015064</v>
      </c>
      <c r="D1647" s="12">
        <v>218.32280902851753</v>
      </c>
    </row>
    <row r="1648" spans="1:4">
      <c r="A1648">
        <v>1645</v>
      </c>
      <c r="B1648" s="12">
        <v>166.42833875866654</v>
      </c>
      <c r="C1648" s="12">
        <v>163.74132822158651</v>
      </c>
      <c r="D1648" s="12">
        <v>141.64538546826373</v>
      </c>
    </row>
    <row r="1649" spans="1:4">
      <c r="A1649">
        <v>1646</v>
      </c>
      <c r="B1649" s="12">
        <v>121.15522901275499</v>
      </c>
      <c r="C1649" s="12">
        <v>155.37070150098256</v>
      </c>
      <c r="D1649" s="12">
        <v>121.23129359718183</v>
      </c>
    </row>
    <row r="1650" spans="1:4">
      <c r="A1650">
        <v>1647</v>
      </c>
      <c r="B1650" s="12">
        <v>163.64448476499967</v>
      </c>
      <c r="C1650" s="12">
        <v>139.84797881881326</v>
      </c>
      <c r="D1650" s="12">
        <v>122.83106801786909</v>
      </c>
    </row>
    <row r="1651" spans="1:4">
      <c r="A1651">
        <v>1648</v>
      </c>
      <c r="B1651" s="12">
        <v>134.59767676475096</v>
      </c>
      <c r="C1651" s="12">
        <v>134.66597466679502</v>
      </c>
      <c r="D1651" s="12">
        <v>117.35793880977486</v>
      </c>
    </row>
    <row r="1652" spans="1:4">
      <c r="A1652">
        <v>1649</v>
      </c>
      <c r="B1652" s="12">
        <v>150.04175723588529</v>
      </c>
      <c r="C1652" s="12">
        <v>168.65002506288357</v>
      </c>
      <c r="D1652" s="12">
        <v>95.400632257858689</v>
      </c>
    </row>
    <row r="1653" spans="1:4">
      <c r="A1653">
        <v>1650</v>
      </c>
      <c r="B1653" s="12">
        <v>163.02545952107715</v>
      </c>
      <c r="C1653" s="12">
        <v>106.87972539602566</v>
      </c>
      <c r="D1653" s="12">
        <v>100.92509414015615</v>
      </c>
    </row>
    <row r="1654" spans="1:4">
      <c r="A1654">
        <v>1651</v>
      </c>
      <c r="B1654" s="12">
        <v>186.42084219277643</v>
      </c>
      <c r="C1654" s="12">
        <v>162.30128768637783</v>
      </c>
      <c r="D1654" s="12">
        <v>163.56240748846645</v>
      </c>
    </row>
    <row r="1655" spans="1:4">
      <c r="A1655">
        <v>1652</v>
      </c>
      <c r="B1655" s="12">
        <v>219.43933720420918</v>
      </c>
      <c r="C1655" s="12">
        <v>145.80374187273665</v>
      </c>
      <c r="D1655" s="12">
        <v>121.66298382538325</v>
      </c>
    </row>
    <row r="1656" spans="1:4">
      <c r="A1656">
        <v>1653</v>
      </c>
      <c r="B1656" s="12">
        <v>137.92667028030783</v>
      </c>
      <c r="C1656" s="12">
        <v>125.40010609694481</v>
      </c>
      <c r="D1656" s="12">
        <v>54.709621903623677</v>
      </c>
    </row>
    <row r="1657" spans="1:4">
      <c r="A1657">
        <v>1654</v>
      </c>
      <c r="B1657" s="12">
        <v>137.66423286658761</v>
      </c>
      <c r="C1657" s="12">
        <v>159.1001174112221</v>
      </c>
      <c r="D1657" s="12">
        <v>131.95313477655978</v>
      </c>
    </row>
    <row r="1658" spans="1:4">
      <c r="A1658">
        <v>1655</v>
      </c>
      <c r="B1658" s="12">
        <v>140.05296950140928</v>
      </c>
      <c r="C1658" s="12">
        <v>113.59342819652991</v>
      </c>
      <c r="D1658" s="12">
        <v>79.999107751101519</v>
      </c>
    </row>
    <row r="1659" spans="1:4">
      <c r="A1659">
        <v>1656</v>
      </c>
      <c r="B1659" s="12">
        <v>178.01471842991819</v>
      </c>
      <c r="C1659" s="12">
        <v>158.84413704239643</v>
      </c>
      <c r="D1659" s="12">
        <v>73.367159093475479</v>
      </c>
    </row>
    <row r="1660" spans="1:4">
      <c r="A1660">
        <v>1657</v>
      </c>
      <c r="B1660" s="12">
        <v>129.47886155359612</v>
      </c>
      <c r="C1660" s="12">
        <v>175.89284568023362</v>
      </c>
      <c r="D1660" s="12">
        <v>77.689183184724882</v>
      </c>
    </row>
    <row r="1661" spans="1:4">
      <c r="A1661">
        <v>1658</v>
      </c>
      <c r="B1661" s="12">
        <v>141.87391024951779</v>
      </c>
      <c r="C1661" s="12">
        <v>151.24698599481326</v>
      </c>
      <c r="D1661" s="12">
        <v>82.074111988954257</v>
      </c>
    </row>
    <row r="1662" spans="1:4">
      <c r="A1662">
        <v>1659</v>
      </c>
      <c r="B1662" s="12">
        <v>203.56362866540184</v>
      </c>
      <c r="C1662" s="12">
        <v>110.55261666636234</v>
      </c>
      <c r="D1662" s="12">
        <v>59.161566258432011</v>
      </c>
    </row>
    <row r="1663" spans="1:4">
      <c r="A1663">
        <v>1660</v>
      </c>
      <c r="B1663" s="12">
        <v>287.31266629273097</v>
      </c>
      <c r="C1663" s="12">
        <v>125.71728314254862</v>
      </c>
      <c r="D1663" s="12">
        <v>102.39775960064463</v>
      </c>
    </row>
    <row r="1664" spans="1:4">
      <c r="A1664">
        <v>1661</v>
      </c>
      <c r="B1664" s="12">
        <v>178.75343405033178</v>
      </c>
      <c r="C1664" s="12">
        <v>177.59419107302594</v>
      </c>
      <c r="D1664" s="12">
        <v>92.611372764978697</v>
      </c>
    </row>
    <row r="1665" spans="1:4">
      <c r="A1665">
        <v>1662</v>
      </c>
      <c r="B1665" s="12">
        <v>175.69270424742609</v>
      </c>
      <c r="C1665" s="12">
        <v>163.01650725213381</v>
      </c>
      <c r="D1665" s="12">
        <v>150.04952681442001</v>
      </c>
    </row>
    <row r="1666" spans="1:4">
      <c r="A1666">
        <v>1663</v>
      </c>
      <c r="B1666" s="12">
        <v>89.758773810554047</v>
      </c>
      <c r="C1666" s="12">
        <v>121.24452755519613</v>
      </c>
      <c r="D1666" s="12">
        <v>140.76702583756605</v>
      </c>
    </row>
    <row r="1667" spans="1:4">
      <c r="A1667">
        <v>1664</v>
      </c>
      <c r="B1667" s="12">
        <v>151.00864010271195</v>
      </c>
      <c r="C1667" s="12">
        <v>166.27256746446139</v>
      </c>
      <c r="D1667" s="12">
        <v>101.83691786785434</v>
      </c>
    </row>
    <row r="1668" spans="1:4">
      <c r="A1668">
        <v>1665</v>
      </c>
      <c r="B1668" s="12">
        <v>136.15131025403602</v>
      </c>
      <c r="C1668" s="12">
        <v>185.6475944111391</v>
      </c>
      <c r="D1668" s="12">
        <v>145.81366892385947</v>
      </c>
    </row>
    <row r="1669" spans="1:4">
      <c r="A1669">
        <v>1666</v>
      </c>
      <c r="B1669" s="12">
        <v>145.14483595401705</v>
      </c>
      <c r="C1669" s="12">
        <v>184.19289832135087</v>
      </c>
      <c r="D1669" s="12">
        <v>156.31506347312032</v>
      </c>
    </row>
    <row r="1670" spans="1:4">
      <c r="A1670">
        <v>1667</v>
      </c>
      <c r="B1670" s="12">
        <v>135.72887959366361</v>
      </c>
      <c r="C1670" s="12">
        <v>131.98924554582658</v>
      </c>
      <c r="D1670" s="12">
        <v>127.99666868855921</v>
      </c>
    </row>
    <row r="1671" spans="1:4">
      <c r="A1671">
        <v>1668</v>
      </c>
      <c r="B1671" s="12">
        <v>117.57407356498119</v>
      </c>
      <c r="C1671" s="12">
        <v>159.35693685186871</v>
      </c>
      <c r="D1671" s="12">
        <v>104.84901384551551</v>
      </c>
    </row>
    <row r="1672" spans="1:4">
      <c r="A1672">
        <v>1669</v>
      </c>
      <c r="B1672" s="12">
        <v>120.09743234648855</v>
      </c>
      <c r="C1672" s="12">
        <v>140.12377864198771</v>
      </c>
      <c r="D1672" s="12">
        <v>99.924189114627012</v>
      </c>
    </row>
    <row r="1673" spans="1:4">
      <c r="A1673">
        <v>1670</v>
      </c>
      <c r="B1673" s="12">
        <v>108.99545601212635</v>
      </c>
      <c r="C1673" s="12">
        <v>150.20319661346593</v>
      </c>
      <c r="D1673" s="12">
        <v>57.222732150781681</v>
      </c>
    </row>
    <row r="1674" spans="1:4">
      <c r="A1674">
        <v>1671</v>
      </c>
      <c r="B1674" s="12">
        <v>160.44043161036439</v>
      </c>
      <c r="C1674" s="12">
        <v>179.85112670811537</v>
      </c>
      <c r="D1674" s="12">
        <v>88.408946655220987</v>
      </c>
    </row>
    <row r="1675" spans="1:4">
      <c r="A1675">
        <v>1672</v>
      </c>
      <c r="B1675" s="12">
        <v>201.5660677126144</v>
      </c>
      <c r="C1675" s="12">
        <v>119.36840060489656</v>
      </c>
      <c r="D1675" s="12">
        <v>148.80661249307974</v>
      </c>
    </row>
    <row r="1676" spans="1:4">
      <c r="A1676">
        <v>1673</v>
      </c>
      <c r="B1676" s="12">
        <v>142.12227554273213</v>
      </c>
      <c r="C1676" s="12">
        <v>203.9279845884852</v>
      </c>
      <c r="D1676" s="12">
        <v>93.138768058152635</v>
      </c>
    </row>
    <row r="1677" spans="1:4">
      <c r="A1677">
        <v>1674</v>
      </c>
      <c r="B1677" s="12">
        <v>118.29439664199685</v>
      </c>
      <c r="C1677" s="12">
        <v>142.25395535968434</v>
      </c>
      <c r="D1677" s="12">
        <v>93.57144509517984</v>
      </c>
    </row>
    <row r="1678" spans="1:4">
      <c r="A1678">
        <v>1675</v>
      </c>
      <c r="B1678" s="12">
        <v>146.50896497351872</v>
      </c>
      <c r="C1678" s="12">
        <v>158.42592684615281</v>
      </c>
      <c r="D1678" s="12">
        <v>137.32194840477607</v>
      </c>
    </row>
    <row r="1679" spans="1:4">
      <c r="A1679">
        <v>1676</v>
      </c>
      <c r="B1679" s="12">
        <v>129.78858021651246</v>
      </c>
      <c r="C1679" s="12">
        <v>143.62944823252795</v>
      </c>
      <c r="D1679" s="12">
        <v>89.381834111835872</v>
      </c>
    </row>
    <row r="1680" spans="1:4">
      <c r="A1680">
        <v>1677</v>
      </c>
      <c r="B1680" s="12">
        <v>164.02317823252551</v>
      </c>
      <c r="C1680" s="12">
        <v>211.9732765037518</v>
      </c>
      <c r="D1680" s="12">
        <v>136.58046063642931</v>
      </c>
    </row>
    <row r="1681" spans="1:4">
      <c r="A1681">
        <v>1678</v>
      </c>
      <c r="B1681" s="12">
        <v>156.78986417503316</v>
      </c>
      <c r="C1681" s="12">
        <v>153.82555173037599</v>
      </c>
      <c r="D1681" s="12">
        <v>71.223284559144915</v>
      </c>
    </row>
    <row r="1682" spans="1:4">
      <c r="A1682">
        <v>1679</v>
      </c>
      <c r="B1682" s="12">
        <v>136.57067555669929</v>
      </c>
      <c r="C1682" s="12">
        <v>161.1601825100428</v>
      </c>
      <c r="D1682" s="12">
        <v>120.11754572917084</v>
      </c>
    </row>
    <row r="1683" spans="1:4">
      <c r="A1683">
        <v>1680</v>
      </c>
      <c r="B1683" s="12">
        <v>166.67645129978587</v>
      </c>
      <c r="C1683" s="12">
        <v>132.56716906122645</v>
      </c>
      <c r="D1683" s="12">
        <v>66.568438742181755</v>
      </c>
    </row>
    <row r="1684" spans="1:4">
      <c r="A1684">
        <v>1681</v>
      </c>
      <c r="B1684" s="12">
        <v>117.10039705407058</v>
      </c>
      <c r="C1684" s="12">
        <v>118.86797168315215</v>
      </c>
      <c r="D1684" s="12">
        <v>74.733244642277242</v>
      </c>
    </row>
    <row r="1685" spans="1:4">
      <c r="A1685">
        <v>1682</v>
      </c>
      <c r="B1685" s="12">
        <v>205.67308321933368</v>
      </c>
      <c r="C1685" s="12">
        <v>216.62806306584255</v>
      </c>
      <c r="D1685" s="12">
        <v>72.977387136388401</v>
      </c>
    </row>
    <row r="1686" spans="1:4">
      <c r="A1686">
        <v>1683</v>
      </c>
      <c r="B1686" s="12">
        <v>156.55564179416112</v>
      </c>
      <c r="C1686" s="12">
        <v>202.50506947866566</v>
      </c>
      <c r="D1686" s="12">
        <v>152.24819383700159</v>
      </c>
    </row>
    <row r="1687" spans="1:4">
      <c r="A1687">
        <v>1684</v>
      </c>
      <c r="B1687" s="12">
        <v>138.99777849543872</v>
      </c>
      <c r="C1687" s="12">
        <v>120.8136733905428</v>
      </c>
      <c r="D1687" s="12">
        <v>71.646642388464613</v>
      </c>
    </row>
    <row r="1688" spans="1:4">
      <c r="A1688">
        <v>1685</v>
      </c>
      <c r="B1688" s="12">
        <v>234.98238876196982</v>
      </c>
      <c r="C1688" s="12">
        <v>150.84713168050493</v>
      </c>
      <c r="D1688" s="12">
        <v>182.8667390650277</v>
      </c>
    </row>
    <row r="1689" spans="1:4">
      <c r="A1689">
        <v>1686</v>
      </c>
      <c r="B1689" s="12">
        <v>169.54011470674772</v>
      </c>
      <c r="C1689" s="12">
        <v>157.50497443030287</v>
      </c>
      <c r="D1689" s="12">
        <v>78.863169760925047</v>
      </c>
    </row>
    <row r="1690" spans="1:4">
      <c r="A1690">
        <v>1687</v>
      </c>
      <c r="B1690" s="12">
        <v>248.72245674616241</v>
      </c>
      <c r="C1690" s="12">
        <v>146.96065084859404</v>
      </c>
      <c r="D1690" s="12">
        <v>78.015833686086438</v>
      </c>
    </row>
    <row r="1691" spans="1:4">
      <c r="A1691">
        <v>1688</v>
      </c>
      <c r="B1691" s="12">
        <v>84.58273587173403</v>
      </c>
      <c r="C1691" s="12">
        <v>140.84409281075344</v>
      </c>
      <c r="D1691" s="12">
        <v>97.778676188047072</v>
      </c>
    </row>
    <row r="1692" spans="1:4">
      <c r="A1692">
        <v>1689</v>
      </c>
      <c r="B1692" s="12">
        <v>126.29624136109406</v>
      </c>
      <c r="C1692" s="12">
        <v>130.02394480971861</v>
      </c>
      <c r="D1692" s="12">
        <v>138.08555634358007</v>
      </c>
    </row>
    <row r="1693" spans="1:4">
      <c r="A1693">
        <v>1690</v>
      </c>
      <c r="B1693" s="12">
        <v>213.51375814242203</v>
      </c>
      <c r="C1693" s="12">
        <v>149.7149267052192</v>
      </c>
      <c r="D1693" s="12">
        <v>105.14128639582745</v>
      </c>
    </row>
    <row r="1694" spans="1:4">
      <c r="A1694">
        <v>1691</v>
      </c>
      <c r="B1694" s="12">
        <v>198.970551501979</v>
      </c>
      <c r="C1694" s="12">
        <v>146.46355111983686</v>
      </c>
      <c r="D1694" s="12">
        <v>118.38546198848991</v>
      </c>
    </row>
    <row r="1695" spans="1:4">
      <c r="A1695">
        <v>1692</v>
      </c>
      <c r="B1695" s="12">
        <v>147.11965405376566</v>
      </c>
      <c r="C1695" s="12">
        <v>176.92994341278037</v>
      </c>
      <c r="D1695" s="12">
        <v>74.965867387320785</v>
      </c>
    </row>
    <row r="1696" spans="1:4">
      <c r="A1696">
        <v>1693</v>
      </c>
      <c r="B1696" s="12">
        <v>150.77432722737126</v>
      </c>
      <c r="C1696" s="12">
        <v>131.62997283975398</v>
      </c>
      <c r="D1696" s="12">
        <v>70.508104688678287</v>
      </c>
    </row>
    <row r="1697" spans="1:4">
      <c r="A1697">
        <v>1694</v>
      </c>
      <c r="B1697" s="12">
        <v>259.59775154847853</v>
      </c>
      <c r="C1697" s="12">
        <v>144.97745108887386</v>
      </c>
      <c r="D1697" s="12">
        <v>85.083178548945597</v>
      </c>
    </row>
    <row r="1698" spans="1:4">
      <c r="A1698">
        <v>1695</v>
      </c>
      <c r="B1698" s="12">
        <v>184.24042093732319</v>
      </c>
      <c r="C1698" s="12">
        <v>149.06916724459734</v>
      </c>
      <c r="D1698" s="12">
        <v>107.50903862424339</v>
      </c>
    </row>
    <row r="1699" spans="1:4">
      <c r="A1699">
        <v>1696</v>
      </c>
      <c r="B1699" s="12">
        <v>185.06514252430546</v>
      </c>
      <c r="C1699" s="12">
        <v>164.47656249478692</v>
      </c>
      <c r="D1699" s="12">
        <v>135.40825905006599</v>
      </c>
    </row>
    <row r="1700" spans="1:4">
      <c r="A1700">
        <v>1697</v>
      </c>
      <c r="B1700" s="12">
        <v>133.44141630704976</v>
      </c>
      <c r="C1700" s="12">
        <v>137.11081847147855</v>
      </c>
      <c r="D1700" s="12">
        <v>109.14682267589636</v>
      </c>
    </row>
    <row r="1701" spans="1:4">
      <c r="A1701">
        <v>1698</v>
      </c>
      <c r="B1701" s="12">
        <v>177.56864197540855</v>
      </c>
      <c r="C1701" s="12">
        <v>181.05790548140124</v>
      </c>
      <c r="D1701" s="12">
        <v>86.264063582272613</v>
      </c>
    </row>
    <row r="1702" spans="1:4">
      <c r="A1702">
        <v>1699</v>
      </c>
      <c r="B1702" s="12">
        <v>225.73973538121248</v>
      </c>
      <c r="C1702" s="12">
        <v>154.71948126984441</v>
      </c>
      <c r="D1702" s="12">
        <v>124.82086175209045</v>
      </c>
    </row>
    <row r="1703" spans="1:4">
      <c r="A1703">
        <v>1700</v>
      </c>
      <c r="B1703" s="12">
        <v>154.86167592940828</v>
      </c>
      <c r="C1703" s="12">
        <v>157.75702577368023</v>
      </c>
      <c r="D1703" s="12">
        <v>144.12962968998889</v>
      </c>
    </row>
    <row r="1704" spans="1:4">
      <c r="A1704">
        <v>1701</v>
      </c>
      <c r="B1704" s="12">
        <v>115.55193661665182</v>
      </c>
      <c r="C1704" s="12">
        <v>184.53733635780205</v>
      </c>
      <c r="D1704" s="12">
        <v>98.219861296561689</v>
      </c>
    </row>
    <row r="1705" spans="1:4">
      <c r="A1705">
        <v>1702</v>
      </c>
      <c r="B1705" s="12">
        <v>151.37418853326264</v>
      </c>
      <c r="C1705" s="12">
        <v>148.66712579181927</v>
      </c>
      <c r="D1705" s="12">
        <v>90.783666185693292</v>
      </c>
    </row>
    <row r="1706" spans="1:4">
      <c r="A1706">
        <v>1703</v>
      </c>
      <c r="B1706" s="12">
        <v>158.12381177248886</v>
      </c>
      <c r="C1706" s="12">
        <v>133.46997974949144</v>
      </c>
      <c r="D1706" s="12">
        <v>61.092301825403183</v>
      </c>
    </row>
    <row r="1707" spans="1:4">
      <c r="A1707">
        <v>1704</v>
      </c>
      <c r="B1707" s="12">
        <v>130.74049511197978</v>
      </c>
      <c r="C1707" s="12">
        <v>172.9844626404352</v>
      </c>
      <c r="D1707" s="12">
        <v>84.804596626051634</v>
      </c>
    </row>
    <row r="1708" spans="1:4">
      <c r="A1708">
        <v>1705</v>
      </c>
      <c r="B1708" s="12">
        <v>278.90932244017222</v>
      </c>
      <c r="C1708" s="12">
        <v>142.94554200709103</v>
      </c>
      <c r="D1708" s="12">
        <v>91.481733890671563</v>
      </c>
    </row>
    <row r="1709" spans="1:4">
      <c r="A1709">
        <v>1706</v>
      </c>
      <c r="B1709" s="12">
        <v>155.22637986822133</v>
      </c>
      <c r="C1709" s="12">
        <v>140.57261175879222</v>
      </c>
      <c r="D1709" s="12">
        <v>119.44355313050767</v>
      </c>
    </row>
    <row r="1710" spans="1:4">
      <c r="A1710">
        <v>1707</v>
      </c>
      <c r="B1710" s="12">
        <v>144.1464722470335</v>
      </c>
      <c r="C1710" s="12">
        <v>188.88011565754908</v>
      </c>
      <c r="D1710" s="12">
        <v>106.21734383944661</v>
      </c>
    </row>
    <row r="1711" spans="1:4">
      <c r="A1711">
        <v>1708</v>
      </c>
      <c r="B1711" s="12">
        <v>162.64942627142636</v>
      </c>
      <c r="C1711" s="12">
        <v>141.9898571923201</v>
      </c>
      <c r="D1711" s="12">
        <v>113.50745505063281</v>
      </c>
    </row>
    <row r="1712" spans="1:4">
      <c r="A1712">
        <v>1709</v>
      </c>
      <c r="B1712" s="12">
        <v>161.66086624652962</v>
      </c>
      <c r="C1712" s="12">
        <v>144.05084867001901</v>
      </c>
      <c r="D1712" s="12">
        <v>105.91982106497611</v>
      </c>
    </row>
    <row r="1713" spans="1:4">
      <c r="A1713">
        <v>1710</v>
      </c>
      <c r="B1713" s="12">
        <v>193.83777262463488</v>
      </c>
      <c r="C1713" s="12">
        <v>152.29058172869401</v>
      </c>
      <c r="D1713" s="12">
        <v>96.367305252564748</v>
      </c>
    </row>
    <row r="1714" spans="1:4">
      <c r="A1714">
        <v>1711</v>
      </c>
      <c r="B1714" s="12">
        <v>133.88244034734385</v>
      </c>
      <c r="C1714" s="12">
        <v>197.46339035142006</v>
      </c>
      <c r="D1714" s="12">
        <v>97.338886722845942</v>
      </c>
    </row>
    <row r="1715" spans="1:4">
      <c r="A1715">
        <v>1712</v>
      </c>
      <c r="B1715" s="12">
        <v>214.55727533176608</v>
      </c>
      <c r="C1715" s="12">
        <v>130.27187826170265</v>
      </c>
      <c r="D1715" s="12">
        <v>93.835275289664523</v>
      </c>
    </row>
    <row r="1716" spans="1:4">
      <c r="A1716">
        <v>1713</v>
      </c>
      <c r="B1716" s="12">
        <v>111.77901507634425</v>
      </c>
      <c r="C1716" s="12">
        <v>148.26429382595487</v>
      </c>
      <c r="D1716" s="12">
        <v>72.322532368743055</v>
      </c>
    </row>
    <row r="1717" spans="1:4">
      <c r="A1717">
        <v>1714</v>
      </c>
      <c r="B1717" s="12">
        <v>133.15681303817365</v>
      </c>
      <c r="C1717" s="12">
        <v>167.84191876318567</v>
      </c>
      <c r="D1717" s="12">
        <v>97.510442324909917</v>
      </c>
    </row>
    <row r="1718" spans="1:4">
      <c r="A1718">
        <v>1715</v>
      </c>
      <c r="B1718" s="12">
        <v>154.26358409208191</v>
      </c>
      <c r="C1718" s="12">
        <v>142.68458126198817</v>
      </c>
      <c r="D1718" s="12">
        <v>110.84087975414859</v>
      </c>
    </row>
    <row r="1719" spans="1:4">
      <c r="A1719">
        <v>1716</v>
      </c>
      <c r="B1719" s="12">
        <v>170.85992606363394</v>
      </c>
      <c r="C1719" s="12">
        <v>115.52436573506118</v>
      </c>
      <c r="D1719" s="12">
        <v>96.633637601586415</v>
      </c>
    </row>
    <row r="1720" spans="1:4">
      <c r="A1720">
        <v>1717</v>
      </c>
      <c r="B1720" s="12">
        <v>224.27007774751027</v>
      </c>
      <c r="C1720" s="12">
        <v>117.15454640776994</v>
      </c>
      <c r="D1720" s="12">
        <v>161.31539104568805</v>
      </c>
    </row>
    <row r="1721" spans="1:4">
      <c r="A1721">
        <v>1718</v>
      </c>
      <c r="B1721" s="12">
        <v>132.25698168393387</v>
      </c>
      <c r="C1721" s="12">
        <v>139.39167813556827</v>
      </c>
      <c r="D1721" s="12">
        <v>102.11683854372876</v>
      </c>
    </row>
    <row r="1722" spans="1:4">
      <c r="A1722">
        <v>1719</v>
      </c>
      <c r="B1722" s="12">
        <v>232.99491191055279</v>
      </c>
      <c r="C1722" s="12">
        <v>209.70135161715686</v>
      </c>
      <c r="D1722" s="12">
        <v>75.903381887777314</v>
      </c>
    </row>
    <row r="1723" spans="1:4">
      <c r="A1723">
        <v>1720</v>
      </c>
      <c r="B1723" s="12">
        <v>147.86123006923199</v>
      </c>
      <c r="C1723" s="12">
        <v>139.11108174973023</v>
      </c>
      <c r="D1723" s="12">
        <v>126.62022039504254</v>
      </c>
    </row>
    <row r="1724" spans="1:4">
      <c r="A1724">
        <v>1721</v>
      </c>
      <c r="B1724" s="12">
        <v>122.77386726117135</v>
      </c>
      <c r="C1724" s="12">
        <v>153.42390963510638</v>
      </c>
      <c r="D1724" s="12">
        <v>133.62499917946045</v>
      </c>
    </row>
    <row r="1725" spans="1:4">
      <c r="A1725">
        <v>1722</v>
      </c>
      <c r="B1725" s="12">
        <v>136.83774567204878</v>
      </c>
      <c r="C1725" s="12">
        <v>128.9693899903464</v>
      </c>
      <c r="D1725" s="12">
        <v>145.14184717687462</v>
      </c>
    </row>
    <row r="1726" spans="1:4">
      <c r="A1726">
        <v>1723</v>
      </c>
      <c r="B1726" s="12">
        <v>164.40295610367306</v>
      </c>
      <c r="C1726" s="12">
        <v>168.34201622835076</v>
      </c>
      <c r="D1726" s="12">
        <v>115.98685682501998</v>
      </c>
    </row>
    <row r="1727" spans="1:4">
      <c r="A1727">
        <v>1724</v>
      </c>
      <c r="B1727" s="12">
        <v>179.96141342765247</v>
      </c>
      <c r="C1727" s="12">
        <v>174.52139031849393</v>
      </c>
      <c r="D1727" s="12">
        <v>98.933222303070423</v>
      </c>
    </row>
    <row r="1728" spans="1:4">
      <c r="A1728">
        <v>1725</v>
      </c>
      <c r="B1728" s="12">
        <v>148.46739134629834</v>
      </c>
      <c r="C1728" s="12">
        <v>154.4735219233151</v>
      </c>
      <c r="D1728" s="12">
        <v>67.467417504390937</v>
      </c>
    </row>
    <row r="1729" spans="1:4">
      <c r="A1729">
        <v>1726</v>
      </c>
      <c r="B1729" s="12">
        <v>145.89586959592447</v>
      </c>
      <c r="C1729" s="12">
        <v>143.37129583245837</v>
      </c>
      <c r="D1729" s="12">
        <v>108.32140360176797</v>
      </c>
    </row>
    <row r="1730" spans="1:4">
      <c r="A1730">
        <v>1727</v>
      </c>
      <c r="B1730" s="12">
        <v>181.19443769355456</v>
      </c>
      <c r="C1730" s="12">
        <v>171.73358921137316</v>
      </c>
      <c r="D1730" s="12">
        <v>105.6237957846635</v>
      </c>
    </row>
    <row r="1731" spans="1:4">
      <c r="A1731">
        <v>1728</v>
      </c>
      <c r="B1731" s="12">
        <v>114.19053333712787</v>
      </c>
      <c r="C1731" s="12">
        <v>146.30387967099452</v>
      </c>
      <c r="D1731" s="12">
        <v>80.500167282318046</v>
      </c>
    </row>
    <row r="1732" spans="1:4">
      <c r="A1732">
        <v>1729</v>
      </c>
      <c r="B1732" s="12">
        <v>218.66064535573173</v>
      </c>
      <c r="C1732" s="12">
        <v>158.68059748406921</v>
      </c>
      <c r="D1732" s="12">
        <v>107.20460173680137</v>
      </c>
    </row>
    <row r="1733" spans="1:4">
      <c r="A1733">
        <v>1730</v>
      </c>
      <c r="B1733" s="12">
        <v>313.26329869172412</v>
      </c>
      <c r="C1733" s="12">
        <v>158.00975797056867</v>
      </c>
      <c r="D1733" s="12">
        <v>109.66665659633848</v>
      </c>
    </row>
    <row r="1734" spans="1:4">
      <c r="A1734">
        <v>1731</v>
      </c>
      <c r="B1734" s="12">
        <v>217.48132621530402</v>
      </c>
      <c r="C1734" s="12">
        <v>126.96550822932153</v>
      </c>
      <c r="D1734" s="12">
        <v>100.19807028175985</v>
      </c>
    </row>
    <row r="1735" spans="1:4">
      <c r="A1735">
        <v>1732</v>
      </c>
      <c r="B1735" s="12">
        <v>190.7273365654647</v>
      </c>
      <c r="C1735" s="12">
        <v>156.18402417942391</v>
      </c>
      <c r="D1735" s="12">
        <v>83.598272610180771</v>
      </c>
    </row>
    <row r="1736" spans="1:4">
      <c r="A1736">
        <v>1733</v>
      </c>
      <c r="B1736" s="12">
        <v>192.84807213072096</v>
      </c>
      <c r="C1736" s="12">
        <v>136.51121489338414</v>
      </c>
      <c r="D1736" s="12">
        <v>78.339240285592311</v>
      </c>
    </row>
    <row r="1737" spans="1:4">
      <c r="A1737">
        <v>1734</v>
      </c>
      <c r="B1737" s="12">
        <v>185.57434259719938</v>
      </c>
      <c r="C1737" s="12">
        <v>147.11942223931578</v>
      </c>
      <c r="D1737" s="12">
        <v>115.38490221498643</v>
      </c>
    </row>
    <row r="1738" spans="1:4">
      <c r="A1738">
        <v>1735</v>
      </c>
      <c r="B1738" s="12">
        <v>155.82503171414822</v>
      </c>
      <c r="C1738" s="12">
        <v>155.77674031690287</v>
      </c>
      <c r="D1738" s="12">
        <v>52.635305785421444</v>
      </c>
    </row>
    <row r="1739" spans="1:4">
      <c r="A1739">
        <v>1736</v>
      </c>
      <c r="B1739" s="12">
        <v>163.40246589414801</v>
      </c>
      <c r="C1739" s="12">
        <v>170.85485473148518</v>
      </c>
      <c r="D1739" s="12">
        <v>108.01226851475319</v>
      </c>
    </row>
    <row r="1740" spans="1:4">
      <c r="A1740">
        <v>1737</v>
      </c>
      <c r="B1740" s="12">
        <v>245.54079113428122</v>
      </c>
      <c r="C1740" s="12">
        <v>191.17007275839649</v>
      </c>
      <c r="D1740" s="12">
        <v>89.818324762981447</v>
      </c>
    </row>
    <row r="1741" spans="1:4">
      <c r="A1741">
        <v>1738</v>
      </c>
      <c r="B1741" s="12">
        <v>191.30003444646579</v>
      </c>
      <c r="C1741" s="12">
        <v>138.82853309270888</v>
      </c>
      <c r="D1741" s="12">
        <v>69.295326607297227</v>
      </c>
    </row>
    <row r="1742" spans="1:4">
      <c r="A1742">
        <v>1739</v>
      </c>
      <c r="B1742" s="12">
        <v>97.487005965052077</v>
      </c>
      <c r="C1742" s="12">
        <v>138.64648647980886</v>
      </c>
      <c r="D1742" s="12">
        <v>104.37242877678841</v>
      </c>
    </row>
    <row r="1743" spans="1:4">
      <c r="A1743">
        <v>1740</v>
      </c>
      <c r="B1743" s="12">
        <v>204.86005790778691</v>
      </c>
      <c r="C1743" s="12">
        <v>140.29954823890429</v>
      </c>
      <c r="D1743" s="12">
        <v>58.452814233084041</v>
      </c>
    </row>
    <row r="1744" spans="1:4">
      <c r="A1744">
        <v>1741</v>
      </c>
      <c r="B1744" s="12">
        <v>134.31960486962438</v>
      </c>
      <c r="C1744" s="12">
        <v>165.50893407727358</v>
      </c>
      <c r="D1744" s="12">
        <v>104.08362942456051</v>
      </c>
    </row>
    <row r="1745" spans="1:4">
      <c r="A1745">
        <v>1742</v>
      </c>
      <c r="B1745" s="12">
        <v>124.86434250733215</v>
      </c>
      <c r="C1745" s="12">
        <v>132.9128731690993</v>
      </c>
      <c r="D1745" s="12">
        <v>124.04336181339959</v>
      </c>
    </row>
    <row r="1746" spans="1:4">
      <c r="A1746">
        <v>1743</v>
      </c>
      <c r="B1746" s="12">
        <v>131.04077095800983</v>
      </c>
      <c r="C1746" s="12">
        <v>141.55379638339537</v>
      </c>
      <c r="D1746" s="12">
        <v>95.665750295045783</v>
      </c>
    </row>
    <row r="1747" spans="1:4">
      <c r="A1747">
        <v>1744</v>
      </c>
      <c r="B1747" s="12">
        <v>137.25235819676294</v>
      </c>
      <c r="C1747" s="12">
        <v>181.53056663445676</v>
      </c>
      <c r="D1747" s="12">
        <v>55.786280223914474</v>
      </c>
    </row>
    <row r="1748" spans="1:4">
      <c r="A1748">
        <v>1745</v>
      </c>
      <c r="B1748" s="12">
        <v>104.13694870826923</v>
      </c>
      <c r="C1748" s="12">
        <v>230.17422113021507</v>
      </c>
      <c r="D1748" s="12">
        <v>69.597203308863968</v>
      </c>
    </row>
    <row r="1749" spans="1:4">
      <c r="A1749">
        <v>1746</v>
      </c>
      <c r="B1749" s="12">
        <v>165.41130950882697</v>
      </c>
      <c r="C1749" s="12">
        <v>165.98182472708456</v>
      </c>
      <c r="D1749" s="12">
        <v>126.11519113679302</v>
      </c>
    </row>
    <row r="1750" spans="1:4">
      <c r="A1750">
        <v>1747</v>
      </c>
      <c r="B1750" s="12">
        <v>151.97331056092389</v>
      </c>
      <c r="C1750" s="12">
        <v>164.01849812478159</v>
      </c>
      <c r="D1750" s="12">
        <v>108.83263064395324</v>
      </c>
    </row>
    <row r="1751" spans="1:4">
      <c r="A1751">
        <v>1748</v>
      </c>
      <c r="B1751" s="12">
        <v>228.31591878112096</v>
      </c>
      <c r="C1751" s="12">
        <v>103.26126230615851</v>
      </c>
      <c r="D1751" s="12">
        <v>65.391150214296914</v>
      </c>
    </row>
    <row r="1752" spans="1:4">
      <c r="A1752">
        <v>1749</v>
      </c>
      <c r="B1752" s="12">
        <v>216.34322954506251</v>
      </c>
      <c r="C1752" s="12">
        <v>147.77194441362712</v>
      </c>
      <c r="D1752" s="12">
        <v>112.60014971794686</v>
      </c>
    </row>
    <row r="1753" spans="1:4">
      <c r="A1753">
        <v>1750</v>
      </c>
      <c r="B1753" s="12">
        <v>164.64680930937993</v>
      </c>
      <c r="C1753" s="12">
        <v>137.59489406099661</v>
      </c>
      <c r="D1753" s="12">
        <v>136.11646770700446</v>
      </c>
    </row>
    <row r="1754" spans="1:4">
      <c r="A1754">
        <v>1751</v>
      </c>
      <c r="B1754" s="12">
        <v>222.86728085521517</v>
      </c>
      <c r="C1754" s="12">
        <v>143.79428646194961</v>
      </c>
      <c r="D1754" s="12">
        <v>134.28630057274833</v>
      </c>
    </row>
    <row r="1755" spans="1:4">
      <c r="A1755">
        <v>1752</v>
      </c>
      <c r="B1755" s="12">
        <v>236.33153228500871</v>
      </c>
      <c r="C1755" s="12">
        <v>137.30062575764765</v>
      </c>
      <c r="D1755" s="12">
        <v>75.678980628575772</v>
      </c>
    </row>
    <row r="1756" spans="1:4">
      <c r="A1756">
        <v>1753</v>
      </c>
      <c r="B1756" s="12">
        <v>199.66666858853054</v>
      </c>
      <c r="C1756" s="12">
        <v>124.36784731627453</v>
      </c>
      <c r="D1756" s="12">
        <v>104.66251153801703</v>
      </c>
    </row>
    <row r="1757" spans="1:4">
      <c r="A1757">
        <v>1754</v>
      </c>
      <c r="B1757" s="12">
        <v>168.74505306089438</v>
      </c>
      <c r="C1757" s="12">
        <v>126.20073072467612</v>
      </c>
      <c r="D1757" s="12">
        <v>83.882175489412589</v>
      </c>
    </row>
    <row r="1758" spans="1:4">
      <c r="A1758">
        <v>1755</v>
      </c>
      <c r="B1758" s="12">
        <v>162.03452740545319</v>
      </c>
      <c r="C1758" s="12">
        <v>118.04265006576274</v>
      </c>
      <c r="D1758" s="12">
        <v>94.532497939479782</v>
      </c>
    </row>
    <row r="1759" spans="1:4">
      <c r="A1759">
        <v>1756</v>
      </c>
      <c r="B1759" s="12">
        <v>101.25086742970149</v>
      </c>
      <c r="C1759" s="12">
        <v>154.07070782709394</v>
      </c>
      <c r="D1759" s="12">
        <v>128.88574253846843</v>
      </c>
    </row>
    <row r="1760" spans="1:4">
      <c r="A1760">
        <v>1757</v>
      </c>
      <c r="B1760" s="12">
        <v>146.13555118565264</v>
      </c>
      <c r="C1760" s="12">
        <v>180.30139505706731</v>
      </c>
      <c r="D1760" s="12">
        <v>63.659687946995696</v>
      </c>
    </row>
    <row r="1761" spans="1:4">
      <c r="A1761">
        <v>1758</v>
      </c>
      <c r="B1761" s="12">
        <v>226.71966799230702</v>
      </c>
      <c r="C1761" s="12">
        <v>141.7244790817042</v>
      </c>
      <c r="D1761" s="12">
        <v>159.99157864116637</v>
      </c>
    </row>
    <row r="1762" spans="1:4">
      <c r="A1762">
        <v>1759</v>
      </c>
      <c r="B1762" s="12">
        <v>152.70297320687962</v>
      </c>
      <c r="C1762" s="12">
        <v>124.89230297076526</v>
      </c>
      <c r="D1762" s="12">
        <v>86.088499167179961</v>
      </c>
    </row>
    <row r="1763" spans="1:4">
      <c r="A1763">
        <v>1760</v>
      </c>
      <c r="B1763" s="12">
        <v>153.30110824693921</v>
      </c>
      <c r="C1763" s="12">
        <v>144.72402455307702</v>
      </c>
      <c r="D1763" s="12">
        <v>103.61252229591665</v>
      </c>
    </row>
    <row r="1764" spans="1:4">
      <c r="A1764">
        <v>1761</v>
      </c>
      <c r="B1764" s="12">
        <v>211.86860782466883</v>
      </c>
      <c r="C1764" s="12">
        <v>133.13183675749966</v>
      </c>
      <c r="D1764" s="12">
        <v>87.52588957540712</v>
      </c>
    </row>
    <row r="1765" spans="1:4">
      <c r="A1765">
        <v>1762</v>
      </c>
      <c r="B1765" s="12">
        <v>147.49082081504412</v>
      </c>
      <c r="C1765" s="12">
        <v>156.43294696636801</v>
      </c>
      <c r="D1765" s="12">
        <v>171.00690969913666</v>
      </c>
    </row>
    <row r="1766" spans="1:4">
      <c r="A1766">
        <v>1763</v>
      </c>
      <c r="B1766" s="12">
        <v>210.90324506745719</v>
      </c>
      <c r="C1766" s="12">
        <v>151.64681233628042</v>
      </c>
      <c r="D1766" s="12">
        <v>98.489526061429004</v>
      </c>
    </row>
    <row r="1767" spans="1:4">
      <c r="A1767">
        <v>1764</v>
      </c>
      <c r="B1767" s="12">
        <v>121.77962438412999</v>
      </c>
      <c r="C1767" s="12">
        <v>137.88674625119364</v>
      </c>
      <c r="D1767" s="12">
        <v>106.70880030162891</v>
      </c>
    </row>
    <row r="1768" spans="1:4">
      <c r="A1768">
        <v>1765</v>
      </c>
      <c r="B1768" s="12">
        <v>189.24831550216393</v>
      </c>
      <c r="C1768" s="12">
        <v>158.17201461231255</v>
      </c>
      <c r="D1768" s="12">
        <v>76.250088030658461</v>
      </c>
    </row>
    <row r="1769" spans="1:4">
      <c r="A1769">
        <v>1766</v>
      </c>
      <c r="B1769" s="12">
        <v>115.03112378449018</v>
      </c>
      <c r="C1769" s="12">
        <v>124.02242636947375</v>
      </c>
      <c r="D1769" s="12">
        <v>63.20113782451471</v>
      </c>
    </row>
    <row r="1770" spans="1:4">
      <c r="A1770">
        <v>1767</v>
      </c>
      <c r="B1770" s="12">
        <v>126.82256421853366</v>
      </c>
      <c r="C1770" s="12">
        <v>182.82452476035277</v>
      </c>
      <c r="D1770" s="12">
        <v>177.51981933163205</v>
      </c>
    </row>
    <row r="1771" spans="1:4">
      <c r="A1771">
        <v>1768</v>
      </c>
      <c r="B1771" s="12">
        <v>124.30457943286093</v>
      </c>
      <c r="C1771" s="12">
        <v>151.49069813365304</v>
      </c>
      <c r="D1771" s="12">
        <v>158.07542071071788</v>
      </c>
    </row>
    <row r="1772" spans="1:4">
      <c r="A1772">
        <v>1769</v>
      </c>
      <c r="B1772" s="12">
        <v>231.13457135506269</v>
      </c>
      <c r="C1772" s="12">
        <v>139.5704214580625</v>
      </c>
      <c r="D1772" s="12">
        <v>64.991797547823154</v>
      </c>
    </row>
    <row r="1773" spans="1:4">
      <c r="A1773">
        <v>1770</v>
      </c>
      <c r="B1773" s="12">
        <v>122.38991212770749</v>
      </c>
      <c r="C1773" s="12">
        <v>200.39946003598297</v>
      </c>
      <c r="D1773" s="12">
        <v>95.230956183181874</v>
      </c>
    </row>
    <row r="1774" spans="1:4">
      <c r="A1774">
        <v>1771</v>
      </c>
      <c r="B1774" s="12">
        <v>269.76860597147419</v>
      </c>
      <c r="C1774" s="12">
        <v>160.03934787865896</v>
      </c>
      <c r="D1774" s="12">
        <v>102.57824240647635</v>
      </c>
    </row>
    <row r="1775" spans="1:4">
      <c r="A1775">
        <v>1772</v>
      </c>
      <c r="B1775" s="12">
        <v>132.70907083549648</v>
      </c>
      <c r="C1775" s="12">
        <v>208.40110133213753</v>
      </c>
      <c r="D1775" s="12">
        <v>91.0481995369054</v>
      </c>
    </row>
    <row r="1776" spans="1:4">
      <c r="A1776">
        <v>1773</v>
      </c>
      <c r="B1776" s="12">
        <v>131.50535313822465</v>
      </c>
      <c r="C1776" s="12">
        <v>99.120943368489023</v>
      </c>
      <c r="D1776" s="12">
        <v>84.625553059655275</v>
      </c>
    </row>
    <row r="1777" spans="1:4">
      <c r="A1777">
        <v>1774</v>
      </c>
      <c r="B1777" s="12">
        <v>159.09498760919939</v>
      </c>
      <c r="C1777" s="12">
        <v>130.65330332778962</v>
      </c>
      <c r="D1777" s="12">
        <v>73.750337376937139</v>
      </c>
    </row>
    <row r="1778" spans="1:4">
      <c r="A1778">
        <v>1775</v>
      </c>
      <c r="B1778" s="12">
        <v>212.86191709654022</v>
      </c>
      <c r="C1778" s="12">
        <v>187.59836636863648</v>
      </c>
      <c r="D1778" s="12">
        <v>94.004321684758835</v>
      </c>
    </row>
    <row r="1779" spans="1:4">
      <c r="A1779">
        <v>1776</v>
      </c>
      <c r="B1779" s="12">
        <v>169.14172922784866</v>
      </c>
      <c r="C1779" s="12">
        <v>178.69860392509014</v>
      </c>
      <c r="D1779" s="12">
        <v>90.518889525250529</v>
      </c>
    </row>
    <row r="1780" spans="1:4">
      <c r="A1780">
        <v>1777</v>
      </c>
      <c r="B1780" s="12">
        <v>186.94388800975176</v>
      </c>
      <c r="C1780" s="12">
        <v>145.13937363256122</v>
      </c>
      <c r="D1780" s="12">
        <v>125.30458690193031</v>
      </c>
    </row>
    <row r="1781" spans="1:4">
      <c r="A1781">
        <v>1778</v>
      </c>
      <c r="B1781" s="12">
        <v>127.15545764442676</v>
      </c>
      <c r="C1781" s="12">
        <v>147.61393281231975</v>
      </c>
      <c r="D1781" s="12">
        <v>75.324852194503308</v>
      </c>
    </row>
    <row r="1782" spans="1:4">
      <c r="A1782">
        <v>1779</v>
      </c>
      <c r="B1782" s="12">
        <v>120.74737075801984</v>
      </c>
      <c r="C1782" s="12">
        <v>214.63724316150441</v>
      </c>
      <c r="D1782" s="12">
        <v>88.944212904581462</v>
      </c>
    </row>
    <row r="1783" spans="1:4">
      <c r="A1783">
        <v>1780</v>
      </c>
      <c r="B1783" s="12">
        <v>141.48479911252497</v>
      </c>
      <c r="C1783" s="12">
        <v>169.4755369245853</v>
      </c>
      <c r="D1783" s="12">
        <v>93.307689072056633</v>
      </c>
    </row>
    <row r="1784" spans="1:4">
      <c r="A1784">
        <v>1781</v>
      </c>
      <c r="B1784" s="12">
        <v>172.34896050876813</v>
      </c>
      <c r="C1784" s="12">
        <v>169.99784337390852</v>
      </c>
      <c r="D1784" s="12">
        <v>110.51538779565611</v>
      </c>
    </row>
    <row r="1785" spans="1:4">
      <c r="A1785">
        <v>1782</v>
      </c>
      <c r="B1785" s="12">
        <v>209.37544828631528</v>
      </c>
      <c r="C1785" s="12">
        <v>135.70218193138012</v>
      </c>
      <c r="D1785" s="12">
        <v>80.802591440645514</v>
      </c>
    </row>
    <row r="1786" spans="1:4">
      <c r="A1786">
        <v>1783</v>
      </c>
      <c r="B1786" s="12">
        <v>174.56094107540682</v>
      </c>
      <c r="C1786" s="12">
        <v>165.22308157389872</v>
      </c>
      <c r="D1786" s="12">
        <v>130.37748502506497</v>
      </c>
    </row>
    <row r="1787" spans="1:4">
      <c r="A1787">
        <v>1784</v>
      </c>
      <c r="B1787" s="12">
        <v>143.13935049568934</v>
      </c>
      <c r="C1787" s="12">
        <v>194.93495781956634</v>
      </c>
      <c r="D1787" s="12">
        <v>99.476485210341977</v>
      </c>
    </row>
    <row r="1788" spans="1:4">
      <c r="A1788">
        <v>1785</v>
      </c>
      <c r="B1788" s="12">
        <v>195.47981617973304</v>
      </c>
      <c r="C1788" s="12">
        <v>150.35946184690795</v>
      </c>
      <c r="D1788" s="12">
        <v>102.86087780460394</v>
      </c>
    </row>
    <row r="1789" spans="1:4">
      <c r="A1789">
        <v>1786</v>
      </c>
      <c r="B1789" s="12">
        <v>220.69422734943117</v>
      </c>
      <c r="C1789" s="12">
        <v>122.89018994297449</v>
      </c>
      <c r="D1789" s="12">
        <v>134.71870353907968</v>
      </c>
    </row>
    <row r="1790" spans="1:4">
      <c r="A1790">
        <v>1787</v>
      </c>
      <c r="B1790" s="12">
        <v>159.70026730264846</v>
      </c>
      <c r="C1790" s="12">
        <v>148.01830403832275</v>
      </c>
      <c r="D1790" s="12">
        <v>92.875071453027346</v>
      </c>
    </row>
    <row r="1791" spans="1:4">
      <c r="A1791">
        <v>1788</v>
      </c>
      <c r="B1791" s="12">
        <v>149.43957732619987</v>
      </c>
      <c r="C1791" s="12">
        <v>152.53453839501591</v>
      </c>
      <c r="D1791" s="12">
        <v>77.145847045162299</v>
      </c>
    </row>
    <row r="1792" spans="1:4">
      <c r="A1792">
        <v>1789</v>
      </c>
      <c r="B1792" s="12">
        <v>106.99629769905775</v>
      </c>
      <c r="C1792" s="12">
        <v>133.80380271811728</v>
      </c>
      <c r="D1792" s="12">
        <v>120.53500791651787</v>
      </c>
    </row>
    <row r="1793" spans="1:4">
      <c r="A1793">
        <v>1790</v>
      </c>
      <c r="B1793" s="12">
        <v>141.09395241512428</v>
      </c>
      <c r="C1793" s="12">
        <v>225.51462446815884</v>
      </c>
      <c r="D1793" s="12">
        <v>86.809961229587884</v>
      </c>
    </row>
    <row r="1794" spans="1:4">
      <c r="A1794">
        <v>1791</v>
      </c>
      <c r="B1794" s="12">
        <v>150.40823615615844</v>
      </c>
      <c r="C1794" s="12">
        <v>150.6033361879187</v>
      </c>
      <c r="D1794" s="12">
        <v>84.34505700529229</v>
      </c>
    </row>
    <row r="1795" spans="1:4">
      <c r="A1795">
        <v>1792</v>
      </c>
      <c r="B1795" s="12">
        <v>188.35223339001683</v>
      </c>
      <c r="C1795" s="12">
        <v>143.11211692952926</v>
      </c>
      <c r="D1795" s="12">
        <v>140.22041080699969</v>
      </c>
    </row>
    <row r="1796" spans="1:4">
      <c r="A1796">
        <v>1793</v>
      </c>
      <c r="B1796" s="12">
        <v>170.60068575727487</v>
      </c>
      <c r="C1796" s="12">
        <v>155.52909671290212</v>
      </c>
      <c r="D1796" s="12">
        <v>85.813658086206672</v>
      </c>
    </row>
    <row r="1797" spans="1:4">
      <c r="A1797">
        <v>1794</v>
      </c>
      <c r="B1797" s="12">
        <v>180.42532006365914</v>
      </c>
      <c r="C1797" s="12">
        <v>154.87721120003113</v>
      </c>
      <c r="D1797" s="12">
        <v>87.9682467376105</v>
      </c>
    </row>
    <row r="1798" spans="1:4">
      <c r="A1798">
        <v>1795</v>
      </c>
      <c r="B1798" s="12">
        <v>170.19752627945962</v>
      </c>
      <c r="C1798" s="12">
        <v>175.50970048316725</v>
      </c>
      <c r="D1798" s="12">
        <v>96.804442029398487</v>
      </c>
    </row>
    <row r="1799" spans="1:4">
      <c r="A1799">
        <v>1796</v>
      </c>
      <c r="B1799" s="12">
        <v>157.1557876215206</v>
      </c>
      <c r="C1799" s="12">
        <v>136.01102173513519</v>
      </c>
      <c r="D1799" s="12">
        <v>151.36412518678466</v>
      </c>
    </row>
    <row r="1800" spans="1:4">
      <c r="A1800">
        <v>1797</v>
      </c>
      <c r="B1800" s="12">
        <v>158.49119707152391</v>
      </c>
      <c r="C1800" s="12">
        <v>188.22957227241031</v>
      </c>
      <c r="D1800" s="12">
        <v>73.992496197658639</v>
      </c>
    </row>
    <row r="1801" spans="1:4">
      <c r="A1801">
        <v>1798</v>
      </c>
      <c r="B1801" s="12">
        <v>153.66561598215739</v>
      </c>
      <c r="C1801" s="12">
        <v>120.11145489643187</v>
      </c>
      <c r="D1801" s="12">
        <v>92.442448133156091</v>
      </c>
    </row>
    <row r="1802" spans="1:4">
      <c r="A1802">
        <v>1799</v>
      </c>
      <c r="B1802" s="12">
        <v>123.36306761409504</v>
      </c>
      <c r="C1802" s="12">
        <v>135.50271174019753</v>
      </c>
      <c r="D1802" s="12">
        <v>114.43515874122861</v>
      </c>
    </row>
    <row r="1803" spans="1:4">
      <c r="A1803">
        <v>1800</v>
      </c>
      <c r="B1803" s="12">
        <v>158.72677784303832</v>
      </c>
      <c r="C1803" s="12">
        <v>149.95913596873029</v>
      </c>
      <c r="D1803" s="12">
        <v>86.537431145087069</v>
      </c>
    </row>
    <row r="1804" spans="1:4">
      <c r="A1804">
        <v>1801</v>
      </c>
      <c r="B1804" s="12">
        <v>176.84346503056489</v>
      </c>
      <c r="C1804" s="12">
        <v>160.89666129661094</v>
      </c>
      <c r="D1804" s="12">
        <v>60.173077561764323</v>
      </c>
    </row>
    <row r="1805" spans="1:4">
      <c r="A1805">
        <v>1802</v>
      </c>
      <c r="B1805" s="12">
        <v>157.52206219545565</v>
      </c>
      <c r="C1805" s="12">
        <v>194.05969917271074</v>
      </c>
      <c r="D1805" s="12">
        <v>61.641634267032281</v>
      </c>
    </row>
    <row r="1806" spans="1:4">
      <c r="A1806">
        <v>1803</v>
      </c>
      <c r="B1806" s="12">
        <v>242.69245268949476</v>
      </c>
      <c r="C1806" s="12">
        <v>134.8711715180425</v>
      </c>
      <c r="D1806" s="12">
        <v>83.129451363742561</v>
      </c>
    </row>
    <row r="1807" spans="1:4">
      <c r="A1807">
        <v>1804</v>
      </c>
      <c r="B1807" s="12">
        <v>165.02845973137633</v>
      </c>
      <c r="C1807" s="12">
        <v>199.23013814242628</v>
      </c>
      <c r="D1807" s="12">
        <v>167.8651696878035</v>
      </c>
    </row>
    <row r="1808" spans="1:4">
      <c r="A1808">
        <v>1805</v>
      </c>
      <c r="B1808" s="12">
        <v>128.49544976702035</v>
      </c>
      <c r="C1808" s="12">
        <v>145.64302285343896</v>
      </c>
      <c r="D1808" s="12">
        <v>82.84170416957042</v>
      </c>
    </row>
    <row r="1809" spans="1:4">
      <c r="A1809">
        <v>1806</v>
      </c>
      <c r="B1809" s="12">
        <v>197.85403635729014</v>
      </c>
      <c r="C1809" s="12">
        <v>128.131762169973</v>
      </c>
      <c r="D1809" s="12">
        <v>98.0474285915531</v>
      </c>
    </row>
    <row r="1810" spans="1:4">
      <c r="A1810">
        <v>1807</v>
      </c>
      <c r="B1810" s="12">
        <v>207.0472448898584</v>
      </c>
      <c r="C1810" s="12">
        <v>138.07246517008224</v>
      </c>
      <c r="D1810" s="12">
        <v>72.724062278148438</v>
      </c>
    </row>
    <row r="1811" spans="1:4">
      <c r="A1811">
        <v>1808</v>
      </c>
      <c r="B1811" s="12">
        <v>222.00084780955785</v>
      </c>
      <c r="C1811" s="12">
        <v>156.68240309598713</v>
      </c>
      <c r="D1811" s="12">
        <v>115.0225207662431</v>
      </c>
    </row>
    <row r="1812" spans="1:4">
      <c r="A1812">
        <v>1809</v>
      </c>
      <c r="B1812" s="12">
        <v>183.7439527455428</v>
      </c>
      <c r="C1812" s="12">
        <v>166.75380839835361</v>
      </c>
      <c r="D1812" s="12">
        <v>122.38373574925917</v>
      </c>
    </row>
    <row r="1813" spans="1:4">
      <c r="A1813">
        <v>1810</v>
      </c>
      <c r="B1813" s="12">
        <v>160.6780570839488</v>
      </c>
      <c r="C1813" s="12">
        <v>146.05412037154076</v>
      </c>
      <c r="D1813" s="12">
        <v>99.204518319358996</v>
      </c>
    </row>
    <row r="1814" spans="1:4">
      <c r="A1814">
        <v>1811</v>
      </c>
      <c r="B1814" s="12">
        <v>116.34005130695262</v>
      </c>
      <c r="C1814" s="12">
        <v>144.30649684094632</v>
      </c>
      <c r="D1814" s="12">
        <v>87.255360496210628</v>
      </c>
    </row>
    <row r="1815" spans="1:4">
      <c r="A1815">
        <v>1812</v>
      </c>
      <c r="B1815" s="12">
        <v>173.44678967364194</v>
      </c>
      <c r="C1815" s="12">
        <v>167.54013711790776</v>
      </c>
      <c r="D1815" s="12">
        <v>119.03907665422335</v>
      </c>
    </row>
    <row r="1816" spans="1:4">
      <c r="A1816">
        <v>1813</v>
      </c>
      <c r="B1816" s="12">
        <v>169.79622003666105</v>
      </c>
      <c r="C1816" s="12">
        <v>121.89082598586975</v>
      </c>
      <c r="D1816" s="12">
        <v>90.349146303547528</v>
      </c>
    </row>
    <row r="1817" spans="1:4">
      <c r="A1817">
        <v>1814</v>
      </c>
      <c r="B1817" s="12">
        <v>135.02886770895978</v>
      </c>
      <c r="C1817" s="12">
        <v>190.70243583010745</v>
      </c>
      <c r="D1817" s="12">
        <v>103.89929813175182</v>
      </c>
    </row>
    <row r="1818" spans="1:4">
      <c r="A1818">
        <v>1815</v>
      </c>
      <c r="B1818" s="12">
        <v>171.93721077194527</v>
      </c>
      <c r="C1818" s="12">
        <v>244.30402553398125</v>
      </c>
      <c r="D1818" s="12">
        <v>103.14460366509387</v>
      </c>
    </row>
    <row r="1819" spans="1:4">
      <c r="A1819">
        <v>1816</v>
      </c>
      <c r="B1819" s="12">
        <v>175.26193622966409</v>
      </c>
      <c r="C1819" s="12">
        <v>189.99321789195301</v>
      </c>
      <c r="D1819" s="12">
        <v>70.790547511717506</v>
      </c>
    </row>
    <row r="1820" spans="1:4">
      <c r="A1820">
        <v>1817</v>
      </c>
      <c r="B1820" s="12">
        <v>162.40905348644819</v>
      </c>
      <c r="C1820" s="12">
        <v>173.56446646193788</v>
      </c>
      <c r="D1820" s="12">
        <v>101.10233890246245</v>
      </c>
    </row>
    <row r="1821" spans="1:4">
      <c r="A1821">
        <v>1818</v>
      </c>
      <c r="B1821" s="12">
        <v>139.39916640071988</v>
      </c>
      <c r="C1821" s="12">
        <v>174.89181249045828</v>
      </c>
      <c r="D1821" s="12">
        <v>80.195493589896586</v>
      </c>
    </row>
    <row r="1822" spans="1:4">
      <c r="A1822">
        <v>1819</v>
      </c>
      <c r="B1822" s="12">
        <v>131.96502179976233</v>
      </c>
      <c r="C1822" s="12">
        <v>170.31996461539012</v>
      </c>
      <c r="D1822" s="12">
        <v>91.217531049424878</v>
      </c>
    </row>
    <row r="1823" spans="1:4">
      <c r="A1823">
        <v>1820</v>
      </c>
      <c r="B1823" s="12">
        <v>182.93927728567056</v>
      </c>
      <c r="C1823" s="12">
        <v>151.00326348108194</v>
      </c>
      <c r="D1823" s="12">
        <v>100.64908708493269</v>
      </c>
    </row>
    <row r="1824" spans="1:4">
      <c r="A1824">
        <v>1821</v>
      </c>
      <c r="B1824" s="12">
        <v>94.359919525711732</v>
      </c>
      <c r="C1824" s="12">
        <v>156.02484649657387</v>
      </c>
      <c r="D1824" s="12">
        <v>117.99287313212454</v>
      </c>
    </row>
    <row r="1825" spans="1:4">
      <c r="A1825">
        <v>1822</v>
      </c>
      <c r="B1825" s="12">
        <v>173.02917725154339</v>
      </c>
      <c r="C1825" s="12">
        <v>206.56073071319676</v>
      </c>
      <c r="D1825" s="12">
        <v>143.1585330645718</v>
      </c>
    </row>
    <row r="1826" spans="1:4">
      <c r="A1826">
        <v>1823</v>
      </c>
      <c r="B1826" s="12">
        <v>148.09811764065907</v>
      </c>
      <c r="C1826" s="12">
        <v>173.92336247774529</v>
      </c>
      <c r="D1826" s="12">
        <v>82.552377368199984</v>
      </c>
    </row>
    <row r="1827" spans="1:4">
      <c r="A1827">
        <v>1824</v>
      </c>
      <c r="B1827" s="12">
        <v>118.99315048127525</v>
      </c>
      <c r="C1827" s="12">
        <v>109.30763956567176</v>
      </c>
      <c r="D1827" s="12">
        <v>82.366188231902328</v>
      </c>
    </row>
    <row r="1828" spans="1:4">
      <c r="A1828">
        <v>1825</v>
      </c>
      <c r="B1828" s="12">
        <v>168.09785397901149</v>
      </c>
      <c r="C1828" s="12">
        <v>182.32629897609118</v>
      </c>
      <c r="D1828" s="12">
        <v>84.063319535928585</v>
      </c>
    </row>
    <row r="1829" spans="1:4">
      <c r="A1829">
        <v>1826</v>
      </c>
      <c r="B1829" s="12">
        <v>103.08366735832651</v>
      </c>
      <c r="C1829" s="12">
        <v>136.31684666551064</v>
      </c>
      <c r="D1829" s="12">
        <v>111.71174727828983</v>
      </c>
    </row>
    <row r="1830" spans="1:4">
      <c r="A1830">
        <v>1827</v>
      </c>
      <c r="B1830" s="12">
        <v>167.70544154764838</v>
      </c>
      <c r="C1830" s="12">
        <v>129.63093128454983</v>
      </c>
      <c r="D1830" s="12">
        <v>76.592574148412083</v>
      </c>
    </row>
    <row r="1831" spans="1:4">
      <c r="A1831">
        <v>1828</v>
      </c>
      <c r="B1831" s="12">
        <v>194.45226538075113</v>
      </c>
      <c r="C1831" s="12">
        <v>134.01545429506749</v>
      </c>
      <c r="D1831" s="12">
        <v>85.360665314815535</v>
      </c>
    </row>
    <row r="1832" spans="1:4">
      <c r="A1832">
        <v>1829</v>
      </c>
      <c r="B1832" s="12">
        <v>156.1902116569002</v>
      </c>
      <c r="C1832" s="12">
        <v>138.36056097609108</v>
      </c>
      <c r="D1832" s="12">
        <v>130.96371702095402</v>
      </c>
    </row>
    <row r="1833" spans="1:4">
      <c r="A1833">
        <v>1830</v>
      </c>
      <c r="B1833" s="12">
        <v>99.102750174605447</v>
      </c>
      <c r="C1833" s="12">
        <v>114.39182340918485</v>
      </c>
      <c r="D1833" s="12">
        <v>197.04964803944128</v>
      </c>
    </row>
    <row r="1834" spans="1:4">
      <c r="A1834">
        <v>1831</v>
      </c>
      <c r="B1834" s="12">
        <v>119.43024544612641</v>
      </c>
      <c r="C1834" s="12">
        <v>157.34386951354421</v>
      </c>
      <c r="D1834" s="12">
        <v>112.2615554318501</v>
      </c>
    </row>
    <row r="1835" spans="1:4">
      <c r="A1835">
        <v>1832</v>
      </c>
      <c r="B1835" s="12">
        <v>197.18819592200788</v>
      </c>
      <c r="C1835" s="12">
        <v>148.42167972546713</v>
      </c>
      <c r="D1835" s="12">
        <v>109.9862908983372</v>
      </c>
    </row>
    <row r="1836" spans="1:4">
      <c r="A1836">
        <v>1833</v>
      </c>
      <c r="B1836" s="12">
        <v>174.13700038027346</v>
      </c>
      <c r="C1836" s="12">
        <v>196.46494793965775</v>
      </c>
      <c r="D1836" s="12">
        <v>49.606415387082848</v>
      </c>
    </row>
    <row r="1837" spans="1:4">
      <c r="A1837">
        <v>1834</v>
      </c>
      <c r="B1837" s="12">
        <v>113.31277734016595</v>
      </c>
      <c r="C1837" s="12">
        <v>189.30765522440737</v>
      </c>
      <c r="D1837" s="12">
        <v>91.914836620784627</v>
      </c>
    </row>
    <row r="1838" spans="1:4">
      <c r="A1838">
        <v>1835</v>
      </c>
      <c r="B1838" s="12">
        <v>179.20808341644118</v>
      </c>
      <c r="C1838" s="12">
        <v>156.8424829635558</v>
      </c>
      <c r="D1838" s="12">
        <v>81.294115750292363</v>
      </c>
    </row>
    <row r="1839" spans="1:4">
      <c r="A1839">
        <v>1836</v>
      </c>
      <c r="B1839" s="12">
        <v>210.29874315468243</v>
      </c>
      <c r="C1839" s="12">
        <v>193.22259404914504</v>
      </c>
      <c r="D1839" s="12">
        <v>87.698814164436314</v>
      </c>
    </row>
    <row r="1840" spans="1:4">
      <c r="A1840">
        <v>1837</v>
      </c>
      <c r="B1840" s="12">
        <v>207.91119625219824</v>
      </c>
      <c r="C1840" s="12">
        <v>201.19146914271872</v>
      </c>
      <c r="D1840" s="12">
        <v>80.995170576230791</v>
      </c>
    </row>
    <row r="1841" spans="1:4">
      <c r="A1841">
        <v>1838</v>
      </c>
      <c r="B1841" s="12">
        <v>128.17494940456842</v>
      </c>
      <c r="C1841" s="12">
        <v>179.1291071635217</v>
      </c>
      <c r="D1841" s="12">
        <v>68.316671827368438</v>
      </c>
    </row>
    <row r="1842" spans="1:4">
      <c r="A1842">
        <v>1839</v>
      </c>
      <c r="B1842" s="12">
        <v>168.49183922536955</v>
      </c>
      <c r="C1842" s="12">
        <v>159.52189579281344</v>
      </c>
      <c r="D1842" s="12">
        <v>70.058386686438268</v>
      </c>
    </row>
    <row r="1843" spans="1:4">
      <c r="A1843">
        <v>1840</v>
      </c>
      <c r="B1843" s="12">
        <v>139.79836904797068</v>
      </c>
      <c r="C1843" s="12">
        <v>155.12375970010882</v>
      </c>
      <c r="D1843" s="12">
        <v>62.447919847103151</v>
      </c>
    </row>
    <row r="1844" spans="1:4">
      <c r="A1844">
        <v>1841</v>
      </c>
      <c r="B1844" s="12">
        <v>154.62812808017941</v>
      </c>
      <c r="C1844" s="12">
        <v>112.19807302057177</v>
      </c>
      <c r="D1844" s="12">
        <v>98.759784832851196</v>
      </c>
    </row>
    <row r="1845" spans="1:4">
      <c r="A1845">
        <v>1842</v>
      </c>
      <c r="B1845" s="12">
        <v>200.83585903661228</v>
      </c>
      <c r="C1845" s="12">
        <v>144.46978866652773</v>
      </c>
      <c r="D1845" s="12">
        <v>129.44149438355743</v>
      </c>
    </row>
    <row r="1846" spans="1:4">
      <c r="A1846">
        <v>1843</v>
      </c>
      <c r="B1846" s="12">
        <v>110.77673048120667</v>
      </c>
      <c r="C1846" s="12">
        <v>195.51757456796543</v>
      </c>
      <c r="D1846" s="12">
        <v>85.53785589501075</v>
      </c>
    </row>
    <row r="1847" spans="1:4">
      <c r="A1847">
        <v>1844</v>
      </c>
      <c r="B1847" s="12">
        <v>241.01147228840316</v>
      </c>
      <c r="C1847" s="12">
        <v>148.91227818963381</v>
      </c>
      <c r="D1847" s="12">
        <v>68.813164471804996</v>
      </c>
    </row>
    <row r="1848" spans="1:4">
      <c r="A1848">
        <v>1845</v>
      </c>
      <c r="B1848" s="12">
        <v>142.89359067973592</v>
      </c>
      <c r="C1848" s="12">
        <v>149.31389866864555</v>
      </c>
      <c r="D1848" s="12">
        <v>88.676837290905155</v>
      </c>
    </row>
    <row r="1849" spans="1:4">
      <c r="A1849">
        <v>1846</v>
      </c>
      <c r="B1849" s="12">
        <v>167.0649483693966</v>
      </c>
      <c r="C1849" s="12">
        <v>186.60129005970171</v>
      </c>
      <c r="D1849" s="12">
        <v>76.809831985536917</v>
      </c>
    </row>
    <row r="1850" spans="1:4">
      <c r="A1850">
        <v>1847</v>
      </c>
      <c r="B1850" s="12">
        <v>144.90339679393642</v>
      </c>
      <c r="C1850" s="12">
        <v>145.39155393241563</v>
      </c>
      <c r="D1850" s="12">
        <v>101.37977616507979</v>
      </c>
    </row>
    <row r="1851" spans="1:4">
      <c r="A1851">
        <v>1848</v>
      </c>
      <c r="B1851" s="12">
        <v>254.93431948059302</v>
      </c>
      <c r="C1851" s="12">
        <v>186.0150917148342</v>
      </c>
      <c r="D1851" s="12">
        <v>96.101343214162881</v>
      </c>
    </row>
    <row r="1852" spans="1:4">
      <c r="A1852">
        <v>1849</v>
      </c>
      <c r="B1852" s="12">
        <v>160.07002168978204</v>
      </c>
      <c r="C1852" s="12">
        <v>127.41596550083017</v>
      </c>
      <c r="D1852" s="12">
        <v>81.5910619299312</v>
      </c>
    </row>
    <row r="1853" spans="1:4">
      <c r="A1853">
        <v>1850</v>
      </c>
      <c r="B1853" s="12">
        <v>171.26624912495132</v>
      </c>
      <c r="C1853" s="12">
        <v>172.63604489708305</v>
      </c>
      <c r="D1853" s="12">
        <v>103.32693107510715</v>
      </c>
    </row>
    <row r="1854" spans="1:4">
      <c r="A1854">
        <v>1851</v>
      </c>
      <c r="B1854" s="12">
        <v>128.99034034817885</v>
      </c>
      <c r="C1854" s="12">
        <v>122.50831220196562</v>
      </c>
      <c r="D1854" s="12">
        <v>67.990491013582542</v>
      </c>
    </row>
    <row r="1855" spans="1:4">
      <c r="A1855">
        <v>1852</v>
      </c>
      <c r="B1855" s="12">
        <v>110.1033007131244</v>
      </c>
      <c r="C1855" s="12">
        <v>131.02818907362709</v>
      </c>
      <c r="D1855" s="12">
        <v>132.57421853339434</v>
      </c>
    </row>
    <row r="1856" spans="1:4">
      <c r="A1856">
        <v>1853</v>
      </c>
      <c r="B1856" s="12">
        <v>263.09991837512581</v>
      </c>
      <c r="C1856" s="12">
        <v>129.23027173886277</v>
      </c>
      <c r="D1856" s="12">
        <v>95.931165136550064</v>
      </c>
    </row>
    <row r="1857" spans="1:4">
      <c r="A1857">
        <v>1854</v>
      </c>
      <c r="B1857" s="12">
        <v>238.57446585698835</v>
      </c>
      <c r="C1857" s="12">
        <v>198.13280208243847</v>
      </c>
      <c r="D1857" s="12">
        <v>83.31296769745363</v>
      </c>
    </row>
    <row r="1858" spans="1:4">
      <c r="A1858">
        <v>1855</v>
      </c>
      <c r="B1858" s="12">
        <v>112.7287939005184</v>
      </c>
      <c r="C1858" s="12">
        <v>127.85555142309161</v>
      </c>
      <c r="D1858" s="12">
        <v>155.25768408869791</v>
      </c>
    </row>
    <row r="1859" spans="1:4">
      <c r="A1859">
        <v>1856</v>
      </c>
      <c r="B1859" s="12">
        <v>155.59123247423167</v>
      </c>
      <c r="C1859" s="12">
        <v>220.39627754860632</v>
      </c>
      <c r="D1859" s="12">
        <v>105.43494641698598</v>
      </c>
    </row>
    <row r="1860" spans="1:4">
      <c r="A1860">
        <v>1857</v>
      </c>
      <c r="B1860" s="12">
        <v>165.65719151062223</v>
      </c>
      <c r="C1860" s="12">
        <v>135.18863355133107</v>
      </c>
      <c r="D1860" s="12">
        <v>166.07810449588152</v>
      </c>
    </row>
    <row r="1861" spans="1:4">
      <c r="A1861">
        <v>1858</v>
      </c>
      <c r="B1861" s="12">
        <v>149.80678812221231</v>
      </c>
      <c r="C1861" s="12">
        <v>134.34262138853558</v>
      </c>
      <c r="D1861" s="12">
        <v>46.2334261772098</v>
      </c>
    </row>
    <row r="1862" spans="1:4">
      <c r="A1862">
        <v>1859</v>
      </c>
      <c r="B1862" s="12">
        <v>140.84265063535014</v>
      </c>
      <c r="C1862" s="12">
        <v>153.17937940129278</v>
      </c>
      <c r="D1862" s="12">
        <v>74.365686485021826</v>
      </c>
    </row>
    <row r="1863" spans="1:4">
      <c r="A1863">
        <v>1860</v>
      </c>
      <c r="B1863" s="12">
        <v>125.41418267289782</v>
      </c>
      <c r="C1863" s="12">
        <v>187.20359187498144</v>
      </c>
      <c r="D1863" s="12">
        <v>138.58701973223441</v>
      </c>
    </row>
    <row r="1864" spans="1:4">
      <c r="A1864">
        <v>1861</v>
      </c>
      <c r="B1864" s="12">
        <v>153.89908611005654</v>
      </c>
      <c r="C1864" s="12">
        <v>159.78016016377686</v>
      </c>
      <c r="D1864" s="12">
        <v>127.46778676696438</v>
      </c>
    </row>
    <row r="1865" spans="1:4">
      <c r="A1865">
        <v>1862</v>
      </c>
      <c r="B1865" s="12">
        <v>149.07186103624062</v>
      </c>
      <c r="C1865" s="12">
        <v>171.1849817386458</v>
      </c>
      <c r="D1865" s="12">
        <v>89.115224480399689</v>
      </c>
    </row>
    <row r="1866" spans="1:4">
      <c r="A1866">
        <v>1863</v>
      </c>
      <c r="B1866" s="12">
        <v>196.11860588136773</v>
      </c>
      <c r="C1866" s="12">
        <v>131.26505035914889</v>
      </c>
      <c r="D1866" s="12">
        <v>91.745776414814941</v>
      </c>
    </row>
    <row r="1867" spans="1:4">
      <c r="A1867">
        <v>1864</v>
      </c>
      <c r="B1867" s="12">
        <v>127.66886377375361</v>
      </c>
      <c r="C1867" s="12">
        <v>126.67087734807801</v>
      </c>
      <c r="D1867" s="12">
        <v>174.7218156021199</v>
      </c>
    </row>
    <row r="1868" spans="1:4">
      <c r="A1868">
        <v>1865</v>
      </c>
      <c r="B1868" s="12">
        <v>146.88148485653576</v>
      </c>
      <c r="C1868" s="12">
        <v>141.28620271193543</v>
      </c>
      <c r="D1868" s="12">
        <v>116.35849464486435</v>
      </c>
    </row>
    <row r="1869" spans="1:4">
      <c r="A1869">
        <v>1866</v>
      </c>
      <c r="B1869" s="12">
        <v>152.93654215790775</v>
      </c>
      <c r="C1869" s="12">
        <v>161.86142856353464</v>
      </c>
      <c r="D1869" s="12">
        <v>116.97626152838836</v>
      </c>
    </row>
    <row r="1870" spans="1:4">
      <c r="A1870">
        <v>1867</v>
      </c>
      <c r="B1870" s="12">
        <v>176.40533274969735</v>
      </c>
      <c r="C1870" s="12">
        <v>185.085657137732</v>
      </c>
      <c r="D1870" s="12">
        <v>79.379390635652229</v>
      </c>
    </row>
    <row r="1871" spans="1:4">
      <c r="A1871">
        <v>1868</v>
      </c>
      <c r="B1871" s="12">
        <v>135.45662245290637</v>
      </c>
      <c r="C1871" s="12">
        <v>163.28983210301695</v>
      </c>
      <c r="D1871" s="12">
        <v>111.37994821723544</v>
      </c>
    </row>
    <row r="1872" spans="1:4">
      <c r="A1872">
        <v>1869</v>
      </c>
      <c r="B1872" s="12">
        <v>202.7947689395447</v>
      </c>
      <c r="C1872" s="12">
        <v>142.42247252972922</v>
      </c>
      <c r="D1872" s="12">
        <v>148.04439516986255</v>
      </c>
    </row>
    <row r="1873" spans="1:4">
      <c r="A1873">
        <v>1870</v>
      </c>
      <c r="B1873" s="12">
        <v>161.42195650764086</v>
      </c>
      <c r="C1873" s="12">
        <v>176.53269838822337</v>
      </c>
      <c r="D1873" s="12">
        <v>94.701796516823663</v>
      </c>
    </row>
    <row r="1874" spans="1:4">
      <c r="A1874">
        <v>1871</v>
      </c>
      <c r="B1874" s="12">
        <v>166.04210582909423</v>
      </c>
      <c r="C1874" s="12">
        <v>191.92260213459602</v>
      </c>
      <c r="D1874" s="12">
        <v>66.925909752978683</v>
      </c>
    </row>
    <row r="1875" spans="1:4">
      <c r="A1875">
        <v>1872</v>
      </c>
      <c r="B1875" s="12">
        <v>208.47574512395011</v>
      </c>
      <c r="C1875" s="12">
        <v>153.58065345327861</v>
      </c>
      <c r="D1875" s="12">
        <v>92.178682419181385</v>
      </c>
    </row>
    <row r="1876" spans="1:4">
      <c r="A1876">
        <v>1873</v>
      </c>
      <c r="B1876" s="12">
        <v>152.33822438971339</v>
      </c>
      <c r="C1876" s="12">
        <v>146.71236698807883</v>
      </c>
      <c r="D1876" s="12">
        <v>97.071442326645084</v>
      </c>
    </row>
    <row r="1877" spans="1:4">
      <c r="A1877">
        <v>1874</v>
      </c>
      <c r="B1877" s="12">
        <v>130.26732712278715</v>
      </c>
      <c r="C1877" s="12">
        <v>116.54668117928213</v>
      </c>
      <c r="D1877" s="12">
        <v>77.478171703700497</v>
      </c>
    </row>
    <row r="1878" spans="1:4">
      <c r="A1878">
        <v>1875</v>
      </c>
      <c r="B1878" s="12">
        <v>189.8029421945412</v>
      </c>
      <c r="C1878" s="12">
        <v>141.01718495206026</v>
      </c>
      <c r="D1878" s="12">
        <v>190.23556598002079</v>
      </c>
    </row>
    <row r="1879" spans="1:4">
      <c r="A1879">
        <v>1876</v>
      </c>
      <c r="B1879" s="12">
        <v>143.90301353654678</v>
      </c>
      <c r="C1879" s="12">
        <v>147.36690207392741</v>
      </c>
      <c r="D1879" s="12">
        <v>94.966264747651778</v>
      </c>
    </row>
    <row r="1880" spans="1:4">
      <c r="A1880">
        <v>1877</v>
      </c>
      <c r="B1880" s="12">
        <v>140.44878486580367</v>
      </c>
      <c r="C1880" s="12">
        <v>172.07245216969781</v>
      </c>
      <c r="D1880" s="12">
        <v>86.984108669885273</v>
      </c>
    </row>
    <row r="1881" spans="1:4">
      <c r="A1881">
        <v>1878</v>
      </c>
      <c r="B1881" s="12">
        <v>215.63441580515232</v>
      </c>
      <c r="C1881" s="12">
        <v>160.72842889340538</v>
      </c>
      <c r="D1881" s="12">
        <v>100.37391041214882</v>
      </c>
    </row>
    <row r="1882" spans="1:4">
      <c r="A1882">
        <v>1879</v>
      </c>
      <c r="B1882" s="12">
        <v>142.50870308240451</v>
      </c>
      <c r="C1882" s="12">
        <v>167.04984865915816</v>
      </c>
      <c r="D1882" s="12">
        <v>99.651057479833227</v>
      </c>
    </row>
    <row r="1883" spans="1:4">
      <c r="A1883">
        <v>1880</v>
      </c>
      <c r="B1883" s="12">
        <v>145.52087218350556</v>
      </c>
      <c r="C1883" s="12">
        <v>160.46664295312928</v>
      </c>
      <c r="D1883" s="12">
        <v>123.57876759952816</v>
      </c>
    </row>
    <row r="1884" spans="1:4">
      <c r="A1884">
        <v>1881</v>
      </c>
      <c r="B1884" s="12">
        <v>157.75687846128591</v>
      </c>
      <c r="C1884" s="12">
        <v>151.89056300472609</v>
      </c>
      <c r="D1884" s="12">
        <v>79.690516692179642</v>
      </c>
    </row>
    <row r="1885" spans="1:4">
      <c r="A1885">
        <v>1882</v>
      </c>
      <c r="B1885" s="12">
        <v>230.00198184724036</v>
      </c>
      <c r="C1885" s="12">
        <v>152.77861922477931</v>
      </c>
      <c r="D1885" s="12">
        <v>139.3903921091856</v>
      </c>
    </row>
    <row r="1886" spans="1:4">
      <c r="A1886">
        <v>1883</v>
      </c>
      <c r="B1886" s="12">
        <v>125.76143686126142</v>
      </c>
      <c r="C1886" s="12">
        <v>149.55841000935661</v>
      </c>
      <c r="D1886" s="12">
        <v>64.343118699424352</v>
      </c>
    </row>
    <row r="1887" spans="1:4">
      <c r="A1887">
        <v>1884</v>
      </c>
      <c r="B1887" s="12">
        <v>151.73946235326156</v>
      </c>
      <c r="C1887" s="12">
        <v>128.55510095677087</v>
      </c>
      <c r="D1887" s="12">
        <v>79.178714848564482</v>
      </c>
    </row>
    <row r="1888" spans="1:4">
      <c r="A1888">
        <v>1885</v>
      </c>
      <c r="B1888" s="12">
        <v>181.66834950134552</v>
      </c>
      <c r="C1888" s="12">
        <v>152.93504009909381</v>
      </c>
      <c r="D1888" s="12">
        <v>94.268335248632013</v>
      </c>
    </row>
    <row r="1889" spans="1:4">
      <c r="A1889">
        <v>1886</v>
      </c>
      <c r="B1889" s="12">
        <v>143.52186204595756</v>
      </c>
      <c r="C1889" s="12">
        <v>164.75790006852807</v>
      </c>
      <c r="D1889" s="12">
        <v>106.40872640017895</v>
      </c>
    </row>
    <row r="1890" spans="1:4">
      <c r="A1890">
        <v>1887</v>
      </c>
      <c r="B1890" s="12">
        <v>105.63675188511793</v>
      </c>
      <c r="C1890" s="12">
        <v>152.13437084968785</v>
      </c>
      <c r="D1890" s="12">
        <v>146.9024079906232</v>
      </c>
    </row>
    <row r="1891" spans="1:4">
      <c r="A1891">
        <v>1888</v>
      </c>
      <c r="B1891" s="12">
        <v>107.80723798742652</v>
      </c>
      <c r="C1891" s="12">
        <v>204.90686499943962</v>
      </c>
      <c r="D1891" s="12">
        <v>78.544761548118558</v>
      </c>
    </row>
    <row r="1892" spans="1:4">
      <c r="A1892">
        <v>1889</v>
      </c>
      <c r="B1892" s="12">
        <v>138.73948056258601</v>
      </c>
      <c r="C1892" s="12">
        <v>157.09287325264191</v>
      </c>
      <c r="D1892" s="12">
        <v>153.70206912453992</v>
      </c>
    </row>
    <row r="1893" spans="1:4">
      <c r="A1893">
        <v>1890</v>
      </c>
      <c r="B1893" s="12">
        <v>250.97801829679818</v>
      </c>
      <c r="C1893" s="12">
        <v>132.21654215492339</v>
      </c>
      <c r="D1893" s="12">
        <v>89.648023772555234</v>
      </c>
    </row>
    <row r="1894" spans="1:4">
      <c r="A1894">
        <v>1891</v>
      </c>
      <c r="B1894" s="12">
        <v>138.33429863779406</v>
      </c>
      <c r="C1894" s="12">
        <v>178.00713206368479</v>
      </c>
      <c r="D1894" s="12">
        <v>71.913193778316526</v>
      </c>
    </row>
    <row r="1895" spans="1:4">
      <c r="A1895">
        <v>1892</v>
      </c>
      <c r="B1895" s="12">
        <v>159.46375066250971</v>
      </c>
      <c r="C1895" s="12">
        <v>183.66522741947594</v>
      </c>
      <c r="D1895" s="12">
        <v>81.780258448449388</v>
      </c>
    </row>
    <row r="1896" spans="1:4">
      <c r="A1896">
        <v>1893</v>
      </c>
      <c r="B1896" s="12">
        <v>123.94052126594413</v>
      </c>
      <c r="C1896" s="12">
        <v>192.70474007322747</v>
      </c>
      <c r="D1896" s="12">
        <v>101.65812727634757</v>
      </c>
    </row>
    <row r="1897" spans="1:4">
      <c r="A1897">
        <v>1894</v>
      </c>
      <c r="B1897" s="12">
        <v>182.45453956419564</v>
      </c>
      <c r="C1897" s="12">
        <v>169.16076682045997</v>
      </c>
      <c r="D1897" s="12">
        <v>113.16153338029078</v>
      </c>
    </row>
    <row r="1898" spans="1:4">
      <c r="A1898">
        <v>1895</v>
      </c>
      <c r="B1898" s="12">
        <v>192.25550540124138</v>
      </c>
      <c r="C1898" s="12">
        <v>154.22788774021367</v>
      </c>
      <c r="D1898" s="12">
        <v>90.083900355146483</v>
      </c>
    </row>
    <row r="1899" spans="1:4">
      <c r="A1899">
        <v>1896</v>
      </c>
      <c r="B1899" s="12">
        <v>161.04962717678103</v>
      </c>
      <c r="C1899" s="12">
        <v>123.46704626013559</v>
      </c>
      <c r="D1899" s="12">
        <v>88.237063681284894</v>
      </c>
    </row>
    <row r="1900" spans="1:4">
      <c r="A1900">
        <v>1897</v>
      </c>
      <c r="B1900" s="12">
        <v>144.52553134853605</v>
      </c>
      <c r="C1900" s="12">
        <v>162.57106842156833</v>
      </c>
      <c r="D1900" s="12">
        <v>114.08132723197362</v>
      </c>
    </row>
    <row r="1901" spans="1:4">
      <c r="A1901">
        <v>1898</v>
      </c>
      <c r="B1901" s="12">
        <v>187.81409672071717</v>
      </c>
      <c r="C1901" s="12">
        <v>160.20586876711127</v>
      </c>
      <c r="D1901" s="12">
        <v>65.99211528811577</v>
      </c>
    </row>
    <row r="1902" spans="1:4">
      <c r="A1902">
        <v>1899</v>
      </c>
      <c r="B1902" s="12">
        <v>148.83603665619191</v>
      </c>
      <c r="C1902" s="12">
        <v>136.81236432747036</v>
      </c>
      <c r="D1902" s="12">
        <v>142.55645998585899</v>
      </c>
    </row>
    <row r="1903" spans="1:4">
      <c r="A1903">
        <v>1900</v>
      </c>
      <c r="B1903" s="12">
        <v>167.45488829020314</v>
      </c>
      <c r="C1903" s="12">
        <v>161.5949101015064</v>
      </c>
      <c r="D1903" s="12">
        <v>218.32280902851753</v>
      </c>
    </row>
    <row r="1904" spans="1:4">
      <c r="A1904">
        <v>1901</v>
      </c>
      <c r="B1904" s="12">
        <v>166.42833875866654</v>
      </c>
      <c r="C1904" s="12">
        <v>163.74132822158651</v>
      </c>
      <c r="D1904" s="12">
        <v>141.64538546826373</v>
      </c>
    </row>
    <row r="1905" spans="1:4">
      <c r="A1905">
        <v>1902</v>
      </c>
      <c r="B1905" s="12">
        <v>121.15522901275499</v>
      </c>
      <c r="C1905" s="12">
        <v>155.37070150098256</v>
      </c>
      <c r="D1905" s="12">
        <v>121.23129359718183</v>
      </c>
    </row>
    <row r="1906" spans="1:4">
      <c r="A1906">
        <v>1903</v>
      </c>
      <c r="B1906" s="12">
        <v>163.64448476499967</v>
      </c>
      <c r="C1906" s="12">
        <v>139.84797881881326</v>
      </c>
      <c r="D1906" s="12">
        <v>122.83106801786909</v>
      </c>
    </row>
    <row r="1907" spans="1:4">
      <c r="A1907">
        <v>1904</v>
      </c>
      <c r="B1907" s="12">
        <v>134.59767676475096</v>
      </c>
      <c r="C1907" s="12">
        <v>134.66597466679502</v>
      </c>
      <c r="D1907" s="12">
        <v>117.35793880977486</v>
      </c>
    </row>
    <row r="1908" spans="1:4">
      <c r="A1908">
        <v>1905</v>
      </c>
      <c r="B1908" s="12">
        <v>150.04175723588529</v>
      </c>
      <c r="C1908" s="12">
        <v>168.65002506288357</v>
      </c>
      <c r="D1908" s="12">
        <v>95.400632257858689</v>
      </c>
    </row>
    <row r="1909" spans="1:4">
      <c r="A1909">
        <v>1906</v>
      </c>
      <c r="B1909" s="12">
        <v>163.02545952107715</v>
      </c>
      <c r="C1909" s="12">
        <v>106.87972539602566</v>
      </c>
      <c r="D1909" s="12">
        <v>100.92509414015615</v>
      </c>
    </row>
    <row r="1910" spans="1:4">
      <c r="A1910">
        <v>1907</v>
      </c>
      <c r="B1910" s="12">
        <v>186.42084219277643</v>
      </c>
      <c r="C1910" s="12">
        <v>162.30128768637783</v>
      </c>
      <c r="D1910" s="12">
        <v>163.56240748846645</v>
      </c>
    </row>
    <row r="1911" spans="1:4">
      <c r="A1911">
        <v>1908</v>
      </c>
      <c r="B1911" s="12">
        <v>219.43933720420918</v>
      </c>
      <c r="C1911" s="12">
        <v>145.80374187273665</v>
      </c>
      <c r="D1911" s="12">
        <v>121.66298382538325</v>
      </c>
    </row>
    <row r="1912" spans="1:4">
      <c r="A1912">
        <v>1909</v>
      </c>
      <c r="B1912" s="12">
        <v>137.92667028030783</v>
      </c>
      <c r="C1912" s="12">
        <v>125.40010609694481</v>
      </c>
      <c r="D1912" s="12">
        <v>54.709621903623677</v>
      </c>
    </row>
    <row r="1913" spans="1:4">
      <c r="A1913">
        <v>1910</v>
      </c>
      <c r="B1913" s="12">
        <v>137.66423286658761</v>
      </c>
      <c r="C1913" s="12">
        <v>159.1001174112221</v>
      </c>
      <c r="D1913" s="12">
        <v>131.95313477655978</v>
      </c>
    </row>
    <row r="1914" spans="1:4">
      <c r="A1914">
        <v>1911</v>
      </c>
      <c r="B1914" s="12">
        <v>140.05296950140928</v>
      </c>
      <c r="C1914" s="12">
        <v>113.59342819652991</v>
      </c>
      <c r="D1914" s="12">
        <v>79.999107751101519</v>
      </c>
    </row>
    <row r="1915" spans="1:4">
      <c r="A1915">
        <v>1912</v>
      </c>
      <c r="B1915" s="12">
        <v>178.01471842991819</v>
      </c>
      <c r="C1915" s="12">
        <v>158.84413704239643</v>
      </c>
      <c r="D1915" s="12">
        <v>73.367159093475479</v>
      </c>
    </row>
    <row r="1916" spans="1:4">
      <c r="A1916">
        <v>1913</v>
      </c>
      <c r="B1916" s="12">
        <v>129.47886155359612</v>
      </c>
      <c r="C1916" s="12">
        <v>175.89284568023362</v>
      </c>
      <c r="D1916" s="12">
        <v>77.689183184724882</v>
      </c>
    </row>
    <row r="1917" spans="1:4">
      <c r="A1917">
        <v>1914</v>
      </c>
      <c r="B1917" s="12">
        <v>141.87391024951779</v>
      </c>
      <c r="C1917" s="12">
        <v>151.24698599481326</v>
      </c>
      <c r="D1917" s="12">
        <v>82.074111988954257</v>
      </c>
    </row>
    <row r="1918" spans="1:4">
      <c r="A1918">
        <v>1915</v>
      </c>
      <c r="B1918" s="12">
        <v>203.56362866540184</v>
      </c>
      <c r="C1918" s="12">
        <v>110.55261666636234</v>
      </c>
      <c r="D1918" s="12">
        <v>59.161566258432011</v>
      </c>
    </row>
    <row r="1919" spans="1:4">
      <c r="A1919">
        <v>1916</v>
      </c>
      <c r="B1919" s="12">
        <v>287.31266629273097</v>
      </c>
      <c r="C1919" s="12">
        <v>125.71728314254862</v>
      </c>
      <c r="D1919" s="12">
        <v>102.39775960064463</v>
      </c>
    </row>
    <row r="1920" spans="1:4">
      <c r="A1920">
        <v>1917</v>
      </c>
      <c r="B1920" s="12">
        <v>178.75343405033178</v>
      </c>
      <c r="C1920" s="12">
        <v>177.59419107302594</v>
      </c>
      <c r="D1920" s="12">
        <v>92.611372764978697</v>
      </c>
    </row>
    <row r="1921" spans="1:4">
      <c r="A1921">
        <v>1918</v>
      </c>
      <c r="B1921" s="12">
        <v>175.69270424742609</v>
      </c>
      <c r="C1921" s="12">
        <v>163.01650725213381</v>
      </c>
      <c r="D1921" s="12">
        <v>150.04952681442001</v>
      </c>
    </row>
    <row r="1922" spans="1:4">
      <c r="A1922">
        <v>1919</v>
      </c>
      <c r="B1922" s="12">
        <v>89.758773810554047</v>
      </c>
      <c r="C1922" s="12">
        <v>121.24452755519613</v>
      </c>
      <c r="D1922" s="12">
        <v>140.76702583756605</v>
      </c>
    </row>
    <row r="1923" spans="1:4">
      <c r="A1923">
        <v>1920</v>
      </c>
      <c r="B1923" s="12">
        <v>151.00864010271195</v>
      </c>
      <c r="C1923" s="12">
        <v>166.27256746446139</v>
      </c>
      <c r="D1923" s="12">
        <v>101.83691786785434</v>
      </c>
    </row>
    <row r="1924" spans="1:4">
      <c r="A1924">
        <v>1921</v>
      </c>
      <c r="B1924" s="12">
        <v>136.15131025403602</v>
      </c>
      <c r="C1924" s="12">
        <v>185.6475944111391</v>
      </c>
      <c r="D1924" s="12">
        <v>145.81366892385947</v>
      </c>
    </row>
    <row r="1925" spans="1:4">
      <c r="A1925">
        <v>1922</v>
      </c>
      <c r="B1925" s="12">
        <v>145.14483595401705</v>
      </c>
      <c r="C1925" s="12">
        <v>184.19289832135087</v>
      </c>
      <c r="D1925" s="12">
        <v>156.31506347312032</v>
      </c>
    </row>
    <row r="1926" spans="1:4">
      <c r="A1926">
        <v>1923</v>
      </c>
      <c r="B1926" s="12">
        <v>135.72887959366361</v>
      </c>
      <c r="C1926" s="12">
        <v>131.98924554582658</v>
      </c>
      <c r="D1926" s="12">
        <v>127.99666868855921</v>
      </c>
    </row>
    <row r="1927" spans="1:4">
      <c r="A1927">
        <v>1924</v>
      </c>
      <c r="B1927" s="12">
        <v>117.57407356498119</v>
      </c>
      <c r="C1927" s="12">
        <v>159.35693685186871</v>
      </c>
      <c r="D1927" s="12">
        <v>104.84901384551551</v>
      </c>
    </row>
    <row r="1928" spans="1:4">
      <c r="A1928">
        <v>1925</v>
      </c>
      <c r="B1928" s="12">
        <v>120.09743234648855</v>
      </c>
      <c r="C1928" s="12">
        <v>140.12377864198771</v>
      </c>
      <c r="D1928" s="12">
        <v>99.924189114627012</v>
      </c>
    </row>
    <row r="1929" spans="1:4">
      <c r="A1929">
        <v>1926</v>
      </c>
      <c r="B1929" s="12">
        <v>108.99545601212635</v>
      </c>
      <c r="C1929" s="12">
        <v>150.20319661346593</v>
      </c>
      <c r="D1929" s="12">
        <v>57.222732150781681</v>
      </c>
    </row>
    <row r="1930" spans="1:4">
      <c r="A1930">
        <v>1927</v>
      </c>
      <c r="B1930" s="12">
        <v>160.44043161036439</v>
      </c>
      <c r="C1930" s="12">
        <v>179.85112670811537</v>
      </c>
      <c r="D1930" s="12">
        <v>88.408946655220987</v>
      </c>
    </row>
    <row r="1931" spans="1:4">
      <c r="A1931">
        <v>1928</v>
      </c>
      <c r="B1931" s="12">
        <v>201.5660677126144</v>
      </c>
      <c r="C1931" s="12">
        <v>119.36840060489656</v>
      </c>
      <c r="D1931" s="12">
        <v>148.80661249307974</v>
      </c>
    </row>
    <row r="1932" spans="1:4">
      <c r="A1932">
        <v>1929</v>
      </c>
      <c r="B1932" s="12">
        <v>142.12227554273213</v>
      </c>
      <c r="C1932" s="12">
        <v>203.9279845884852</v>
      </c>
      <c r="D1932" s="12">
        <v>93.138768058152635</v>
      </c>
    </row>
    <row r="1933" spans="1:4">
      <c r="A1933">
        <v>1930</v>
      </c>
      <c r="B1933" s="12">
        <v>118.29439664199685</v>
      </c>
      <c r="C1933" s="12">
        <v>142.25395535968434</v>
      </c>
      <c r="D1933" s="12">
        <v>93.57144509517984</v>
      </c>
    </row>
    <row r="1934" spans="1:4">
      <c r="A1934">
        <v>1931</v>
      </c>
      <c r="B1934" s="12">
        <v>146.50896497351872</v>
      </c>
      <c r="C1934" s="12">
        <v>158.42592684615281</v>
      </c>
      <c r="D1934" s="12">
        <v>137.32194840477607</v>
      </c>
    </row>
    <row r="1935" spans="1:4">
      <c r="A1935">
        <v>1932</v>
      </c>
      <c r="B1935" s="12">
        <v>129.78858021651246</v>
      </c>
      <c r="C1935" s="12">
        <v>143.62944823252795</v>
      </c>
      <c r="D1935" s="12">
        <v>89.381834111835872</v>
      </c>
    </row>
    <row r="1936" spans="1:4">
      <c r="A1936">
        <v>1933</v>
      </c>
      <c r="B1936" s="12">
        <v>164.02317823252551</v>
      </c>
      <c r="C1936" s="12">
        <v>211.9732765037518</v>
      </c>
      <c r="D1936" s="12">
        <v>136.58046063642931</v>
      </c>
    </row>
    <row r="1937" spans="1:4">
      <c r="A1937">
        <v>1934</v>
      </c>
      <c r="B1937" s="12">
        <v>156.78986417503316</v>
      </c>
      <c r="C1937" s="12">
        <v>153.82555173037599</v>
      </c>
      <c r="D1937" s="12">
        <v>71.223284559144915</v>
      </c>
    </row>
    <row r="1938" spans="1:4">
      <c r="A1938">
        <v>1935</v>
      </c>
      <c r="B1938" s="12">
        <v>136.57067555669929</v>
      </c>
      <c r="C1938" s="12">
        <v>161.1601825100428</v>
      </c>
      <c r="D1938" s="12">
        <v>120.11754572917084</v>
      </c>
    </row>
    <row r="1939" spans="1:4">
      <c r="A1939">
        <v>1936</v>
      </c>
      <c r="B1939" s="12">
        <v>166.67645129978587</v>
      </c>
      <c r="C1939" s="12">
        <v>132.56716906122645</v>
      </c>
      <c r="D1939" s="12">
        <v>66.568438742181755</v>
      </c>
    </row>
    <row r="1940" spans="1:4">
      <c r="A1940">
        <v>1937</v>
      </c>
      <c r="B1940" s="12">
        <v>117.10039705407058</v>
      </c>
      <c r="C1940" s="12">
        <v>118.86797168315215</v>
      </c>
      <c r="D1940" s="12">
        <v>74.733244642277242</v>
      </c>
    </row>
    <row r="1941" spans="1:4">
      <c r="A1941">
        <v>1938</v>
      </c>
      <c r="B1941" s="12">
        <v>205.67308321933368</v>
      </c>
      <c r="C1941" s="12">
        <v>216.62806306584255</v>
      </c>
      <c r="D1941" s="12">
        <v>72.977387136388401</v>
      </c>
    </row>
    <row r="1942" spans="1:4">
      <c r="A1942">
        <v>1939</v>
      </c>
      <c r="B1942" s="12">
        <v>156.55564179416112</v>
      </c>
      <c r="C1942" s="12">
        <v>202.50506947866566</v>
      </c>
      <c r="D1942" s="12">
        <v>152.24819383700159</v>
      </c>
    </row>
    <row r="1943" spans="1:4">
      <c r="A1943">
        <v>1940</v>
      </c>
      <c r="B1943" s="12">
        <v>138.99777849543872</v>
      </c>
      <c r="C1943" s="12">
        <v>120.8136733905428</v>
      </c>
      <c r="D1943" s="12">
        <v>71.646642388464613</v>
      </c>
    </row>
    <row r="1944" spans="1:4">
      <c r="A1944">
        <v>1941</v>
      </c>
      <c r="B1944" s="12">
        <v>234.98238876196982</v>
      </c>
      <c r="C1944" s="12">
        <v>150.84713168050493</v>
      </c>
      <c r="D1944" s="12">
        <v>182.8667390650277</v>
      </c>
    </row>
    <row r="1945" spans="1:4">
      <c r="A1945">
        <v>1942</v>
      </c>
      <c r="B1945" s="12">
        <v>169.54011470674772</v>
      </c>
      <c r="C1945" s="12">
        <v>157.50497443030287</v>
      </c>
      <c r="D1945" s="12">
        <v>78.863169760925047</v>
      </c>
    </row>
    <row r="1946" spans="1:4">
      <c r="A1946">
        <v>1943</v>
      </c>
      <c r="B1946" s="12">
        <v>248.72245674616241</v>
      </c>
      <c r="C1946" s="12">
        <v>146.96065084859404</v>
      </c>
      <c r="D1946" s="12">
        <v>78.015833686086438</v>
      </c>
    </row>
    <row r="1947" spans="1:4">
      <c r="A1947">
        <v>1944</v>
      </c>
      <c r="B1947" s="12">
        <v>84.58273587173403</v>
      </c>
      <c r="C1947" s="12">
        <v>140.84409281075344</v>
      </c>
      <c r="D1947" s="12">
        <v>97.778676188047072</v>
      </c>
    </row>
    <row r="1948" spans="1:4">
      <c r="A1948">
        <v>1945</v>
      </c>
      <c r="B1948" s="12">
        <v>126.29624136109406</v>
      </c>
      <c r="C1948" s="12">
        <v>130.02394480971861</v>
      </c>
      <c r="D1948" s="12">
        <v>138.08555634358007</v>
      </c>
    </row>
    <row r="1949" spans="1:4">
      <c r="A1949">
        <v>1946</v>
      </c>
      <c r="B1949" s="12">
        <v>213.51375814242203</v>
      </c>
      <c r="C1949" s="12">
        <v>149.7149267052192</v>
      </c>
      <c r="D1949" s="12">
        <v>105.14128639582745</v>
      </c>
    </row>
    <row r="1950" spans="1:4">
      <c r="A1950">
        <v>1947</v>
      </c>
      <c r="B1950" s="12">
        <v>198.970551501979</v>
      </c>
      <c r="C1950" s="12">
        <v>146.46355111983686</v>
      </c>
      <c r="D1950" s="12">
        <v>118.38546198848991</v>
      </c>
    </row>
    <row r="1951" spans="1:4">
      <c r="A1951">
        <v>1948</v>
      </c>
      <c r="B1951" s="12">
        <v>147.11965405376566</v>
      </c>
      <c r="C1951" s="12">
        <v>176.92994341278037</v>
      </c>
      <c r="D1951" s="12">
        <v>74.965867387320785</v>
      </c>
    </row>
    <row r="1952" spans="1:4">
      <c r="A1952">
        <v>1949</v>
      </c>
      <c r="B1952" s="12">
        <v>150.77432722737126</v>
      </c>
      <c r="C1952" s="12">
        <v>131.62997283975398</v>
      </c>
      <c r="D1952" s="12">
        <v>70.508104688678287</v>
      </c>
    </row>
    <row r="1953" spans="1:4">
      <c r="A1953">
        <v>1950</v>
      </c>
      <c r="B1953" s="12">
        <v>259.59775154847853</v>
      </c>
      <c r="C1953" s="12">
        <v>144.97745108887386</v>
      </c>
      <c r="D1953" s="12">
        <v>85.083178548945597</v>
      </c>
    </row>
    <row r="1954" spans="1:4">
      <c r="A1954">
        <v>1951</v>
      </c>
      <c r="B1954" s="12">
        <v>184.24042093732319</v>
      </c>
      <c r="C1954" s="12">
        <v>149.06916724459734</v>
      </c>
      <c r="D1954" s="12">
        <v>107.50903862424339</v>
      </c>
    </row>
    <row r="1955" spans="1:4">
      <c r="A1955">
        <v>1952</v>
      </c>
      <c r="B1955" s="12">
        <v>185.06514252430546</v>
      </c>
      <c r="C1955" s="12">
        <v>164.47656249478692</v>
      </c>
      <c r="D1955" s="12">
        <v>135.40825905006599</v>
      </c>
    </row>
    <row r="1956" spans="1:4">
      <c r="A1956">
        <v>1953</v>
      </c>
      <c r="B1956" s="12">
        <v>133.44141630704976</v>
      </c>
      <c r="C1956" s="12">
        <v>137.11081847147855</v>
      </c>
      <c r="D1956" s="12">
        <v>109.14682267589636</v>
      </c>
    </row>
    <row r="1957" spans="1:4">
      <c r="A1957">
        <v>1954</v>
      </c>
      <c r="B1957" s="12">
        <v>177.56864197540855</v>
      </c>
      <c r="C1957" s="12">
        <v>181.05790548140124</v>
      </c>
      <c r="D1957" s="12">
        <v>86.264063582272613</v>
      </c>
    </row>
    <row r="1958" spans="1:4">
      <c r="A1958">
        <v>1955</v>
      </c>
      <c r="B1958" s="12">
        <v>225.73973538121248</v>
      </c>
      <c r="C1958" s="12">
        <v>154.71948126984441</v>
      </c>
      <c r="D1958" s="12">
        <v>124.82086175209045</v>
      </c>
    </row>
    <row r="1959" spans="1:4">
      <c r="A1959">
        <v>1956</v>
      </c>
      <c r="B1959" s="12">
        <v>154.86167592940828</v>
      </c>
      <c r="C1959" s="12">
        <v>157.75702577368023</v>
      </c>
      <c r="D1959" s="12">
        <v>144.12962968998889</v>
      </c>
    </row>
    <row r="1960" spans="1:4">
      <c r="A1960">
        <v>1957</v>
      </c>
      <c r="B1960" s="12">
        <v>115.55193661665182</v>
      </c>
      <c r="C1960" s="12">
        <v>184.53733635780205</v>
      </c>
      <c r="D1960" s="12">
        <v>98.219861296561689</v>
      </c>
    </row>
    <row r="1961" spans="1:4">
      <c r="A1961">
        <v>1958</v>
      </c>
      <c r="B1961" s="12">
        <v>151.37418853326264</v>
      </c>
      <c r="C1961" s="12">
        <v>148.66712579181927</v>
      </c>
      <c r="D1961" s="12">
        <v>90.783666185693292</v>
      </c>
    </row>
    <row r="1962" spans="1:4">
      <c r="A1962">
        <v>1959</v>
      </c>
      <c r="B1962" s="12">
        <v>158.12381177248886</v>
      </c>
      <c r="C1962" s="12">
        <v>133.46997974949144</v>
      </c>
      <c r="D1962" s="12">
        <v>61.092301825403183</v>
      </c>
    </row>
    <row r="1963" spans="1:4">
      <c r="A1963">
        <v>1960</v>
      </c>
      <c r="B1963" s="12">
        <v>130.74049511197978</v>
      </c>
      <c r="C1963" s="12">
        <v>172.9844626404352</v>
      </c>
      <c r="D1963" s="12">
        <v>84.804596626051634</v>
      </c>
    </row>
    <row r="1964" spans="1:4">
      <c r="A1964">
        <v>1961</v>
      </c>
      <c r="B1964" s="12">
        <v>278.90932244017222</v>
      </c>
      <c r="C1964" s="12">
        <v>142.94554200709103</v>
      </c>
      <c r="D1964" s="12">
        <v>91.481733890671563</v>
      </c>
    </row>
    <row r="1965" spans="1:4">
      <c r="A1965">
        <v>1962</v>
      </c>
      <c r="B1965" s="12">
        <v>155.22637986822133</v>
      </c>
      <c r="C1965" s="12">
        <v>140.57261175879222</v>
      </c>
      <c r="D1965" s="12">
        <v>119.44355313050767</v>
      </c>
    </row>
    <row r="1966" spans="1:4">
      <c r="A1966">
        <v>1963</v>
      </c>
      <c r="B1966" s="12">
        <v>144.1464722470335</v>
      </c>
      <c r="C1966" s="12">
        <v>188.88011565754908</v>
      </c>
      <c r="D1966" s="12">
        <v>106.21734383944661</v>
      </c>
    </row>
    <row r="1967" spans="1:4">
      <c r="A1967">
        <v>1964</v>
      </c>
      <c r="B1967" s="12">
        <v>162.64942627142636</v>
      </c>
      <c r="C1967" s="12">
        <v>141.9898571923201</v>
      </c>
      <c r="D1967" s="12">
        <v>113.50745505063281</v>
      </c>
    </row>
    <row r="1968" spans="1:4">
      <c r="A1968">
        <v>1965</v>
      </c>
      <c r="B1968" s="12">
        <v>161.66086624652962</v>
      </c>
      <c r="C1968" s="12">
        <v>144.05084867001901</v>
      </c>
      <c r="D1968" s="12">
        <v>105.91982106497611</v>
      </c>
    </row>
    <row r="1969" spans="1:4">
      <c r="A1969">
        <v>1966</v>
      </c>
      <c r="B1969" s="12">
        <v>193.83777262463488</v>
      </c>
      <c r="C1969" s="12">
        <v>152.29058172869401</v>
      </c>
      <c r="D1969" s="12">
        <v>96.367305252564748</v>
      </c>
    </row>
    <row r="1970" spans="1:4">
      <c r="A1970">
        <v>1967</v>
      </c>
      <c r="B1970" s="12">
        <v>133.88244034734385</v>
      </c>
      <c r="C1970" s="12">
        <v>197.46339035142006</v>
      </c>
      <c r="D1970" s="12">
        <v>97.338886722845942</v>
      </c>
    </row>
    <row r="1971" spans="1:4">
      <c r="A1971">
        <v>1968</v>
      </c>
      <c r="B1971" s="12">
        <v>214.55727533176608</v>
      </c>
      <c r="C1971" s="12">
        <v>130.27187826170265</v>
      </c>
      <c r="D1971" s="12">
        <v>93.835275289664523</v>
      </c>
    </row>
    <row r="1972" spans="1:4">
      <c r="A1972">
        <v>1969</v>
      </c>
      <c r="B1972" s="12">
        <v>111.77901507634425</v>
      </c>
      <c r="C1972" s="12">
        <v>148.26429382595487</v>
      </c>
      <c r="D1972" s="12">
        <v>72.322532368743055</v>
      </c>
    </row>
    <row r="1973" spans="1:4">
      <c r="A1973">
        <v>1970</v>
      </c>
      <c r="B1973" s="12">
        <v>133.15681303817365</v>
      </c>
      <c r="C1973" s="12">
        <v>167.84191876318567</v>
      </c>
      <c r="D1973" s="12">
        <v>97.510442324909917</v>
      </c>
    </row>
    <row r="1974" spans="1:4">
      <c r="A1974">
        <v>1971</v>
      </c>
      <c r="B1974" s="12">
        <v>154.26358409208191</v>
      </c>
      <c r="C1974" s="12">
        <v>142.68458126198817</v>
      </c>
      <c r="D1974" s="12">
        <v>110.84087975414859</v>
      </c>
    </row>
    <row r="1975" spans="1:4">
      <c r="A1975">
        <v>1972</v>
      </c>
      <c r="B1975" s="12">
        <v>170.85992606363394</v>
      </c>
      <c r="C1975" s="12">
        <v>115.52436573506118</v>
      </c>
      <c r="D1975" s="12">
        <v>96.633637601586415</v>
      </c>
    </row>
    <row r="1976" spans="1:4">
      <c r="A1976">
        <v>1973</v>
      </c>
      <c r="B1976" s="12">
        <v>224.27007774751027</v>
      </c>
      <c r="C1976" s="12">
        <v>117.15454640776994</v>
      </c>
      <c r="D1976" s="12">
        <v>161.31539104568805</v>
      </c>
    </row>
    <row r="1977" spans="1:4">
      <c r="A1977">
        <v>1974</v>
      </c>
      <c r="B1977" s="12">
        <v>132.25698168393387</v>
      </c>
      <c r="C1977" s="12">
        <v>139.39167813556827</v>
      </c>
      <c r="D1977" s="12">
        <v>102.11683854372876</v>
      </c>
    </row>
    <row r="1978" spans="1:4">
      <c r="A1978">
        <v>1975</v>
      </c>
      <c r="B1978" s="12">
        <v>232.99491191055279</v>
      </c>
      <c r="C1978" s="12">
        <v>209.70135161715686</v>
      </c>
      <c r="D1978" s="12">
        <v>75.903381887777314</v>
      </c>
    </row>
    <row r="1979" spans="1:4">
      <c r="A1979">
        <v>1976</v>
      </c>
      <c r="B1979" s="12">
        <v>147.86123006923199</v>
      </c>
      <c r="C1979" s="12">
        <v>139.11108174973023</v>
      </c>
      <c r="D1979" s="12">
        <v>126.62022039504254</v>
      </c>
    </row>
    <row r="1980" spans="1:4">
      <c r="A1980">
        <v>1977</v>
      </c>
      <c r="B1980" s="12">
        <v>122.77386726117135</v>
      </c>
      <c r="C1980" s="12">
        <v>153.42390963510638</v>
      </c>
      <c r="D1980" s="12">
        <v>133.62499917946045</v>
      </c>
    </row>
    <row r="1981" spans="1:4">
      <c r="A1981">
        <v>1978</v>
      </c>
      <c r="B1981" s="12">
        <v>136.83774567204878</v>
      </c>
      <c r="C1981" s="12">
        <v>128.9693899903464</v>
      </c>
      <c r="D1981" s="12">
        <v>145.14184717687462</v>
      </c>
    </row>
    <row r="1982" spans="1:4">
      <c r="A1982">
        <v>1979</v>
      </c>
      <c r="B1982" s="12">
        <v>164.40295610367306</v>
      </c>
      <c r="C1982" s="12">
        <v>168.34201622835076</v>
      </c>
      <c r="D1982" s="12">
        <v>115.98685682501998</v>
      </c>
    </row>
    <row r="1983" spans="1:4">
      <c r="A1983">
        <v>1980</v>
      </c>
      <c r="B1983" s="12">
        <v>179.96141342765247</v>
      </c>
      <c r="C1983" s="12">
        <v>174.52139031849393</v>
      </c>
      <c r="D1983" s="12">
        <v>98.933222303070423</v>
      </c>
    </row>
    <row r="1984" spans="1:4">
      <c r="A1984">
        <v>1981</v>
      </c>
      <c r="B1984" s="12">
        <v>148.46739134629834</v>
      </c>
      <c r="C1984" s="12">
        <v>154.4735219233151</v>
      </c>
      <c r="D1984" s="12">
        <v>67.467417504390937</v>
      </c>
    </row>
    <row r="1985" spans="1:4">
      <c r="A1985">
        <v>1982</v>
      </c>
      <c r="B1985" s="12">
        <v>145.89586959592447</v>
      </c>
      <c r="C1985" s="12">
        <v>143.37129583245837</v>
      </c>
      <c r="D1985" s="12">
        <v>108.32140360176797</v>
      </c>
    </row>
    <row r="1986" spans="1:4">
      <c r="A1986">
        <v>1983</v>
      </c>
      <c r="B1986" s="12">
        <v>181.19443769355456</v>
      </c>
      <c r="C1986" s="12">
        <v>171.73358921137316</v>
      </c>
      <c r="D1986" s="12">
        <v>105.6237957846635</v>
      </c>
    </row>
    <row r="1987" spans="1:4">
      <c r="A1987">
        <v>1984</v>
      </c>
      <c r="B1987" s="12">
        <v>114.19053333712787</v>
      </c>
      <c r="C1987" s="12">
        <v>146.30387967099452</v>
      </c>
      <c r="D1987" s="12">
        <v>80.500167282318046</v>
      </c>
    </row>
    <row r="1988" spans="1:4">
      <c r="A1988">
        <v>1985</v>
      </c>
      <c r="B1988" s="12">
        <v>218.66064535573173</v>
      </c>
      <c r="C1988" s="12">
        <v>158.68059748406921</v>
      </c>
      <c r="D1988" s="12">
        <v>107.20460173680137</v>
      </c>
    </row>
    <row r="1989" spans="1:4">
      <c r="A1989">
        <v>1986</v>
      </c>
      <c r="B1989" s="12">
        <v>313.26329869172412</v>
      </c>
      <c r="C1989" s="12">
        <v>158.00975797056867</v>
      </c>
      <c r="D1989" s="12">
        <v>109.66665659633848</v>
      </c>
    </row>
    <row r="1990" spans="1:4">
      <c r="A1990">
        <v>1987</v>
      </c>
      <c r="B1990" s="12">
        <v>217.48132621530402</v>
      </c>
      <c r="C1990" s="12">
        <v>126.96550822932153</v>
      </c>
      <c r="D1990" s="12">
        <v>100.19807028175985</v>
      </c>
    </row>
    <row r="1991" spans="1:4">
      <c r="A1991">
        <v>1988</v>
      </c>
      <c r="B1991" s="12">
        <v>190.7273365654647</v>
      </c>
      <c r="C1991" s="12">
        <v>156.18402417942391</v>
      </c>
      <c r="D1991" s="12">
        <v>83.598272610180771</v>
      </c>
    </row>
    <row r="1992" spans="1:4">
      <c r="A1992">
        <v>1989</v>
      </c>
      <c r="B1992" s="12">
        <v>192.84807213072096</v>
      </c>
      <c r="C1992" s="12">
        <v>136.51121489338414</v>
      </c>
      <c r="D1992" s="12">
        <v>78.339240285592311</v>
      </c>
    </row>
    <row r="1993" spans="1:4">
      <c r="A1993">
        <v>1990</v>
      </c>
      <c r="B1993" s="12">
        <v>185.57434259719938</v>
      </c>
      <c r="C1993" s="12">
        <v>147.11942223931578</v>
      </c>
      <c r="D1993" s="12">
        <v>115.38490221498643</v>
      </c>
    </row>
    <row r="1994" spans="1:4">
      <c r="A1994">
        <v>1991</v>
      </c>
      <c r="B1994" s="12">
        <v>155.82503171414822</v>
      </c>
      <c r="C1994" s="12">
        <v>155.77674031690287</v>
      </c>
      <c r="D1994" s="12">
        <v>52.635305785421444</v>
      </c>
    </row>
    <row r="1995" spans="1:4">
      <c r="A1995">
        <v>1992</v>
      </c>
      <c r="B1995" s="12">
        <v>163.40246589414801</v>
      </c>
      <c r="C1995" s="12">
        <v>170.85485473148518</v>
      </c>
      <c r="D1995" s="12">
        <v>108.01226851475319</v>
      </c>
    </row>
    <row r="1996" spans="1:4">
      <c r="A1996">
        <v>1993</v>
      </c>
      <c r="B1996" s="12">
        <v>245.54079113428122</v>
      </c>
      <c r="C1996" s="12">
        <v>191.17007275839649</v>
      </c>
      <c r="D1996" s="12">
        <v>89.818324762981447</v>
      </c>
    </row>
    <row r="1997" spans="1:4">
      <c r="A1997">
        <v>1994</v>
      </c>
      <c r="B1997" s="12">
        <v>191.30003444646579</v>
      </c>
      <c r="C1997" s="12">
        <v>138.82853309270888</v>
      </c>
      <c r="D1997" s="12">
        <v>69.295326607297227</v>
      </c>
    </row>
    <row r="1998" spans="1:4">
      <c r="A1998">
        <v>1995</v>
      </c>
      <c r="B1998" s="12">
        <v>97.487005965052077</v>
      </c>
      <c r="C1998" s="12">
        <v>138.64648647980886</v>
      </c>
      <c r="D1998" s="12">
        <v>104.37242877678841</v>
      </c>
    </row>
    <row r="1999" spans="1:4">
      <c r="A1999">
        <v>1996</v>
      </c>
      <c r="B1999" s="12">
        <v>204.86005790778691</v>
      </c>
      <c r="C1999" s="12">
        <v>140.29954823890429</v>
      </c>
      <c r="D1999" s="12">
        <v>58.452814233084041</v>
      </c>
    </row>
    <row r="2000" spans="1:4">
      <c r="A2000">
        <v>1997</v>
      </c>
      <c r="B2000" s="12">
        <v>134.31960486962438</v>
      </c>
      <c r="C2000" s="12">
        <v>165.50893407727358</v>
      </c>
      <c r="D2000" s="12">
        <v>104.08362942456051</v>
      </c>
    </row>
    <row r="2001" spans="1:4">
      <c r="A2001">
        <v>1998</v>
      </c>
      <c r="B2001" s="12">
        <v>124.86434250733215</v>
      </c>
      <c r="C2001" s="12">
        <v>132.9128731690993</v>
      </c>
      <c r="D2001" s="12">
        <v>124.04336181339959</v>
      </c>
    </row>
    <row r="2002" spans="1:4">
      <c r="A2002">
        <v>1999</v>
      </c>
      <c r="B2002" s="12">
        <v>131.04077095800983</v>
      </c>
      <c r="C2002" s="12">
        <v>141.55379638339537</v>
      </c>
      <c r="D2002" s="12">
        <v>95.665750295045783</v>
      </c>
    </row>
    <row r="2003" spans="1:4">
      <c r="A2003">
        <v>2000</v>
      </c>
      <c r="B2003" s="12">
        <v>137.25235819676294</v>
      </c>
      <c r="C2003" s="12">
        <v>181.53056663445676</v>
      </c>
      <c r="D2003" s="12">
        <v>55.786280223914474</v>
      </c>
    </row>
    <row r="2004" spans="1:4">
      <c r="A2004">
        <v>2001</v>
      </c>
      <c r="B2004" s="12">
        <v>104.13694870826923</v>
      </c>
      <c r="C2004" s="12">
        <v>230.17422113021507</v>
      </c>
      <c r="D2004" s="12">
        <v>69.597203308863968</v>
      </c>
    </row>
    <row r="2005" spans="1:4">
      <c r="A2005">
        <v>2002</v>
      </c>
      <c r="B2005" s="12">
        <v>165.41130950882697</v>
      </c>
      <c r="C2005" s="12">
        <v>165.98182472708456</v>
      </c>
      <c r="D2005" s="12">
        <v>126.11519113679302</v>
      </c>
    </row>
    <row r="2006" spans="1:4">
      <c r="A2006">
        <v>2003</v>
      </c>
      <c r="B2006" s="12">
        <v>151.97331056092389</v>
      </c>
      <c r="C2006" s="12">
        <v>164.01849812478159</v>
      </c>
      <c r="D2006" s="12">
        <v>108.83263064395324</v>
      </c>
    </row>
    <row r="2007" spans="1:4">
      <c r="A2007">
        <v>2004</v>
      </c>
      <c r="B2007" s="12">
        <v>228.31591878112096</v>
      </c>
      <c r="C2007" s="12">
        <v>103.26126230615851</v>
      </c>
      <c r="D2007" s="12">
        <v>65.391150214296914</v>
      </c>
    </row>
    <row r="2008" spans="1:4">
      <c r="A2008">
        <v>2005</v>
      </c>
      <c r="B2008" s="12">
        <v>216.34322954506251</v>
      </c>
      <c r="C2008" s="12">
        <v>147.77194441362712</v>
      </c>
      <c r="D2008" s="12">
        <v>112.60014971794686</v>
      </c>
    </row>
    <row r="2009" spans="1:4">
      <c r="A2009">
        <v>2006</v>
      </c>
      <c r="B2009" s="12">
        <v>164.64680930937993</v>
      </c>
      <c r="C2009" s="12">
        <v>137.59489406099661</v>
      </c>
      <c r="D2009" s="12">
        <v>136.11646770700446</v>
      </c>
    </row>
    <row r="2010" spans="1:4">
      <c r="A2010">
        <v>2007</v>
      </c>
      <c r="B2010" s="12">
        <v>222.86728085521517</v>
      </c>
      <c r="C2010" s="12">
        <v>143.79428646194961</v>
      </c>
      <c r="D2010" s="12">
        <v>134.28630057274833</v>
      </c>
    </row>
    <row r="2011" spans="1:4">
      <c r="A2011">
        <v>2008</v>
      </c>
      <c r="B2011" s="12">
        <v>236.33153228500871</v>
      </c>
      <c r="C2011" s="12">
        <v>137.30062575764765</v>
      </c>
      <c r="D2011" s="12">
        <v>75.678980628575772</v>
      </c>
    </row>
    <row r="2012" spans="1:4">
      <c r="A2012">
        <v>2009</v>
      </c>
      <c r="B2012" s="12">
        <v>199.66666858853054</v>
      </c>
      <c r="C2012" s="12">
        <v>124.36784731627453</v>
      </c>
      <c r="D2012" s="12">
        <v>104.66251153801703</v>
      </c>
    </row>
    <row r="2013" spans="1:4">
      <c r="A2013">
        <v>2010</v>
      </c>
      <c r="B2013" s="12">
        <v>168.74505306089438</v>
      </c>
      <c r="C2013" s="12">
        <v>126.20073072467612</v>
      </c>
      <c r="D2013" s="12">
        <v>83.882175489412589</v>
      </c>
    </row>
    <row r="2014" spans="1:4">
      <c r="A2014">
        <v>2011</v>
      </c>
      <c r="B2014" s="12">
        <v>162.03452740545319</v>
      </c>
      <c r="C2014" s="12">
        <v>118.04265006576274</v>
      </c>
      <c r="D2014" s="12">
        <v>94.532497939479782</v>
      </c>
    </row>
    <row r="2015" spans="1:4">
      <c r="A2015">
        <v>2012</v>
      </c>
      <c r="B2015" s="12">
        <v>101.25086742970149</v>
      </c>
      <c r="C2015" s="12">
        <v>154.07070782709394</v>
      </c>
      <c r="D2015" s="12">
        <v>128.88574253846843</v>
      </c>
    </row>
    <row r="2016" spans="1:4">
      <c r="A2016">
        <v>2013</v>
      </c>
      <c r="B2016" s="12">
        <v>146.13555118565264</v>
      </c>
      <c r="C2016" s="12">
        <v>180.30139505706731</v>
      </c>
      <c r="D2016" s="12">
        <v>63.659687946995696</v>
      </c>
    </row>
    <row r="2017" spans="1:4">
      <c r="A2017">
        <v>2014</v>
      </c>
      <c r="B2017" s="12">
        <v>226.71966799230702</v>
      </c>
      <c r="C2017" s="12">
        <v>141.7244790817042</v>
      </c>
      <c r="D2017" s="12">
        <v>159.99157864116637</v>
      </c>
    </row>
    <row r="2018" spans="1:4">
      <c r="A2018">
        <v>2015</v>
      </c>
      <c r="B2018" s="12">
        <v>152.70297320687962</v>
      </c>
      <c r="C2018" s="12">
        <v>124.89230297076526</v>
      </c>
      <c r="D2018" s="12">
        <v>86.088499167179961</v>
      </c>
    </row>
    <row r="2019" spans="1:4">
      <c r="A2019">
        <v>2016</v>
      </c>
      <c r="B2019" s="12">
        <v>153.30110824693921</v>
      </c>
      <c r="C2019" s="12">
        <v>144.72402455307702</v>
      </c>
      <c r="D2019" s="12">
        <v>103.61252229591665</v>
      </c>
    </row>
    <row r="2020" spans="1:4">
      <c r="A2020">
        <v>2017</v>
      </c>
      <c r="B2020" s="12">
        <v>211.86860782466883</v>
      </c>
      <c r="C2020" s="12">
        <v>133.13183675749966</v>
      </c>
      <c r="D2020" s="12">
        <v>87.52588957540712</v>
      </c>
    </row>
    <row r="2021" spans="1:4">
      <c r="A2021">
        <v>2018</v>
      </c>
      <c r="B2021" s="12">
        <v>147.49082081504412</v>
      </c>
      <c r="C2021" s="12">
        <v>156.43294696636801</v>
      </c>
      <c r="D2021" s="12">
        <v>171.00690969913666</v>
      </c>
    </row>
    <row r="2022" spans="1:4">
      <c r="A2022">
        <v>2019</v>
      </c>
      <c r="B2022" s="12">
        <v>210.90324506745719</v>
      </c>
      <c r="C2022" s="12">
        <v>151.64681233628042</v>
      </c>
      <c r="D2022" s="12">
        <v>98.489526061429004</v>
      </c>
    </row>
    <row r="2023" spans="1:4">
      <c r="A2023">
        <v>2020</v>
      </c>
      <c r="B2023" s="12">
        <v>121.77962438412999</v>
      </c>
      <c r="C2023" s="12">
        <v>137.88674625119364</v>
      </c>
      <c r="D2023" s="12">
        <v>106.70880030162891</v>
      </c>
    </row>
    <row r="2024" spans="1:4">
      <c r="A2024">
        <v>2021</v>
      </c>
      <c r="B2024" s="12">
        <v>189.24831550216393</v>
      </c>
      <c r="C2024" s="12">
        <v>158.17201461231255</v>
      </c>
      <c r="D2024" s="12">
        <v>76.250088030658461</v>
      </c>
    </row>
    <row r="2025" spans="1:4">
      <c r="A2025">
        <v>2022</v>
      </c>
      <c r="B2025" s="12">
        <v>115.03112378449018</v>
      </c>
      <c r="C2025" s="12">
        <v>124.02242636947375</v>
      </c>
      <c r="D2025" s="12">
        <v>63.20113782451471</v>
      </c>
    </row>
    <row r="2026" spans="1:4">
      <c r="A2026">
        <v>2023</v>
      </c>
      <c r="B2026" s="12">
        <v>126.82256421853366</v>
      </c>
      <c r="C2026" s="12">
        <v>182.82452476035277</v>
      </c>
      <c r="D2026" s="12">
        <v>177.51981933163205</v>
      </c>
    </row>
    <row r="2027" spans="1:4">
      <c r="A2027">
        <v>2024</v>
      </c>
      <c r="B2027" s="12">
        <v>124.30457943286093</v>
      </c>
      <c r="C2027" s="12">
        <v>151.49069813365304</v>
      </c>
      <c r="D2027" s="12">
        <v>158.07542071071788</v>
      </c>
    </row>
    <row r="2028" spans="1:4">
      <c r="A2028">
        <v>2025</v>
      </c>
      <c r="B2028" s="12">
        <v>231.13457135506269</v>
      </c>
      <c r="C2028" s="12">
        <v>139.5704214580625</v>
      </c>
      <c r="D2028" s="12">
        <v>64.991797547823154</v>
      </c>
    </row>
    <row r="2029" spans="1:4">
      <c r="A2029">
        <v>2026</v>
      </c>
      <c r="B2029" s="12">
        <v>122.38991212770749</v>
      </c>
      <c r="C2029" s="12">
        <v>200.39946003598297</v>
      </c>
      <c r="D2029" s="12">
        <v>95.230956183181874</v>
      </c>
    </row>
    <row r="2030" spans="1:4">
      <c r="A2030">
        <v>2027</v>
      </c>
      <c r="B2030" s="12">
        <v>269.76860597147419</v>
      </c>
      <c r="C2030" s="12">
        <v>160.03934787865896</v>
      </c>
      <c r="D2030" s="12">
        <v>102.57824240647635</v>
      </c>
    </row>
    <row r="2031" spans="1:4">
      <c r="A2031">
        <v>2028</v>
      </c>
      <c r="B2031" s="12">
        <v>132.70907083549648</v>
      </c>
      <c r="C2031" s="12">
        <v>208.40110133213753</v>
      </c>
      <c r="D2031" s="12">
        <v>91.0481995369054</v>
      </c>
    </row>
    <row r="2032" spans="1:4">
      <c r="A2032">
        <v>2029</v>
      </c>
      <c r="B2032" s="12">
        <v>131.50535313822465</v>
      </c>
      <c r="C2032" s="12">
        <v>99.120943368489023</v>
      </c>
      <c r="D2032" s="12">
        <v>84.625553059655275</v>
      </c>
    </row>
    <row r="2033" spans="1:4">
      <c r="A2033">
        <v>2030</v>
      </c>
      <c r="B2033" s="12">
        <v>159.09498760919939</v>
      </c>
      <c r="C2033" s="12">
        <v>130.65330332778962</v>
      </c>
      <c r="D2033" s="12">
        <v>73.750337376937139</v>
      </c>
    </row>
    <row r="2034" spans="1:4">
      <c r="A2034">
        <v>2031</v>
      </c>
      <c r="B2034" s="12">
        <v>212.86191709654022</v>
      </c>
      <c r="C2034" s="12">
        <v>187.59836636863648</v>
      </c>
      <c r="D2034" s="12">
        <v>94.004321684758835</v>
      </c>
    </row>
    <row r="2035" spans="1:4">
      <c r="A2035">
        <v>2032</v>
      </c>
      <c r="B2035" s="12">
        <v>169.14172922784866</v>
      </c>
      <c r="C2035" s="12">
        <v>178.69860392509014</v>
      </c>
      <c r="D2035" s="12">
        <v>90.518889525250529</v>
      </c>
    </row>
    <row r="2036" spans="1:4">
      <c r="A2036">
        <v>2033</v>
      </c>
      <c r="B2036" s="12">
        <v>186.94388800975176</v>
      </c>
      <c r="C2036" s="12">
        <v>145.13937363256122</v>
      </c>
      <c r="D2036" s="12">
        <v>125.30458690193031</v>
      </c>
    </row>
    <row r="2037" spans="1:4">
      <c r="A2037">
        <v>2034</v>
      </c>
      <c r="B2037" s="12">
        <v>127.15545764442676</v>
      </c>
      <c r="C2037" s="12">
        <v>147.61393281231975</v>
      </c>
      <c r="D2037" s="12">
        <v>75.324852194503308</v>
      </c>
    </row>
    <row r="2038" spans="1:4">
      <c r="A2038">
        <v>2035</v>
      </c>
      <c r="B2038" s="12">
        <v>120.74737075801984</v>
      </c>
      <c r="C2038" s="12">
        <v>214.63724316150441</v>
      </c>
      <c r="D2038" s="12">
        <v>88.944212904581462</v>
      </c>
    </row>
    <row r="2039" spans="1:4">
      <c r="A2039">
        <v>2036</v>
      </c>
      <c r="B2039" s="12">
        <v>141.48479911252497</v>
      </c>
      <c r="C2039" s="12">
        <v>169.4755369245853</v>
      </c>
      <c r="D2039" s="12">
        <v>93.307689072056633</v>
      </c>
    </row>
    <row r="2040" spans="1:4">
      <c r="A2040">
        <v>2037</v>
      </c>
      <c r="B2040" s="12">
        <v>172.34896050876813</v>
      </c>
      <c r="C2040" s="12">
        <v>169.99784337390852</v>
      </c>
      <c r="D2040" s="12">
        <v>110.51538779565611</v>
      </c>
    </row>
    <row r="2041" spans="1:4">
      <c r="A2041">
        <v>2038</v>
      </c>
      <c r="B2041" s="12">
        <v>209.37544828631528</v>
      </c>
      <c r="C2041" s="12">
        <v>135.70218193138012</v>
      </c>
      <c r="D2041" s="12">
        <v>80.802591440645514</v>
      </c>
    </row>
    <row r="2042" spans="1:4">
      <c r="A2042">
        <v>2039</v>
      </c>
      <c r="B2042" s="12">
        <v>174.56094107540682</v>
      </c>
      <c r="C2042" s="12">
        <v>165.22308157389872</v>
      </c>
      <c r="D2042" s="12">
        <v>130.37748502506497</v>
      </c>
    </row>
    <row r="2043" spans="1:4">
      <c r="A2043">
        <v>2040</v>
      </c>
      <c r="B2043" s="12">
        <v>143.13935049568934</v>
      </c>
      <c r="C2043" s="12">
        <v>194.93495781956634</v>
      </c>
      <c r="D2043" s="12">
        <v>99.476485210341977</v>
      </c>
    </row>
    <row r="2044" spans="1:4">
      <c r="A2044">
        <v>2041</v>
      </c>
      <c r="B2044" s="12">
        <v>195.47981617973304</v>
      </c>
      <c r="C2044" s="12">
        <v>150.35946184690795</v>
      </c>
      <c r="D2044" s="12">
        <v>102.86087780460394</v>
      </c>
    </row>
    <row r="2045" spans="1:4">
      <c r="A2045">
        <v>2042</v>
      </c>
      <c r="B2045" s="12">
        <v>220.69422734943117</v>
      </c>
      <c r="C2045" s="12">
        <v>122.89018994297449</v>
      </c>
      <c r="D2045" s="12">
        <v>134.71870353907968</v>
      </c>
    </row>
    <row r="2046" spans="1:4">
      <c r="A2046">
        <v>2043</v>
      </c>
      <c r="B2046" s="12">
        <v>159.70026730264846</v>
      </c>
      <c r="C2046" s="12">
        <v>148.01830403832275</v>
      </c>
      <c r="D2046" s="12">
        <v>92.875071453027346</v>
      </c>
    </row>
    <row r="2047" spans="1:4">
      <c r="A2047">
        <v>2044</v>
      </c>
      <c r="B2047" s="12">
        <v>149.43957732619987</v>
      </c>
      <c r="C2047" s="12">
        <v>152.53453839501591</v>
      </c>
      <c r="D2047" s="12">
        <v>77.145847045162299</v>
      </c>
    </row>
    <row r="2048" spans="1:4">
      <c r="A2048">
        <v>2045</v>
      </c>
      <c r="B2048" s="12">
        <v>106.99629769905775</v>
      </c>
      <c r="C2048" s="12">
        <v>133.80380271811728</v>
      </c>
      <c r="D2048" s="12">
        <v>120.53500791651787</v>
      </c>
    </row>
    <row r="2049" spans="1:4">
      <c r="A2049">
        <v>2046</v>
      </c>
      <c r="B2049" s="12">
        <v>141.09395241512428</v>
      </c>
      <c r="C2049" s="12">
        <v>225.51462446815884</v>
      </c>
      <c r="D2049" s="12">
        <v>86.809961229587884</v>
      </c>
    </row>
    <row r="2050" spans="1:4">
      <c r="A2050">
        <v>2047</v>
      </c>
      <c r="B2050" s="12">
        <v>150.40823615615844</v>
      </c>
      <c r="C2050" s="12">
        <v>150.6033361879187</v>
      </c>
      <c r="D2050" s="12">
        <v>84.34505700529229</v>
      </c>
    </row>
    <row r="2051" spans="1:4">
      <c r="A2051">
        <v>2048</v>
      </c>
      <c r="B2051" s="12">
        <v>188.35223339001683</v>
      </c>
      <c r="C2051" s="12">
        <v>143.11211692952926</v>
      </c>
      <c r="D2051" s="12">
        <v>140.22041080699969</v>
      </c>
    </row>
    <row r="2052" spans="1:4">
      <c r="A2052">
        <v>2049</v>
      </c>
      <c r="B2052" s="12">
        <v>170.60068575727487</v>
      </c>
      <c r="C2052" s="12">
        <v>155.52909671290212</v>
      </c>
      <c r="D2052" s="12">
        <v>85.813658086206672</v>
      </c>
    </row>
    <row r="2053" spans="1:4">
      <c r="A2053">
        <v>2050</v>
      </c>
      <c r="B2053" s="12">
        <v>180.42532006365914</v>
      </c>
      <c r="C2053" s="12">
        <v>154.87721120003113</v>
      </c>
      <c r="D2053" s="12">
        <v>87.9682467376105</v>
      </c>
    </row>
    <row r="2054" spans="1:4">
      <c r="A2054">
        <v>2051</v>
      </c>
      <c r="B2054" s="12">
        <v>170.19752627945962</v>
      </c>
      <c r="C2054" s="12">
        <v>175.50970048316725</v>
      </c>
      <c r="D2054" s="12">
        <v>96.804442029398487</v>
      </c>
    </row>
    <row r="2055" spans="1:4">
      <c r="A2055">
        <v>2052</v>
      </c>
      <c r="B2055" s="12">
        <v>157.1557876215206</v>
      </c>
      <c r="C2055" s="12">
        <v>136.01102173513519</v>
      </c>
      <c r="D2055" s="12">
        <v>151.36412518678466</v>
      </c>
    </row>
    <row r="2056" spans="1:4">
      <c r="A2056">
        <v>2053</v>
      </c>
      <c r="B2056" s="12">
        <v>158.49119707152391</v>
      </c>
      <c r="C2056" s="12">
        <v>188.22957227241031</v>
      </c>
      <c r="D2056" s="12">
        <v>73.992496197658639</v>
      </c>
    </row>
    <row r="2057" spans="1:4">
      <c r="A2057">
        <v>2054</v>
      </c>
      <c r="B2057" s="12">
        <v>153.66561598215739</v>
      </c>
      <c r="C2057" s="12">
        <v>120.11145489643187</v>
      </c>
      <c r="D2057" s="12">
        <v>92.442448133156091</v>
      </c>
    </row>
    <row r="2058" spans="1:4">
      <c r="A2058">
        <v>2055</v>
      </c>
      <c r="B2058" s="12">
        <v>123.36306761409504</v>
      </c>
      <c r="C2058" s="12">
        <v>135.50271174019753</v>
      </c>
      <c r="D2058" s="12">
        <v>114.43515874122861</v>
      </c>
    </row>
    <row r="2059" spans="1:4">
      <c r="A2059">
        <v>2056</v>
      </c>
      <c r="B2059" s="12">
        <v>158.72677784303832</v>
      </c>
      <c r="C2059" s="12">
        <v>149.95913596873029</v>
      </c>
      <c r="D2059" s="12">
        <v>86.537431145087069</v>
      </c>
    </row>
    <row r="2060" spans="1:4">
      <c r="A2060">
        <v>2057</v>
      </c>
      <c r="B2060" s="12">
        <v>176.84346503056489</v>
      </c>
      <c r="C2060" s="12">
        <v>160.89666129661094</v>
      </c>
      <c r="D2060" s="12">
        <v>60.173077561764323</v>
      </c>
    </row>
    <row r="2061" spans="1:4">
      <c r="A2061">
        <v>2058</v>
      </c>
      <c r="B2061" s="12">
        <v>157.52206219545565</v>
      </c>
      <c r="C2061" s="12">
        <v>194.05969917271074</v>
      </c>
      <c r="D2061" s="12">
        <v>61.641634267032281</v>
      </c>
    </row>
    <row r="2062" spans="1:4">
      <c r="A2062">
        <v>2059</v>
      </c>
      <c r="B2062" s="12">
        <v>242.69245268949476</v>
      </c>
      <c r="C2062" s="12">
        <v>134.8711715180425</v>
      </c>
      <c r="D2062" s="12">
        <v>83.129451363742561</v>
      </c>
    </row>
    <row r="2063" spans="1:4">
      <c r="A2063">
        <v>2060</v>
      </c>
      <c r="B2063" s="12">
        <v>165.02845973137633</v>
      </c>
      <c r="C2063" s="12">
        <v>199.23013814242628</v>
      </c>
      <c r="D2063" s="12">
        <v>167.8651696878035</v>
      </c>
    </row>
    <row r="2064" spans="1:4">
      <c r="A2064">
        <v>2061</v>
      </c>
      <c r="B2064" s="12">
        <v>128.49544976702035</v>
      </c>
      <c r="C2064" s="12">
        <v>145.64302285343896</v>
      </c>
      <c r="D2064" s="12">
        <v>82.84170416957042</v>
      </c>
    </row>
    <row r="2065" spans="1:4">
      <c r="A2065">
        <v>2062</v>
      </c>
      <c r="B2065" s="12">
        <v>197.85403635729014</v>
      </c>
      <c r="C2065" s="12">
        <v>128.131762169973</v>
      </c>
      <c r="D2065" s="12">
        <v>98.0474285915531</v>
      </c>
    </row>
    <row r="2066" spans="1:4">
      <c r="A2066">
        <v>2063</v>
      </c>
      <c r="B2066" s="12">
        <v>207.0472448898584</v>
      </c>
      <c r="C2066" s="12">
        <v>138.07246517008224</v>
      </c>
      <c r="D2066" s="12">
        <v>72.724062278148438</v>
      </c>
    </row>
    <row r="2067" spans="1:4">
      <c r="A2067">
        <v>2064</v>
      </c>
      <c r="B2067" s="12">
        <v>222.00084780955785</v>
      </c>
      <c r="C2067" s="12">
        <v>156.68240309598713</v>
      </c>
      <c r="D2067" s="12">
        <v>115.0225207662431</v>
      </c>
    </row>
    <row r="2068" spans="1:4">
      <c r="A2068">
        <v>2065</v>
      </c>
      <c r="B2068" s="12">
        <v>183.7439527455428</v>
      </c>
      <c r="C2068" s="12">
        <v>166.75380839835361</v>
      </c>
      <c r="D2068" s="12">
        <v>122.38373574925917</v>
      </c>
    </row>
    <row r="2069" spans="1:4">
      <c r="A2069">
        <v>2066</v>
      </c>
      <c r="B2069" s="12">
        <v>160.6780570839488</v>
      </c>
      <c r="C2069" s="12">
        <v>146.05412037154076</v>
      </c>
      <c r="D2069" s="12">
        <v>99.204518319358996</v>
      </c>
    </row>
    <row r="2070" spans="1:4">
      <c r="A2070">
        <v>2067</v>
      </c>
      <c r="B2070" s="12">
        <v>116.34005130695262</v>
      </c>
      <c r="C2070" s="12">
        <v>144.30649684094632</v>
      </c>
      <c r="D2070" s="12">
        <v>87.255360496210628</v>
      </c>
    </row>
    <row r="2071" spans="1:4">
      <c r="A2071">
        <v>2068</v>
      </c>
      <c r="B2071" s="12">
        <v>173.44678967364194</v>
      </c>
      <c r="C2071" s="12">
        <v>167.54013711790776</v>
      </c>
      <c r="D2071" s="12">
        <v>119.03907665422335</v>
      </c>
    </row>
    <row r="2072" spans="1:4">
      <c r="A2072">
        <v>2069</v>
      </c>
      <c r="B2072" s="12">
        <v>169.79622003666105</v>
      </c>
      <c r="C2072" s="12">
        <v>121.89082598586975</v>
      </c>
      <c r="D2072" s="12">
        <v>90.349146303547528</v>
      </c>
    </row>
    <row r="2073" spans="1:4">
      <c r="A2073">
        <v>2070</v>
      </c>
      <c r="B2073" s="12">
        <v>135.02886770895978</v>
      </c>
      <c r="C2073" s="12">
        <v>190.70243583010745</v>
      </c>
      <c r="D2073" s="12">
        <v>103.89929813175182</v>
      </c>
    </row>
    <row r="2074" spans="1:4">
      <c r="A2074">
        <v>2071</v>
      </c>
      <c r="B2074" s="12">
        <v>171.93721077194527</v>
      </c>
      <c r="C2074" s="12">
        <v>244.30402553398125</v>
      </c>
      <c r="D2074" s="12">
        <v>103.14460366509387</v>
      </c>
    </row>
    <row r="2075" spans="1:4">
      <c r="A2075">
        <v>2072</v>
      </c>
      <c r="B2075" s="12">
        <v>175.26193622966409</v>
      </c>
      <c r="C2075" s="12">
        <v>189.99321789195301</v>
      </c>
      <c r="D2075" s="12">
        <v>70.790547511717506</v>
      </c>
    </row>
    <row r="2076" spans="1:4">
      <c r="A2076">
        <v>2073</v>
      </c>
      <c r="B2076" s="12">
        <v>162.40905348644819</v>
      </c>
      <c r="C2076" s="12">
        <v>173.56446646193788</v>
      </c>
      <c r="D2076" s="12">
        <v>101.10233890246245</v>
      </c>
    </row>
    <row r="2077" spans="1:4">
      <c r="A2077">
        <v>2074</v>
      </c>
      <c r="B2077" s="12">
        <v>139.39916640071988</v>
      </c>
      <c r="C2077" s="12">
        <v>174.89181249045828</v>
      </c>
      <c r="D2077" s="12">
        <v>80.195493589896586</v>
      </c>
    </row>
    <row r="2078" spans="1:4">
      <c r="A2078">
        <v>2075</v>
      </c>
      <c r="B2078" s="12">
        <v>131.96502179976233</v>
      </c>
      <c r="C2078" s="12">
        <v>170.31996461539012</v>
      </c>
      <c r="D2078" s="12">
        <v>91.217531049424878</v>
      </c>
    </row>
    <row r="2079" spans="1:4">
      <c r="A2079">
        <v>2076</v>
      </c>
      <c r="B2079" s="12">
        <v>182.93927728567056</v>
      </c>
      <c r="C2079" s="12">
        <v>151.00326348108194</v>
      </c>
      <c r="D2079" s="12">
        <v>100.64908708493269</v>
      </c>
    </row>
    <row r="2080" spans="1:4">
      <c r="A2080">
        <v>2077</v>
      </c>
      <c r="B2080" s="12">
        <v>94.359919525711732</v>
      </c>
      <c r="C2080" s="12">
        <v>156.02484649657387</v>
      </c>
      <c r="D2080" s="12">
        <v>117.99287313212454</v>
      </c>
    </row>
    <row r="2081" spans="1:4">
      <c r="A2081">
        <v>2078</v>
      </c>
      <c r="B2081" s="12">
        <v>173.02917725154339</v>
      </c>
      <c r="C2081" s="12">
        <v>206.56073071319676</v>
      </c>
      <c r="D2081" s="12">
        <v>143.1585330645718</v>
      </c>
    </row>
    <row r="2082" spans="1:4">
      <c r="A2082">
        <v>2079</v>
      </c>
      <c r="B2082" s="12">
        <v>148.09811764065907</v>
      </c>
      <c r="C2082" s="12">
        <v>173.92336247774529</v>
      </c>
      <c r="D2082" s="12">
        <v>82.552377368199984</v>
      </c>
    </row>
    <row r="2083" spans="1:4">
      <c r="A2083">
        <v>2080</v>
      </c>
      <c r="B2083" s="12">
        <v>118.99315048127525</v>
      </c>
      <c r="C2083" s="12">
        <v>109.30763956567176</v>
      </c>
      <c r="D2083" s="12">
        <v>82.366188231902328</v>
      </c>
    </row>
    <row r="2084" spans="1:4">
      <c r="A2084">
        <v>2081</v>
      </c>
      <c r="B2084" s="12">
        <v>168.09785397901149</v>
      </c>
      <c r="C2084" s="12">
        <v>182.32629897609118</v>
      </c>
      <c r="D2084" s="12">
        <v>84.063319535928585</v>
      </c>
    </row>
    <row r="2085" spans="1:4">
      <c r="A2085">
        <v>2082</v>
      </c>
      <c r="B2085" s="12">
        <v>103.08366735832651</v>
      </c>
      <c r="C2085" s="12">
        <v>136.31684666551064</v>
      </c>
      <c r="D2085" s="12">
        <v>111.71174727828983</v>
      </c>
    </row>
    <row r="2086" spans="1:4">
      <c r="A2086">
        <v>2083</v>
      </c>
      <c r="B2086" s="12">
        <v>167.70544154764838</v>
      </c>
      <c r="C2086" s="12">
        <v>129.63093128454983</v>
      </c>
      <c r="D2086" s="12">
        <v>76.592574148412083</v>
      </c>
    </row>
    <row r="2087" spans="1:4">
      <c r="A2087">
        <v>2084</v>
      </c>
      <c r="B2087" s="12">
        <v>194.45226538075113</v>
      </c>
      <c r="C2087" s="12">
        <v>134.01545429506749</v>
      </c>
      <c r="D2087" s="12">
        <v>85.360665314815535</v>
      </c>
    </row>
    <row r="2088" spans="1:4">
      <c r="A2088">
        <v>2085</v>
      </c>
      <c r="B2088" s="12">
        <v>156.1902116569002</v>
      </c>
      <c r="C2088" s="12">
        <v>138.36056097609108</v>
      </c>
      <c r="D2088" s="12">
        <v>130.96371702095402</v>
      </c>
    </row>
    <row r="2089" spans="1:4">
      <c r="A2089">
        <v>2086</v>
      </c>
      <c r="B2089" s="12">
        <v>99.102750174605447</v>
      </c>
      <c r="C2089" s="12">
        <v>114.39182340918485</v>
      </c>
      <c r="D2089" s="12">
        <v>197.04964803944128</v>
      </c>
    </row>
    <row r="2090" spans="1:4">
      <c r="A2090">
        <v>2087</v>
      </c>
      <c r="B2090" s="12">
        <v>119.43024544612641</v>
      </c>
      <c r="C2090" s="12">
        <v>157.34386951354421</v>
      </c>
      <c r="D2090" s="12">
        <v>112.2615554318501</v>
      </c>
    </row>
    <row r="2091" spans="1:4">
      <c r="A2091">
        <v>2088</v>
      </c>
      <c r="B2091" s="12">
        <v>197.18819592200788</v>
      </c>
      <c r="C2091" s="12">
        <v>148.42167972546713</v>
      </c>
      <c r="D2091" s="12">
        <v>109.9862908983372</v>
      </c>
    </row>
    <row r="2092" spans="1:4">
      <c r="A2092">
        <v>2089</v>
      </c>
      <c r="B2092" s="12">
        <v>174.13700038027346</v>
      </c>
      <c r="C2092" s="12">
        <v>196.46494793965775</v>
      </c>
      <c r="D2092" s="12">
        <v>49.606415387082848</v>
      </c>
    </row>
    <row r="2093" spans="1:4">
      <c r="A2093">
        <v>2090</v>
      </c>
      <c r="B2093" s="12">
        <v>113.31277734016595</v>
      </c>
      <c r="C2093" s="12">
        <v>189.30765522440737</v>
      </c>
      <c r="D2093" s="12">
        <v>91.914836620784627</v>
      </c>
    </row>
    <row r="2094" spans="1:4">
      <c r="A2094">
        <v>2091</v>
      </c>
      <c r="B2094" s="12">
        <v>179.20808341644118</v>
      </c>
      <c r="C2094" s="12">
        <v>156.8424829635558</v>
      </c>
      <c r="D2094" s="12">
        <v>81.294115750292363</v>
      </c>
    </row>
    <row r="2095" spans="1:4">
      <c r="A2095">
        <v>2092</v>
      </c>
      <c r="B2095" s="12">
        <v>210.29874315468243</v>
      </c>
      <c r="C2095" s="12">
        <v>193.22259404914504</v>
      </c>
      <c r="D2095" s="12">
        <v>87.698814164436314</v>
      </c>
    </row>
    <row r="2096" spans="1:4">
      <c r="A2096">
        <v>2093</v>
      </c>
      <c r="B2096" s="12">
        <v>207.91119625219824</v>
      </c>
      <c r="C2096" s="12">
        <v>201.19146914271872</v>
      </c>
      <c r="D2096" s="12">
        <v>80.995170576230791</v>
      </c>
    </row>
    <row r="2097" spans="1:4">
      <c r="A2097">
        <v>2094</v>
      </c>
      <c r="B2097" s="12">
        <v>128.17494940456842</v>
      </c>
      <c r="C2097" s="12">
        <v>179.1291071635217</v>
      </c>
      <c r="D2097" s="12">
        <v>68.316671827368438</v>
      </c>
    </row>
    <row r="2098" spans="1:4">
      <c r="A2098">
        <v>2095</v>
      </c>
      <c r="B2098" s="12">
        <v>168.49183922536955</v>
      </c>
      <c r="C2098" s="12">
        <v>159.52189579281344</v>
      </c>
      <c r="D2098" s="12">
        <v>70.058386686438268</v>
      </c>
    </row>
    <row r="2099" spans="1:4">
      <c r="A2099">
        <v>2096</v>
      </c>
      <c r="B2099" s="12">
        <v>139.79836904797068</v>
      </c>
      <c r="C2099" s="12">
        <v>155.12375970010882</v>
      </c>
      <c r="D2099" s="12">
        <v>62.447919847103151</v>
      </c>
    </row>
    <row r="2100" spans="1:4">
      <c r="A2100">
        <v>2097</v>
      </c>
      <c r="B2100" s="12">
        <v>154.62812808017941</v>
      </c>
      <c r="C2100" s="12">
        <v>112.19807302057177</v>
      </c>
      <c r="D2100" s="12">
        <v>98.759784832851196</v>
      </c>
    </row>
    <row r="2101" spans="1:4">
      <c r="A2101">
        <v>2098</v>
      </c>
      <c r="B2101" s="12">
        <v>200.83585903661228</v>
      </c>
      <c r="C2101" s="12">
        <v>144.46978866652773</v>
      </c>
      <c r="D2101" s="12">
        <v>129.44149438355743</v>
      </c>
    </row>
    <row r="2102" spans="1:4">
      <c r="A2102">
        <v>2099</v>
      </c>
      <c r="B2102" s="12">
        <v>110.77673048120667</v>
      </c>
      <c r="C2102" s="12">
        <v>195.51757456796543</v>
      </c>
      <c r="D2102" s="12">
        <v>85.53785589501075</v>
      </c>
    </row>
    <row r="2103" spans="1:4">
      <c r="A2103">
        <v>2100</v>
      </c>
      <c r="B2103" s="12">
        <v>241.01147228840316</v>
      </c>
      <c r="C2103" s="12">
        <v>148.91227818963381</v>
      </c>
      <c r="D2103" s="12">
        <v>68.813164471804996</v>
      </c>
    </row>
    <row r="2104" spans="1:4">
      <c r="A2104">
        <v>2101</v>
      </c>
      <c r="B2104" s="12">
        <v>142.89359067973592</v>
      </c>
      <c r="C2104" s="12">
        <v>149.31389866864555</v>
      </c>
      <c r="D2104" s="12">
        <v>88.676837290905155</v>
      </c>
    </row>
    <row r="2105" spans="1:4">
      <c r="A2105">
        <v>2102</v>
      </c>
      <c r="B2105" s="12">
        <v>167.0649483693966</v>
      </c>
      <c r="C2105" s="12">
        <v>186.60129005970171</v>
      </c>
      <c r="D2105" s="12">
        <v>76.809831985536917</v>
      </c>
    </row>
    <row r="2106" spans="1:4">
      <c r="A2106">
        <v>2103</v>
      </c>
      <c r="B2106" s="12">
        <v>144.90339679393642</v>
      </c>
      <c r="C2106" s="12">
        <v>145.39155393241563</v>
      </c>
      <c r="D2106" s="12">
        <v>101.37977616507979</v>
      </c>
    </row>
    <row r="2107" spans="1:4">
      <c r="A2107">
        <v>2104</v>
      </c>
      <c r="B2107" s="12">
        <v>254.93431948059302</v>
      </c>
      <c r="C2107" s="12">
        <v>186.0150917148342</v>
      </c>
      <c r="D2107" s="12">
        <v>96.101343214162881</v>
      </c>
    </row>
    <row r="2108" spans="1:4">
      <c r="A2108">
        <v>2105</v>
      </c>
      <c r="B2108" s="12">
        <v>160.07002168978204</v>
      </c>
      <c r="C2108" s="12">
        <v>127.41596550083017</v>
      </c>
      <c r="D2108" s="12">
        <v>81.5910619299312</v>
      </c>
    </row>
    <row r="2109" spans="1:4">
      <c r="A2109">
        <v>2106</v>
      </c>
      <c r="B2109" s="12">
        <v>171.26624912495132</v>
      </c>
      <c r="C2109" s="12">
        <v>172.63604489708305</v>
      </c>
      <c r="D2109" s="12">
        <v>103.32693107510715</v>
      </c>
    </row>
    <row r="2110" spans="1:4">
      <c r="A2110">
        <v>2107</v>
      </c>
      <c r="B2110" s="12">
        <v>128.99034034817885</v>
      </c>
      <c r="C2110" s="12">
        <v>122.50831220196562</v>
      </c>
      <c r="D2110" s="12">
        <v>67.990491013582542</v>
      </c>
    </row>
    <row r="2111" spans="1:4">
      <c r="A2111">
        <v>2108</v>
      </c>
      <c r="B2111" s="12">
        <v>110.1033007131244</v>
      </c>
      <c r="C2111" s="12">
        <v>131.02818907362709</v>
      </c>
      <c r="D2111" s="12">
        <v>132.57421853339434</v>
      </c>
    </row>
    <row r="2112" spans="1:4">
      <c r="A2112">
        <v>2109</v>
      </c>
      <c r="B2112" s="12">
        <v>263.09991837512581</v>
      </c>
      <c r="C2112" s="12">
        <v>129.23027173886277</v>
      </c>
      <c r="D2112" s="12">
        <v>95.931165136550064</v>
      </c>
    </row>
    <row r="2113" spans="1:4">
      <c r="A2113">
        <v>2110</v>
      </c>
      <c r="B2113" s="12">
        <v>238.57446585698835</v>
      </c>
      <c r="C2113" s="12">
        <v>198.13280208243847</v>
      </c>
      <c r="D2113" s="12">
        <v>83.31296769745363</v>
      </c>
    </row>
    <row r="2114" spans="1:4">
      <c r="A2114">
        <v>2111</v>
      </c>
      <c r="B2114" s="12">
        <v>112.7287939005184</v>
      </c>
      <c r="C2114" s="12">
        <v>127.85555142309161</v>
      </c>
      <c r="D2114" s="12">
        <v>155.25768408869791</v>
      </c>
    </row>
    <row r="2115" spans="1:4">
      <c r="A2115">
        <v>2112</v>
      </c>
      <c r="B2115" s="12">
        <v>155.59123247423167</v>
      </c>
      <c r="C2115" s="12">
        <v>220.39627754860632</v>
      </c>
      <c r="D2115" s="12">
        <v>105.43494641698598</v>
      </c>
    </row>
    <row r="2116" spans="1:4">
      <c r="A2116">
        <v>2113</v>
      </c>
      <c r="B2116" s="12">
        <v>165.65719151062223</v>
      </c>
      <c r="C2116" s="12">
        <v>135.18863355133107</v>
      </c>
      <c r="D2116" s="12">
        <v>166.07810449588152</v>
      </c>
    </row>
    <row r="2117" spans="1:4">
      <c r="A2117">
        <v>2114</v>
      </c>
      <c r="B2117" s="12">
        <v>149.80678812221231</v>
      </c>
      <c r="C2117" s="12">
        <v>134.34262138853558</v>
      </c>
      <c r="D2117" s="12">
        <v>46.2334261772098</v>
      </c>
    </row>
    <row r="2118" spans="1:4">
      <c r="A2118">
        <v>2115</v>
      </c>
      <c r="B2118" s="12">
        <v>140.84265063535014</v>
      </c>
      <c r="C2118" s="12">
        <v>153.17937940129278</v>
      </c>
      <c r="D2118" s="12">
        <v>74.365686485021826</v>
      </c>
    </row>
    <row r="2119" spans="1:4">
      <c r="A2119">
        <v>2116</v>
      </c>
      <c r="B2119" s="12">
        <v>125.41418267289782</v>
      </c>
      <c r="C2119" s="12">
        <v>187.20359187498144</v>
      </c>
      <c r="D2119" s="12">
        <v>138.58701973223441</v>
      </c>
    </row>
    <row r="2120" spans="1:4">
      <c r="A2120">
        <v>2117</v>
      </c>
      <c r="B2120" s="12">
        <v>153.89908611005654</v>
      </c>
      <c r="C2120" s="12">
        <v>159.78016016377686</v>
      </c>
      <c r="D2120" s="12">
        <v>127.46778676696438</v>
      </c>
    </row>
    <row r="2121" spans="1:4">
      <c r="A2121">
        <v>2118</v>
      </c>
      <c r="B2121" s="12">
        <v>149.07186103624062</v>
      </c>
      <c r="C2121" s="12">
        <v>171.1849817386458</v>
      </c>
      <c r="D2121" s="12">
        <v>89.115224480399689</v>
      </c>
    </row>
    <row r="2122" spans="1:4">
      <c r="A2122">
        <v>2119</v>
      </c>
      <c r="B2122" s="12">
        <v>196.11860588136773</v>
      </c>
      <c r="C2122" s="12">
        <v>131.26505035914889</v>
      </c>
      <c r="D2122" s="12">
        <v>91.745776414814941</v>
      </c>
    </row>
    <row r="2123" spans="1:4">
      <c r="A2123">
        <v>2120</v>
      </c>
      <c r="B2123" s="12">
        <v>127.66886377375361</v>
      </c>
      <c r="C2123" s="12">
        <v>126.67087734807801</v>
      </c>
      <c r="D2123" s="12">
        <v>174.7218156021199</v>
      </c>
    </row>
    <row r="2124" spans="1:4">
      <c r="A2124">
        <v>2121</v>
      </c>
      <c r="B2124" s="12">
        <v>146.88148485653576</v>
      </c>
      <c r="C2124" s="12">
        <v>141.28620271193543</v>
      </c>
      <c r="D2124" s="12">
        <v>116.35849464486435</v>
      </c>
    </row>
    <row r="2125" spans="1:4">
      <c r="A2125">
        <v>2122</v>
      </c>
      <c r="B2125" s="12">
        <v>152.93654215790775</v>
      </c>
      <c r="C2125" s="12">
        <v>161.86142856353464</v>
      </c>
      <c r="D2125" s="12">
        <v>116.97626152838836</v>
      </c>
    </row>
    <row r="2126" spans="1:4">
      <c r="A2126">
        <v>2123</v>
      </c>
      <c r="B2126" s="12">
        <v>176.40533274969735</v>
      </c>
      <c r="C2126" s="12">
        <v>185.085657137732</v>
      </c>
      <c r="D2126" s="12">
        <v>79.379390635652229</v>
      </c>
    </row>
    <row r="2127" spans="1:4">
      <c r="A2127">
        <v>2124</v>
      </c>
      <c r="B2127" s="12">
        <v>135.45662245290637</v>
      </c>
      <c r="C2127" s="12">
        <v>163.28983210301695</v>
      </c>
      <c r="D2127" s="12">
        <v>111.37994821723544</v>
      </c>
    </row>
    <row r="2128" spans="1:4">
      <c r="A2128">
        <v>2125</v>
      </c>
      <c r="B2128" s="12">
        <v>202.7947689395447</v>
      </c>
      <c r="C2128" s="12">
        <v>142.42247252972922</v>
      </c>
      <c r="D2128" s="12">
        <v>148.04439516986255</v>
      </c>
    </row>
    <row r="2129" spans="1:4">
      <c r="A2129">
        <v>2126</v>
      </c>
      <c r="B2129" s="12">
        <v>161.42195650764086</v>
      </c>
      <c r="C2129" s="12">
        <v>176.53269838822337</v>
      </c>
      <c r="D2129" s="12">
        <v>94.701796516823663</v>
      </c>
    </row>
    <row r="2130" spans="1:4">
      <c r="A2130">
        <v>2127</v>
      </c>
      <c r="B2130" s="12">
        <v>166.04210582909423</v>
      </c>
      <c r="C2130" s="12">
        <v>191.92260213459602</v>
      </c>
      <c r="D2130" s="12">
        <v>66.925909752978683</v>
      </c>
    </row>
    <row r="2131" spans="1:4">
      <c r="A2131">
        <v>2128</v>
      </c>
      <c r="B2131" s="12">
        <v>208.47574512395011</v>
      </c>
      <c r="C2131" s="12">
        <v>153.58065345327861</v>
      </c>
      <c r="D2131" s="12">
        <v>92.178682419181385</v>
      </c>
    </row>
    <row r="2132" spans="1:4">
      <c r="A2132">
        <v>2129</v>
      </c>
      <c r="B2132" s="12">
        <v>152.33822438971339</v>
      </c>
      <c r="C2132" s="12">
        <v>146.71236698807883</v>
      </c>
      <c r="D2132" s="12">
        <v>97.071442326645084</v>
      </c>
    </row>
    <row r="2133" spans="1:4">
      <c r="A2133">
        <v>2130</v>
      </c>
      <c r="B2133" s="12">
        <v>130.26732712278715</v>
      </c>
      <c r="C2133" s="12">
        <v>116.54668117928213</v>
      </c>
      <c r="D2133" s="12">
        <v>77.478171703700497</v>
      </c>
    </row>
    <row r="2134" spans="1:4">
      <c r="A2134">
        <v>2131</v>
      </c>
      <c r="B2134" s="12">
        <v>189.8029421945412</v>
      </c>
      <c r="C2134" s="12">
        <v>141.01718495206026</v>
      </c>
      <c r="D2134" s="12">
        <v>190.23556598002079</v>
      </c>
    </row>
    <row r="2135" spans="1:4">
      <c r="A2135">
        <v>2132</v>
      </c>
      <c r="B2135" s="12">
        <v>143.90301353654678</v>
      </c>
      <c r="C2135" s="12">
        <v>147.36690207392741</v>
      </c>
      <c r="D2135" s="12">
        <v>94.966264747651778</v>
      </c>
    </row>
    <row r="2136" spans="1:4">
      <c r="A2136">
        <v>2133</v>
      </c>
      <c r="B2136" s="12">
        <v>140.44878486580367</v>
      </c>
      <c r="C2136" s="12">
        <v>172.07245216969781</v>
      </c>
      <c r="D2136" s="12">
        <v>86.984108669885273</v>
      </c>
    </row>
    <row r="2137" spans="1:4">
      <c r="A2137">
        <v>2134</v>
      </c>
      <c r="B2137" s="12">
        <v>215.63441580515232</v>
      </c>
      <c r="C2137" s="12">
        <v>160.72842889340538</v>
      </c>
      <c r="D2137" s="12">
        <v>100.37391041214882</v>
      </c>
    </row>
    <row r="2138" spans="1:4">
      <c r="A2138">
        <v>2135</v>
      </c>
      <c r="B2138" s="12">
        <v>142.50870308240451</v>
      </c>
      <c r="C2138" s="12">
        <v>167.04984865915816</v>
      </c>
      <c r="D2138" s="12">
        <v>99.651057479833227</v>
      </c>
    </row>
    <row r="2139" spans="1:4">
      <c r="A2139">
        <v>2136</v>
      </c>
      <c r="B2139" s="12">
        <v>145.52087218350556</v>
      </c>
      <c r="C2139" s="12">
        <v>160.46664295312928</v>
      </c>
      <c r="D2139" s="12">
        <v>123.57876759952816</v>
      </c>
    </row>
    <row r="2140" spans="1:4">
      <c r="A2140">
        <v>2137</v>
      </c>
      <c r="B2140" s="12">
        <v>157.75687846128591</v>
      </c>
      <c r="C2140" s="12">
        <v>151.89056300472609</v>
      </c>
      <c r="D2140" s="12">
        <v>79.690516692179642</v>
      </c>
    </row>
    <row r="2141" spans="1:4">
      <c r="A2141">
        <v>2138</v>
      </c>
      <c r="B2141" s="12">
        <v>230.00198184724036</v>
      </c>
      <c r="C2141" s="12">
        <v>152.77861922477931</v>
      </c>
      <c r="D2141" s="12">
        <v>139.3903921091856</v>
      </c>
    </row>
    <row r="2142" spans="1:4">
      <c r="A2142">
        <v>2139</v>
      </c>
      <c r="B2142" s="12">
        <v>125.76143686126142</v>
      </c>
      <c r="C2142" s="12">
        <v>149.55841000935661</v>
      </c>
      <c r="D2142" s="12">
        <v>64.343118699424352</v>
      </c>
    </row>
    <row r="2143" spans="1:4">
      <c r="A2143">
        <v>2140</v>
      </c>
      <c r="B2143" s="12">
        <v>151.73946235326156</v>
      </c>
      <c r="C2143" s="12">
        <v>128.55510095677087</v>
      </c>
      <c r="D2143" s="12">
        <v>79.178714848564482</v>
      </c>
    </row>
    <row r="2144" spans="1:4">
      <c r="A2144">
        <v>2141</v>
      </c>
      <c r="B2144" s="12">
        <v>181.66834950134552</v>
      </c>
      <c r="C2144" s="12">
        <v>152.93504009909381</v>
      </c>
      <c r="D2144" s="12">
        <v>94.268335248632013</v>
      </c>
    </row>
    <row r="2145" spans="1:4">
      <c r="A2145">
        <v>2142</v>
      </c>
      <c r="B2145" s="12">
        <v>143.52186204595756</v>
      </c>
      <c r="C2145" s="12">
        <v>164.75790006852807</v>
      </c>
      <c r="D2145" s="12">
        <v>106.40872640017895</v>
      </c>
    </row>
    <row r="2146" spans="1:4">
      <c r="A2146">
        <v>2143</v>
      </c>
      <c r="B2146" s="12">
        <v>105.63675188511793</v>
      </c>
      <c r="C2146" s="12">
        <v>152.13437084968785</v>
      </c>
      <c r="D2146" s="12">
        <v>146.9024079906232</v>
      </c>
    </row>
    <row r="2147" spans="1:4">
      <c r="A2147">
        <v>2144</v>
      </c>
      <c r="B2147" s="12">
        <v>107.80723798742652</v>
      </c>
      <c r="C2147" s="12">
        <v>204.90686499943962</v>
      </c>
      <c r="D2147" s="12">
        <v>78.544761548118558</v>
      </c>
    </row>
    <row r="2148" spans="1:4">
      <c r="A2148">
        <v>2145</v>
      </c>
      <c r="B2148" s="12">
        <v>138.73948056258601</v>
      </c>
      <c r="C2148" s="12">
        <v>157.09287325264191</v>
      </c>
      <c r="D2148" s="12">
        <v>153.70206912453992</v>
      </c>
    </row>
    <row r="2149" spans="1:4">
      <c r="A2149">
        <v>2146</v>
      </c>
      <c r="B2149" s="12">
        <v>250.97801829679818</v>
      </c>
      <c r="C2149" s="12">
        <v>132.21654215492339</v>
      </c>
      <c r="D2149" s="12">
        <v>89.648023772555234</v>
      </c>
    </row>
    <row r="2150" spans="1:4">
      <c r="A2150">
        <v>2147</v>
      </c>
      <c r="B2150" s="12">
        <v>138.33429863779406</v>
      </c>
      <c r="C2150" s="12">
        <v>178.00713206368479</v>
      </c>
      <c r="D2150" s="12">
        <v>71.913193778316526</v>
      </c>
    </row>
    <row r="2151" spans="1:4">
      <c r="A2151">
        <v>2148</v>
      </c>
      <c r="B2151" s="12">
        <v>159.46375066250971</v>
      </c>
      <c r="C2151" s="12">
        <v>183.66522741947594</v>
      </c>
      <c r="D2151" s="12">
        <v>81.780258448449388</v>
      </c>
    </row>
    <row r="2152" spans="1:4">
      <c r="A2152">
        <v>2149</v>
      </c>
      <c r="B2152" s="12">
        <v>123.94052126594413</v>
      </c>
      <c r="C2152" s="12">
        <v>192.70474007322747</v>
      </c>
      <c r="D2152" s="12">
        <v>101.65812727634757</v>
      </c>
    </row>
    <row r="2153" spans="1:4">
      <c r="A2153">
        <v>2150</v>
      </c>
      <c r="B2153" s="12">
        <v>182.45453956419564</v>
      </c>
      <c r="C2153" s="12">
        <v>169.16076682045997</v>
      </c>
      <c r="D2153" s="12">
        <v>113.16153338029078</v>
      </c>
    </row>
    <row r="2154" spans="1:4">
      <c r="A2154">
        <v>2151</v>
      </c>
      <c r="B2154" s="12">
        <v>192.25550540124138</v>
      </c>
      <c r="C2154" s="12">
        <v>154.22788774021367</v>
      </c>
      <c r="D2154" s="12">
        <v>90.083900355146483</v>
      </c>
    </row>
    <row r="2155" spans="1:4">
      <c r="A2155">
        <v>2152</v>
      </c>
      <c r="B2155" s="12">
        <v>161.04962717678103</v>
      </c>
      <c r="C2155" s="12">
        <v>123.46704626013559</v>
      </c>
      <c r="D2155" s="12">
        <v>88.237063681284894</v>
      </c>
    </row>
    <row r="2156" spans="1:4">
      <c r="A2156">
        <v>2153</v>
      </c>
      <c r="B2156" s="12">
        <v>144.52553134853605</v>
      </c>
      <c r="C2156" s="12">
        <v>162.57106842156833</v>
      </c>
      <c r="D2156" s="12">
        <v>114.08132723197362</v>
      </c>
    </row>
    <row r="2157" spans="1:4">
      <c r="A2157">
        <v>2154</v>
      </c>
      <c r="B2157" s="12">
        <v>187.81409672071717</v>
      </c>
      <c r="C2157" s="12">
        <v>160.20586876711127</v>
      </c>
      <c r="D2157" s="12">
        <v>65.99211528811577</v>
      </c>
    </row>
    <row r="2158" spans="1:4">
      <c r="A2158">
        <v>2155</v>
      </c>
      <c r="B2158" s="12">
        <v>148.83603665619191</v>
      </c>
      <c r="C2158" s="12">
        <v>136.81236432747036</v>
      </c>
      <c r="D2158" s="12">
        <v>142.55645998585899</v>
      </c>
    </row>
    <row r="2159" spans="1:4">
      <c r="A2159">
        <v>2156</v>
      </c>
      <c r="B2159" s="12">
        <v>167.45488829020314</v>
      </c>
      <c r="C2159" s="12">
        <v>161.5949101015064</v>
      </c>
      <c r="D2159" s="12">
        <v>218.32280902851753</v>
      </c>
    </row>
    <row r="2160" spans="1:4">
      <c r="A2160">
        <v>2157</v>
      </c>
      <c r="B2160" s="12">
        <v>166.42833875866654</v>
      </c>
      <c r="C2160" s="12">
        <v>163.74132822158651</v>
      </c>
      <c r="D2160" s="12">
        <v>141.64538546826373</v>
      </c>
    </row>
    <row r="2161" spans="1:4">
      <c r="A2161">
        <v>2158</v>
      </c>
      <c r="B2161" s="12">
        <v>121.15522901275499</v>
      </c>
      <c r="C2161" s="12">
        <v>155.37070150098256</v>
      </c>
      <c r="D2161" s="12">
        <v>121.23129359718183</v>
      </c>
    </row>
    <row r="2162" spans="1:4">
      <c r="A2162">
        <v>2159</v>
      </c>
      <c r="B2162" s="12">
        <v>163.64448476499967</v>
      </c>
      <c r="C2162" s="12">
        <v>139.84797881881326</v>
      </c>
      <c r="D2162" s="12">
        <v>122.83106801786909</v>
      </c>
    </row>
    <row r="2163" spans="1:4">
      <c r="A2163">
        <v>2160</v>
      </c>
      <c r="B2163" s="12">
        <v>134.59767676475096</v>
      </c>
      <c r="C2163" s="12">
        <v>134.66597466679502</v>
      </c>
      <c r="D2163" s="12">
        <v>117.35793880977486</v>
      </c>
    </row>
    <row r="2164" spans="1:4">
      <c r="A2164">
        <v>2161</v>
      </c>
      <c r="B2164" s="12">
        <v>150.04175723588529</v>
      </c>
      <c r="C2164" s="12">
        <v>168.65002506288357</v>
      </c>
      <c r="D2164" s="12">
        <v>95.400632257858689</v>
      </c>
    </row>
    <row r="2165" spans="1:4">
      <c r="A2165">
        <v>2162</v>
      </c>
      <c r="B2165" s="12">
        <v>163.02545952107715</v>
      </c>
      <c r="C2165" s="12">
        <v>106.87972539602566</v>
      </c>
      <c r="D2165" s="12">
        <v>100.92509414015615</v>
      </c>
    </row>
    <row r="2166" spans="1:4">
      <c r="A2166">
        <v>2163</v>
      </c>
      <c r="B2166" s="12">
        <v>186.42084219277643</v>
      </c>
      <c r="C2166" s="12">
        <v>162.30128768637783</v>
      </c>
      <c r="D2166" s="12">
        <v>163.56240748846645</v>
      </c>
    </row>
    <row r="2167" spans="1:4">
      <c r="A2167">
        <v>2164</v>
      </c>
      <c r="B2167" s="12">
        <v>219.43933720420918</v>
      </c>
      <c r="C2167" s="12">
        <v>145.80374187273665</v>
      </c>
      <c r="D2167" s="12">
        <v>121.66298382538325</v>
      </c>
    </row>
    <row r="2168" spans="1:4">
      <c r="A2168">
        <v>2165</v>
      </c>
      <c r="B2168" s="12">
        <v>137.92667028030783</v>
      </c>
      <c r="C2168" s="12">
        <v>125.40010609694481</v>
      </c>
      <c r="D2168" s="12">
        <v>54.709621903623677</v>
      </c>
    </row>
    <row r="2169" spans="1:4">
      <c r="A2169">
        <v>2166</v>
      </c>
      <c r="B2169" s="12">
        <v>137.66423286658761</v>
      </c>
      <c r="C2169" s="12">
        <v>159.1001174112221</v>
      </c>
      <c r="D2169" s="12">
        <v>131.95313477655978</v>
      </c>
    </row>
    <row r="2170" spans="1:4">
      <c r="A2170">
        <v>2167</v>
      </c>
      <c r="B2170" s="12">
        <v>140.05296950140928</v>
      </c>
      <c r="C2170" s="12">
        <v>113.59342819652991</v>
      </c>
      <c r="D2170" s="12">
        <v>79.999107751101519</v>
      </c>
    </row>
    <row r="2171" spans="1:4">
      <c r="A2171">
        <v>2168</v>
      </c>
      <c r="B2171" s="12">
        <v>178.01471842991819</v>
      </c>
      <c r="C2171" s="12">
        <v>158.84413704239643</v>
      </c>
      <c r="D2171" s="12">
        <v>73.367159093475479</v>
      </c>
    </row>
    <row r="2172" spans="1:4">
      <c r="A2172">
        <v>2169</v>
      </c>
      <c r="B2172" s="12">
        <v>129.47886155359612</v>
      </c>
      <c r="C2172" s="12">
        <v>175.89284568023362</v>
      </c>
      <c r="D2172" s="12">
        <v>77.689183184724882</v>
      </c>
    </row>
    <row r="2173" spans="1:4">
      <c r="A2173">
        <v>2170</v>
      </c>
      <c r="B2173" s="12">
        <v>141.87391024951779</v>
      </c>
      <c r="C2173" s="12">
        <v>151.24698599481326</v>
      </c>
      <c r="D2173" s="12">
        <v>82.074111988954257</v>
      </c>
    </row>
    <row r="2174" spans="1:4">
      <c r="A2174">
        <v>2171</v>
      </c>
      <c r="B2174" s="12">
        <v>203.56362866540184</v>
      </c>
      <c r="C2174" s="12">
        <v>110.55261666636234</v>
      </c>
      <c r="D2174" s="12">
        <v>59.161566258432011</v>
      </c>
    </row>
    <row r="2175" spans="1:4">
      <c r="A2175">
        <v>2172</v>
      </c>
      <c r="B2175" s="12">
        <v>287.31266629273097</v>
      </c>
      <c r="C2175" s="12">
        <v>125.71728314254862</v>
      </c>
      <c r="D2175" s="12">
        <v>102.39775960064463</v>
      </c>
    </row>
    <row r="2176" spans="1:4">
      <c r="A2176">
        <v>2173</v>
      </c>
      <c r="B2176" s="12">
        <v>178.75343405033178</v>
      </c>
      <c r="C2176" s="12">
        <v>177.59419107302594</v>
      </c>
      <c r="D2176" s="12">
        <v>92.611372764978697</v>
      </c>
    </row>
    <row r="2177" spans="1:4">
      <c r="A2177">
        <v>2174</v>
      </c>
      <c r="B2177" s="12">
        <v>175.69270424742609</v>
      </c>
      <c r="C2177" s="12">
        <v>163.01650725213381</v>
      </c>
      <c r="D2177" s="12">
        <v>150.04952681442001</v>
      </c>
    </row>
    <row r="2178" spans="1:4">
      <c r="A2178">
        <v>2175</v>
      </c>
      <c r="B2178" s="12">
        <v>89.758773810554047</v>
      </c>
      <c r="C2178" s="12">
        <v>121.24452755519613</v>
      </c>
      <c r="D2178" s="12">
        <v>140.76702583756605</v>
      </c>
    </row>
    <row r="2179" spans="1:4">
      <c r="A2179">
        <v>2176</v>
      </c>
      <c r="B2179" s="12">
        <v>151.00864010271195</v>
      </c>
      <c r="C2179" s="12">
        <v>166.27256746446139</v>
      </c>
      <c r="D2179" s="12">
        <v>101.83691786785434</v>
      </c>
    </row>
    <row r="2180" spans="1:4">
      <c r="A2180">
        <v>2177</v>
      </c>
      <c r="B2180" s="12">
        <v>136.15131025403602</v>
      </c>
      <c r="C2180" s="12">
        <v>185.6475944111391</v>
      </c>
      <c r="D2180" s="12">
        <v>145.81366892385947</v>
      </c>
    </row>
    <row r="2181" spans="1:4">
      <c r="A2181">
        <v>2178</v>
      </c>
      <c r="B2181" s="12">
        <v>145.14483595401705</v>
      </c>
      <c r="C2181" s="12">
        <v>184.19289832135087</v>
      </c>
      <c r="D2181" s="12">
        <v>156.31506347312032</v>
      </c>
    </row>
    <row r="2182" spans="1:4">
      <c r="A2182">
        <v>2179</v>
      </c>
      <c r="B2182" s="12">
        <v>135.72887959366361</v>
      </c>
      <c r="C2182" s="12">
        <v>131.98924554582658</v>
      </c>
      <c r="D2182" s="12">
        <v>127.99666868855921</v>
      </c>
    </row>
    <row r="2183" spans="1:4">
      <c r="A2183">
        <v>2180</v>
      </c>
      <c r="B2183" s="12">
        <v>117.57407356498119</v>
      </c>
      <c r="C2183" s="12">
        <v>159.35693685186871</v>
      </c>
      <c r="D2183" s="12">
        <v>104.84901384551551</v>
      </c>
    </row>
    <row r="2184" spans="1:4">
      <c r="A2184">
        <v>2181</v>
      </c>
      <c r="B2184" s="12">
        <v>120.09743234648855</v>
      </c>
      <c r="C2184" s="12">
        <v>140.12377864198771</v>
      </c>
      <c r="D2184" s="12">
        <v>99.924189114627012</v>
      </c>
    </row>
    <row r="2185" spans="1:4">
      <c r="A2185">
        <v>2182</v>
      </c>
      <c r="B2185" s="12">
        <v>108.99545601212635</v>
      </c>
      <c r="C2185" s="12">
        <v>150.20319661346593</v>
      </c>
      <c r="D2185" s="12">
        <v>57.222732150781681</v>
      </c>
    </row>
    <row r="2186" spans="1:4">
      <c r="A2186">
        <v>2183</v>
      </c>
      <c r="B2186" s="12">
        <v>160.44043161036439</v>
      </c>
      <c r="C2186" s="12">
        <v>179.85112670811537</v>
      </c>
      <c r="D2186" s="12">
        <v>88.408946655220987</v>
      </c>
    </row>
    <row r="2187" spans="1:4">
      <c r="A2187">
        <v>2184</v>
      </c>
      <c r="B2187" s="12">
        <v>201.5660677126144</v>
      </c>
      <c r="C2187" s="12">
        <v>119.36840060489656</v>
      </c>
      <c r="D2187" s="12">
        <v>148.80661249307974</v>
      </c>
    </row>
    <row r="2188" spans="1:4">
      <c r="A2188">
        <v>2185</v>
      </c>
      <c r="B2188" s="12">
        <v>142.12227554273213</v>
      </c>
      <c r="C2188" s="12">
        <v>203.9279845884852</v>
      </c>
      <c r="D2188" s="12">
        <v>93.138768058152635</v>
      </c>
    </row>
    <row r="2189" spans="1:4">
      <c r="A2189">
        <v>2186</v>
      </c>
      <c r="B2189" s="12">
        <v>118.29439664199685</v>
      </c>
      <c r="C2189" s="12">
        <v>142.25395535968434</v>
      </c>
      <c r="D2189" s="12">
        <v>93.57144509517984</v>
      </c>
    </row>
    <row r="2190" spans="1:4">
      <c r="A2190">
        <v>2187</v>
      </c>
      <c r="B2190" s="12">
        <v>146.50896497351872</v>
      </c>
      <c r="C2190" s="12">
        <v>158.42592684615281</v>
      </c>
      <c r="D2190" s="12">
        <v>137.32194840477607</v>
      </c>
    </row>
    <row r="2191" spans="1:4">
      <c r="A2191">
        <v>2188</v>
      </c>
      <c r="B2191" s="12">
        <v>129.78858021651246</v>
      </c>
      <c r="C2191" s="12">
        <v>143.62944823252795</v>
      </c>
      <c r="D2191" s="12">
        <v>89.381834111835872</v>
      </c>
    </row>
    <row r="2192" spans="1:4">
      <c r="A2192">
        <v>2189</v>
      </c>
      <c r="B2192" s="12">
        <v>164.02317823252551</v>
      </c>
      <c r="C2192" s="12">
        <v>211.9732765037518</v>
      </c>
      <c r="D2192" s="12">
        <v>136.58046063642931</v>
      </c>
    </row>
    <row r="2193" spans="1:4">
      <c r="A2193">
        <v>2190</v>
      </c>
      <c r="B2193" s="12">
        <v>156.78986417503316</v>
      </c>
      <c r="C2193" s="12">
        <v>153.82555173037599</v>
      </c>
      <c r="D2193" s="12">
        <v>71.223284559144915</v>
      </c>
    </row>
    <row r="2194" spans="1:4">
      <c r="A2194">
        <v>2191</v>
      </c>
      <c r="B2194" s="12">
        <v>136.57067555669929</v>
      </c>
      <c r="C2194" s="12">
        <v>161.1601825100428</v>
      </c>
      <c r="D2194" s="12">
        <v>120.11754572917084</v>
      </c>
    </row>
    <row r="2195" spans="1:4">
      <c r="A2195">
        <v>2192</v>
      </c>
      <c r="B2195" s="12">
        <v>166.67645129978587</v>
      </c>
      <c r="C2195" s="12">
        <v>132.56716906122645</v>
      </c>
      <c r="D2195" s="12">
        <v>66.568438742181755</v>
      </c>
    </row>
    <row r="2196" spans="1:4">
      <c r="A2196">
        <v>2193</v>
      </c>
      <c r="B2196" s="12">
        <v>117.10039705407058</v>
      </c>
      <c r="C2196" s="12">
        <v>118.86797168315215</v>
      </c>
      <c r="D2196" s="12">
        <v>74.733244642277242</v>
      </c>
    </row>
    <row r="2197" spans="1:4">
      <c r="A2197">
        <v>2194</v>
      </c>
      <c r="B2197" s="12">
        <v>205.67308321933368</v>
      </c>
      <c r="C2197" s="12">
        <v>216.62806306584255</v>
      </c>
      <c r="D2197" s="12">
        <v>72.977387136388401</v>
      </c>
    </row>
    <row r="2198" spans="1:4">
      <c r="A2198">
        <v>2195</v>
      </c>
      <c r="B2198" s="12">
        <v>156.55564179416112</v>
      </c>
      <c r="C2198" s="12">
        <v>202.50506947866566</v>
      </c>
      <c r="D2198" s="12">
        <v>152.24819383700159</v>
      </c>
    </row>
    <row r="2199" spans="1:4">
      <c r="A2199">
        <v>2196</v>
      </c>
      <c r="B2199" s="12">
        <v>138.99777849543872</v>
      </c>
      <c r="C2199" s="12">
        <v>120.8136733905428</v>
      </c>
      <c r="D2199" s="12">
        <v>71.646642388464613</v>
      </c>
    </row>
    <row r="2200" spans="1:4">
      <c r="A2200">
        <v>2197</v>
      </c>
      <c r="B2200" s="12">
        <v>234.98238876196982</v>
      </c>
      <c r="C2200" s="12">
        <v>150.84713168050493</v>
      </c>
      <c r="D2200" s="12">
        <v>182.8667390650277</v>
      </c>
    </row>
    <row r="2201" spans="1:4">
      <c r="A2201">
        <v>2198</v>
      </c>
      <c r="B2201" s="12">
        <v>169.54011470674772</v>
      </c>
      <c r="C2201" s="12">
        <v>157.50497443030287</v>
      </c>
      <c r="D2201" s="12">
        <v>78.863169760925047</v>
      </c>
    </row>
    <row r="2202" spans="1:4">
      <c r="A2202">
        <v>2199</v>
      </c>
      <c r="B2202" s="12">
        <v>248.72245674616241</v>
      </c>
      <c r="C2202" s="12">
        <v>146.96065084859404</v>
      </c>
      <c r="D2202" s="12">
        <v>78.015833686086438</v>
      </c>
    </row>
    <row r="2203" spans="1:4">
      <c r="A2203">
        <v>2200</v>
      </c>
      <c r="B2203" s="12">
        <v>84.58273587173403</v>
      </c>
      <c r="C2203" s="12">
        <v>140.84409281075344</v>
      </c>
      <c r="D2203" s="12">
        <v>97.778676188047072</v>
      </c>
    </row>
    <row r="2204" spans="1:4">
      <c r="A2204">
        <v>2201</v>
      </c>
      <c r="B2204" s="12">
        <v>126.29624136109406</v>
      </c>
      <c r="C2204" s="12">
        <v>130.02394480971861</v>
      </c>
      <c r="D2204" s="12">
        <v>138.08555634358007</v>
      </c>
    </row>
    <row r="2205" spans="1:4">
      <c r="A2205">
        <v>2202</v>
      </c>
      <c r="B2205" s="12">
        <v>213.51375814242203</v>
      </c>
      <c r="C2205" s="12">
        <v>149.7149267052192</v>
      </c>
      <c r="D2205" s="12">
        <v>105.14128639582745</v>
      </c>
    </row>
    <row r="2206" spans="1:4">
      <c r="A2206">
        <v>2203</v>
      </c>
      <c r="B2206" s="12">
        <v>198.970551501979</v>
      </c>
      <c r="C2206" s="12">
        <v>146.46355111983686</v>
      </c>
      <c r="D2206" s="12">
        <v>118.38546198848991</v>
      </c>
    </row>
    <row r="2207" spans="1:4">
      <c r="A2207">
        <v>2204</v>
      </c>
      <c r="B2207" s="12">
        <v>147.11965405376566</v>
      </c>
      <c r="C2207" s="12">
        <v>176.92994341278037</v>
      </c>
      <c r="D2207" s="12">
        <v>74.965867387320785</v>
      </c>
    </row>
    <row r="2208" spans="1:4">
      <c r="A2208">
        <v>2205</v>
      </c>
      <c r="B2208" s="12">
        <v>150.77432722737126</v>
      </c>
      <c r="C2208" s="12">
        <v>131.62997283975398</v>
      </c>
      <c r="D2208" s="12">
        <v>70.508104688678287</v>
      </c>
    </row>
    <row r="2209" spans="1:4">
      <c r="A2209">
        <v>2206</v>
      </c>
      <c r="B2209" s="12">
        <v>259.59775154847853</v>
      </c>
      <c r="C2209" s="12">
        <v>144.97745108887386</v>
      </c>
      <c r="D2209" s="12">
        <v>85.083178548945597</v>
      </c>
    </row>
    <row r="2210" spans="1:4">
      <c r="A2210">
        <v>2207</v>
      </c>
      <c r="B2210" s="12">
        <v>184.24042093732319</v>
      </c>
      <c r="C2210" s="12">
        <v>149.06916724459734</v>
      </c>
      <c r="D2210" s="12">
        <v>107.50903862424339</v>
      </c>
    </row>
    <row r="2211" spans="1:4">
      <c r="A2211">
        <v>2208</v>
      </c>
      <c r="B2211" s="12">
        <v>185.06514252430546</v>
      </c>
      <c r="C2211" s="12">
        <v>164.47656249478692</v>
      </c>
      <c r="D2211" s="12">
        <v>135.40825905006599</v>
      </c>
    </row>
    <row r="2212" spans="1:4">
      <c r="A2212">
        <v>2209</v>
      </c>
      <c r="B2212" s="12">
        <v>133.44141630704976</v>
      </c>
      <c r="C2212" s="12">
        <v>137.11081847147855</v>
      </c>
      <c r="D2212" s="12">
        <v>109.14682267589636</v>
      </c>
    </row>
    <row r="2213" spans="1:4">
      <c r="A2213">
        <v>2210</v>
      </c>
      <c r="B2213" s="12">
        <v>177.56864197540855</v>
      </c>
      <c r="C2213" s="12">
        <v>181.05790548140124</v>
      </c>
      <c r="D2213" s="12">
        <v>86.264063582272613</v>
      </c>
    </row>
    <row r="2214" spans="1:4">
      <c r="A2214">
        <v>2211</v>
      </c>
      <c r="B2214" s="12">
        <v>225.73973538121248</v>
      </c>
      <c r="C2214" s="12">
        <v>154.71948126984441</v>
      </c>
      <c r="D2214" s="12">
        <v>124.82086175209045</v>
      </c>
    </row>
    <row r="2215" spans="1:4">
      <c r="A2215">
        <v>2212</v>
      </c>
      <c r="B2215" s="12">
        <v>154.86167592940828</v>
      </c>
      <c r="C2215" s="12">
        <v>157.75702577368023</v>
      </c>
      <c r="D2215" s="12">
        <v>144.12962968998889</v>
      </c>
    </row>
    <row r="2216" spans="1:4">
      <c r="A2216">
        <v>2213</v>
      </c>
      <c r="B2216" s="12">
        <v>115.55193661665182</v>
      </c>
      <c r="C2216" s="12">
        <v>184.53733635780205</v>
      </c>
      <c r="D2216" s="12">
        <v>98.219861296561689</v>
      </c>
    </row>
    <row r="2217" spans="1:4">
      <c r="A2217">
        <v>2214</v>
      </c>
      <c r="B2217" s="12">
        <v>151.37418853326264</v>
      </c>
      <c r="C2217" s="12">
        <v>148.66712579181927</v>
      </c>
      <c r="D2217" s="12">
        <v>90.783666185693292</v>
      </c>
    </row>
    <row r="2218" spans="1:4">
      <c r="A2218">
        <v>2215</v>
      </c>
      <c r="B2218" s="12">
        <v>158.12381177248886</v>
      </c>
      <c r="C2218" s="12">
        <v>133.46997974949144</v>
      </c>
      <c r="D2218" s="12">
        <v>61.092301825403183</v>
      </c>
    </row>
    <row r="2219" spans="1:4">
      <c r="A2219">
        <v>2216</v>
      </c>
      <c r="B2219" s="12">
        <v>130.74049511197978</v>
      </c>
      <c r="C2219" s="12">
        <v>172.9844626404352</v>
      </c>
      <c r="D2219" s="12">
        <v>84.804596626051634</v>
      </c>
    </row>
    <row r="2220" spans="1:4">
      <c r="A2220">
        <v>2217</v>
      </c>
      <c r="B2220" s="12">
        <v>278.90932244017222</v>
      </c>
      <c r="C2220" s="12">
        <v>142.94554200709103</v>
      </c>
      <c r="D2220" s="12">
        <v>91.481733890671563</v>
      </c>
    </row>
    <row r="2221" spans="1:4">
      <c r="A2221">
        <v>2218</v>
      </c>
      <c r="B2221" s="12">
        <v>155.22637986822133</v>
      </c>
      <c r="C2221" s="12">
        <v>140.57261175879222</v>
      </c>
      <c r="D2221" s="12">
        <v>119.44355313050767</v>
      </c>
    </row>
    <row r="2222" spans="1:4">
      <c r="A2222">
        <v>2219</v>
      </c>
      <c r="B2222" s="12">
        <v>144.1464722470335</v>
      </c>
      <c r="C2222" s="12">
        <v>188.88011565754908</v>
      </c>
      <c r="D2222" s="12">
        <v>106.21734383944661</v>
      </c>
    </row>
    <row r="2223" spans="1:4">
      <c r="A2223">
        <v>2220</v>
      </c>
      <c r="B2223" s="12">
        <v>162.64942627142636</v>
      </c>
      <c r="C2223" s="12">
        <v>141.9898571923201</v>
      </c>
      <c r="D2223" s="12">
        <v>113.50745505063281</v>
      </c>
    </row>
    <row r="2224" spans="1:4">
      <c r="A2224">
        <v>2221</v>
      </c>
      <c r="B2224" s="12">
        <v>161.66086624652962</v>
      </c>
      <c r="C2224" s="12">
        <v>144.05084867001901</v>
      </c>
      <c r="D2224" s="12">
        <v>105.91982106497611</v>
      </c>
    </row>
    <row r="2225" spans="1:4">
      <c r="A2225">
        <v>2222</v>
      </c>
      <c r="B2225" s="12">
        <v>193.83777262463488</v>
      </c>
      <c r="C2225" s="12">
        <v>152.29058172869401</v>
      </c>
      <c r="D2225" s="12">
        <v>96.367305252564748</v>
      </c>
    </row>
    <row r="2226" spans="1:4">
      <c r="A2226">
        <v>2223</v>
      </c>
      <c r="B2226" s="12">
        <v>133.88244034734385</v>
      </c>
      <c r="C2226" s="12">
        <v>197.46339035142006</v>
      </c>
      <c r="D2226" s="12">
        <v>97.338886722845942</v>
      </c>
    </row>
    <row r="2227" spans="1:4">
      <c r="A2227">
        <v>2224</v>
      </c>
      <c r="B2227" s="12">
        <v>214.55727533176608</v>
      </c>
      <c r="C2227" s="12">
        <v>130.27187826170265</v>
      </c>
      <c r="D2227" s="12">
        <v>93.835275289664523</v>
      </c>
    </row>
    <row r="2228" spans="1:4">
      <c r="A2228">
        <v>2225</v>
      </c>
      <c r="B2228" s="12">
        <v>111.77901507634425</v>
      </c>
      <c r="C2228" s="12">
        <v>148.26429382595487</v>
      </c>
      <c r="D2228" s="12">
        <v>72.322532368743055</v>
      </c>
    </row>
    <row r="2229" spans="1:4">
      <c r="A2229">
        <v>2226</v>
      </c>
      <c r="B2229" s="12">
        <v>133.15681303817365</v>
      </c>
      <c r="C2229" s="12">
        <v>167.84191876318567</v>
      </c>
      <c r="D2229" s="12">
        <v>97.510442324909917</v>
      </c>
    </row>
    <row r="2230" spans="1:4">
      <c r="A2230">
        <v>2227</v>
      </c>
      <c r="B2230" s="12">
        <v>154.26358409208191</v>
      </c>
      <c r="C2230" s="12">
        <v>142.68458126198817</v>
      </c>
      <c r="D2230" s="12">
        <v>110.84087975414859</v>
      </c>
    </row>
    <row r="2231" spans="1:4">
      <c r="A2231">
        <v>2228</v>
      </c>
      <c r="B2231" s="12">
        <v>170.85992606363394</v>
      </c>
      <c r="C2231" s="12">
        <v>115.52436573506118</v>
      </c>
      <c r="D2231" s="12">
        <v>96.633637601586415</v>
      </c>
    </row>
    <row r="2232" spans="1:4">
      <c r="A2232">
        <v>2229</v>
      </c>
      <c r="B2232" s="12">
        <v>224.27007774751027</v>
      </c>
      <c r="C2232" s="12">
        <v>117.15454640776994</v>
      </c>
      <c r="D2232" s="12">
        <v>161.31539104568805</v>
      </c>
    </row>
    <row r="2233" spans="1:4">
      <c r="A2233">
        <v>2230</v>
      </c>
      <c r="B2233" s="12">
        <v>132.25698168393387</v>
      </c>
      <c r="C2233" s="12">
        <v>139.39167813556827</v>
      </c>
      <c r="D2233" s="12">
        <v>102.11683854372876</v>
      </c>
    </row>
    <row r="2234" spans="1:4">
      <c r="A2234">
        <v>2231</v>
      </c>
      <c r="B2234" s="12">
        <v>232.99491191055279</v>
      </c>
      <c r="C2234" s="12">
        <v>209.70135161715686</v>
      </c>
      <c r="D2234" s="12">
        <v>75.903381887777314</v>
      </c>
    </row>
    <row r="2235" spans="1:4">
      <c r="A2235">
        <v>2232</v>
      </c>
      <c r="B2235" s="12">
        <v>147.86123006923199</v>
      </c>
      <c r="C2235" s="12">
        <v>139.11108174973023</v>
      </c>
      <c r="D2235" s="12">
        <v>126.62022039504254</v>
      </c>
    </row>
    <row r="2236" spans="1:4">
      <c r="A2236">
        <v>2233</v>
      </c>
      <c r="B2236" s="12">
        <v>122.77386726117135</v>
      </c>
      <c r="C2236" s="12">
        <v>153.42390963510638</v>
      </c>
      <c r="D2236" s="12">
        <v>133.62499917946045</v>
      </c>
    </row>
    <row r="2237" spans="1:4">
      <c r="A2237">
        <v>2234</v>
      </c>
      <c r="B2237" s="12">
        <v>136.83774567204878</v>
      </c>
      <c r="C2237" s="12">
        <v>128.9693899903464</v>
      </c>
      <c r="D2237" s="12">
        <v>145.14184717687462</v>
      </c>
    </row>
    <row r="2238" spans="1:4">
      <c r="A2238">
        <v>2235</v>
      </c>
      <c r="B2238" s="12">
        <v>164.40295610367306</v>
      </c>
      <c r="C2238" s="12">
        <v>168.34201622835076</v>
      </c>
      <c r="D2238" s="12">
        <v>115.98685682501998</v>
      </c>
    </row>
    <row r="2239" spans="1:4">
      <c r="A2239">
        <v>2236</v>
      </c>
      <c r="B2239" s="12">
        <v>179.96141342765247</v>
      </c>
      <c r="C2239" s="12">
        <v>174.52139031849393</v>
      </c>
      <c r="D2239" s="12">
        <v>98.933222303070423</v>
      </c>
    </row>
    <row r="2240" spans="1:4">
      <c r="A2240">
        <v>2237</v>
      </c>
      <c r="B2240" s="12">
        <v>148.46739134629834</v>
      </c>
      <c r="C2240" s="12">
        <v>154.4735219233151</v>
      </c>
      <c r="D2240" s="12">
        <v>67.467417504390937</v>
      </c>
    </row>
    <row r="2241" spans="1:4">
      <c r="A2241">
        <v>2238</v>
      </c>
      <c r="B2241" s="12">
        <v>145.89586959592447</v>
      </c>
      <c r="C2241" s="12">
        <v>143.37129583245837</v>
      </c>
      <c r="D2241" s="12">
        <v>108.32140360176797</v>
      </c>
    </row>
    <row r="2242" spans="1:4">
      <c r="A2242">
        <v>2239</v>
      </c>
      <c r="B2242" s="12">
        <v>181.19443769355456</v>
      </c>
      <c r="C2242" s="12">
        <v>171.73358921137316</v>
      </c>
      <c r="D2242" s="12">
        <v>105.6237957846635</v>
      </c>
    </row>
    <row r="2243" spans="1:4">
      <c r="A2243">
        <v>2240</v>
      </c>
      <c r="B2243" s="12">
        <v>114.19053333712787</v>
      </c>
      <c r="C2243" s="12">
        <v>146.30387967099452</v>
      </c>
      <c r="D2243" s="12">
        <v>80.500167282318046</v>
      </c>
    </row>
    <row r="2244" spans="1:4">
      <c r="A2244">
        <v>2241</v>
      </c>
      <c r="B2244" s="12">
        <v>218.66064535573173</v>
      </c>
      <c r="C2244" s="12">
        <v>158.68059748406921</v>
      </c>
      <c r="D2244" s="12">
        <v>107.20460173680137</v>
      </c>
    </row>
    <row r="2245" spans="1:4">
      <c r="A2245">
        <v>2242</v>
      </c>
      <c r="B2245" s="12">
        <v>313.26329869172412</v>
      </c>
      <c r="C2245" s="12">
        <v>158.00975797056867</v>
      </c>
      <c r="D2245" s="12">
        <v>109.66665659633848</v>
      </c>
    </row>
    <row r="2246" spans="1:4">
      <c r="A2246">
        <v>2243</v>
      </c>
      <c r="B2246" s="12">
        <v>217.48132621530402</v>
      </c>
      <c r="C2246" s="12">
        <v>126.96550822932153</v>
      </c>
      <c r="D2246" s="12">
        <v>100.19807028175985</v>
      </c>
    </row>
    <row r="2247" spans="1:4">
      <c r="A2247">
        <v>2244</v>
      </c>
      <c r="B2247" s="12">
        <v>190.7273365654647</v>
      </c>
      <c r="C2247" s="12">
        <v>156.18402417942391</v>
      </c>
      <c r="D2247" s="12">
        <v>83.598272610180771</v>
      </c>
    </row>
    <row r="2248" spans="1:4">
      <c r="A2248">
        <v>2245</v>
      </c>
      <c r="B2248" s="12">
        <v>192.84807213072096</v>
      </c>
      <c r="C2248" s="12">
        <v>136.51121489338414</v>
      </c>
      <c r="D2248" s="12">
        <v>78.339240285592311</v>
      </c>
    </row>
    <row r="2249" spans="1:4">
      <c r="A2249">
        <v>2246</v>
      </c>
      <c r="B2249" s="12">
        <v>185.57434259719938</v>
      </c>
      <c r="C2249" s="12">
        <v>147.11942223931578</v>
      </c>
      <c r="D2249" s="12">
        <v>115.38490221498643</v>
      </c>
    </row>
    <row r="2250" spans="1:4">
      <c r="A2250">
        <v>2247</v>
      </c>
      <c r="B2250" s="12">
        <v>155.82503171414822</v>
      </c>
      <c r="C2250" s="12">
        <v>155.77674031690287</v>
      </c>
      <c r="D2250" s="12">
        <v>52.635305785421444</v>
      </c>
    </row>
    <row r="2251" spans="1:4">
      <c r="A2251">
        <v>2248</v>
      </c>
      <c r="B2251" s="12">
        <v>163.40246589414801</v>
      </c>
      <c r="C2251" s="12">
        <v>170.85485473148518</v>
      </c>
      <c r="D2251" s="12">
        <v>108.01226851475319</v>
      </c>
    </row>
    <row r="2252" spans="1:4">
      <c r="A2252">
        <v>2249</v>
      </c>
      <c r="B2252" s="12">
        <v>245.54079113428122</v>
      </c>
      <c r="C2252" s="12">
        <v>191.17007275839649</v>
      </c>
      <c r="D2252" s="12">
        <v>89.818324762981447</v>
      </c>
    </row>
    <row r="2253" spans="1:4">
      <c r="A2253">
        <v>2250</v>
      </c>
      <c r="B2253" s="12">
        <v>191.30003444646579</v>
      </c>
      <c r="C2253" s="12">
        <v>138.82853309270888</v>
      </c>
      <c r="D2253" s="12">
        <v>69.295326607297227</v>
      </c>
    </row>
    <row r="2254" spans="1:4">
      <c r="A2254">
        <v>2251</v>
      </c>
      <c r="B2254" s="12">
        <v>97.487005965052077</v>
      </c>
      <c r="C2254" s="12">
        <v>138.64648647980886</v>
      </c>
      <c r="D2254" s="12">
        <v>104.37242877678841</v>
      </c>
    </row>
    <row r="2255" spans="1:4">
      <c r="A2255">
        <v>2252</v>
      </c>
      <c r="B2255" s="12">
        <v>204.86005790778691</v>
      </c>
      <c r="C2255" s="12">
        <v>140.29954823890429</v>
      </c>
      <c r="D2255" s="12">
        <v>58.452814233084041</v>
      </c>
    </row>
    <row r="2256" spans="1:4">
      <c r="A2256">
        <v>2253</v>
      </c>
      <c r="B2256" s="12">
        <v>134.31960486962438</v>
      </c>
      <c r="C2256" s="12">
        <v>165.50893407727358</v>
      </c>
      <c r="D2256" s="12">
        <v>104.08362942456051</v>
      </c>
    </row>
    <row r="2257" spans="1:4">
      <c r="A2257">
        <v>2254</v>
      </c>
      <c r="B2257" s="12">
        <v>124.86434250733215</v>
      </c>
      <c r="C2257" s="12">
        <v>132.9128731690993</v>
      </c>
      <c r="D2257" s="12">
        <v>124.04336181339959</v>
      </c>
    </row>
    <row r="2258" spans="1:4">
      <c r="A2258">
        <v>2255</v>
      </c>
      <c r="B2258" s="12">
        <v>131.04077095800983</v>
      </c>
      <c r="C2258" s="12">
        <v>141.55379638339537</v>
      </c>
      <c r="D2258" s="12">
        <v>95.665750295045783</v>
      </c>
    </row>
    <row r="2259" spans="1:4">
      <c r="A2259">
        <v>2256</v>
      </c>
      <c r="B2259" s="12">
        <v>137.25235819676294</v>
      </c>
      <c r="C2259" s="12">
        <v>181.53056663445676</v>
      </c>
      <c r="D2259" s="12">
        <v>55.786280223914474</v>
      </c>
    </row>
    <row r="2260" spans="1:4">
      <c r="A2260">
        <v>2257</v>
      </c>
      <c r="B2260" s="12">
        <v>104.13694870826923</v>
      </c>
      <c r="C2260" s="12">
        <v>230.17422113021507</v>
      </c>
      <c r="D2260" s="12">
        <v>69.597203308863968</v>
      </c>
    </row>
    <row r="2261" spans="1:4">
      <c r="A2261">
        <v>2258</v>
      </c>
      <c r="B2261" s="12">
        <v>165.41130950882697</v>
      </c>
      <c r="C2261" s="12">
        <v>165.98182472708456</v>
      </c>
      <c r="D2261" s="12">
        <v>126.11519113679302</v>
      </c>
    </row>
    <row r="2262" spans="1:4">
      <c r="A2262">
        <v>2259</v>
      </c>
      <c r="B2262" s="12">
        <v>151.97331056092389</v>
      </c>
      <c r="C2262" s="12">
        <v>164.01849812478159</v>
      </c>
      <c r="D2262" s="12">
        <v>108.83263064395324</v>
      </c>
    </row>
    <row r="2263" spans="1:4">
      <c r="A2263">
        <v>2260</v>
      </c>
      <c r="B2263" s="12">
        <v>228.31591878112096</v>
      </c>
      <c r="C2263" s="12">
        <v>103.26126230615851</v>
      </c>
      <c r="D2263" s="12">
        <v>65.391150214296914</v>
      </c>
    </row>
    <row r="2264" spans="1:4">
      <c r="A2264">
        <v>2261</v>
      </c>
      <c r="B2264" s="12">
        <v>216.34322954506251</v>
      </c>
      <c r="C2264" s="12">
        <v>147.77194441362712</v>
      </c>
      <c r="D2264" s="12">
        <v>112.60014971794686</v>
      </c>
    </row>
    <row r="2265" spans="1:4">
      <c r="A2265">
        <v>2262</v>
      </c>
      <c r="B2265" s="12">
        <v>164.64680930937993</v>
      </c>
      <c r="C2265" s="12">
        <v>137.59489406099661</v>
      </c>
      <c r="D2265" s="12">
        <v>136.11646770700446</v>
      </c>
    </row>
    <row r="2266" spans="1:4">
      <c r="A2266">
        <v>2263</v>
      </c>
      <c r="B2266" s="12">
        <v>222.86728085521517</v>
      </c>
      <c r="C2266" s="12">
        <v>143.79428646194961</v>
      </c>
      <c r="D2266" s="12">
        <v>134.28630057274833</v>
      </c>
    </row>
    <row r="2267" spans="1:4">
      <c r="A2267">
        <v>2264</v>
      </c>
      <c r="B2267" s="12">
        <v>236.33153228500871</v>
      </c>
      <c r="C2267" s="12">
        <v>137.30062575764765</v>
      </c>
      <c r="D2267" s="12">
        <v>75.678980628575772</v>
      </c>
    </row>
    <row r="2268" spans="1:4">
      <c r="A2268">
        <v>2265</v>
      </c>
      <c r="B2268" s="12">
        <v>199.66666858853054</v>
      </c>
      <c r="C2268" s="12">
        <v>124.36784731627453</v>
      </c>
      <c r="D2268" s="12">
        <v>104.66251153801703</v>
      </c>
    </row>
    <row r="2269" spans="1:4">
      <c r="A2269">
        <v>2266</v>
      </c>
      <c r="B2269" s="12">
        <v>168.74505306089438</v>
      </c>
      <c r="C2269" s="12">
        <v>126.20073072467612</v>
      </c>
      <c r="D2269" s="12">
        <v>83.882175489412589</v>
      </c>
    </row>
    <row r="2270" spans="1:4">
      <c r="A2270">
        <v>2267</v>
      </c>
      <c r="B2270" s="12">
        <v>162.03452740545319</v>
      </c>
      <c r="C2270" s="12">
        <v>118.04265006576274</v>
      </c>
      <c r="D2270" s="12">
        <v>94.532497939479782</v>
      </c>
    </row>
    <row r="2271" spans="1:4">
      <c r="A2271">
        <v>2268</v>
      </c>
      <c r="B2271" s="12">
        <v>101.25086742970149</v>
      </c>
      <c r="C2271" s="12">
        <v>154.07070782709394</v>
      </c>
      <c r="D2271" s="12">
        <v>128.88574253846843</v>
      </c>
    </row>
    <row r="2272" spans="1:4">
      <c r="A2272">
        <v>2269</v>
      </c>
      <c r="B2272" s="12">
        <v>146.13555118565264</v>
      </c>
      <c r="C2272" s="12">
        <v>180.30139505706731</v>
      </c>
      <c r="D2272" s="12">
        <v>63.659687946995696</v>
      </c>
    </row>
    <row r="2273" spans="1:4">
      <c r="A2273">
        <v>2270</v>
      </c>
      <c r="B2273" s="12">
        <v>226.71966799230702</v>
      </c>
      <c r="C2273" s="12">
        <v>141.7244790817042</v>
      </c>
      <c r="D2273" s="12">
        <v>159.99157864116637</v>
      </c>
    </row>
    <row r="2274" spans="1:4">
      <c r="A2274">
        <v>2271</v>
      </c>
      <c r="B2274" s="12">
        <v>152.70297320687962</v>
      </c>
      <c r="C2274" s="12">
        <v>124.89230297076526</v>
      </c>
      <c r="D2274" s="12">
        <v>86.088499167179961</v>
      </c>
    </row>
    <row r="2275" spans="1:4">
      <c r="A2275">
        <v>2272</v>
      </c>
      <c r="B2275" s="12">
        <v>153.30110824693921</v>
      </c>
      <c r="C2275" s="12">
        <v>144.72402455307702</v>
      </c>
      <c r="D2275" s="12">
        <v>103.61252229591665</v>
      </c>
    </row>
    <row r="2276" spans="1:4">
      <c r="A2276">
        <v>2273</v>
      </c>
      <c r="B2276" s="12">
        <v>211.86860782466883</v>
      </c>
      <c r="C2276" s="12">
        <v>133.13183675749966</v>
      </c>
      <c r="D2276" s="12">
        <v>87.52588957540712</v>
      </c>
    </row>
    <row r="2277" spans="1:4">
      <c r="A2277">
        <v>2274</v>
      </c>
      <c r="B2277" s="12">
        <v>147.49082081504412</v>
      </c>
      <c r="C2277" s="12">
        <v>156.43294696636801</v>
      </c>
      <c r="D2277" s="12">
        <v>171.00690969913666</v>
      </c>
    </row>
    <row r="2278" spans="1:4">
      <c r="A2278">
        <v>2275</v>
      </c>
      <c r="B2278" s="12">
        <v>210.90324506745719</v>
      </c>
      <c r="C2278" s="12">
        <v>151.64681233628042</v>
      </c>
      <c r="D2278" s="12">
        <v>98.489526061429004</v>
      </c>
    </row>
    <row r="2279" spans="1:4">
      <c r="A2279">
        <v>2276</v>
      </c>
      <c r="B2279" s="12">
        <v>121.77962438412999</v>
      </c>
      <c r="C2279" s="12">
        <v>137.88674625119364</v>
      </c>
      <c r="D2279" s="12">
        <v>106.70880030162891</v>
      </c>
    </row>
    <row r="2280" spans="1:4">
      <c r="A2280">
        <v>2277</v>
      </c>
      <c r="B2280" s="12">
        <v>189.24831550216393</v>
      </c>
      <c r="C2280" s="12">
        <v>158.17201461231255</v>
      </c>
      <c r="D2280" s="12">
        <v>76.250088030658461</v>
      </c>
    </row>
    <row r="2281" spans="1:4">
      <c r="A2281">
        <v>2278</v>
      </c>
      <c r="B2281" s="12">
        <v>115.03112378449018</v>
      </c>
      <c r="C2281" s="12">
        <v>124.02242636947375</v>
      </c>
      <c r="D2281" s="12">
        <v>63.20113782451471</v>
      </c>
    </row>
    <row r="2282" spans="1:4">
      <c r="A2282">
        <v>2279</v>
      </c>
      <c r="B2282" s="12">
        <v>126.82256421853366</v>
      </c>
      <c r="C2282" s="12">
        <v>182.82452476035277</v>
      </c>
      <c r="D2282" s="12">
        <v>177.51981933163205</v>
      </c>
    </row>
    <row r="2283" spans="1:4">
      <c r="A2283">
        <v>2280</v>
      </c>
      <c r="B2283" s="12">
        <v>124.30457943286093</v>
      </c>
      <c r="C2283" s="12">
        <v>151.49069813365304</v>
      </c>
      <c r="D2283" s="12">
        <v>158.07542071071788</v>
      </c>
    </row>
    <row r="2284" spans="1:4">
      <c r="A2284">
        <v>2281</v>
      </c>
      <c r="B2284" s="12">
        <v>231.13457135506269</v>
      </c>
      <c r="C2284" s="12">
        <v>139.5704214580625</v>
      </c>
      <c r="D2284" s="12">
        <v>64.991797547823154</v>
      </c>
    </row>
    <row r="2285" spans="1:4">
      <c r="A2285">
        <v>2282</v>
      </c>
      <c r="B2285" s="12">
        <v>122.38991212770749</v>
      </c>
      <c r="C2285" s="12">
        <v>200.39946003598297</v>
      </c>
      <c r="D2285" s="12">
        <v>95.230956183181874</v>
      </c>
    </row>
    <row r="2286" spans="1:4">
      <c r="A2286">
        <v>2283</v>
      </c>
      <c r="B2286" s="12">
        <v>269.76860597147419</v>
      </c>
      <c r="C2286" s="12">
        <v>160.03934787865896</v>
      </c>
      <c r="D2286" s="12">
        <v>102.57824240647635</v>
      </c>
    </row>
    <row r="2287" spans="1:4">
      <c r="A2287">
        <v>2284</v>
      </c>
      <c r="B2287" s="12">
        <v>132.70907083549648</v>
      </c>
      <c r="C2287" s="12">
        <v>208.40110133213753</v>
      </c>
      <c r="D2287" s="12">
        <v>91.0481995369054</v>
      </c>
    </row>
    <row r="2288" spans="1:4">
      <c r="A2288">
        <v>2285</v>
      </c>
      <c r="B2288" s="12">
        <v>131.50535313822465</v>
      </c>
      <c r="C2288" s="12">
        <v>99.120943368489023</v>
      </c>
      <c r="D2288" s="12">
        <v>84.625553059655275</v>
      </c>
    </row>
    <row r="2289" spans="1:4">
      <c r="A2289">
        <v>2286</v>
      </c>
      <c r="B2289" s="12">
        <v>159.09498760919939</v>
      </c>
      <c r="C2289" s="12">
        <v>130.65330332778962</v>
      </c>
      <c r="D2289" s="12">
        <v>73.750337376937139</v>
      </c>
    </row>
    <row r="2290" spans="1:4">
      <c r="A2290">
        <v>2287</v>
      </c>
      <c r="B2290" s="12">
        <v>212.86191709654022</v>
      </c>
      <c r="C2290" s="12">
        <v>187.59836636863648</v>
      </c>
      <c r="D2290" s="12">
        <v>94.004321684758835</v>
      </c>
    </row>
    <row r="2291" spans="1:4">
      <c r="A2291">
        <v>2288</v>
      </c>
      <c r="B2291" s="12">
        <v>169.14172922784866</v>
      </c>
      <c r="C2291" s="12">
        <v>178.69860392509014</v>
      </c>
      <c r="D2291" s="12">
        <v>90.518889525250529</v>
      </c>
    </row>
    <row r="2292" spans="1:4">
      <c r="A2292">
        <v>2289</v>
      </c>
      <c r="B2292" s="12">
        <v>186.94388800975176</v>
      </c>
      <c r="C2292" s="12">
        <v>145.13937363256122</v>
      </c>
      <c r="D2292" s="12">
        <v>125.30458690193031</v>
      </c>
    </row>
    <row r="2293" spans="1:4">
      <c r="A2293">
        <v>2290</v>
      </c>
      <c r="B2293" s="12">
        <v>127.15545764442676</v>
      </c>
      <c r="C2293" s="12">
        <v>147.61393281231975</v>
      </c>
      <c r="D2293" s="12">
        <v>75.324852194503308</v>
      </c>
    </row>
    <row r="2294" spans="1:4">
      <c r="A2294">
        <v>2291</v>
      </c>
      <c r="B2294" s="12">
        <v>120.74737075801984</v>
      </c>
      <c r="C2294" s="12">
        <v>214.63724316150441</v>
      </c>
      <c r="D2294" s="12">
        <v>88.944212904581462</v>
      </c>
    </row>
    <row r="2295" spans="1:4">
      <c r="A2295">
        <v>2292</v>
      </c>
      <c r="B2295" s="12">
        <v>141.48479911252497</v>
      </c>
      <c r="C2295" s="12">
        <v>169.4755369245853</v>
      </c>
      <c r="D2295" s="12">
        <v>93.307689072056633</v>
      </c>
    </row>
    <row r="2296" spans="1:4">
      <c r="A2296">
        <v>2293</v>
      </c>
      <c r="B2296" s="12">
        <v>172.34896050876813</v>
      </c>
      <c r="C2296" s="12">
        <v>169.99784337390852</v>
      </c>
      <c r="D2296" s="12">
        <v>110.51538779565611</v>
      </c>
    </row>
    <row r="2297" spans="1:4">
      <c r="A2297">
        <v>2294</v>
      </c>
      <c r="B2297" s="12">
        <v>209.37544828631528</v>
      </c>
      <c r="C2297" s="12">
        <v>135.70218193138012</v>
      </c>
      <c r="D2297" s="12">
        <v>80.802591440645514</v>
      </c>
    </row>
    <row r="2298" spans="1:4">
      <c r="A2298">
        <v>2295</v>
      </c>
      <c r="B2298" s="12">
        <v>174.56094107540682</v>
      </c>
      <c r="C2298" s="12">
        <v>165.22308157389872</v>
      </c>
      <c r="D2298" s="12">
        <v>130.37748502506497</v>
      </c>
    </row>
    <row r="2299" spans="1:4">
      <c r="A2299">
        <v>2296</v>
      </c>
      <c r="B2299" s="12">
        <v>143.13935049568934</v>
      </c>
      <c r="C2299" s="12">
        <v>194.93495781956634</v>
      </c>
      <c r="D2299" s="12">
        <v>99.476485210341977</v>
      </c>
    </row>
    <row r="2300" spans="1:4">
      <c r="A2300">
        <v>2297</v>
      </c>
      <c r="B2300" s="12">
        <v>195.47981617973304</v>
      </c>
      <c r="C2300" s="12">
        <v>150.35946184690795</v>
      </c>
      <c r="D2300" s="12">
        <v>102.86087780460394</v>
      </c>
    </row>
    <row r="2301" spans="1:4">
      <c r="A2301">
        <v>2298</v>
      </c>
      <c r="B2301" s="12">
        <v>220.69422734943117</v>
      </c>
      <c r="C2301" s="12">
        <v>122.89018994297449</v>
      </c>
      <c r="D2301" s="12">
        <v>134.71870353907968</v>
      </c>
    </row>
    <row r="2302" spans="1:4">
      <c r="A2302">
        <v>2299</v>
      </c>
      <c r="B2302" s="12">
        <v>159.70026730264846</v>
      </c>
      <c r="C2302" s="12">
        <v>148.01830403832275</v>
      </c>
      <c r="D2302" s="12">
        <v>92.875071453027346</v>
      </c>
    </row>
    <row r="2303" spans="1:4">
      <c r="A2303">
        <v>2300</v>
      </c>
      <c r="B2303" s="12">
        <v>149.43957732619987</v>
      </c>
      <c r="C2303" s="12">
        <v>152.53453839501591</v>
      </c>
      <c r="D2303" s="12">
        <v>77.145847045162299</v>
      </c>
    </row>
    <row r="2304" spans="1:4">
      <c r="A2304">
        <v>2301</v>
      </c>
      <c r="B2304" s="12">
        <v>106.99629769905775</v>
      </c>
      <c r="C2304" s="12">
        <v>133.80380271811728</v>
      </c>
      <c r="D2304" s="12">
        <v>120.53500791651787</v>
      </c>
    </row>
    <row r="2305" spans="1:4">
      <c r="A2305">
        <v>2302</v>
      </c>
      <c r="B2305" s="12">
        <v>141.09395241512428</v>
      </c>
      <c r="C2305" s="12">
        <v>225.51462446815884</v>
      </c>
      <c r="D2305" s="12">
        <v>86.809961229587884</v>
      </c>
    </row>
    <row r="2306" spans="1:4">
      <c r="A2306">
        <v>2303</v>
      </c>
      <c r="B2306" s="12">
        <v>150.40823615615844</v>
      </c>
      <c r="C2306" s="12">
        <v>150.6033361879187</v>
      </c>
      <c r="D2306" s="12">
        <v>84.34505700529229</v>
      </c>
    </row>
    <row r="2307" spans="1:4">
      <c r="A2307">
        <v>2304</v>
      </c>
      <c r="B2307" s="12">
        <v>188.35223339001683</v>
      </c>
      <c r="C2307" s="12">
        <v>143.11211692952926</v>
      </c>
      <c r="D2307" s="12">
        <v>140.22041080699969</v>
      </c>
    </row>
    <row r="2308" spans="1:4">
      <c r="A2308">
        <v>2305</v>
      </c>
      <c r="B2308" s="12">
        <v>170.60068575727487</v>
      </c>
      <c r="C2308" s="12">
        <v>155.52909671290212</v>
      </c>
      <c r="D2308" s="12">
        <v>85.813658086206672</v>
      </c>
    </row>
    <row r="2309" spans="1:4">
      <c r="A2309">
        <v>2306</v>
      </c>
      <c r="B2309" s="12">
        <v>180.42532006365914</v>
      </c>
      <c r="C2309" s="12">
        <v>154.87721120003113</v>
      </c>
      <c r="D2309" s="12">
        <v>87.9682467376105</v>
      </c>
    </row>
    <row r="2310" spans="1:4">
      <c r="A2310">
        <v>2307</v>
      </c>
      <c r="B2310" s="12">
        <v>170.19752627945962</v>
      </c>
      <c r="C2310" s="12">
        <v>175.50970048316725</v>
      </c>
      <c r="D2310" s="12">
        <v>96.804442029398487</v>
      </c>
    </row>
    <row r="2311" spans="1:4">
      <c r="A2311">
        <v>2308</v>
      </c>
      <c r="B2311" s="12">
        <v>157.1557876215206</v>
      </c>
      <c r="C2311" s="12">
        <v>136.01102173513519</v>
      </c>
      <c r="D2311" s="12">
        <v>151.36412518678466</v>
      </c>
    </row>
    <row r="2312" spans="1:4">
      <c r="A2312">
        <v>2309</v>
      </c>
      <c r="B2312" s="12">
        <v>158.49119707152391</v>
      </c>
      <c r="C2312" s="12">
        <v>188.22957227241031</v>
      </c>
      <c r="D2312" s="12">
        <v>73.992496197658639</v>
      </c>
    </row>
    <row r="2313" spans="1:4">
      <c r="A2313">
        <v>2310</v>
      </c>
      <c r="B2313" s="12">
        <v>153.66561598215739</v>
      </c>
      <c r="C2313" s="12">
        <v>120.11145489643187</v>
      </c>
      <c r="D2313" s="12">
        <v>92.442448133156091</v>
      </c>
    </row>
    <row r="2314" spans="1:4">
      <c r="A2314">
        <v>2311</v>
      </c>
      <c r="B2314" s="12">
        <v>123.36306761409504</v>
      </c>
      <c r="C2314" s="12">
        <v>135.50271174019753</v>
      </c>
      <c r="D2314" s="12">
        <v>114.43515874122861</v>
      </c>
    </row>
    <row r="2315" spans="1:4">
      <c r="A2315">
        <v>2312</v>
      </c>
      <c r="B2315" s="12">
        <v>158.72677784303832</v>
      </c>
      <c r="C2315" s="12">
        <v>149.95913596873029</v>
      </c>
      <c r="D2315" s="12">
        <v>86.537431145087069</v>
      </c>
    </row>
    <row r="2316" spans="1:4">
      <c r="A2316">
        <v>2313</v>
      </c>
      <c r="B2316" s="12">
        <v>176.84346503056489</v>
      </c>
      <c r="C2316" s="12">
        <v>160.89666129661094</v>
      </c>
      <c r="D2316" s="12">
        <v>60.173077561764323</v>
      </c>
    </row>
    <row r="2317" spans="1:4">
      <c r="A2317">
        <v>2314</v>
      </c>
      <c r="B2317" s="12">
        <v>157.52206219545565</v>
      </c>
      <c r="C2317" s="12">
        <v>194.05969917271074</v>
      </c>
      <c r="D2317" s="12">
        <v>61.641634267032281</v>
      </c>
    </row>
    <row r="2318" spans="1:4">
      <c r="A2318">
        <v>2315</v>
      </c>
      <c r="B2318" s="12">
        <v>242.69245268949476</v>
      </c>
      <c r="C2318" s="12">
        <v>134.8711715180425</v>
      </c>
      <c r="D2318" s="12">
        <v>83.129451363742561</v>
      </c>
    </row>
    <row r="2319" spans="1:4">
      <c r="A2319">
        <v>2316</v>
      </c>
      <c r="B2319" s="12">
        <v>165.02845973137633</v>
      </c>
      <c r="C2319" s="12">
        <v>199.23013814242628</v>
      </c>
      <c r="D2319" s="12">
        <v>167.8651696878035</v>
      </c>
    </row>
    <row r="2320" spans="1:4">
      <c r="A2320">
        <v>2317</v>
      </c>
      <c r="B2320" s="12">
        <v>128.49544976702035</v>
      </c>
      <c r="C2320" s="12">
        <v>145.64302285343896</v>
      </c>
      <c r="D2320" s="12">
        <v>82.84170416957042</v>
      </c>
    </row>
    <row r="2321" spans="1:4">
      <c r="A2321">
        <v>2318</v>
      </c>
      <c r="B2321" s="12">
        <v>197.85403635729014</v>
      </c>
      <c r="C2321" s="12">
        <v>128.131762169973</v>
      </c>
      <c r="D2321" s="12">
        <v>98.0474285915531</v>
      </c>
    </row>
    <row r="2322" spans="1:4">
      <c r="A2322">
        <v>2319</v>
      </c>
      <c r="B2322" s="12">
        <v>207.0472448898584</v>
      </c>
      <c r="C2322" s="12">
        <v>138.07246517008224</v>
      </c>
      <c r="D2322" s="12">
        <v>72.724062278148438</v>
      </c>
    </row>
    <row r="2323" spans="1:4">
      <c r="A2323">
        <v>2320</v>
      </c>
      <c r="B2323" s="12">
        <v>222.00084780955785</v>
      </c>
      <c r="C2323" s="12">
        <v>156.68240309598713</v>
      </c>
      <c r="D2323" s="12">
        <v>115.0225207662431</v>
      </c>
    </row>
    <row r="2324" spans="1:4">
      <c r="A2324">
        <v>2321</v>
      </c>
      <c r="B2324" s="12">
        <v>183.7439527455428</v>
      </c>
      <c r="C2324" s="12">
        <v>166.75380839835361</v>
      </c>
      <c r="D2324" s="12">
        <v>122.38373574925917</v>
      </c>
    </row>
    <row r="2325" spans="1:4">
      <c r="A2325">
        <v>2322</v>
      </c>
      <c r="B2325" s="12">
        <v>160.6780570839488</v>
      </c>
      <c r="C2325" s="12">
        <v>146.05412037154076</v>
      </c>
      <c r="D2325" s="12">
        <v>99.204518319358996</v>
      </c>
    </row>
    <row r="2326" spans="1:4">
      <c r="A2326">
        <v>2323</v>
      </c>
      <c r="B2326" s="12">
        <v>116.34005130695262</v>
      </c>
      <c r="C2326" s="12">
        <v>144.30649684094632</v>
      </c>
      <c r="D2326" s="12">
        <v>87.255360496210628</v>
      </c>
    </row>
    <row r="2327" spans="1:4">
      <c r="A2327">
        <v>2324</v>
      </c>
      <c r="B2327" s="12">
        <v>173.44678967364194</v>
      </c>
      <c r="C2327" s="12">
        <v>167.54013711790776</v>
      </c>
      <c r="D2327" s="12">
        <v>119.03907665422335</v>
      </c>
    </row>
    <row r="2328" spans="1:4">
      <c r="A2328">
        <v>2325</v>
      </c>
      <c r="B2328" s="12">
        <v>169.79622003666105</v>
      </c>
      <c r="C2328" s="12">
        <v>121.89082598586975</v>
      </c>
      <c r="D2328" s="12">
        <v>90.349146303547528</v>
      </c>
    </row>
    <row r="2329" spans="1:4">
      <c r="A2329">
        <v>2326</v>
      </c>
      <c r="B2329" s="12">
        <v>135.02886770895978</v>
      </c>
      <c r="C2329" s="12">
        <v>190.70243583010745</v>
      </c>
      <c r="D2329" s="12">
        <v>103.89929813175182</v>
      </c>
    </row>
    <row r="2330" spans="1:4">
      <c r="A2330">
        <v>2327</v>
      </c>
      <c r="B2330" s="12">
        <v>171.93721077194527</v>
      </c>
      <c r="C2330" s="12">
        <v>244.30402553398125</v>
      </c>
      <c r="D2330" s="12">
        <v>103.14460366509387</v>
      </c>
    </row>
    <row r="2331" spans="1:4">
      <c r="A2331">
        <v>2328</v>
      </c>
      <c r="B2331" s="12">
        <v>175.26193622966409</v>
      </c>
      <c r="C2331" s="12">
        <v>189.99321789195301</v>
      </c>
      <c r="D2331" s="12">
        <v>70.790547511717506</v>
      </c>
    </row>
    <row r="2332" spans="1:4">
      <c r="A2332">
        <v>2329</v>
      </c>
      <c r="B2332" s="12">
        <v>162.40905348644819</v>
      </c>
      <c r="C2332" s="12">
        <v>173.56446646193788</v>
      </c>
      <c r="D2332" s="12">
        <v>101.10233890246245</v>
      </c>
    </row>
    <row r="2333" spans="1:4">
      <c r="A2333">
        <v>2330</v>
      </c>
      <c r="B2333" s="12">
        <v>139.39916640071988</v>
      </c>
      <c r="C2333" s="12">
        <v>174.89181249045828</v>
      </c>
      <c r="D2333" s="12">
        <v>80.195493589896586</v>
      </c>
    </row>
    <row r="2334" spans="1:4">
      <c r="A2334">
        <v>2331</v>
      </c>
      <c r="B2334" s="12">
        <v>131.96502179976233</v>
      </c>
      <c r="C2334" s="12">
        <v>170.31996461539012</v>
      </c>
      <c r="D2334" s="12">
        <v>91.217531049424878</v>
      </c>
    </row>
    <row r="2335" spans="1:4">
      <c r="A2335">
        <v>2332</v>
      </c>
      <c r="B2335" s="12">
        <v>182.93927728567056</v>
      </c>
      <c r="C2335" s="12">
        <v>151.00326348108194</v>
      </c>
      <c r="D2335" s="12">
        <v>100.64908708493269</v>
      </c>
    </row>
    <row r="2336" spans="1:4">
      <c r="A2336">
        <v>2333</v>
      </c>
      <c r="B2336" s="12">
        <v>94.359919525711732</v>
      </c>
      <c r="C2336" s="12">
        <v>156.02484649657387</v>
      </c>
      <c r="D2336" s="12">
        <v>117.99287313212454</v>
      </c>
    </row>
    <row r="2337" spans="1:4">
      <c r="A2337">
        <v>2334</v>
      </c>
      <c r="B2337" s="12">
        <v>173.02917725154339</v>
      </c>
      <c r="C2337" s="12">
        <v>206.56073071319676</v>
      </c>
      <c r="D2337" s="12">
        <v>143.1585330645718</v>
      </c>
    </row>
    <row r="2338" spans="1:4">
      <c r="A2338">
        <v>2335</v>
      </c>
      <c r="B2338" s="12">
        <v>148.09811764065907</v>
      </c>
      <c r="C2338" s="12">
        <v>173.92336247774529</v>
      </c>
      <c r="D2338" s="12">
        <v>82.552377368199984</v>
      </c>
    </row>
    <row r="2339" spans="1:4">
      <c r="A2339">
        <v>2336</v>
      </c>
      <c r="B2339" s="12">
        <v>118.99315048127525</v>
      </c>
      <c r="C2339" s="12">
        <v>109.30763956567176</v>
      </c>
      <c r="D2339" s="12">
        <v>82.366188231902328</v>
      </c>
    </row>
    <row r="2340" spans="1:4">
      <c r="A2340">
        <v>2337</v>
      </c>
      <c r="B2340" s="12">
        <v>168.09785397901149</v>
      </c>
      <c r="C2340" s="12">
        <v>182.32629897609118</v>
      </c>
      <c r="D2340" s="12">
        <v>84.063319535928585</v>
      </c>
    </row>
    <row r="2341" spans="1:4">
      <c r="A2341">
        <v>2338</v>
      </c>
      <c r="B2341" s="12">
        <v>103.08366735832651</v>
      </c>
      <c r="C2341" s="12">
        <v>136.31684666551064</v>
      </c>
      <c r="D2341" s="12">
        <v>111.71174727828983</v>
      </c>
    </row>
    <row r="2342" spans="1:4">
      <c r="A2342">
        <v>2339</v>
      </c>
      <c r="B2342" s="12">
        <v>167.70544154764838</v>
      </c>
      <c r="C2342" s="12">
        <v>129.63093128454983</v>
      </c>
      <c r="D2342" s="12">
        <v>76.592574148412083</v>
      </c>
    </row>
    <row r="2343" spans="1:4">
      <c r="A2343">
        <v>2340</v>
      </c>
      <c r="B2343" s="12">
        <v>194.45226538075113</v>
      </c>
      <c r="C2343" s="12">
        <v>134.01545429506749</v>
      </c>
      <c r="D2343" s="12">
        <v>85.360665314815535</v>
      </c>
    </row>
    <row r="2344" spans="1:4">
      <c r="A2344">
        <v>2341</v>
      </c>
      <c r="B2344" s="12">
        <v>156.1902116569002</v>
      </c>
      <c r="C2344" s="12">
        <v>138.36056097609108</v>
      </c>
      <c r="D2344" s="12">
        <v>130.96371702095402</v>
      </c>
    </row>
    <row r="2345" spans="1:4">
      <c r="A2345">
        <v>2342</v>
      </c>
      <c r="B2345" s="12">
        <v>99.102750174605447</v>
      </c>
      <c r="C2345" s="12">
        <v>114.39182340918485</v>
      </c>
      <c r="D2345" s="12">
        <v>197.04964803944128</v>
      </c>
    </row>
    <row r="2346" spans="1:4">
      <c r="A2346">
        <v>2343</v>
      </c>
      <c r="B2346" s="12">
        <v>119.43024544612641</v>
      </c>
      <c r="C2346" s="12">
        <v>157.34386951354421</v>
      </c>
      <c r="D2346" s="12">
        <v>112.2615554318501</v>
      </c>
    </row>
    <row r="2347" spans="1:4">
      <c r="A2347">
        <v>2344</v>
      </c>
      <c r="B2347" s="12">
        <v>197.18819592200788</v>
      </c>
      <c r="C2347" s="12">
        <v>148.42167972546713</v>
      </c>
      <c r="D2347" s="12">
        <v>109.9862908983372</v>
      </c>
    </row>
    <row r="2348" spans="1:4">
      <c r="A2348">
        <v>2345</v>
      </c>
      <c r="B2348" s="12">
        <v>174.13700038027346</v>
      </c>
      <c r="C2348" s="12">
        <v>196.46494793965775</v>
      </c>
      <c r="D2348" s="12">
        <v>49.606415387082848</v>
      </c>
    </row>
    <row r="2349" spans="1:4">
      <c r="A2349">
        <v>2346</v>
      </c>
      <c r="B2349" s="12">
        <v>113.31277734016595</v>
      </c>
      <c r="C2349" s="12">
        <v>189.30765522440737</v>
      </c>
      <c r="D2349" s="12">
        <v>91.914836620784627</v>
      </c>
    </row>
    <row r="2350" spans="1:4">
      <c r="A2350">
        <v>2347</v>
      </c>
      <c r="B2350" s="12">
        <v>179.20808341644118</v>
      </c>
      <c r="C2350" s="12">
        <v>156.8424829635558</v>
      </c>
      <c r="D2350" s="12">
        <v>81.294115750292363</v>
      </c>
    </row>
    <row r="2351" spans="1:4">
      <c r="A2351">
        <v>2348</v>
      </c>
      <c r="B2351" s="12">
        <v>210.29874315468243</v>
      </c>
      <c r="C2351" s="12">
        <v>193.22259404914504</v>
      </c>
      <c r="D2351" s="12">
        <v>87.698814164436314</v>
      </c>
    </row>
    <row r="2352" spans="1:4">
      <c r="A2352">
        <v>2349</v>
      </c>
      <c r="B2352" s="12">
        <v>207.91119625219824</v>
      </c>
      <c r="C2352" s="12">
        <v>201.19146914271872</v>
      </c>
      <c r="D2352" s="12">
        <v>80.995170576230791</v>
      </c>
    </row>
    <row r="2353" spans="1:4">
      <c r="A2353">
        <v>2350</v>
      </c>
      <c r="B2353" s="12">
        <v>128.17494940456842</v>
      </c>
      <c r="C2353" s="12">
        <v>179.1291071635217</v>
      </c>
      <c r="D2353" s="12">
        <v>68.316671827368438</v>
      </c>
    </row>
    <row r="2354" spans="1:4">
      <c r="A2354">
        <v>2351</v>
      </c>
      <c r="B2354" s="12">
        <v>168.49183922536955</v>
      </c>
      <c r="C2354" s="12">
        <v>159.52189579281344</v>
      </c>
      <c r="D2354" s="12">
        <v>70.058386686438268</v>
      </c>
    </row>
    <row r="2355" spans="1:4">
      <c r="A2355">
        <v>2352</v>
      </c>
      <c r="B2355" s="12">
        <v>139.79836904797068</v>
      </c>
      <c r="C2355" s="12">
        <v>155.12375970010882</v>
      </c>
      <c r="D2355" s="12">
        <v>62.447919847103151</v>
      </c>
    </row>
    <row r="2356" spans="1:4">
      <c r="A2356">
        <v>2353</v>
      </c>
      <c r="B2356" s="12">
        <v>154.62812808017941</v>
      </c>
      <c r="C2356" s="12">
        <v>112.19807302057177</v>
      </c>
      <c r="D2356" s="12">
        <v>98.759784832851196</v>
      </c>
    </row>
    <row r="2357" spans="1:4">
      <c r="A2357">
        <v>2354</v>
      </c>
      <c r="B2357" s="12">
        <v>200.83585903661228</v>
      </c>
      <c r="C2357" s="12">
        <v>144.46978866652773</v>
      </c>
      <c r="D2357" s="12">
        <v>129.44149438355743</v>
      </c>
    </row>
    <row r="2358" spans="1:4">
      <c r="A2358">
        <v>2355</v>
      </c>
      <c r="B2358" s="12">
        <v>110.77673048120667</v>
      </c>
      <c r="C2358" s="12">
        <v>195.51757456796543</v>
      </c>
      <c r="D2358" s="12">
        <v>85.53785589501075</v>
      </c>
    </row>
    <row r="2359" spans="1:4">
      <c r="A2359">
        <v>2356</v>
      </c>
      <c r="B2359" s="12">
        <v>241.01147228840316</v>
      </c>
      <c r="C2359" s="12">
        <v>148.91227818963381</v>
      </c>
      <c r="D2359" s="12">
        <v>68.813164471804996</v>
      </c>
    </row>
    <row r="2360" spans="1:4">
      <c r="A2360">
        <v>2357</v>
      </c>
      <c r="B2360" s="12">
        <v>142.89359067973592</v>
      </c>
      <c r="C2360" s="12">
        <v>149.31389866864555</v>
      </c>
      <c r="D2360" s="12">
        <v>88.676837290905155</v>
      </c>
    </row>
    <row r="2361" spans="1:4">
      <c r="A2361">
        <v>2358</v>
      </c>
      <c r="B2361" s="12">
        <v>167.0649483693966</v>
      </c>
      <c r="C2361" s="12">
        <v>186.60129005970171</v>
      </c>
      <c r="D2361" s="12">
        <v>76.809831985536917</v>
      </c>
    </row>
    <row r="2362" spans="1:4">
      <c r="A2362">
        <v>2359</v>
      </c>
      <c r="B2362" s="12">
        <v>144.90339679393642</v>
      </c>
      <c r="C2362" s="12">
        <v>145.39155393241563</v>
      </c>
      <c r="D2362" s="12">
        <v>101.37977616507979</v>
      </c>
    </row>
    <row r="2363" spans="1:4">
      <c r="A2363">
        <v>2360</v>
      </c>
      <c r="B2363" s="12">
        <v>254.93431948059302</v>
      </c>
      <c r="C2363" s="12">
        <v>186.0150917148342</v>
      </c>
      <c r="D2363" s="12">
        <v>96.101343214162881</v>
      </c>
    </row>
    <row r="2364" spans="1:4">
      <c r="A2364">
        <v>2361</v>
      </c>
      <c r="B2364" s="12">
        <v>160.07002168978204</v>
      </c>
      <c r="C2364" s="12">
        <v>127.41596550083017</v>
      </c>
      <c r="D2364" s="12">
        <v>81.5910619299312</v>
      </c>
    </row>
    <row r="2365" spans="1:4">
      <c r="A2365">
        <v>2362</v>
      </c>
      <c r="B2365" s="12">
        <v>171.26624912495132</v>
      </c>
      <c r="C2365" s="12">
        <v>172.63604489708305</v>
      </c>
      <c r="D2365" s="12">
        <v>103.32693107510715</v>
      </c>
    </row>
    <row r="2366" spans="1:4">
      <c r="A2366">
        <v>2363</v>
      </c>
      <c r="B2366" s="12">
        <v>128.99034034817885</v>
      </c>
      <c r="C2366" s="12">
        <v>122.50831220196562</v>
      </c>
      <c r="D2366" s="12">
        <v>67.990491013582542</v>
      </c>
    </row>
    <row r="2367" spans="1:4">
      <c r="A2367">
        <v>2364</v>
      </c>
      <c r="B2367" s="12">
        <v>110.1033007131244</v>
      </c>
      <c r="C2367" s="12">
        <v>131.02818907362709</v>
      </c>
      <c r="D2367" s="12">
        <v>132.57421853339434</v>
      </c>
    </row>
    <row r="2368" spans="1:4">
      <c r="A2368">
        <v>2365</v>
      </c>
      <c r="B2368" s="12">
        <v>263.09991837512581</v>
      </c>
      <c r="C2368" s="12">
        <v>129.23027173886277</v>
      </c>
      <c r="D2368" s="12">
        <v>95.931165136550064</v>
      </c>
    </row>
    <row r="2369" spans="1:4">
      <c r="A2369">
        <v>2366</v>
      </c>
      <c r="B2369" s="12">
        <v>238.57446585698835</v>
      </c>
      <c r="C2369" s="12">
        <v>198.13280208243847</v>
      </c>
      <c r="D2369" s="12">
        <v>83.31296769745363</v>
      </c>
    </row>
    <row r="2370" spans="1:4">
      <c r="A2370">
        <v>2367</v>
      </c>
      <c r="B2370" s="12">
        <v>112.7287939005184</v>
      </c>
      <c r="C2370" s="12">
        <v>127.85555142309161</v>
      </c>
      <c r="D2370" s="12">
        <v>155.25768408869791</v>
      </c>
    </row>
    <row r="2371" spans="1:4">
      <c r="A2371">
        <v>2368</v>
      </c>
      <c r="B2371" s="12">
        <v>155.59123247423167</v>
      </c>
      <c r="C2371" s="12">
        <v>220.39627754860632</v>
      </c>
      <c r="D2371" s="12">
        <v>105.43494641698598</v>
      </c>
    </row>
    <row r="2372" spans="1:4">
      <c r="A2372">
        <v>2369</v>
      </c>
      <c r="B2372" s="12">
        <v>165.65719151062223</v>
      </c>
      <c r="C2372" s="12">
        <v>135.18863355133107</v>
      </c>
      <c r="D2372" s="12">
        <v>166.07810449588152</v>
      </c>
    </row>
    <row r="2373" spans="1:4">
      <c r="A2373">
        <v>2370</v>
      </c>
      <c r="B2373" s="12">
        <v>149.80678812221231</v>
      </c>
      <c r="C2373" s="12">
        <v>134.34262138853558</v>
      </c>
      <c r="D2373" s="12">
        <v>46.2334261772098</v>
      </c>
    </row>
    <row r="2374" spans="1:4">
      <c r="A2374">
        <v>2371</v>
      </c>
      <c r="B2374" s="12">
        <v>140.84265063535014</v>
      </c>
      <c r="C2374" s="12">
        <v>153.17937940129278</v>
      </c>
      <c r="D2374" s="12">
        <v>74.365686485021826</v>
      </c>
    </row>
    <row r="2375" spans="1:4">
      <c r="A2375">
        <v>2372</v>
      </c>
      <c r="B2375" s="12">
        <v>125.41418267289782</v>
      </c>
      <c r="C2375" s="12">
        <v>187.20359187498144</v>
      </c>
      <c r="D2375" s="12">
        <v>138.58701973223441</v>
      </c>
    </row>
    <row r="2376" spans="1:4">
      <c r="A2376">
        <v>2373</v>
      </c>
      <c r="B2376" s="12">
        <v>153.89908611005654</v>
      </c>
      <c r="C2376" s="12">
        <v>159.78016016377686</v>
      </c>
      <c r="D2376" s="12">
        <v>127.46778676696438</v>
      </c>
    </row>
    <row r="2377" spans="1:4">
      <c r="A2377">
        <v>2374</v>
      </c>
      <c r="B2377" s="12">
        <v>149.07186103624062</v>
      </c>
      <c r="C2377" s="12">
        <v>171.1849817386458</v>
      </c>
      <c r="D2377" s="12">
        <v>89.115224480399689</v>
      </c>
    </row>
    <row r="2378" spans="1:4">
      <c r="A2378">
        <v>2375</v>
      </c>
      <c r="B2378" s="12">
        <v>196.11860588136773</v>
      </c>
      <c r="C2378" s="12">
        <v>131.26505035914889</v>
      </c>
      <c r="D2378" s="12">
        <v>91.745776414814941</v>
      </c>
    </row>
    <row r="2379" spans="1:4">
      <c r="A2379">
        <v>2376</v>
      </c>
      <c r="B2379" s="12">
        <v>127.66886377375361</v>
      </c>
      <c r="C2379" s="12">
        <v>126.67087734807801</v>
      </c>
      <c r="D2379" s="12">
        <v>174.7218156021199</v>
      </c>
    </row>
    <row r="2380" spans="1:4">
      <c r="A2380">
        <v>2377</v>
      </c>
      <c r="B2380" s="12">
        <v>146.88148485653576</v>
      </c>
      <c r="C2380" s="12">
        <v>141.28620271193543</v>
      </c>
      <c r="D2380" s="12">
        <v>116.35849464486435</v>
      </c>
    </row>
    <row r="2381" spans="1:4">
      <c r="A2381">
        <v>2378</v>
      </c>
      <c r="B2381" s="12">
        <v>152.93654215790775</v>
      </c>
      <c r="C2381" s="12">
        <v>161.86142856353464</v>
      </c>
      <c r="D2381" s="12">
        <v>116.97626152838836</v>
      </c>
    </row>
    <row r="2382" spans="1:4">
      <c r="A2382">
        <v>2379</v>
      </c>
      <c r="B2382" s="12">
        <v>176.40533274969735</v>
      </c>
      <c r="C2382" s="12">
        <v>185.085657137732</v>
      </c>
      <c r="D2382" s="12">
        <v>79.379390635652229</v>
      </c>
    </row>
    <row r="2383" spans="1:4">
      <c r="A2383">
        <v>2380</v>
      </c>
      <c r="B2383" s="12">
        <v>135.45662245290637</v>
      </c>
      <c r="C2383" s="12">
        <v>163.28983210301695</v>
      </c>
      <c r="D2383" s="12">
        <v>111.37994821723544</v>
      </c>
    </row>
    <row r="2384" spans="1:4">
      <c r="A2384">
        <v>2381</v>
      </c>
      <c r="B2384" s="12">
        <v>202.7947689395447</v>
      </c>
      <c r="C2384" s="12">
        <v>142.42247252972922</v>
      </c>
      <c r="D2384" s="12">
        <v>148.04439516986255</v>
      </c>
    </row>
    <row r="2385" spans="1:4">
      <c r="A2385">
        <v>2382</v>
      </c>
      <c r="B2385" s="12">
        <v>161.42195650764086</v>
      </c>
      <c r="C2385" s="12">
        <v>176.53269838822337</v>
      </c>
      <c r="D2385" s="12">
        <v>94.701796516823663</v>
      </c>
    </row>
    <row r="2386" spans="1:4">
      <c r="A2386">
        <v>2383</v>
      </c>
      <c r="B2386" s="12">
        <v>166.04210582909423</v>
      </c>
      <c r="C2386" s="12">
        <v>191.92260213459602</v>
      </c>
      <c r="D2386" s="12">
        <v>66.925909752978683</v>
      </c>
    </row>
    <row r="2387" spans="1:4">
      <c r="A2387">
        <v>2384</v>
      </c>
      <c r="B2387" s="12">
        <v>208.47574512395011</v>
      </c>
      <c r="C2387" s="12">
        <v>153.58065345327861</v>
      </c>
      <c r="D2387" s="12">
        <v>92.178682419181385</v>
      </c>
    </row>
    <row r="2388" spans="1:4">
      <c r="A2388">
        <v>2385</v>
      </c>
      <c r="B2388" s="12">
        <v>152.33822438971339</v>
      </c>
      <c r="C2388" s="12">
        <v>146.71236698807883</v>
      </c>
      <c r="D2388" s="12">
        <v>97.071442326645084</v>
      </c>
    </row>
    <row r="2389" spans="1:4">
      <c r="A2389">
        <v>2386</v>
      </c>
      <c r="B2389" s="12">
        <v>130.26732712278715</v>
      </c>
      <c r="C2389" s="12">
        <v>116.54668117928213</v>
      </c>
      <c r="D2389" s="12">
        <v>77.478171703700497</v>
      </c>
    </row>
    <row r="2390" spans="1:4">
      <c r="A2390">
        <v>2387</v>
      </c>
      <c r="B2390" s="12">
        <v>189.8029421945412</v>
      </c>
      <c r="C2390" s="12">
        <v>141.01718495206026</v>
      </c>
      <c r="D2390" s="12">
        <v>190.23556598002079</v>
      </c>
    </row>
    <row r="2391" spans="1:4">
      <c r="A2391">
        <v>2388</v>
      </c>
      <c r="B2391" s="12">
        <v>143.90301353654678</v>
      </c>
      <c r="C2391" s="12">
        <v>147.36690207392741</v>
      </c>
      <c r="D2391" s="12">
        <v>94.966264747651778</v>
      </c>
    </row>
    <row r="2392" spans="1:4">
      <c r="A2392">
        <v>2389</v>
      </c>
      <c r="B2392" s="12">
        <v>140.44878486580367</v>
      </c>
      <c r="C2392" s="12">
        <v>172.07245216969781</v>
      </c>
      <c r="D2392" s="12">
        <v>86.984108669885273</v>
      </c>
    </row>
    <row r="2393" spans="1:4">
      <c r="A2393">
        <v>2390</v>
      </c>
      <c r="B2393" s="12">
        <v>215.63441580515232</v>
      </c>
      <c r="C2393" s="12">
        <v>160.72842889340538</v>
      </c>
      <c r="D2393" s="12">
        <v>100.37391041214882</v>
      </c>
    </row>
    <row r="2394" spans="1:4">
      <c r="A2394">
        <v>2391</v>
      </c>
      <c r="B2394" s="12">
        <v>142.50870308240451</v>
      </c>
      <c r="C2394" s="12">
        <v>167.04984865915816</v>
      </c>
      <c r="D2394" s="12">
        <v>99.651057479833227</v>
      </c>
    </row>
    <row r="2395" spans="1:4">
      <c r="A2395">
        <v>2392</v>
      </c>
      <c r="B2395" s="12">
        <v>145.52087218350556</v>
      </c>
      <c r="C2395" s="12">
        <v>160.46664295312928</v>
      </c>
      <c r="D2395" s="12">
        <v>123.57876759952816</v>
      </c>
    </row>
    <row r="2396" spans="1:4">
      <c r="A2396">
        <v>2393</v>
      </c>
      <c r="B2396" s="12">
        <v>157.75687846128591</v>
      </c>
      <c r="C2396" s="12">
        <v>151.89056300472609</v>
      </c>
      <c r="D2396" s="12">
        <v>79.690516692179642</v>
      </c>
    </row>
    <row r="2397" spans="1:4">
      <c r="A2397">
        <v>2394</v>
      </c>
      <c r="B2397" s="12">
        <v>230.00198184724036</v>
      </c>
      <c r="C2397" s="12">
        <v>152.77861922477931</v>
      </c>
      <c r="D2397" s="12">
        <v>139.3903921091856</v>
      </c>
    </row>
    <row r="2398" spans="1:4">
      <c r="A2398">
        <v>2395</v>
      </c>
      <c r="B2398" s="12">
        <v>125.76143686126142</v>
      </c>
      <c r="C2398" s="12">
        <v>149.55841000935661</v>
      </c>
      <c r="D2398" s="12">
        <v>64.343118699424352</v>
      </c>
    </row>
    <row r="2399" spans="1:4">
      <c r="A2399">
        <v>2396</v>
      </c>
      <c r="B2399" s="12">
        <v>151.73946235326156</v>
      </c>
      <c r="C2399" s="12">
        <v>128.55510095677087</v>
      </c>
      <c r="D2399" s="12">
        <v>79.178714848564482</v>
      </c>
    </row>
    <row r="2400" spans="1:4">
      <c r="A2400">
        <v>2397</v>
      </c>
      <c r="B2400" s="12">
        <v>181.66834950134552</v>
      </c>
      <c r="C2400" s="12">
        <v>152.93504009909381</v>
      </c>
      <c r="D2400" s="12">
        <v>94.268335248632013</v>
      </c>
    </row>
    <row r="2401" spans="1:4">
      <c r="A2401">
        <v>2398</v>
      </c>
      <c r="B2401" s="12">
        <v>143.52186204595756</v>
      </c>
      <c r="C2401" s="12">
        <v>164.75790006852807</v>
      </c>
      <c r="D2401" s="12">
        <v>106.40872640017895</v>
      </c>
    </row>
    <row r="2402" spans="1:4">
      <c r="A2402">
        <v>2399</v>
      </c>
      <c r="B2402" s="12">
        <v>105.63675188511793</v>
      </c>
      <c r="C2402" s="12">
        <v>152.13437084968785</v>
      </c>
      <c r="D2402" s="12">
        <v>146.9024079906232</v>
      </c>
    </row>
    <row r="2403" spans="1:4">
      <c r="A2403">
        <v>2400</v>
      </c>
      <c r="B2403" s="12">
        <v>107.80723798742652</v>
      </c>
      <c r="C2403" s="12">
        <v>204.90686499943962</v>
      </c>
      <c r="D2403" s="12">
        <v>78.544761548118558</v>
      </c>
    </row>
    <row r="2404" spans="1:4">
      <c r="A2404">
        <v>2401</v>
      </c>
      <c r="B2404" s="12">
        <v>138.73948056258601</v>
      </c>
      <c r="C2404" s="12">
        <v>157.09287325264191</v>
      </c>
      <c r="D2404" s="12">
        <v>153.70206912453992</v>
      </c>
    </row>
    <row r="2405" spans="1:4">
      <c r="A2405">
        <v>2402</v>
      </c>
      <c r="B2405" s="12">
        <v>250.97801829679818</v>
      </c>
      <c r="C2405" s="12">
        <v>132.21654215492339</v>
      </c>
      <c r="D2405" s="12">
        <v>89.648023772555234</v>
      </c>
    </row>
    <row r="2406" spans="1:4">
      <c r="A2406">
        <v>2403</v>
      </c>
      <c r="B2406" s="12">
        <v>138.33429863779406</v>
      </c>
      <c r="C2406" s="12">
        <v>178.00713206368479</v>
      </c>
      <c r="D2406" s="12">
        <v>71.913193778316526</v>
      </c>
    </row>
    <row r="2407" spans="1:4">
      <c r="A2407">
        <v>2404</v>
      </c>
      <c r="B2407" s="12">
        <v>159.46375066250971</v>
      </c>
      <c r="C2407" s="12">
        <v>183.66522741947594</v>
      </c>
      <c r="D2407" s="12">
        <v>81.780258448449388</v>
      </c>
    </row>
    <row r="2408" spans="1:4">
      <c r="A2408">
        <v>2405</v>
      </c>
      <c r="B2408" s="12">
        <v>123.94052126594413</v>
      </c>
      <c r="C2408" s="12">
        <v>192.70474007322747</v>
      </c>
      <c r="D2408" s="12">
        <v>101.65812727634757</v>
      </c>
    </row>
    <row r="2409" spans="1:4">
      <c r="A2409">
        <v>2406</v>
      </c>
      <c r="B2409" s="12">
        <v>182.45453956419564</v>
      </c>
      <c r="C2409" s="12">
        <v>169.16076682045997</v>
      </c>
      <c r="D2409" s="12">
        <v>113.16153338029078</v>
      </c>
    </row>
    <row r="2410" spans="1:4">
      <c r="A2410">
        <v>2407</v>
      </c>
      <c r="B2410" s="12">
        <v>192.25550540124138</v>
      </c>
      <c r="C2410" s="12">
        <v>154.22788774021367</v>
      </c>
      <c r="D2410" s="12">
        <v>90.083900355146483</v>
      </c>
    </row>
    <row r="2411" spans="1:4">
      <c r="A2411">
        <v>2408</v>
      </c>
      <c r="B2411" s="12">
        <v>161.04962717678103</v>
      </c>
      <c r="C2411" s="12">
        <v>123.46704626013559</v>
      </c>
      <c r="D2411" s="12">
        <v>88.237063681284894</v>
      </c>
    </row>
    <row r="2412" spans="1:4">
      <c r="A2412">
        <v>2409</v>
      </c>
      <c r="B2412" s="12">
        <v>144.52553134853605</v>
      </c>
      <c r="C2412" s="12">
        <v>162.57106842156833</v>
      </c>
      <c r="D2412" s="12">
        <v>114.08132723197362</v>
      </c>
    </row>
    <row r="2413" spans="1:4">
      <c r="A2413">
        <v>2410</v>
      </c>
      <c r="B2413" s="12">
        <v>187.81409672071717</v>
      </c>
      <c r="C2413" s="12">
        <v>160.20586876711127</v>
      </c>
      <c r="D2413" s="12">
        <v>65.99211528811577</v>
      </c>
    </row>
    <row r="2414" spans="1:4">
      <c r="A2414">
        <v>2411</v>
      </c>
      <c r="B2414" s="12">
        <v>148.83603665619191</v>
      </c>
      <c r="C2414" s="12">
        <v>136.81236432747036</v>
      </c>
      <c r="D2414" s="12">
        <v>142.55645998585899</v>
      </c>
    </row>
    <row r="2415" spans="1:4">
      <c r="A2415">
        <v>2412</v>
      </c>
      <c r="B2415" s="12">
        <v>167.45488829020314</v>
      </c>
      <c r="C2415" s="12">
        <v>161.5949101015064</v>
      </c>
      <c r="D2415" s="12">
        <v>218.32280902851753</v>
      </c>
    </row>
    <row r="2416" spans="1:4">
      <c r="A2416">
        <v>2413</v>
      </c>
      <c r="B2416" s="12">
        <v>166.42833875866654</v>
      </c>
      <c r="C2416" s="12">
        <v>163.74132822158651</v>
      </c>
      <c r="D2416" s="12">
        <v>141.64538546826373</v>
      </c>
    </row>
    <row r="2417" spans="1:4">
      <c r="A2417">
        <v>2414</v>
      </c>
      <c r="B2417" s="12">
        <v>121.15522901275499</v>
      </c>
      <c r="C2417" s="12">
        <v>155.37070150098256</v>
      </c>
      <c r="D2417" s="12">
        <v>121.23129359718183</v>
      </c>
    </row>
    <row r="2418" spans="1:4">
      <c r="A2418">
        <v>2415</v>
      </c>
      <c r="B2418" s="12">
        <v>163.64448476499967</v>
      </c>
      <c r="C2418" s="12">
        <v>139.84797881881326</v>
      </c>
      <c r="D2418" s="12">
        <v>122.83106801786909</v>
      </c>
    </row>
    <row r="2419" spans="1:4">
      <c r="A2419">
        <v>2416</v>
      </c>
      <c r="B2419" s="12">
        <v>134.59767676475096</v>
      </c>
      <c r="C2419" s="12">
        <v>134.66597466679502</v>
      </c>
      <c r="D2419" s="12">
        <v>117.35793880977486</v>
      </c>
    </row>
    <row r="2420" spans="1:4">
      <c r="A2420">
        <v>2417</v>
      </c>
      <c r="B2420" s="12">
        <v>150.04175723588529</v>
      </c>
      <c r="C2420" s="12">
        <v>168.65002506288357</v>
      </c>
      <c r="D2420" s="12">
        <v>95.400632257858689</v>
      </c>
    </row>
    <row r="2421" spans="1:4">
      <c r="A2421">
        <v>2418</v>
      </c>
      <c r="B2421" s="12">
        <v>163.02545952107715</v>
      </c>
      <c r="C2421" s="12">
        <v>106.87972539602566</v>
      </c>
      <c r="D2421" s="12">
        <v>100.92509414015615</v>
      </c>
    </row>
    <row r="2422" spans="1:4">
      <c r="A2422">
        <v>2419</v>
      </c>
      <c r="B2422" s="12">
        <v>186.42084219277643</v>
      </c>
      <c r="C2422" s="12">
        <v>162.30128768637783</v>
      </c>
      <c r="D2422" s="12">
        <v>163.56240748846645</v>
      </c>
    </row>
    <row r="2423" spans="1:4">
      <c r="A2423">
        <v>2420</v>
      </c>
      <c r="B2423" s="12">
        <v>219.43933720420918</v>
      </c>
      <c r="C2423" s="12">
        <v>145.80374187273665</v>
      </c>
      <c r="D2423" s="12">
        <v>121.66298382538325</v>
      </c>
    </row>
    <row r="2424" spans="1:4">
      <c r="A2424">
        <v>2421</v>
      </c>
      <c r="B2424" s="12">
        <v>137.92667028030783</v>
      </c>
      <c r="C2424" s="12">
        <v>125.40010609694481</v>
      </c>
      <c r="D2424" s="12">
        <v>54.709621903623677</v>
      </c>
    </row>
    <row r="2425" spans="1:4">
      <c r="A2425">
        <v>2422</v>
      </c>
      <c r="B2425" s="12">
        <v>137.66423286658761</v>
      </c>
      <c r="C2425" s="12">
        <v>159.1001174112221</v>
      </c>
      <c r="D2425" s="12">
        <v>131.95313477655978</v>
      </c>
    </row>
    <row r="2426" spans="1:4">
      <c r="A2426">
        <v>2423</v>
      </c>
      <c r="B2426" s="12">
        <v>140.05296950140928</v>
      </c>
      <c r="C2426" s="12">
        <v>113.59342819652991</v>
      </c>
      <c r="D2426" s="12">
        <v>79.999107751101519</v>
      </c>
    </row>
    <row r="2427" spans="1:4">
      <c r="A2427">
        <v>2424</v>
      </c>
      <c r="B2427" s="12">
        <v>178.01471842991819</v>
      </c>
      <c r="C2427" s="12">
        <v>158.84413704239643</v>
      </c>
      <c r="D2427" s="12">
        <v>73.367159093475479</v>
      </c>
    </row>
    <row r="2428" spans="1:4">
      <c r="A2428">
        <v>2425</v>
      </c>
      <c r="B2428" s="12">
        <v>129.47886155359612</v>
      </c>
      <c r="C2428" s="12">
        <v>175.89284568023362</v>
      </c>
      <c r="D2428" s="12">
        <v>77.689183184724882</v>
      </c>
    </row>
    <row r="2429" spans="1:4">
      <c r="A2429">
        <v>2426</v>
      </c>
      <c r="B2429" s="12">
        <v>141.87391024951779</v>
      </c>
      <c r="C2429" s="12">
        <v>151.24698599481326</v>
      </c>
      <c r="D2429" s="12">
        <v>82.074111988954257</v>
      </c>
    </row>
    <row r="2430" spans="1:4">
      <c r="A2430">
        <v>2427</v>
      </c>
      <c r="B2430" s="12">
        <v>203.56362866540184</v>
      </c>
      <c r="C2430" s="12">
        <v>110.55261666636234</v>
      </c>
      <c r="D2430" s="12">
        <v>59.161566258432011</v>
      </c>
    </row>
    <row r="2431" spans="1:4">
      <c r="A2431">
        <v>2428</v>
      </c>
      <c r="B2431" s="12">
        <v>287.31266629273097</v>
      </c>
      <c r="C2431" s="12">
        <v>125.71728314254862</v>
      </c>
      <c r="D2431" s="12">
        <v>102.39775960064463</v>
      </c>
    </row>
    <row r="2432" spans="1:4">
      <c r="A2432">
        <v>2429</v>
      </c>
      <c r="B2432" s="12">
        <v>178.75343405033178</v>
      </c>
      <c r="C2432" s="12">
        <v>177.59419107302594</v>
      </c>
      <c r="D2432" s="12">
        <v>92.611372764978697</v>
      </c>
    </row>
    <row r="2433" spans="1:4">
      <c r="A2433">
        <v>2430</v>
      </c>
      <c r="B2433" s="12">
        <v>175.69270424742609</v>
      </c>
      <c r="C2433" s="12">
        <v>163.01650725213381</v>
      </c>
      <c r="D2433" s="12">
        <v>150.04952681442001</v>
      </c>
    </row>
    <row r="2434" spans="1:4">
      <c r="A2434">
        <v>2431</v>
      </c>
      <c r="B2434" s="12">
        <v>89.758773810554047</v>
      </c>
      <c r="C2434" s="12">
        <v>121.24452755519613</v>
      </c>
      <c r="D2434" s="12">
        <v>140.76702583756605</v>
      </c>
    </row>
    <row r="2435" spans="1:4">
      <c r="A2435">
        <v>2432</v>
      </c>
      <c r="B2435" s="12">
        <v>151.00864010271195</v>
      </c>
      <c r="C2435" s="12">
        <v>166.27256746446139</v>
      </c>
      <c r="D2435" s="12">
        <v>101.83691786785434</v>
      </c>
    </row>
    <row r="2436" spans="1:4">
      <c r="A2436">
        <v>2433</v>
      </c>
      <c r="B2436" s="12">
        <v>136.15131025403602</v>
      </c>
      <c r="C2436" s="12">
        <v>185.6475944111391</v>
      </c>
      <c r="D2436" s="12">
        <v>145.81366892385947</v>
      </c>
    </row>
    <row r="2437" spans="1:4">
      <c r="A2437">
        <v>2434</v>
      </c>
      <c r="B2437" s="12">
        <v>145.14483595401705</v>
      </c>
      <c r="C2437" s="12">
        <v>184.19289832135087</v>
      </c>
      <c r="D2437" s="12">
        <v>156.31506347312032</v>
      </c>
    </row>
    <row r="2438" spans="1:4">
      <c r="A2438">
        <v>2435</v>
      </c>
      <c r="B2438" s="12">
        <v>135.72887959366361</v>
      </c>
      <c r="C2438" s="12">
        <v>131.98924554582658</v>
      </c>
      <c r="D2438" s="12">
        <v>127.99666868855921</v>
      </c>
    </row>
    <row r="2439" spans="1:4">
      <c r="A2439">
        <v>2436</v>
      </c>
      <c r="B2439" s="12">
        <v>117.57407356498119</v>
      </c>
      <c r="C2439" s="12">
        <v>159.35693685186871</v>
      </c>
      <c r="D2439" s="12">
        <v>104.84901384551551</v>
      </c>
    </row>
    <row r="2440" spans="1:4">
      <c r="A2440">
        <v>2437</v>
      </c>
      <c r="B2440" s="12">
        <v>120.09743234648855</v>
      </c>
      <c r="C2440" s="12">
        <v>140.12377864198771</v>
      </c>
      <c r="D2440" s="12">
        <v>99.924189114627012</v>
      </c>
    </row>
    <row r="2441" spans="1:4">
      <c r="A2441">
        <v>2438</v>
      </c>
      <c r="B2441" s="12">
        <v>108.99545601212635</v>
      </c>
      <c r="C2441" s="12">
        <v>150.20319661346593</v>
      </c>
      <c r="D2441" s="12">
        <v>57.222732150781681</v>
      </c>
    </row>
    <row r="2442" spans="1:4">
      <c r="A2442">
        <v>2439</v>
      </c>
      <c r="B2442" s="12">
        <v>160.44043161036439</v>
      </c>
      <c r="C2442" s="12">
        <v>179.85112670811537</v>
      </c>
      <c r="D2442" s="12">
        <v>88.408946655220987</v>
      </c>
    </row>
    <row r="2443" spans="1:4">
      <c r="A2443">
        <v>2440</v>
      </c>
      <c r="B2443" s="12">
        <v>201.5660677126144</v>
      </c>
      <c r="C2443" s="12">
        <v>119.36840060489656</v>
      </c>
      <c r="D2443" s="12">
        <v>148.80661249307974</v>
      </c>
    </row>
    <row r="2444" spans="1:4">
      <c r="A2444">
        <v>2441</v>
      </c>
      <c r="B2444" s="12">
        <v>142.12227554273213</v>
      </c>
      <c r="C2444" s="12">
        <v>203.9279845884852</v>
      </c>
      <c r="D2444" s="12">
        <v>93.138768058152635</v>
      </c>
    </row>
    <row r="2445" spans="1:4">
      <c r="A2445">
        <v>2442</v>
      </c>
      <c r="B2445" s="12">
        <v>118.29439664199685</v>
      </c>
      <c r="C2445" s="12">
        <v>142.25395535968434</v>
      </c>
      <c r="D2445" s="12">
        <v>93.57144509517984</v>
      </c>
    </row>
    <row r="2446" spans="1:4">
      <c r="A2446">
        <v>2443</v>
      </c>
      <c r="B2446" s="12">
        <v>146.50896497351872</v>
      </c>
      <c r="C2446" s="12">
        <v>158.42592684615281</v>
      </c>
      <c r="D2446" s="12">
        <v>137.32194840477607</v>
      </c>
    </row>
    <row r="2447" spans="1:4">
      <c r="A2447">
        <v>2444</v>
      </c>
      <c r="B2447" s="12">
        <v>129.78858021651246</v>
      </c>
      <c r="C2447" s="12">
        <v>143.62944823252795</v>
      </c>
      <c r="D2447" s="12">
        <v>89.381834111835872</v>
      </c>
    </row>
    <row r="2448" spans="1:4">
      <c r="A2448">
        <v>2445</v>
      </c>
      <c r="B2448" s="12">
        <v>164.02317823252551</v>
      </c>
      <c r="C2448" s="12">
        <v>211.9732765037518</v>
      </c>
      <c r="D2448" s="12">
        <v>136.58046063642931</v>
      </c>
    </row>
    <row r="2449" spans="1:4">
      <c r="A2449">
        <v>2446</v>
      </c>
      <c r="B2449" s="12">
        <v>156.78986417503316</v>
      </c>
      <c r="C2449" s="12">
        <v>153.82555173037599</v>
      </c>
      <c r="D2449" s="12">
        <v>71.223284559144915</v>
      </c>
    </row>
    <row r="2450" spans="1:4">
      <c r="A2450">
        <v>2447</v>
      </c>
      <c r="B2450" s="12">
        <v>136.57067555669929</v>
      </c>
      <c r="C2450" s="12">
        <v>161.1601825100428</v>
      </c>
      <c r="D2450" s="12">
        <v>120.11754572917084</v>
      </c>
    </row>
    <row r="2451" spans="1:4">
      <c r="A2451">
        <v>2448</v>
      </c>
      <c r="B2451" s="12">
        <v>166.67645129978587</v>
      </c>
      <c r="C2451" s="12">
        <v>132.56716906122645</v>
      </c>
      <c r="D2451" s="12">
        <v>66.568438742181755</v>
      </c>
    </row>
    <row r="2452" spans="1:4">
      <c r="A2452">
        <v>2449</v>
      </c>
      <c r="B2452" s="12">
        <v>117.10039705407058</v>
      </c>
      <c r="C2452" s="12">
        <v>118.86797168315215</v>
      </c>
      <c r="D2452" s="12">
        <v>74.733244642277242</v>
      </c>
    </row>
    <row r="2453" spans="1:4">
      <c r="A2453">
        <v>2450</v>
      </c>
      <c r="B2453" s="12">
        <v>205.67308321933368</v>
      </c>
      <c r="C2453" s="12">
        <v>216.62806306584255</v>
      </c>
      <c r="D2453" s="12">
        <v>72.977387136388401</v>
      </c>
    </row>
    <row r="2454" spans="1:4">
      <c r="A2454">
        <v>2451</v>
      </c>
      <c r="B2454" s="12">
        <v>156.55564179416112</v>
      </c>
      <c r="C2454" s="12">
        <v>202.50506947866566</v>
      </c>
      <c r="D2454" s="12">
        <v>152.24819383700159</v>
      </c>
    </row>
    <row r="2455" spans="1:4">
      <c r="A2455">
        <v>2452</v>
      </c>
      <c r="B2455" s="12">
        <v>138.99777849543872</v>
      </c>
      <c r="C2455" s="12">
        <v>120.8136733905428</v>
      </c>
      <c r="D2455" s="12">
        <v>71.646642388464613</v>
      </c>
    </row>
    <row r="2456" spans="1:4">
      <c r="A2456">
        <v>2453</v>
      </c>
      <c r="B2456" s="12">
        <v>234.98238876196982</v>
      </c>
      <c r="C2456" s="12">
        <v>150.84713168050493</v>
      </c>
      <c r="D2456" s="12">
        <v>182.8667390650277</v>
      </c>
    </row>
    <row r="2457" spans="1:4">
      <c r="A2457">
        <v>2454</v>
      </c>
      <c r="B2457" s="12">
        <v>169.54011470674772</v>
      </c>
      <c r="C2457" s="12">
        <v>157.50497443030287</v>
      </c>
      <c r="D2457" s="12">
        <v>78.863169760925047</v>
      </c>
    </row>
    <row r="2458" spans="1:4">
      <c r="A2458">
        <v>2455</v>
      </c>
      <c r="B2458" s="12">
        <v>248.72245674616241</v>
      </c>
      <c r="C2458" s="12">
        <v>146.96065084859404</v>
      </c>
      <c r="D2458" s="12">
        <v>78.015833686086438</v>
      </c>
    </row>
    <row r="2459" spans="1:4">
      <c r="A2459">
        <v>2456</v>
      </c>
      <c r="B2459" s="12">
        <v>84.58273587173403</v>
      </c>
      <c r="C2459" s="12">
        <v>140.84409281075344</v>
      </c>
      <c r="D2459" s="12">
        <v>97.778676188047072</v>
      </c>
    </row>
    <row r="2460" spans="1:4">
      <c r="A2460">
        <v>2457</v>
      </c>
      <c r="B2460" s="12">
        <v>126.29624136109406</v>
      </c>
      <c r="C2460" s="12">
        <v>130.02394480971861</v>
      </c>
      <c r="D2460" s="12">
        <v>138.08555634358007</v>
      </c>
    </row>
    <row r="2461" spans="1:4">
      <c r="A2461">
        <v>2458</v>
      </c>
      <c r="B2461" s="12">
        <v>213.51375814242203</v>
      </c>
      <c r="C2461" s="12">
        <v>149.7149267052192</v>
      </c>
      <c r="D2461" s="12">
        <v>105.14128639582745</v>
      </c>
    </row>
    <row r="2462" spans="1:4">
      <c r="A2462">
        <v>2459</v>
      </c>
      <c r="B2462" s="12">
        <v>198.970551501979</v>
      </c>
      <c r="C2462" s="12">
        <v>146.46355111983686</v>
      </c>
      <c r="D2462" s="12">
        <v>118.38546198848991</v>
      </c>
    </row>
    <row r="2463" spans="1:4">
      <c r="A2463">
        <v>2460</v>
      </c>
      <c r="B2463" s="12">
        <v>147.11965405376566</v>
      </c>
      <c r="C2463" s="12">
        <v>176.92994341278037</v>
      </c>
      <c r="D2463" s="12">
        <v>74.965867387320785</v>
      </c>
    </row>
    <row r="2464" spans="1:4">
      <c r="A2464">
        <v>2461</v>
      </c>
      <c r="B2464" s="12">
        <v>150.77432722737126</v>
      </c>
      <c r="C2464" s="12">
        <v>131.62997283975398</v>
      </c>
      <c r="D2464" s="12">
        <v>70.508104688678287</v>
      </c>
    </row>
    <row r="2465" spans="1:4">
      <c r="A2465">
        <v>2462</v>
      </c>
      <c r="B2465" s="12">
        <v>259.59775154847853</v>
      </c>
      <c r="C2465" s="12">
        <v>144.97745108887386</v>
      </c>
      <c r="D2465" s="12">
        <v>85.083178548945597</v>
      </c>
    </row>
    <row r="2466" spans="1:4">
      <c r="A2466">
        <v>2463</v>
      </c>
      <c r="B2466" s="12">
        <v>184.24042093732319</v>
      </c>
      <c r="C2466" s="12">
        <v>149.06916724459734</v>
      </c>
      <c r="D2466" s="12">
        <v>107.50903862424339</v>
      </c>
    </row>
    <row r="2467" spans="1:4">
      <c r="A2467">
        <v>2464</v>
      </c>
      <c r="B2467" s="12">
        <v>185.06514252430546</v>
      </c>
      <c r="C2467" s="12">
        <v>164.47656249478692</v>
      </c>
      <c r="D2467" s="12">
        <v>135.40825905006599</v>
      </c>
    </row>
    <row r="2468" spans="1:4">
      <c r="A2468">
        <v>2465</v>
      </c>
      <c r="B2468" s="12">
        <v>133.44141630704976</v>
      </c>
      <c r="C2468" s="12">
        <v>137.11081847147855</v>
      </c>
      <c r="D2468" s="12">
        <v>109.14682267589636</v>
      </c>
    </row>
    <row r="2469" spans="1:4">
      <c r="A2469">
        <v>2466</v>
      </c>
      <c r="B2469" s="12">
        <v>177.56864197540855</v>
      </c>
      <c r="C2469" s="12">
        <v>181.05790548140124</v>
      </c>
      <c r="D2469" s="12">
        <v>86.264063582272613</v>
      </c>
    </row>
    <row r="2470" spans="1:4">
      <c r="A2470">
        <v>2467</v>
      </c>
      <c r="B2470" s="12">
        <v>225.73973538121248</v>
      </c>
      <c r="C2470" s="12">
        <v>154.71948126984441</v>
      </c>
      <c r="D2470" s="12">
        <v>124.82086175209045</v>
      </c>
    </row>
    <row r="2471" spans="1:4">
      <c r="A2471">
        <v>2468</v>
      </c>
      <c r="B2471" s="12">
        <v>154.86167592940828</v>
      </c>
      <c r="C2471" s="12">
        <v>157.75702577368023</v>
      </c>
      <c r="D2471" s="12">
        <v>144.12962968998889</v>
      </c>
    </row>
    <row r="2472" spans="1:4">
      <c r="A2472">
        <v>2469</v>
      </c>
      <c r="B2472" s="12">
        <v>115.55193661665182</v>
      </c>
      <c r="C2472" s="12">
        <v>184.53733635780205</v>
      </c>
      <c r="D2472" s="12">
        <v>98.219861296561689</v>
      </c>
    </row>
    <row r="2473" spans="1:4">
      <c r="A2473">
        <v>2470</v>
      </c>
      <c r="B2473" s="12">
        <v>151.37418853326264</v>
      </c>
      <c r="C2473" s="12">
        <v>148.66712579181927</v>
      </c>
      <c r="D2473" s="12">
        <v>90.783666185693292</v>
      </c>
    </row>
    <row r="2474" spans="1:4">
      <c r="A2474">
        <v>2471</v>
      </c>
      <c r="B2474" s="12">
        <v>158.12381177248886</v>
      </c>
      <c r="C2474" s="12">
        <v>133.46997974949144</v>
      </c>
      <c r="D2474" s="12">
        <v>61.092301825403183</v>
      </c>
    </row>
    <row r="2475" spans="1:4">
      <c r="A2475">
        <v>2472</v>
      </c>
      <c r="B2475" s="12">
        <v>130.74049511197978</v>
      </c>
      <c r="C2475" s="12">
        <v>172.9844626404352</v>
      </c>
      <c r="D2475" s="12">
        <v>84.804596626051634</v>
      </c>
    </row>
    <row r="2476" spans="1:4">
      <c r="A2476">
        <v>2473</v>
      </c>
      <c r="B2476" s="12">
        <v>278.90932244017222</v>
      </c>
      <c r="C2476" s="12">
        <v>142.94554200709103</v>
      </c>
      <c r="D2476" s="12">
        <v>91.481733890671563</v>
      </c>
    </row>
    <row r="2477" spans="1:4">
      <c r="A2477">
        <v>2474</v>
      </c>
      <c r="B2477" s="12">
        <v>155.22637986822133</v>
      </c>
      <c r="C2477" s="12">
        <v>140.57261175879222</v>
      </c>
      <c r="D2477" s="12">
        <v>119.44355313050767</v>
      </c>
    </row>
    <row r="2478" spans="1:4">
      <c r="A2478">
        <v>2475</v>
      </c>
      <c r="B2478" s="12">
        <v>144.1464722470335</v>
      </c>
      <c r="C2478" s="12">
        <v>188.88011565754908</v>
      </c>
      <c r="D2478" s="12">
        <v>106.21734383944661</v>
      </c>
    </row>
    <row r="2479" spans="1:4">
      <c r="A2479">
        <v>2476</v>
      </c>
      <c r="B2479" s="12">
        <v>162.64942627142636</v>
      </c>
      <c r="C2479" s="12">
        <v>141.9898571923201</v>
      </c>
      <c r="D2479" s="12">
        <v>113.50745505063281</v>
      </c>
    </row>
    <row r="2480" spans="1:4">
      <c r="A2480">
        <v>2477</v>
      </c>
      <c r="B2480" s="12">
        <v>161.66086624652962</v>
      </c>
      <c r="C2480" s="12">
        <v>144.05084867001901</v>
      </c>
      <c r="D2480" s="12">
        <v>105.91982106497611</v>
      </c>
    </row>
    <row r="2481" spans="1:4">
      <c r="A2481">
        <v>2478</v>
      </c>
      <c r="B2481" s="12">
        <v>193.83777262463488</v>
      </c>
      <c r="C2481" s="12">
        <v>152.29058172869401</v>
      </c>
      <c r="D2481" s="12">
        <v>96.367305252564748</v>
      </c>
    </row>
    <row r="2482" spans="1:4">
      <c r="A2482">
        <v>2479</v>
      </c>
      <c r="B2482" s="12">
        <v>133.88244034734385</v>
      </c>
      <c r="C2482" s="12">
        <v>197.46339035142006</v>
      </c>
      <c r="D2482" s="12">
        <v>97.338886722845942</v>
      </c>
    </row>
    <row r="2483" spans="1:4">
      <c r="A2483">
        <v>2480</v>
      </c>
      <c r="B2483" s="12">
        <v>214.55727533176608</v>
      </c>
      <c r="C2483" s="12">
        <v>130.27187826170265</v>
      </c>
      <c r="D2483" s="12">
        <v>93.835275289664523</v>
      </c>
    </row>
    <row r="2484" spans="1:4">
      <c r="A2484">
        <v>2481</v>
      </c>
      <c r="B2484" s="12">
        <v>111.77901507634425</v>
      </c>
      <c r="C2484" s="12">
        <v>148.26429382595487</v>
      </c>
      <c r="D2484" s="12">
        <v>72.322532368743055</v>
      </c>
    </row>
    <row r="2485" spans="1:4">
      <c r="A2485">
        <v>2482</v>
      </c>
      <c r="B2485" s="12">
        <v>133.15681303817365</v>
      </c>
      <c r="C2485" s="12">
        <v>167.84191876318567</v>
      </c>
      <c r="D2485" s="12">
        <v>97.510442324909917</v>
      </c>
    </row>
    <row r="2486" spans="1:4">
      <c r="A2486">
        <v>2483</v>
      </c>
      <c r="B2486" s="12">
        <v>154.26358409208191</v>
      </c>
      <c r="C2486" s="12">
        <v>142.68458126198817</v>
      </c>
      <c r="D2486" s="12">
        <v>110.84087975414859</v>
      </c>
    </row>
    <row r="2487" spans="1:4">
      <c r="A2487">
        <v>2484</v>
      </c>
      <c r="B2487" s="12">
        <v>170.85992606363394</v>
      </c>
      <c r="C2487" s="12">
        <v>115.52436573506118</v>
      </c>
      <c r="D2487" s="12">
        <v>96.633637601586415</v>
      </c>
    </row>
    <row r="2488" spans="1:4">
      <c r="A2488">
        <v>2485</v>
      </c>
      <c r="B2488" s="12">
        <v>224.27007774751027</v>
      </c>
      <c r="C2488" s="12">
        <v>117.15454640776994</v>
      </c>
      <c r="D2488" s="12">
        <v>161.31539104568805</v>
      </c>
    </row>
    <row r="2489" spans="1:4">
      <c r="A2489">
        <v>2486</v>
      </c>
      <c r="B2489" s="12">
        <v>132.25698168393387</v>
      </c>
      <c r="C2489" s="12">
        <v>139.39167813556827</v>
      </c>
      <c r="D2489" s="12">
        <v>102.11683854372876</v>
      </c>
    </row>
    <row r="2490" spans="1:4">
      <c r="A2490">
        <v>2487</v>
      </c>
      <c r="B2490" s="12">
        <v>232.99491191055279</v>
      </c>
      <c r="C2490" s="12">
        <v>209.70135161715686</v>
      </c>
      <c r="D2490" s="12">
        <v>75.903381887777314</v>
      </c>
    </row>
    <row r="2491" spans="1:4">
      <c r="A2491">
        <v>2488</v>
      </c>
      <c r="B2491" s="12">
        <v>147.86123006923199</v>
      </c>
      <c r="C2491" s="12">
        <v>139.11108174973023</v>
      </c>
      <c r="D2491" s="12">
        <v>126.62022039504254</v>
      </c>
    </row>
    <row r="2492" spans="1:4">
      <c r="A2492">
        <v>2489</v>
      </c>
      <c r="B2492" s="12">
        <v>122.77386726117135</v>
      </c>
      <c r="C2492" s="12">
        <v>153.42390963510638</v>
      </c>
      <c r="D2492" s="12">
        <v>133.62499917946045</v>
      </c>
    </row>
    <row r="2493" spans="1:4">
      <c r="A2493">
        <v>2490</v>
      </c>
      <c r="B2493" s="12">
        <v>136.83774567204878</v>
      </c>
      <c r="C2493" s="12">
        <v>128.9693899903464</v>
      </c>
      <c r="D2493" s="12">
        <v>145.14184717687462</v>
      </c>
    </row>
    <row r="2494" spans="1:4">
      <c r="A2494">
        <v>2491</v>
      </c>
      <c r="B2494" s="12">
        <v>164.40295610367306</v>
      </c>
      <c r="C2494" s="12">
        <v>168.34201622835076</v>
      </c>
      <c r="D2494" s="12">
        <v>115.98685682501998</v>
      </c>
    </row>
    <row r="2495" spans="1:4">
      <c r="A2495">
        <v>2492</v>
      </c>
      <c r="B2495" s="12">
        <v>179.96141342765247</v>
      </c>
      <c r="C2495" s="12">
        <v>174.52139031849393</v>
      </c>
      <c r="D2495" s="12">
        <v>98.933222303070423</v>
      </c>
    </row>
    <row r="2496" spans="1:4">
      <c r="A2496">
        <v>2493</v>
      </c>
      <c r="B2496" s="12">
        <v>148.46739134629834</v>
      </c>
      <c r="C2496" s="12">
        <v>154.4735219233151</v>
      </c>
      <c r="D2496" s="12">
        <v>67.467417504390937</v>
      </c>
    </row>
    <row r="2497" spans="1:4">
      <c r="A2497">
        <v>2494</v>
      </c>
      <c r="B2497" s="12">
        <v>145.89586959592447</v>
      </c>
      <c r="C2497" s="12">
        <v>143.37129583245837</v>
      </c>
      <c r="D2497" s="12">
        <v>108.32140360176797</v>
      </c>
    </row>
    <row r="2498" spans="1:4">
      <c r="A2498">
        <v>2495</v>
      </c>
      <c r="B2498" s="12">
        <v>181.19443769355456</v>
      </c>
      <c r="C2498" s="12">
        <v>171.73358921137316</v>
      </c>
      <c r="D2498" s="12">
        <v>105.6237957846635</v>
      </c>
    </row>
    <row r="2499" spans="1:4">
      <c r="A2499">
        <v>2496</v>
      </c>
      <c r="B2499" s="12">
        <v>114.19053333712787</v>
      </c>
      <c r="C2499" s="12">
        <v>146.30387967099452</v>
      </c>
      <c r="D2499" s="12">
        <v>80.500167282318046</v>
      </c>
    </row>
    <row r="2500" spans="1:4">
      <c r="A2500">
        <v>2497</v>
      </c>
      <c r="B2500" s="12">
        <v>218.66064535573173</v>
      </c>
      <c r="C2500" s="12">
        <v>158.68059748406921</v>
      </c>
      <c r="D2500" s="12">
        <v>107.20460173680137</v>
      </c>
    </row>
    <row r="2501" spans="1:4">
      <c r="A2501">
        <v>2498</v>
      </c>
      <c r="B2501" s="12">
        <v>313.26329869172412</v>
      </c>
      <c r="C2501" s="12">
        <v>158.00975797056867</v>
      </c>
      <c r="D2501" s="12">
        <v>109.66665659633848</v>
      </c>
    </row>
    <row r="2502" spans="1:4">
      <c r="A2502">
        <v>2499</v>
      </c>
      <c r="B2502" s="12">
        <v>217.48132621530402</v>
      </c>
      <c r="C2502" s="12">
        <v>126.96550822932153</v>
      </c>
      <c r="D2502" s="12">
        <v>100.19807028175985</v>
      </c>
    </row>
    <row r="2503" spans="1:4">
      <c r="A2503">
        <v>2500</v>
      </c>
      <c r="B2503" s="12">
        <v>190.7273365654647</v>
      </c>
      <c r="C2503" s="12">
        <v>156.18402417942391</v>
      </c>
      <c r="D2503" s="12">
        <v>83.598272610180771</v>
      </c>
    </row>
    <row r="2504" spans="1:4">
      <c r="A2504">
        <v>2501</v>
      </c>
      <c r="B2504" s="12">
        <v>192.84807213072096</v>
      </c>
      <c r="C2504" s="12">
        <v>136.51121489338414</v>
      </c>
      <c r="D2504" s="12">
        <v>78.339240285592311</v>
      </c>
    </row>
    <row r="2505" spans="1:4">
      <c r="A2505">
        <v>2502</v>
      </c>
      <c r="B2505" s="12">
        <v>185.57434259719938</v>
      </c>
      <c r="C2505" s="12">
        <v>147.11942223931578</v>
      </c>
      <c r="D2505" s="12">
        <v>115.38490221498643</v>
      </c>
    </row>
    <row r="2506" spans="1:4">
      <c r="A2506">
        <v>2503</v>
      </c>
      <c r="B2506" s="12">
        <v>155.82503171414822</v>
      </c>
      <c r="C2506" s="12">
        <v>155.77674031690287</v>
      </c>
      <c r="D2506" s="12">
        <v>52.635305785421444</v>
      </c>
    </row>
    <row r="2507" spans="1:4">
      <c r="A2507">
        <v>2504</v>
      </c>
      <c r="B2507" s="12">
        <v>163.40246589414801</v>
      </c>
      <c r="C2507" s="12">
        <v>170.85485473148518</v>
      </c>
      <c r="D2507" s="12">
        <v>108.01226851475319</v>
      </c>
    </row>
    <row r="2508" spans="1:4">
      <c r="A2508">
        <v>2505</v>
      </c>
      <c r="B2508" s="12">
        <v>245.54079113428122</v>
      </c>
      <c r="C2508" s="12">
        <v>191.17007275839649</v>
      </c>
      <c r="D2508" s="12">
        <v>89.818324762981447</v>
      </c>
    </row>
    <row r="2509" spans="1:4">
      <c r="A2509">
        <v>2506</v>
      </c>
      <c r="B2509" s="12">
        <v>191.30003444646579</v>
      </c>
      <c r="C2509" s="12">
        <v>138.82853309270888</v>
      </c>
      <c r="D2509" s="12">
        <v>69.295326607297227</v>
      </c>
    </row>
    <row r="2510" spans="1:4">
      <c r="A2510">
        <v>2507</v>
      </c>
      <c r="B2510" s="12">
        <v>97.487005965052077</v>
      </c>
      <c r="C2510" s="12">
        <v>138.64648647980886</v>
      </c>
      <c r="D2510" s="12">
        <v>104.37242877678841</v>
      </c>
    </row>
    <row r="2511" spans="1:4">
      <c r="A2511">
        <v>2508</v>
      </c>
      <c r="B2511" s="12">
        <v>204.86005790778691</v>
      </c>
      <c r="C2511" s="12">
        <v>140.29954823890429</v>
      </c>
      <c r="D2511" s="12">
        <v>58.452814233084041</v>
      </c>
    </row>
    <row r="2512" spans="1:4">
      <c r="A2512">
        <v>2509</v>
      </c>
      <c r="B2512" s="12">
        <v>134.31960486962438</v>
      </c>
      <c r="C2512" s="12">
        <v>165.50893407727358</v>
      </c>
      <c r="D2512" s="12">
        <v>104.08362942456051</v>
      </c>
    </row>
    <row r="2513" spans="1:4">
      <c r="A2513">
        <v>2510</v>
      </c>
      <c r="B2513" s="12">
        <v>124.86434250733215</v>
      </c>
      <c r="C2513" s="12">
        <v>132.9128731690993</v>
      </c>
      <c r="D2513" s="12">
        <v>124.04336181339959</v>
      </c>
    </row>
    <row r="2514" spans="1:4">
      <c r="A2514">
        <v>2511</v>
      </c>
      <c r="B2514" s="12">
        <v>131.04077095800983</v>
      </c>
      <c r="C2514" s="12">
        <v>141.55379638339537</v>
      </c>
      <c r="D2514" s="12">
        <v>95.665750295045783</v>
      </c>
    </row>
    <row r="2515" spans="1:4">
      <c r="A2515">
        <v>2512</v>
      </c>
      <c r="B2515" s="12">
        <v>137.25235819676294</v>
      </c>
      <c r="C2515" s="12">
        <v>181.53056663445676</v>
      </c>
      <c r="D2515" s="12">
        <v>55.786280223914474</v>
      </c>
    </row>
    <row r="2516" spans="1:4">
      <c r="A2516">
        <v>2513</v>
      </c>
      <c r="B2516" s="12">
        <v>104.13694870826923</v>
      </c>
      <c r="C2516" s="12">
        <v>230.17422113021507</v>
      </c>
      <c r="D2516" s="12">
        <v>69.597203308863968</v>
      </c>
    </row>
    <row r="2517" spans="1:4">
      <c r="A2517">
        <v>2514</v>
      </c>
      <c r="B2517" s="12">
        <v>165.41130950882697</v>
      </c>
      <c r="C2517" s="12">
        <v>165.98182472708456</v>
      </c>
      <c r="D2517" s="12">
        <v>126.11519113679302</v>
      </c>
    </row>
    <row r="2518" spans="1:4">
      <c r="A2518">
        <v>2515</v>
      </c>
      <c r="B2518" s="12">
        <v>151.97331056092389</v>
      </c>
      <c r="C2518" s="12">
        <v>164.01849812478159</v>
      </c>
      <c r="D2518" s="12">
        <v>108.83263064395324</v>
      </c>
    </row>
    <row r="2519" spans="1:4">
      <c r="A2519">
        <v>2516</v>
      </c>
      <c r="B2519" s="12">
        <v>228.31591878112096</v>
      </c>
      <c r="C2519" s="12">
        <v>103.26126230615851</v>
      </c>
      <c r="D2519" s="12">
        <v>65.391150214296914</v>
      </c>
    </row>
    <row r="2520" spans="1:4">
      <c r="A2520">
        <v>2517</v>
      </c>
      <c r="B2520" s="12">
        <v>216.34322954506251</v>
      </c>
      <c r="C2520" s="12">
        <v>147.77194441362712</v>
      </c>
      <c r="D2520" s="12">
        <v>112.60014971794686</v>
      </c>
    </row>
    <row r="2521" spans="1:4">
      <c r="A2521">
        <v>2518</v>
      </c>
      <c r="B2521" s="12">
        <v>164.64680930937993</v>
      </c>
      <c r="C2521" s="12">
        <v>137.59489406099661</v>
      </c>
      <c r="D2521" s="12">
        <v>136.11646770700446</v>
      </c>
    </row>
    <row r="2522" spans="1:4">
      <c r="A2522">
        <v>2519</v>
      </c>
      <c r="B2522" s="12">
        <v>222.86728085521517</v>
      </c>
      <c r="C2522" s="12">
        <v>143.79428646194961</v>
      </c>
      <c r="D2522" s="12">
        <v>134.28630057274833</v>
      </c>
    </row>
    <row r="2523" spans="1:4">
      <c r="A2523">
        <v>2520</v>
      </c>
      <c r="B2523" s="12">
        <v>236.33153228500871</v>
      </c>
      <c r="C2523" s="12">
        <v>137.30062575764765</v>
      </c>
      <c r="D2523" s="12">
        <v>75.678980628575772</v>
      </c>
    </row>
    <row r="2524" spans="1:4">
      <c r="A2524">
        <v>2521</v>
      </c>
      <c r="B2524" s="12">
        <v>199.66666858853054</v>
      </c>
      <c r="C2524" s="12">
        <v>124.36784731627453</v>
      </c>
      <c r="D2524" s="12">
        <v>104.66251153801703</v>
      </c>
    </row>
    <row r="2525" spans="1:4">
      <c r="A2525">
        <v>2522</v>
      </c>
      <c r="B2525" s="12">
        <v>168.74505306089438</v>
      </c>
      <c r="C2525" s="12">
        <v>126.20073072467612</v>
      </c>
      <c r="D2525" s="12">
        <v>83.882175489412589</v>
      </c>
    </row>
    <row r="2526" spans="1:4">
      <c r="A2526">
        <v>2523</v>
      </c>
      <c r="B2526" s="12">
        <v>162.03452740545319</v>
      </c>
      <c r="C2526" s="12">
        <v>118.04265006576274</v>
      </c>
      <c r="D2526" s="12">
        <v>94.532497939479782</v>
      </c>
    </row>
    <row r="2527" spans="1:4">
      <c r="A2527">
        <v>2524</v>
      </c>
      <c r="B2527" s="12">
        <v>101.25086742970149</v>
      </c>
      <c r="C2527" s="12">
        <v>154.07070782709394</v>
      </c>
      <c r="D2527" s="12">
        <v>128.88574253846843</v>
      </c>
    </row>
    <row r="2528" spans="1:4">
      <c r="A2528">
        <v>2525</v>
      </c>
      <c r="B2528" s="12">
        <v>146.13555118565264</v>
      </c>
      <c r="C2528" s="12">
        <v>180.30139505706731</v>
      </c>
      <c r="D2528" s="12">
        <v>63.659687946995696</v>
      </c>
    </row>
    <row r="2529" spans="1:4">
      <c r="A2529">
        <v>2526</v>
      </c>
      <c r="B2529" s="12">
        <v>226.71966799230702</v>
      </c>
      <c r="C2529" s="12">
        <v>141.7244790817042</v>
      </c>
      <c r="D2529" s="12">
        <v>159.99157864116637</v>
      </c>
    </row>
    <row r="2530" spans="1:4">
      <c r="A2530">
        <v>2527</v>
      </c>
      <c r="B2530" s="12">
        <v>152.70297320687962</v>
      </c>
      <c r="C2530" s="12">
        <v>124.89230297076526</v>
      </c>
      <c r="D2530" s="12">
        <v>86.088499167179961</v>
      </c>
    </row>
    <row r="2531" spans="1:4">
      <c r="A2531">
        <v>2528</v>
      </c>
      <c r="B2531" s="12">
        <v>153.30110824693921</v>
      </c>
      <c r="C2531" s="12">
        <v>144.72402455307702</v>
      </c>
      <c r="D2531" s="12">
        <v>103.61252229591665</v>
      </c>
    </row>
    <row r="2532" spans="1:4">
      <c r="A2532">
        <v>2529</v>
      </c>
      <c r="B2532" s="12">
        <v>211.86860782466883</v>
      </c>
      <c r="C2532" s="12">
        <v>133.13183675749966</v>
      </c>
      <c r="D2532" s="12">
        <v>87.52588957540712</v>
      </c>
    </row>
    <row r="2533" spans="1:4">
      <c r="A2533">
        <v>2530</v>
      </c>
      <c r="B2533" s="12">
        <v>147.49082081504412</v>
      </c>
      <c r="C2533" s="12">
        <v>156.43294696636801</v>
      </c>
      <c r="D2533" s="12">
        <v>171.00690969913666</v>
      </c>
    </row>
    <row r="2534" spans="1:4">
      <c r="A2534">
        <v>2531</v>
      </c>
      <c r="B2534" s="12">
        <v>210.90324506745719</v>
      </c>
      <c r="C2534" s="12">
        <v>151.64681233628042</v>
      </c>
      <c r="D2534" s="12">
        <v>98.489526061429004</v>
      </c>
    </row>
    <row r="2535" spans="1:4">
      <c r="A2535">
        <v>2532</v>
      </c>
      <c r="B2535" s="12">
        <v>121.77962438412999</v>
      </c>
      <c r="C2535" s="12">
        <v>137.88674625119364</v>
      </c>
      <c r="D2535" s="12">
        <v>106.70880030162891</v>
      </c>
    </row>
    <row r="2536" spans="1:4">
      <c r="A2536">
        <v>2533</v>
      </c>
      <c r="B2536" s="12">
        <v>189.24831550216393</v>
      </c>
      <c r="C2536" s="12">
        <v>158.17201461231255</v>
      </c>
      <c r="D2536" s="12">
        <v>76.250088030658461</v>
      </c>
    </row>
    <row r="2537" spans="1:4">
      <c r="A2537">
        <v>2534</v>
      </c>
      <c r="B2537" s="12">
        <v>115.03112378449018</v>
      </c>
      <c r="C2537" s="12">
        <v>124.02242636947375</v>
      </c>
      <c r="D2537" s="12">
        <v>63.20113782451471</v>
      </c>
    </row>
    <row r="2538" spans="1:4">
      <c r="A2538">
        <v>2535</v>
      </c>
      <c r="B2538" s="12">
        <v>126.82256421853366</v>
      </c>
      <c r="C2538" s="12">
        <v>182.82452476035277</v>
      </c>
      <c r="D2538" s="12">
        <v>177.51981933163205</v>
      </c>
    </row>
    <row r="2539" spans="1:4">
      <c r="A2539">
        <v>2536</v>
      </c>
      <c r="B2539" s="12">
        <v>124.30457943286093</v>
      </c>
      <c r="C2539" s="12">
        <v>151.49069813365304</v>
      </c>
      <c r="D2539" s="12">
        <v>158.07542071071788</v>
      </c>
    </row>
    <row r="2540" spans="1:4">
      <c r="A2540">
        <v>2537</v>
      </c>
      <c r="B2540" s="12">
        <v>231.13457135506269</v>
      </c>
      <c r="C2540" s="12">
        <v>139.5704214580625</v>
      </c>
      <c r="D2540" s="12">
        <v>64.991797547823154</v>
      </c>
    </row>
    <row r="2541" spans="1:4">
      <c r="A2541">
        <v>2538</v>
      </c>
      <c r="B2541" s="12">
        <v>122.38991212770749</v>
      </c>
      <c r="C2541" s="12">
        <v>200.39946003598297</v>
      </c>
      <c r="D2541" s="12">
        <v>95.230956183181874</v>
      </c>
    </row>
    <row r="2542" spans="1:4">
      <c r="A2542">
        <v>2539</v>
      </c>
      <c r="B2542" s="12">
        <v>269.76860597147419</v>
      </c>
      <c r="C2542" s="12">
        <v>160.03934787865896</v>
      </c>
      <c r="D2542" s="12">
        <v>102.57824240647635</v>
      </c>
    </row>
    <row r="2543" spans="1:4">
      <c r="A2543">
        <v>2540</v>
      </c>
      <c r="B2543" s="12">
        <v>132.70907083549648</v>
      </c>
      <c r="C2543" s="12">
        <v>208.40110133213753</v>
      </c>
      <c r="D2543" s="12">
        <v>91.0481995369054</v>
      </c>
    </row>
    <row r="2544" spans="1:4">
      <c r="A2544">
        <v>2541</v>
      </c>
      <c r="B2544" s="12">
        <v>131.50535313822465</v>
      </c>
      <c r="C2544" s="12">
        <v>99.120943368489023</v>
      </c>
      <c r="D2544" s="12">
        <v>84.625553059655275</v>
      </c>
    </row>
    <row r="2545" spans="1:4">
      <c r="A2545">
        <v>2542</v>
      </c>
      <c r="B2545" s="12">
        <v>159.09498760919939</v>
      </c>
      <c r="C2545" s="12">
        <v>130.65330332778962</v>
      </c>
      <c r="D2545" s="12">
        <v>73.750337376937139</v>
      </c>
    </row>
    <row r="2546" spans="1:4">
      <c r="A2546">
        <v>2543</v>
      </c>
      <c r="B2546" s="12">
        <v>212.86191709654022</v>
      </c>
      <c r="C2546" s="12">
        <v>187.59836636863648</v>
      </c>
      <c r="D2546" s="12">
        <v>94.004321684758835</v>
      </c>
    </row>
    <row r="2547" spans="1:4">
      <c r="A2547">
        <v>2544</v>
      </c>
      <c r="B2547" s="12">
        <v>169.14172922784866</v>
      </c>
      <c r="C2547" s="12">
        <v>178.69860392509014</v>
      </c>
      <c r="D2547" s="12">
        <v>90.518889525250529</v>
      </c>
    </row>
    <row r="2548" spans="1:4">
      <c r="A2548">
        <v>2545</v>
      </c>
      <c r="B2548" s="12">
        <v>186.94388800975176</v>
      </c>
      <c r="C2548" s="12">
        <v>145.13937363256122</v>
      </c>
      <c r="D2548" s="12">
        <v>125.30458690193031</v>
      </c>
    </row>
    <row r="2549" spans="1:4">
      <c r="A2549">
        <v>2546</v>
      </c>
      <c r="B2549" s="12">
        <v>127.15545764442676</v>
      </c>
      <c r="C2549" s="12">
        <v>147.61393281231975</v>
      </c>
      <c r="D2549" s="12">
        <v>75.324852194503308</v>
      </c>
    </row>
    <row r="2550" spans="1:4">
      <c r="A2550">
        <v>2547</v>
      </c>
      <c r="B2550" s="12">
        <v>120.74737075801984</v>
      </c>
      <c r="C2550" s="12">
        <v>214.63724316150441</v>
      </c>
      <c r="D2550" s="12">
        <v>88.944212904581462</v>
      </c>
    </row>
    <row r="2551" spans="1:4">
      <c r="A2551">
        <v>2548</v>
      </c>
      <c r="B2551" s="12">
        <v>141.48479911252497</v>
      </c>
      <c r="C2551" s="12">
        <v>169.4755369245853</v>
      </c>
      <c r="D2551" s="12">
        <v>93.307689072056633</v>
      </c>
    </row>
    <row r="2552" spans="1:4">
      <c r="A2552">
        <v>2549</v>
      </c>
      <c r="B2552" s="12">
        <v>172.34896050876813</v>
      </c>
      <c r="C2552" s="12">
        <v>169.99784337390852</v>
      </c>
      <c r="D2552" s="12">
        <v>110.51538779565611</v>
      </c>
    </row>
    <row r="2553" spans="1:4">
      <c r="A2553">
        <v>2550</v>
      </c>
      <c r="B2553" s="12">
        <v>209.37544828631528</v>
      </c>
      <c r="C2553" s="12">
        <v>135.70218193138012</v>
      </c>
      <c r="D2553" s="12">
        <v>80.802591440645514</v>
      </c>
    </row>
    <row r="2554" spans="1:4">
      <c r="A2554">
        <v>2551</v>
      </c>
      <c r="B2554" s="12">
        <v>174.56094107540682</v>
      </c>
      <c r="C2554" s="12">
        <v>165.22308157389872</v>
      </c>
      <c r="D2554" s="12">
        <v>130.37748502506497</v>
      </c>
    </row>
    <row r="2555" spans="1:4">
      <c r="A2555">
        <v>2552</v>
      </c>
      <c r="B2555" s="12">
        <v>143.13935049568934</v>
      </c>
      <c r="C2555" s="12">
        <v>194.93495781956634</v>
      </c>
      <c r="D2555" s="12">
        <v>99.476485210341977</v>
      </c>
    </row>
    <row r="2556" spans="1:4">
      <c r="A2556">
        <v>2553</v>
      </c>
      <c r="B2556" s="12">
        <v>195.47981617973304</v>
      </c>
      <c r="C2556" s="12">
        <v>150.35946184690795</v>
      </c>
      <c r="D2556" s="12">
        <v>102.86087780460394</v>
      </c>
    </row>
    <row r="2557" spans="1:4">
      <c r="A2557">
        <v>2554</v>
      </c>
      <c r="B2557" s="12">
        <v>220.69422734943117</v>
      </c>
      <c r="C2557" s="12">
        <v>122.89018994297449</v>
      </c>
      <c r="D2557" s="12">
        <v>134.71870353907968</v>
      </c>
    </row>
    <row r="2558" spans="1:4">
      <c r="A2558">
        <v>2555</v>
      </c>
      <c r="B2558" s="12">
        <v>159.70026730264846</v>
      </c>
      <c r="C2558" s="12">
        <v>148.01830403832275</v>
      </c>
      <c r="D2558" s="12">
        <v>92.875071453027346</v>
      </c>
    </row>
    <row r="2559" spans="1:4">
      <c r="A2559">
        <v>2556</v>
      </c>
      <c r="B2559" s="12">
        <v>149.43957732619987</v>
      </c>
      <c r="C2559" s="12">
        <v>152.53453839501591</v>
      </c>
      <c r="D2559" s="12">
        <v>77.145847045162299</v>
      </c>
    </row>
    <row r="2560" spans="1:4">
      <c r="A2560">
        <v>2557</v>
      </c>
      <c r="B2560" s="12">
        <v>106.99629769905775</v>
      </c>
      <c r="C2560" s="12">
        <v>133.80380271811728</v>
      </c>
      <c r="D2560" s="12">
        <v>120.53500791651787</v>
      </c>
    </row>
    <row r="2561" spans="1:4">
      <c r="A2561">
        <v>2558</v>
      </c>
      <c r="B2561" s="12">
        <v>141.09395241512428</v>
      </c>
      <c r="C2561" s="12">
        <v>225.51462446815884</v>
      </c>
      <c r="D2561" s="12">
        <v>86.809961229587884</v>
      </c>
    </row>
    <row r="2562" spans="1:4">
      <c r="A2562">
        <v>2559</v>
      </c>
      <c r="B2562" s="12">
        <v>150.40823615615844</v>
      </c>
      <c r="C2562" s="12">
        <v>150.6033361879187</v>
      </c>
      <c r="D2562" s="12">
        <v>84.34505700529229</v>
      </c>
    </row>
    <row r="2563" spans="1:4">
      <c r="A2563">
        <v>2560</v>
      </c>
      <c r="B2563" s="12">
        <v>188.35223339001683</v>
      </c>
      <c r="C2563" s="12">
        <v>143.11211692952926</v>
      </c>
      <c r="D2563" s="12">
        <v>140.22041080699969</v>
      </c>
    </row>
    <row r="2564" spans="1:4">
      <c r="A2564">
        <v>2561</v>
      </c>
      <c r="B2564" s="12">
        <v>170.60068575727487</v>
      </c>
      <c r="C2564" s="12">
        <v>155.52909671290212</v>
      </c>
      <c r="D2564" s="12">
        <v>85.813658086206672</v>
      </c>
    </row>
    <row r="2565" spans="1:4">
      <c r="A2565">
        <v>2562</v>
      </c>
      <c r="B2565" s="12">
        <v>180.42532006365914</v>
      </c>
      <c r="C2565" s="12">
        <v>154.87721120003113</v>
      </c>
      <c r="D2565" s="12">
        <v>87.9682467376105</v>
      </c>
    </row>
    <row r="2566" spans="1:4">
      <c r="A2566">
        <v>2563</v>
      </c>
      <c r="B2566" s="12">
        <v>170.19752627945962</v>
      </c>
      <c r="C2566" s="12">
        <v>175.50970048316725</v>
      </c>
      <c r="D2566" s="12">
        <v>96.804442029398487</v>
      </c>
    </row>
    <row r="2567" spans="1:4">
      <c r="A2567">
        <v>2564</v>
      </c>
      <c r="B2567" s="12">
        <v>157.1557876215206</v>
      </c>
      <c r="C2567" s="12">
        <v>136.01102173513519</v>
      </c>
      <c r="D2567" s="12">
        <v>151.36412518678466</v>
      </c>
    </row>
    <row r="2568" spans="1:4">
      <c r="A2568">
        <v>2565</v>
      </c>
      <c r="B2568" s="12">
        <v>158.49119707152391</v>
      </c>
      <c r="C2568" s="12">
        <v>188.22957227241031</v>
      </c>
      <c r="D2568" s="12">
        <v>73.992496197658639</v>
      </c>
    </row>
    <row r="2569" spans="1:4">
      <c r="A2569">
        <v>2566</v>
      </c>
      <c r="B2569" s="12">
        <v>153.66561598215739</v>
      </c>
      <c r="C2569" s="12">
        <v>120.11145489643187</v>
      </c>
      <c r="D2569" s="12">
        <v>92.442448133156091</v>
      </c>
    </row>
    <row r="2570" spans="1:4">
      <c r="A2570">
        <v>2567</v>
      </c>
      <c r="B2570" s="12">
        <v>123.36306761409504</v>
      </c>
      <c r="C2570" s="12">
        <v>135.50271174019753</v>
      </c>
      <c r="D2570" s="12">
        <v>114.43515874122861</v>
      </c>
    </row>
    <row r="2571" spans="1:4">
      <c r="A2571">
        <v>2568</v>
      </c>
      <c r="B2571" s="12">
        <v>158.72677784303832</v>
      </c>
      <c r="C2571" s="12">
        <v>149.95913596873029</v>
      </c>
      <c r="D2571" s="12">
        <v>86.537431145087069</v>
      </c>
    </row>
    <row r="2572" spans="1:4">
      <c r="A2572">
        <v>2569</v>
      </c>
      <c r="B2572" s="12">
        <v>176.84346503056489</v>
      </c>
      <c r="C2572" s="12">
        <v>160.89666129661094</v>
      </c>
      <c r="D2572" s="12">
        <v>60.173077561764323</v>
      </c>
    </row>
    <row r="2573" spans="1:4">
      <c r="A2573">
        <v>2570</v>
      </c>
      <c r="B2573" s="12">
        <v>157.52206219545565</v>
      </c>
      <c r="C2573" s="12">
        <v>194.05969917271074</v>
      </c>
      <c r="D2573" s="12">
        <v>61.641634267032281</v>
      </c>
    </row>
    <row r="2574" spans="1:4">
      <c r="A2574">
        <v>2571</v>
      </c>
      <c r="B2574" s="12">
        <v>242.69245268949476</v>
      </c>
      <c r="C2574" s="12">
        <v>134.8711715180425</v>
      </c>
      <c r="D2574" s="12">
        <v>83.129451363742561</v>
      </c>
    </row>
    <row r="2575" spans="1:4">
      <c r="A2575">
        <v>2572</v>
      </c>
      <c r="B2575" s="12">
        <v>165.02845973137633</v>
      </c>
      <c r="C2575" s="12">
        <v>199.23013814242628</v>
      </c>
      <c r="D2575" s="12">
        <v>167.8651696878035</v>
      </c>
    </row>
    <row r="2576" spans="1:4">
      <c r="A2576">
        <v>2573</v>
      </c>
      <c r="B2576" s="12">
        <v>128.49544976702035</v>
      </c>
      <c r="C2576" s="12">
        <v>145.64302285343896</v>
      </c>
      <c r="D2576" s="12">
        <v>82.84170416957042</v>
      </c>
    </row>
    <row r="2577" spans="1:4">
      <c r="A2577">
        <v>2574</v>
      </c>
      <c r="B2577" s="12">
        <v>197.85403635729014</v>
      </c>
      <c r="C2577" s="12">
        <v>128.131762169973</v>
      </c>
      <c r="D2577" s="12">
        <v>98.0474285915531</v>
      </c>
    </row>
    <row r="2578" spans="1:4">
      <c r="A2578">
        <v>2575</v>
      </c>
      <c r="B2578" s="12">
        <v>207.0472448898584</v>
      </c>
      <c r="C2578" s="12">
        <v>138.07246517008224</v>
      </c>
      <c r="D2578" s="12">
        <v>72.724062278148438</v>
      </c>
    </row>
    <row r="2579" spans="1:4">
      <c r="A2579">
        <v>2576</v>
      </c>
      <c r="B2579" s="12">
        <v>222.00084780955785</v>
      </c>
      <c r="C2579" s="12">
        <v>156.68240309598713</v>
      </c>
      <c r="D2579" s="12">
        <v>115.0225207662431</v>
      </c>
    </row>
    <row r="2580" spans="1:4">
      <c r="A2580">
        <v>2577</v>
      </c>
      <c r="B2580" s="12">
        <v>183.7439527455428</v>
      </c>
      <c r="C2580" s="12">
        <v>166.75380839835361</v>
      </c>
      <c r="D2580" s="12">
        <v>122.38373574925917</v>
      </c>
    </row>
    <row r="2581" spans="1:4">
      <c r="A2581">
        <v>2578</v>
      </c>
      <c r="B2581" s="12">
        <v>160.6780570839488</v>
      </c>
      <c r="C2581" s="12">
        <v>146.05412037154076</v>
      </c>
      <c r="D2581" s="12">
        <v>99.204518319358996</v>
      </c>
    </row>
    <row r="2582" spans="1:4">
      <c r="A2582">
        <v>2579</v>
      </c>
      <c r="B2582" s="12">
        <v>116.34005130695262</v>
      </c>
      <c r="C2582" s="12">
        <v>144.30649684094632</v>
      </c>
      <c r="D2582" s="12">
        <v>87.255360496210628</v>
      </c>
    </row>
    <row r="2583" spans="1:4">
      <c r="A2583">
        <v>2580</v>
      </c>
      <c r="B2583" s="12">
        <v>173.44678967364194</v>
      </c>
      <c r="C2583" s="12">
        <v>167.54013711790776</v>
      </c>
      <c r="D2583" s="12">
        <v>119.03907665422335</v>
      </c>
    </row>
    <row r="2584" spans="1:4">
      <c r="A2584">
        <v>2581</v>
      </c>
      <c r="B2584" s="12">
        <v>169.79622003666105</v>
      </c>
      <c r="C2584" s="12">
        <v>121.89082598586975</v>
      </c>
      <c r="D2584" s="12">
        <v>90.349146303547528</v>
      </c>
    </row>
    <row r="2585" spans="1:4">
      <c r="A2585">
        <v>2582</v>
      </c>
      <c r="B2585" s="12">
        <v>135.02886770895978</v>
      </c>
      <c r="C2585" s="12">
        <v>190.70243583010745</v>
      </c>
      <c r="D2585" s="12">
        <v>103.89929813175182</v>
      </c>
    </row>
    <row r="2586" spans="1:4">
      <c r="A2586">
        <v>2583</v>
      </c>
      <c r="B2586" s="12">
        <v>171.93721077194527</v>
      </c>
      <c r="C2586" s="12">
        <v>244.30402553398125</v>
      </c>
      <c r="D2586" s="12">
        <v>103.14460366509387</v>
      </c>
    </row>
    <row r="2587" spans="1:4">
      <c r="A2587">
        <v>2584</v>
      </c>
      <c r="B2587" s="12">
        <v>175.26193622966409</v>
      </c>
      <c r="C2587" s="12">
        <v>189.99321789195301</v>
      </c>
      <c r="D2587" s="12">
        <v>70.790547511717506</v>
      </c>
    </row>
    <row r="2588" spans="1:4">
      <c r="A2588">
        <v>2585</v>
      </c>
      <c r="B2588" s="12">
        <v>162.40905348644819</v>
      </c>
      <c r="C2588" s="12">
        <v>173.56446646193788</v>
      </c>
      <c r="D2588" s="12">
        <v>101.10233890246245</v>
      </c>
    </row>
    <row r="2589" spans="1:4">
      <c r="A2589">
        <v>2586</v>
      </c>
      <c r="B2589" s="12">
        <v>139.39916640071988</v>
      </c>
      <c r="C2589" s="12">
        <v>174.89181249045828</v>
      </c>
      <c r="D2589" s="12">
        <v>80.195493589896586</v>
      </c>
    </row>
    <row r="2590" spans="1:4">
      <c r="A2590">
        <v>2587</v>
      </c>
      <c r="B2590" s="12">
        <v>131.96502179976233</v>
      </c>
      <c r="C2590" s="12">
        <v>170.31996461539012</v>
      </c>
      <c r="D2590" s="12">
        <v>91.217531049424878</v>
      </c>
    </row>
    <row r="2591" spans="1:4">
      <c r="A2591">
        <v>2588</v>
      </c>
      <c r="B2591" s="12">
        <v>182.93927728567056</v>
      </c>
      <c r="C2591" s="12">
        <v>151.00326348108194</v>
      </c>
      <c r="D2591" s="12">
        <v>100.64908708493269</v>
      </c>
    </row>
    <row r="2592" spans="1:4">
      <c r="A2592">
        <v>2589</v>
      </c>
      <c r="B2592" s="12">
        <v>94.359919525711732</v>
      </c>
      <c r="C2592" s="12">
        <v>156.02484649657387</v>
      </c>
      <c r="D2592" s="12">
        <v>117.99287313212454</v>
      </c>
    </row>
    <row r="2593" spans="1:4">
      <c r="A2593">
        <v>2590</v>
      </c>
      <c r="B2593" s="12">
        <v>173.02917725154339</v>
      </c>
      <c r="C2593" s="12">
        <v>206.56073071319676</v>
      </c>
      <c r="D2593" s="12">
        <v>143.1585330645718</v>
      </c>
    </row>
    <row r="2594" spans="1:4">
      <c r="A2594">
        <v>2591</v>
      </c>
      <c r="B2594" s="12">
        <v>148.09811764065907</v>
      </c>
      <c r="C2594" s="12">
        <v>173.92336247774529</v>
      </c>
      <c r="D2594" s="12">
        <v>82.552377368199984</v>
      </c>
    </row>
    <row r="2595" spans="1:4">
      <c r="A2595">
        <v>2592</v>
      </c>
      <c r="B2595" s="12">
        <v>118.99315048127525</v>
      </c>
      <c r="C2595" s="12">
        <v>109.30763956567176</v>
      </c>
      <c r="D2595" s="12">
        <v>82.366188231902328</v>
      </c>
    </row>
    <row r="2596" spans="1:4">
      <c r="A2596">
        <v>2593</v>
      </c>
      <c r="B2596" s="12">
        <v>168.09785397901149</v>
      </c>
      <c r="C2596" s="12">
        <v>182.32629897609118</v>
      </c>
      <c r="D2596" s="12">
        <v>84.063319535928585</v>
      </c>
    </row>
    <row r="2597" spans="1:4">
      <c r="A2597">
        <v>2594</v>
      </c>
      <c r="B2597" s="12">
        <v>103.08366735832651</v>
      </c>
      <c r="C2597" s="12">
        <v>136.31684666551064</v>
      </c>
      <c r="D2597" s="12">
        <v>111.71174727828983</v>
      </c>
    </row>
    <row r="2598" spans="1:4">
      <c r="A2598">
        <v>2595</v>
      </c>
      <c r="B2598" s="12">
        <v>167.70544154764838</v>
      </c>
      <c r="C2598" s="12">
        <v>129.63093128454983</v>
      </c>
      <c r="D2598" s="12">
        <v>76.592574148412083</v>
      </c>
    </row>
    <row r="2599" spans="1:4">
      <c r="A2599">
        <v>2596</v>
      </c>
      <c r="B2599" s="12">
        <v>194.45226538075113</v>
      </c>
      <c r="C2599" s="12">
        <v>134.01545429506749</v>
      </c>
      <c r="D2599" s="12">
        <v>85.360665314815535</v>
      </c>
    </row>
    <row r="2600" spans="1:4">
      <c r="A2600">
        <v>2597</v>
      </c>
      <c r="B2600" s="12">
        <v>156.1902116569002</v>
      </c>
      <c r="C2600" s="12">
        <v>138.36056097609108</v>
      </c>
      <c r="D2600" s="12">
        <v>130.96371702095402</v>
      </c>
    </row>
    <row r="2601" spans="1:4">
      <c r="A2601">
        <v>2598</v>
      </c>
      <c r="B2601" s="12">
        <v>99.102750174605447</v>
      </c>
      <c r="C2601" s="12">
        <v>114.39182340918485</v>
      </c>
      <c r="D2601" s="12">
        <v>197.04964803944128</v>
      </c>
    </row>
    <row r="2602" spans="1:4">
      <c r="A2602">
        <v>2599</v>
      </c>
      <c r="B2602" s="12">
        <v>119.43024544612641</v>
      </c>
      <c r="C2602" s="12">
        <v>157.34386951354421</v>
      </c>
      <c r="D2602" s="12">
        <v>112.2615554318501</v>
      </c>
    </row>
    <row r="2603" spans="1:4">
      <c r="A2603">
        <v>2600</v>
      </c>
      <c r="B2603" s="12">
        <v>197.18819592200788</v>
      </c>
      <c r="C2603" s="12">
        <v>148.42167972546713</v>
      </c>
      <c r="D2603" s="12">
        <v>109.9862908983372</v>
      </c>
    </row>
    <row r="2604" spans="1:4">
      <c r="A2604">
        <v>2601</v>
      </c>
      <c r="B2604" s="12">
        <v>174.13700038027346</v>
      </c>
      <c r="C2604" s="12">
        <v>196.46494793965775</v>
      </c>
      <c r="D2604" s="12">
        <v>49.606415387082848</v>
      </c>
    </row>
    <row r="2605" spans="1:4">
      <c r="A2605">
        <v>2602</v>
      </c>
      <c r="B2605" s="12">
        <v>113.31277734016595</v>
      </c>
      <c r="C2605" s="12">
        <v>189.30765522440737</v>
      </c>
      <c r="D2605" s="12">
        <v>91.914836620784627</v>
      </c>
    </row>
    <row r="2606" spans="1:4">
      <c r="A2606">
        <v>2603</v>
      </c>
      <c r="B2606" s="12">
        <v>179.20808341644118</v>
      </c>
      <c r="C2606" s="12">
        <v>156.8424829635558</v>
      </c>
      <c r="D2606" s="12">
        <v>81.294115750292363</v>
      </c>
    </row>
    <row r="2607" spans="1:4">
      <c r="A2607">
        <v>2604</v>
      </c>
      <c r="B2607" s="12">
        <v>210.29874315468243</v>
      </c>
      <c r="C2607" s="12">
        <v>193.22259404914504</v>
      </c>
      <c r="D2607" s="12">
        <v>87.698814164436314</v>
      </c>
    </row>
    <row r="2608" spans="1:4">
      <c r="A2608">
        <v>2605</v>
      </c>
      <c r="B2608" s="12">
        <v>207.91119625219824</v>
      </c>
      <c r="C2608" s="12">
        <v>201.19146914271872</v>
      </c>
      <c r="D2608" s="12">
        <v>80.995170576230791</v>
      </c>
    </row>
    <row r="2609" spans="1:4">
      <c r="A2609">
        <v>2606</v>
      </c>
      <c r="B2609" s="12">
        <v>128.17494940456842</v>
      </c>
      <c r="C2609" s="12">
        <v>179.1291071635217</v>
      </c>
      <c r="D2609" s="12">
        <v>68.316671827368438</v>
      </c>
    </row>
    <row r="2610" spans="1:4">
      <c r="A2610">
        <v>2607</v>
      </c>
      <c r="B2610" s="12">
        <v>168.49183922536955</v>
      </c>
      <c r="C2610" s="12">
        <v>159.52189579281344</v>
      </c>
      <c r="D2610" s="12">
        <v>70.058386686438268</v>
      </c>
    </row>
    <row r="2611" spans="1:4">
      <c r="A2611">
        <v>2608</v>
      </c>
      <c r="B2611" s="12">
        <v>139.79836904797068</v>
      </c>
      <c r="C2611" s="12">
        <v>155.12375970010882</v>
      </c>
      <c r="D2611" s="12">
        <v>62.447919847103151</v>
      </c>
    </row>
    <row r="2612" spans="1:4">
      <c r="A2612">
        <v>2609</v>
      </c>
      <c r="B2612" s="12">
        <v>154.62812808017941</v>
      </c>
      <c r="C2612" s="12">
        <v>112.19807302057177</v>
      </c>
      <c r="D2612" s="12">
        <v>98.759784832851196</v>
      </c>
    </row>
    <row r="2613" spans="1:4">
      <c r="A2613">
        <v>2610</v>
      </c>
      <c r="B2613" s="12">
        <v>200.83585903661228</v>
      </c>
      <c r="C2613" s="12">
        <v>144.46978866652773</v>
      </c>
      <c r="D2613" s="12">
        <v>129.44149438355743</v>
      </c>
    </row>
    <row r="2614" spans="1:4">
      <c r="A2614">
        <v>2611</v>
      </c>
      <c r="B2614" s="12">
        <v>110.77673048120667</v>
      </c>
      <c r="C2614" s="12">
        <v>195.51757456796543</v>
      </c>
      <c r="D2614" s="12">
        <v>85.53785589501075</v>
      </c>
    </row>
    <row r="2615" spans="1:4">
      <c r="A2615">
        <v>2612</v>
      </c>
      <c r="B2615" s="12">
        <v>241.01147228840316</v>
      </c>
      <c r="C2615" s="12">
        <v>148.91227818963381</v>
      </c>
      <c r="D2615" s="12">
        <v>68.813164471804996</v>
      </c>
    </row>
    <row r="2616" spans="1:4">
      <c r="A2616">
        <v>2613</v>
      </c>
      <c r="B2616" s="12">
        <v>142.89359067973592</v>
      </c>
      <c r="C2616" s="12">
        <v>149.31389866864555</v>
      </c>
      <c r="D2616" s="12">
        <v>88.676837290905155</v>
      </c>
    </row>
    <row r="2617" spans="1:4">
      <c r="A2617">
        <v>2614</v>
      </c>
      <c r="B2617" s="12">
        <v>167.0649483693966</v>
      </c>
      <c r="C2617" s="12">
        <v>186.60129005970171</v>
      </c>
      <c r="D2617" s="12">
        <v>76.809831985536917</v>
      </c>
    </row>
    <row r="2618" spans="1:4">
      <c r="A2618">
        <v>2615</v>
      </c>
      <c r="B2618" s="12">
        <v>144.90339679393642</v>
      </c>
      <c r="C2618" s="12">
        <v>145.39155393241563</v>
      </c>
      <c r="D2618" s="12">
        <v>101.37977616507979</v>
      </c>
    </row>
    <row r="2619" spans="1:4">
      <c r="A2619">
        <v>2616</v>
      </c>
      <c r="B2619" s="12">
        <v>254.93431948059302</v>
      </c>
      <c r="C2619" s="12">
        <v>186.0150917148342</v>
      </c>
      <c r="D2619" s="12">
        <v>96.101343214162881</v>
      </c>
    </row>
    <row r="2620" spans="1:4">
      <c r="A2620">
        <v>2617</v>
      </c>
      <c r="B2620" s="12">
        <v>160.07002168978204</v>
      </c>
      <c r="C2620" s="12">
        <v>127.41596550083017</v>
      </c>
      <c r="D2620" s="12">
        <v>81.5910619299312</v>
      </c>
    </row>
    <row r="2621" spans="1:4">
      <c r="A2621">
        <v>2618</v>
      </c>
      <c r="B2621" s="12">
        <v>171.26624912495132</v>
      </c>
      <c r="C2621" s="12">
        <v>172.63604489708305</v>
      </c>
      <c r="D2621" s="12">
        <v>103.32693107510715</v>
      </c>
    </row>
    <row r="2622" spans="1:4">
      <c r="A2622">
        <v>2619</v>
      </c>
      <c r="B2622" s="12">
        <v>128.99034034817885</v>
      </c>
      <c r="C2622" s="12">
        <v>122.50831220196562</v>
      </c>
      <c r="D2622" s="12">
        <v>67.990491013582542</v>
      </c>
    </row>
    <row r="2623" spans="1:4">
      <c r="A2623">
        <v>2620</v>
      </c>
      <c r="B2623" s="12">
        <v>110.1033007131244</v>
      </c>
      <c r="C2623" s="12">
        <v>131.02818907362709</v>
      </c>
      <c r="D2623" s="12">
        <v>132.57421853339434</v>
      </c>
    </row>
    <row r="2624" spans="1:4">
      <c r="A2624">
        <v>2621</v>
      </c>
      <c r="B2624" s="12">
        <v>263.09991837512581</v>
      </c>
      <c r="C2624" s="12">
        <v>129.23027173886277</v>
      </c>
      <c r="D2624" s="12">
        <v>95.931165136550064</v>
      </c>
    </row>
    <row r="2625" spans="1:4">
      <c r="A2625">
        <v>2622</v>
      </c>
      <c r="B2625" s="12">
        <v>238.57446585698835</v>
      </c>
      <c r="C2625" s="12">
        <v>198.13280208243847</v>
      </c>
      <c r="D2625" s="12">
        <v>83.31296769745363</v>
      </c>
    </row>
    <row r="2626" spans="1:4">
      <c r="A2626">
        <v>2623</v>
      </c>
      <c r="B2626" s="12">
        <v>112.7287939005184</v>
      </c>
      <c r="C2626" s="12">
        <v>127.85555142309161</v>
      </c>
      <c r="D2626" s="12">
        <v>155.25768408869791</v>
      </c>
    </row>
    <row r="2627" spans="1:4">
      <c r="A2627">
        <v>2624</v>
      </c>
      <c r="B2627" s="12">
        <v>155.59123247423167</v>
      </c>
      <c r="C2627" s="12">
        <v>220.39627754860632</v>
      </c>
      <c r="D2627" s="12">
        <v>105.43494641698598</v>
      </c>
    </row>
    <row r="2628" spans="1:4">
      <c r="A2628">
        <v>2625</v>
      </c>
      <c r="B2628" s="12">
        <v>165.65719151062223</v>
      </c>
      <c r="C2628" s="12">
        <v>135.18863355133107</v>
      </c>
      <c r="D2628" s="12">
        <v>166.07810449588152</v>
      </c>
    </row>
    <row r="2629" spans="1:4">
      <c r="A2629">
        <v>2626</v>
      </c>
      <c r="B2629" s="12">
        <v>149.80678812221231</v>
      </c>
      <c r="C2629" s="12">
        <v>134.34262138853558</v>
      </c>
      <c r="D2629" s="12">
        <v>46.2334261772098</v>
      </c>
    </row>
    <row r="2630" spans="1:4">
      <c r="A2630">
        <v>2627</v>
      </c>
      <c r="B2630" s="12">
        <v>140.84265063535014</v>
      </c>
      <c r="C2630" s="12">
        <v>153.17937940129278</v>
      </c>
      <c r="D2630" s="12">
        <v>74.365686485021826</v>
      </c>
    </row>
    <row r="2631" spans="1:4">
      <c r="A2631">
        <v>2628</v>
      </c>
      <c r="B2631" s="12">
        <v>125.41418267289782</v>
      </c>
      <c r="C2631" s="12">
        <v>187.20359187498144</v>
      </c>
      <c r="D2631" s="12">
        <v>138.58701973223441</v>
      </c>
    </row>
    <row r="2632" spans="1:4">
      <c r="A2632">
        <v>2629</v>
      </c>
      <c r="B2632" s="12">
        <v>153.89908611005654</v>
      </c>
      <c r="C2632" s="12">
        <v>159.78016016377686</v>
      </c>
      <c r="D2632" s="12">
        <v>127.46778676696438</v>
      </c>
    </row>
    <row r="2633" spans="1:4">
      <c r="A2633">
        <v>2630</v>
      </c>
      <c r="B2633" s="12">
        <v>149.07186103624062</v>
      </c>
      <c r="C2633" s="12">
        <v>171.1849817386458</v>
      </c>
      <c r="D2633" s="12">
        <v>89.115224480399689</v>
      </c>
    </row>
    <row r="2634" spans="1:4">
      <c r="A2634">
        <v>2631</v>
      </c>
      <c r="B2634" s="12">
        <v>196.11860588136773</v>
      </c>
      <c r="C2634" s="12">
        <v>131.26505035914889</v>
      </c>
      <c r="D2634" s="12">
        <v>91.745776414814941</v>
      </c>
    </row>
    <row r="2635" spans="1:4">
      <c r="A2635">
        <v>2632</v>
      </c>
      <c r="B2635" s="12">
        <v>127.66886377375361</v>
      </c>
      <c r="C2635" s="12">
        <v>126.67087734807801</v>
      </c>
      <c r="D2635" s="12">
        <v>174.7218156021199</v>
      </c>
    </row>
    <row r="2636" spans="1:4">
      <c r="A2636">
        <v>2633</v>
      </c>
      <c r="B2636" s="12">
        <v>146.88148485653576</v>
      </c>
      <c r="C2636" s="12">
        <v>141.28620271193543</v>
      </c>
      <c r="D2636" s="12">
        <v>116.35849464486435</v>
      </c>
    </row>
    <row r="2637" spans="1:4">
      <c r="A2637">
        <v>2634</v>
      </c>
      <c r="B2637" s="12">
        <v>152.93654215790775</v>
      </c>
      <c r="C2637" s="12">
        <v>161.86142856353464</v>
      </c>
      <c r="D2637" s="12">
        <v>116.97626152838836</v>
      </c>
    </row>
    <row r="2638" spans="1:4">
      <c r="A2638">
        <v>2635</v>
      </c>
      <c r="B2638" s="12">
        <v>176.40533274969735</v>
      </c>
      <c r="C2638" s="12">
        <v>185.085657137732</v>
      </c>
      <c r="D2638" s="12">
        <v>79.379390635652229</v>
      </c>
    </row>
    <row r="2639" spans="1:4">
      <c r="A2639">
        <v>2636</v>
      </c>
      <c r="B2639" s="12">
        <v>135.45662245290637</v>
      </c>
      <c r="C2639" s="12">
        <v>163.28983210301695</v>
      </c>
      <c r="D2639" s="12">
        <v>111.37994821723544</v>
      </c>
    </row>
    <row r="2640" spans="1:4">
      <c r="A2640">
        <v>2637</v>
      </c>
      <c r="B2640" s="12">
        <v>202.7947689395447</v>
      </c>
      <c r="C2640" s="12">
        <v>142.42247252972922</v>
      </c>
      <c r="D2640" s="12">
        <v>148.04439516986255</v>
      </c>
    </row>
    <row r="2641" spans="1:4">
      <c r="A2641">
        <v>2638</v>
      </c>
      <c r="B2641" s="12">
        <v>161.42195650764086</v>
      </c>
      <c r="C2641" s="12">
        <v>176.53269838822337</v>
      </c>
      <c r="D2641" s="12">
        <v>94.701796516823663</v>
      </c>
    </row>
    <row r="2642" spans="1:4">
      <c r="A2642">
        <v>2639</v>
      </c>
      <c r="B2642" s="12">
        <v>166.04210582909423</v>
      </c>
      <c r="C2642" s="12">
        <v>191.92260213459602</v>
      </c>
      <c r="D2642" s="12">
        <v>66.925909752978683</v>
      </c>
    </row>
    <row r="2643" spans="1:4">
      <c r="A2643">
        <v>2640</v>
      </c>
      <c r="B2643" s="12">
        <v>208.47574512395011</v>
      </c>
      <c r="C2643" s="12">
        <v>153.58065345327861</v>
      </c>
      <c r="D2643" s="12">
        <v>92.178682419181385</v>
      </c>
    </row>
    <row r="2644" spans="1:4">
      <c r="A2644">
        <v>2641</v>
      </c>
      <c r="B2644" s="12">
        <v>152.33822438971339</v>
      </c>
      <c r="C2644" s="12">
        <v>146.71236698807883</v>
      </c>
      <c r="D2644" s="12">
        <v>97.071442326645084</v>
      </c>
    </row>
    <row r="2645" spans="1:4">
      <c r="A2645">
        <v>2642</v>
      </c>
      <c r="B2645" s="12">
        <v>130.26732712278715</v>
      </c>
      <c r="C2645" s="12">
        <v>116.54668117928213</v>
      </c>
      <c r="D2645" s="12">
        <v>77.478171703700497</v>
      </c>
    </row>
    <row r="2646" spans="1:4">
      <c r="A2646">
        <v>2643</v>
      </c>
      <c r="B2646" s="12">
        <v>189.8029421945412</v>
      </c>
      <c r="C2646" s="12">
        <v>141.01718495206026</v>
      </c>
      <c r="D2646" s="12">
        <v>190.23556598002079</v>
      </c>
    </row>
    <row r="2647" spans="1:4">
      <c r="A2647">
        <v>2644</v>
      </c>
      <c r="B2647" s="12">
        <v>143.90301353654678</v>
      </c>
      <c r="C2647" s="12">
        <v>147.36690207392741</v>
      </c>
      <c r="D2647" s="12">
        <v>94.966264747651778</v>
      </c>
    </row>
    <row r="2648" spans="1:4">
      <c r="A2648">
        <v>2645</v>
      </c>
      <c r="B2648" s="12">
        <v>140.44878486580367</v>
      </c>
      <c r="C2648" s="12">
        <v>172.07245216969781</v>
      </c>
      <c r="D2648" s="12">
        <v>86.984108669885273</v>
      </c>
    </row>
    <row r="2649" spans="1:4">
      <c r="A2649">
        <v>2646</v>
      </c>
      <c r="B2649" s="12">
        <v>215.63441580515232</v>
      </c>
      <c r="C2649" s="12">
        <v>160.72842889340538</v>
      </c>
      <c r="D2649" s="12">
        <v>100.37391041214882</v>
      </c>
    </row>
    <row r="2650" spans="1:4">
      <c r="A2650">
        <v>2647</v>
      </c>
      <c r="B2650" s="12">
        <v>142.50870308240451</v>
      </c>
      <c r="C2650" s="12">
        <v>167.04984865915816</v>
      </c>
      <c r="D2650" s="12">
        <v>99.651057479833227</v>
      </c>
    </row>
    <row r="2651" spans="1:4">
      <c r="A2651">
        <v>2648</v>
      </c>
      <c r="B2651" s="12">
        <v>145.52087218350556</v>
      </c>
      <c r="C2651" s="12">
        <v>160.46664295312928</v>
      </c>
      <c r="D2651" s="12">
        <v>123.57876759952816</v>
      </c>
    </row>
    <row r="2652" spans="1:4">
      <c r="A2652">
        <v>2649</v>
      </c>
      <c r="B2652" s="12">
        <v>157.75687846128591</v>
      </c>
      <c r="C2652" s="12">
        <v>151.89056300472609</v>
      </c>
      <c r="D2652" s="12">
        <v>79.690516692179642</v>
      </c>
    </row>
    <row r="2653" spans="1:4">
      <c r="A2653">
        <v>2650</v>
      </c>
      <c r="B2653" s="12">
        <v>230.00198184724036</v>
      </c>
      <c r="C2653" s="12">
        <v>152.77861922477931</v>
      </c>
      <c r="D2653" s="12">
        <v>139.3903921091856</v>
      </c>
    </row>
    <row r="2654" spans="1:4">
      <c r="A2654">
        <v>2651</v>
      </c>
      <c r="B2654" s="12">
        <v>125.76143686126142</v>
      </c>
      <c r="C2654" s="12">
        <v>149.55841000935661</v>
      </c>
      <c r="D2654" s="12">
        <v>64.343118699424352</v>
      </c>
    </row>
    <row r="2655" spans="1:4">
      <c r="A2655">
        <v>2652</v>
      </c>
      <c r="B2655" s="12">
        <v>151.73946235326156</v>
      </c>
      <c r="C2655" s="12">
        <v>128.55510095677087</v>
      </c>
      <c r="D2655" s="12">
        <v>79.178714848564482</v>
      </c>
    </row>
    <row r="2656" spans="1:4">
      <c r="A2656">
        <v>2653</v>
      </c>
      <c r="B2656" s="12">
        <v>181.66834950134552</v>
      </c>
      <c r="C2656" s="12">
        <v>152.93504009909381</v>
      </c>
      <c r="D2656" s="12">
        <v>94.268335248632013</v>
      </c>
    </row>
    <row r="2657" spans="1:4">
      <c r="A2657">
        <v>2654</v>
      </c>
      <c r="B2657" s="12">
        <v>143.52186204595756</v>
      </c>
      <c r="C2657" s="12">
        <v>164.75790006852807</v>
      </c>
      <c r="D2657" s="12">
        <v>106.40872640017895</v>
      </c>
    </row>
    <row r="2658" spans="1:4">
      <c r="A2658">
        <v>2655</v>
      </c>
      <c r="B2658" s="12">
        <v>105.63675188511793</v>
      </c>
      <c r="C2658" s="12">
        <v>152.13437084968785</v>
      </c>
      <c r="D2658" s="12">
        <v>146.9024079906232</v>
      </c>
    </row>
    <row r="2659" spans="1:4">
      <c r="A2659">
        <v>2656</v>
      </c>
      <c r="B2659" s="12">
        <v>107.80723798742652</v>
      </c>
      <c r="C2659" s="12">
        <v>204.90686499943962</v>
      </c>
      <c r="D2659" s="12">
        <v>78.544761548118558</v>
      </c>
    </row>
    <row r="2660" spans="1:4">
      <c r="A2660">
        <v>2657</v>
      </c>
      <c r="B2660" s="12">
        <v>138.73948056258601</v>
      </c>
      <c r="C2660" s="12">
        <v>157.09287325264191</v>
      </c>
      <c r="D2660" s="12">
        <v>153.70206912453992</v>
      </c>
    </row>
    <row r="2661" spans="1:4">
      <c r="A2661">
        <v>2658</v>
      </c>
      <c r="B2661" s="12">
        <v>250.97801829679818</v>
      </c>
      <c r="C2661" s="12">
        <v>132.21654215492339</v>
      </c>
      <c r="D2661" s="12">
        <v>89.648023772555234</v>
      </c>
    </row>
    <row r="2662" spans="1:4">
      <c r="A2662">
        <v>2659</v>
      </c>
      <c r="B2662" s="12">
        <v>138.33429863779406</v>
      </c>
      <c r="C2662" s="12">
        <v>178.00713206368479</v>
      </c>
      <c r="D2662" s="12">
        <v>71.913193778316526</v>
      </c>
    </row>
    <row r="2663" spans="1:4">
      <c r="A2663">
        <v>2660</v>
      </c>
      <c r="B2663" s="12">
        <v>159.46375066250971</v>
      </c>
      <c r="C2663" s="12">
        <v>183.66522741947594</v>
      </c>
      <c r="D2663" s="12">
        <v>81.780258448449388</v>
      </c>
    </row>
    <row r="2664" spans="1:4">
      <c r="A2664">
        <v>2661</v>
      </c>
      <c r="B2664" s="12">
        <v>123.94052126594413</v>
      </c>
      <c r="C2664" s="12">
        <v>192.70474007322747</v>
      </c>
      <c r="D2664" s="12">
        <v>101.65812727634757</v>
      </c>
    </row>
    <row r="2665" spans="1:4">
      <c r="A2665">
        <v>2662</v>
      </c>
      <c r="B2665" s="12">
        <v>182.45453956419564</v>
      </c>
      <c r="C2665" s="12">
        <v>169.16076682045997</v>
      </c>
      <c r="D2665" s="12">
        <v>113.16153338029078</v>
      </c>
    </row>
    <row r="2666" spans="1:4">
      <c r="A2666">
        <v>2663</v>
      </c>
      <c r="B2666" s="12">
        <v>192.25550540124138</v>
      </c>
      <c r="C2666" s="12">
        <v>154.22788774021367</v>
      </c>
      <c r="D2666" s="12">
        <v>90.083900355146483</v>
      </c>
    </row>
    <row r="2667" spans="1:4">
      <c r="A2667">
        <v>2664</v>
      </c>
      <c r="B2667" s="12">
        <v>161.04962717678103</v>
      </c>
      <c r="C2667" s="12">
        <v>123.46704626013559</v>
      </c>
      <c r="D2667" s="12">
        <v>88.237063681284894</v>
      </c>
    </row>
    <row r="2668" spans="1:4">
      <c r="A2668">
        <v>2665</v>
      </c>
      <c r="B2668" s="12">
        <v>144.52553134853605</v>
      </c>
      <c r="C2668" s="12">
        <v>162.57106842156833</v>
      </c>
      <c r="D2668" s="12">
        <v>114.08132723197362</v>
      </c>
    </row>
    <row r="2669" spans="1:4">
      <c r="A2669">
        <v>2666</v>
      </c>
      <c r="B2669" s="12">
        <v>187.81409672071717</v>
      </c>
      <c r="C2669" s="12">
        <v>160.20586876711127</v>
      </c>
      <c r="D2669" s="12">
        <v>65.99211528811577</v>
      </c>
    </row>
    <row r="2670" spans="1:4">
      <c r="A2670">
        <v>2667</v>
      </c>
      <c r="B2670" s="12">
        <v>148.83603665619191</v>
      </c>
      <c r="C2670" s="12">
        <v>136.81236432747036</v>
      </c>
      <c r="D2670" s="12">
        <v>142.55645998585899</v>
      </c>
    </row>
    <row r="2671" spans="1:4">
      <c r="A2671">
        <v>2668</v>
      </c>
      <c r="B2671" s="12">
        <v>167.45488829020314</v>
      </c>
      <c r="C2671" s="12">
        <v>161.5949101015064</v>
      </c>
      <c r="D2671" s="12">
        <v>218.32280902851753</v>
      </c>
    </row>
    <row r="2672" spans="1:4">
      <c r="A2672">
        <v>2669</v>
      </c>
      <c r="B2672" s="12">
        <v>166.42833875866654</v>
      </c>
      <c r="C2672" s="12">
        <v>163.74132822158651</v>
      </c>
      <c r="D2672" s="12">
        <v>141.64538546826373</v>
      </c>
    </row>
    <row r="2673" spans="1:4">
      <c r="A2673">
        <v>2670</v>
      </c>
      <c r="B2673" s="12">
        <v>121.15522901275499</v>
      </c>
      <c r="C2673" s="12">
        <v>155.37070150098256</v>
      </c>
      <c r="D2673" s="12">
        <v>121.23129359718183</v>
      </c>
    </row>
    <row r="2674" spans="1:4">
      <c r="A2674">
        <v>2671</v>
      </c>
      <c r="B2674" s="12">
        <v>163.64448476499967</v>
      </c>
      <c r="C2674" s="12">
        <v>139.84797881881326</v>
      </c>
      <c r="D2674" s="12">
        <v>122.83106801786909</v>
      </c>
    </row>
    <row r="2675" spans="1:4">
      <c r="A2675">
        <v>2672</v>
      </c>
      <c r="B2675" s="12">
        <v>134.59767676475096</v>
      </c>
      <c r="C2675" s="12">
        <v>134.66597466679502</v>
      </c>
      <c r="D2675" s="12">
        <v>117.35793880977486</v>
      </c>
    </row>
    <row r="2676" spans="1:4">
      <c r="A2676">
        <v>2673</v>
      </c>
      <c r="B2676" s="12">
        <v>150.04175723588529</v>
      </c>
      <c r="C2676" s="12">
        <v>168.65002506288357</v>
      </c>
      <c r="D2676" s="12">
        <v>95.400632257858689</v>
      </c>
    </row>
    <row r="2677" spans="1:4">
      <c r="A2677">
        <v>2674</v>
      </c>
      <c r="B2677" s="12">
        <v>163.02545952107715</v>
      </c>
      <c r="C2677" s="12">
        <v>106.87972539602566</v>
      </c>
      <c r="D2677" s="12">
        <v>100.92509414015615</v>
      </c>
    </row>
    <row r="2678" spans="1:4">
      <c r="A2678">
        <v>2675</v>
      </c>
      <c r="B2678" s="12">
        <v>186.42084219277643</v>
      </c>
      <c r="C2678" s="12">
        <v>162.30128768637783</v>
      </c>
      <c r="D2678" s="12">
        <v>163.56240748846645</v>
      </c>
    </row>
    <row r="2679" spans="1:4">
      <c r="A2679">
        <v>2676</v>
      </c>
      <c r="B2679" s="12">
        <v>219.43933720420918</v>
      </c>
      <c r="C2679" s="12">
        <v>145.80374187273665</v>
      </c>
      <c r="D2679" s="12">
        <v>121.66298382538325</v>
      </c>
    </row>
    <row r="2680" spans="1:4">
      <c r="A2680">
        <v>2677</v>
      </c>
      <c r="B2680" s="12">
        <v>137.92667028030783</v>
      </c>
      <c r="C2680" s="12">
        <v>125.40010609694481</v>
      </c>
      <c r="D2680" s="12">
        <v>54.709621903623677</v>
      </c>
    </row>
    <row r="2681" spans="1:4">
      <c r="A2681">
        <v>2678</v>
      </c>
      <c r="B2681" s="12">
        <v>137.66423286658761</v>
      </c>
      <c r="C2681" s="12">
        <v>159.1001174112221</v>
      </c>
      <c r="D2681" s="12">
        <v>131.95313477655978</v>
      </c>
    </row>
    <row r="2682" spans="1:4">
      <c r="A2682">
        <v>2679</v>
      </c>
      <c r="B2682" s="12">
        <v>140.05296950140928</v>
      </c>
      <c r="C2682" s="12">
        <v>113.59342819652991</v>
      </c>
      <c r="D2682" s="12">
        <v>79.999107751101519</v>
      </c>
    </row>
    <row r="2683" spans="1:4">
      <c r="A2683">
        <v>2680</v>
      </c>
      <c r="B2683" s="12">
        <v>178.01471842991819</v>
      </c>
      <c r="C2683" s="12">
        <v>158.84413704239643</v>
      </c>
      <c r="D2683" s="12">
        <v>73.367159093475479</v>
      </c>
    </row>
    <row r="2684" spans="1:4">
      <c r="A2684">
        <v>2681</v>
      </c>
      <c r="B2684" s="12">
        <v>129.47886155359612</v>
      </c>
      <c r="C2684" s="12">
        <v>175.89284568023362</v>
      </c>
      <c r="D2684" s="12">
        <v>77.689183184724882</v>
      </c>
    </row>
    <row r="2685" spans="1:4">
      <c r="A2685">
        <v>2682</v>
      </c>
      <c r="B2685" s="12">
        <v>141.87391024951779</v>
      </c>
      <c r="C2685" s="12">
        <v>151.24698599481326</v>
      </c>
      <c r="D2685" s="12">
        <v>82.074111988954257</v>
      </c>
    </row>
    <row r="2686" spans="1:4">
      <c r="A2686">
        <v>2683</v>
      </c>
      <c r="B2686" s="12">
        <v>203.56362866540184</v>
      </c>
      <c r="C2686" s="12">
        <v>110.55261666636234</v>
      </c>
      <c r="D2686" s="12">
        <v>59.161566258432011</v>
      </c>
    </row>
    <row r="2687" spans="1:4">
      <c r="A2687">
        <v>2684</v>
      </c>
      <c r="B2687" s="12">
        <v>287.31266629273097</v>
      </c>
      <c r="C2687" s="12">
        <v>125.71728314254862</v>
      </c>
      <c r="D2687" s="12">
        <v>102.39775960064463</v>
      </c>
    </row>
    <row r="2688" spans="1:4">
      <c r="A2688">
        <v>2685</v>
      </c>
      <c r="B2688" s="12">
        <v>178.75343405033178</v>
      </c>
      <c r="C2688" s="12">
        <v>177.59419107302594</v>
      </c>
      <c r="D2688" s="12">
        <v>92.611372764978697</v>
      </c>
    </row>
    <row r="2689" spans="1:4">
      <c r="A2689">
        <v>2686</v>
      </c>
      <c r="B2689" s="12">
        <v>175.69270424742609</v>
      </c>
      <c r="C2689" s="12">
        <v>163.01650725213381</v>
      </c>
      <c r="D2689" s="12">
        <v>150.04952681442001</v>
      </c>
    </row>
    <row r="2690" spans="1:4">
      <c r="A2690">
        <v>2687</v>
      </c>
      <c r="B2690" s="12">
        <v>89.758773810554047</v>
      </c>
      <c r="C2690" s="12">
        <v>121.24452755519613</v>
      </c>
      <c r="D2690" s="12">
        <v>140.76702583756605</v>
      </c>
    </row>
    <row r="2691" spans="1:4">
      <c r="A2691">
        <v>2688</v>
      </c>
      <c r="B2691" s="12">
        <v>151.00864010271195</v>
      </c>
      <c r="C2691" s="12">
        <v>166.27256746446139</v>
      </c>
      <c r="D2691" s="12">
        <v>101.83691786785434</v>
      </c>
    </row>
    <row r="2692" spans="1:4">
      <c r="A2692">
        <v>2689</v>
      </c>
      <c r="B2692" s="12">
        <v>136.15131025403602</v>
      </c>
      <c r="C2692" s="12">
        <v>185.6475944111391</v>
      </c>
      <c r="D2692" s="12">
        <v>145.81366892385947</v>
      </c>
    </row>
    <row r="2693" spans="1:4">
      <c r="A2693">
        <v>2690</v>
      </c>
      <c r="B2693" s="12">
        <v>145.14483595401705</v>
      </c>
      <c r="C2693" s="12">
        <v>184.19289832135087</v>
      </c>
      <c r="D2693" s="12">
        <v>156.31506347312032</v>
      </c>
    </row>
    <row r="2694" spans="1:4">
      <c r="A2694">
        <v>2691</v>
      </c>
      <c r="B2694" s="12">
        <v>135.72887959366361</v>
      </c>
      <c r="C2694" s="12">
        <v>131.98924554582658</v>
      </c>
      <c r="D2694" s="12">
        <v>127.99666868855921</v>
      </c>
    </row>
    <row r="2695" spans="1:4">
      <c r="A2695">
        <v>2692</v>
      </c>
      <c r="B2695" s="12">
        <v>117.57407356498119</v>
      </c>
      <c r="C2695" s="12">
        <v>159.35693685186871</v>
      </c>
      <c r="D2695" s="12">
        <v>104.84901384551551</v>
      </c>
    </row>
    <row r="2696" spans="1:4">
      <c r="A2696">
        <v>2693</v>
      </c>
      <c r="B2696" s="12">
        <v>120.09743234648855</v>
      </c>
      <c r="C2696" s="12">
        <v>140.12377864198771</v>
      </c>
      <c r="D2696" s="12">
        <v>99.924189114627012</v>
      </c>
    </row>
    <row r="2697" spans="1:4">
      <c r="A2697">
        <v>2694</v>
      </c>
      <c r="B2697" s="12">
        <v>108.99545601212635</v>
      </c>
      <c r="C2697" s="12">
        <v>150.20319661346593</v>
      </c>
      <c r="D2697" s="12">
        <v>57.222732150781681</v>
      </c>
    </row>
    <row r="2698" spans="1:4">
      <c r="A2698">
        <v>2695</v>
      </c>
      <c r="B2698" s="12">
        <v>160.44043161036439</v>
      </c>
      <c r="C2698" s="12">
        <v>179.85112670811537</v>
      </c>
      <c r="D2698" s="12">
        <v>88.408946655220987</v>
      </c>
    </row>
    <row r="2699" spans="1:4">
      <c r="A2699">
        <v>2696</v>
      </c>
      <c r="B2699" s="12">
        <v>201.5660677126144</v>
      </c>
      <c r="C2699" s="12">
        <v>119.36840060489656</v>
      </c>
      <c r="D2699" s="12">
        <v>148.80661249307974</v>
      </c>
    </row>
    <row r="2700" spans="1:4">
      <c r="A2700">
        <v>2697</v>
      </c>
      <c r="B2700" s="12">
        <v>142.12227554273213</v>
      </c>
      <c r="C2700" s="12">
        <v>203.9279845884852</v>
      </c>
      <c r="D2700" s="12">
        <v>93.138768058152635</v>
      </c>
    </row>
    <row r="2701" spans="1:4">
      <c r="A2701">
        <v>2698</v>
      </c>
      <c r="B2701" s="12">
        <v>118.29439664199685</v>
      </c>
      <c r="C2701" s="12">
        <v>142.25395535968434</v>
      </c>
      <c r="D2701" s="12">
        <v>93.57144509517984</v>
      </c>
    </row>
    <row r="2702" spans="1:4">
      <c r="A2702">
        <v>2699</v>
      </c>
      <c r="B2702" s="12">
        <v>146.50896497351872</v>
      </c>
      <c r="C2702" s="12">
        <v>158.42592684615281</v>
      </c>
      <c r="D2702" s="12">
        <v>137.32194840477607</v>
      </c>
    </row>
    <row r="2703" spans="1:4">
      <c r="A2703">
        <v>2700</v>
      </c>
      <c r="B2703" s="12">
        <v>129.78858021651246</v>
      </c>
      <c r="C2703" s="12">
        <v>143.62944823252795</v>
      </c>
      <c r="D2703" s="12">
        <v>89.381834111835872</v>
      </c>
    </row>
    <row r="2704" spans="1:4">
      <c r="A2704">
        <v>2701</v>
      </c>
      <c r="B2704" s="12">
        <v>164.02317823252551</v>
      </c>
      <c r="C2704" s="12">
        <v>211.9732765037518</v>
      </c>
      <c r="D2704" s="12">
        <v>136.58046063642931</v>
      </c>
    </row>
    <row r="2705" spans="1:4">
      <c r="A2705">
        <v>2702</v>
      </c>
      <c r="B2705" s="12">
        <v>156.78986417503316</v>
      </c>
      <c r="C2705" s="12">
        <v>153.82555173037599</v>
      </c>
      <c r="D2705" s="12">
        <v>71.223284559144915</v>
      </c>
    </row>
    <row r="2706" spans="1:4">
      <c r="A2706">
        <v>2703</v>
      </c>
      <c r="B2706" s="12">
        <v>136.57067555669929</v>
      </c>
      <c r="C2706" s="12">
        <v>161.1601825100428</v>
      </c>
      <c r="D2706" s="12">
        <v>120.11754572917084</v>
      </c>
    </row>
    <row r="2707" spans="1:4">
      <c r="A2707">
        <v>2704</v>
      </c>
      <c r="B2707" s="12">
        <v>166.67645129978587</v>
      </c>
      <c r="C2707" s="12">
        <v>132.56716906122645</v>
      </c>
      <c r="D2707" s="12">
        <v>66.568438742181755</v>
      </c>
    </row>
    <row r="2708" spans="1:4">
      <c r="A2708">
        <v>2705</v>
      </c>
      <c r="B2708" s="12">
        <v>117.10039705407058</v>
      </c>
      <c r="C2708" s="12">
        <v>118.86797168315215</v>
      </c>
      <c r="D2708" s="12">
        <v>74.733244642277242</v>
      </c>
    </row>
    <row r="2709" spans="1:4">
      <c r="A2709">
        <v>2706</v>
      </c>
      <c r="B2709" s="12">
        <v>205.67308321933368</v>
      </c>
      <c r="C2709" s="12">
        <v>216.62806306584255</v>
      </c>
      <c r="D2709" s="12">
        <v>72.977387136388401</v>
      </c>
    </row>
    <row r="2710" spans="1:4">
      <c r="A2710">
        <v>2707</v>
      </c>
      <c r="B2710" s="12">
        <v>156.55564179416112</v>
      </c>
      <c r="C2710" s="12">
        <v>202.50506947866566</v>
      </c>
      <c r="D2710" s="12">
        <v>152.24819383700159</v>
      </c>
    </row>
    <row r="2711" spans="1:4">
      <c r="A2711">
        <v>2708</v>
      </c>
      <c r="B2711" s="12">
        <v>138.99777849543872</v>
      </c>
      <c r="C2711" s="12">
        <v>120.8136733905428</v>
      </c>
      <c r="D2711" s="12">
        <v>71.646642388464613</v>
      </c>
    </row>
    <row r="2712" spans="1:4">
      <c r="A2712">
        <v>2709</v>
      </c>
      <c r="B2712" s="12">
        <v>234.98238876196982</v>
      </c>
      <c r="C2712" s="12">
        <v>150.84713168050493</v>
      </c>
      <c r="D2712" s="12">
        <v>182.8667390650277</v>
      </c>
    </row>
    <row r="2713" spans="1:4">
      <c r="A2713">
        <v>2710</v>
      </c>
      <c r="B2713" s="12">
        <v>169.54011470674772</v>
      </c>
      <c r="C2713" s="12">
        <v>157.50497443030287</v>
      </c>
      <c r="D2713" s="12">
        <v>78.863169760925047</v>
      </c>
    </row>
    <row r="2714" spans="1:4">
      <c r="A2714">
        <v>2711</v>
      </c>
      <c r="B2714" s="12">
        <v>248.72245674616241</v>
      </c>
      <c r="C2714" s="12">
        <v>146.96065084859404</v>
      </c>
      <c r="D2714" s="12">
        <v>78.015833686086438</v>
      </c>
    </row>
    <row r="2715" spans="1:4">
      <c r="A2715">
        <v>2712</v>
      </c>
      <c r="B2715" s="12">
        <v>84.58273587173403</v>
      </c>
      <c r="C2715" s="12">
        <v>140.84409281075344</v>
      </c>
      <c r="D2715" s="12">
        <v>97.778676188047072</v>
      </c>
    </row>
    <row r="2716" spans="1:4">
      <c r="A2716">
        <v>2713</v>
      </c>
      <c r="B2716" s="12">
        <v>126.29624136109406</v>
      </c>
      <c r="C2716" s="12">
        <v>130.02394480971861</v>
      </c>
      <c r="D2716" s="12">
        <v>138.08555634358007</v>
      </c>
    </row>
    <row r="2717" spans="1:4">
      <c r="A2717">
        <v>2714</v>
      </c>
      <c r="B2717" s="12">
        <v>213.51375814242203</v>
      </c>
      <c r="C2717" s="12">
        <v>149.7149267052192</v>
      </c>
      <c r="D2717" s="12">
        <v>105.14128639582745</v>
      </c>
    </row>
    <row r="2718" spans="1:4">
      <c r="A2718">
        <v>2715</v>
      </c>
      <c r="B2718" s="12">
        <v>198.970551501979</v>
      </c>
      <c r="C2718" s="12">
        <v>146.46355111983686</v>
      </c>
      <c r="D2718" s="12">
        <v>118.38546198848991</v>
      </c>
    </row>
    <row r="2719" spans="1:4">
      <c r="A2719">
        <v>2716</v>
      </c>
      <c r="B2719" s="12">
        <v>147.11965405376566</v>
      </c>
      <c r="C2719" s="12">
        <v>176.92994341278037</v>
      </c>
      <c r="D2719" s="12">
        <v>74.965867387320785</v>
      </c>
    </row>
    <row r="2720" spans="1:4">
      <c r="A2720">
        <v>2717</v>
      </c>
      <c r="B2720" s="12">
        <v>150.77432722737126</v>
      </c>
      <c r="C2720" s="12">
        <v>131.62997283975398</v>
      </c>
      <c r="D2720" s="12">
        <v>70.508104688678287</v>
      </c>
    </row>
    <row r="2721" spans="1:4">
      <c r="A2721">
        <v>2718</v>
      </c>
      <c r="B2721" s="12">
        <v>259.59775154847853</v>
      </c>
      <c r="C2721" s="12">
        <v>144.97745108887386</v>
      </c>
      <c r="D2721" s="12">
        <v>85.083178548945597</v>
      </c>
    </row>
    <row r="2722" spans="1:4">
      <c r="A2722">
        <v>2719</v>
      </c>
      <c r="B2722" s="12">
        <v>184.24042093732319</v>
      </c>
      <c r="C2722" s="12">
        <v>149.06916724459734</v>
      </c>
      <c r="D2722" s="12">
        <v>107.50903862424339</v>
      </c>
    </row>
    <row r="2723" spans="1:4">
      <c r="A2723">
        <v>2720</v>
      </c>
      <c r="B2723" s="12">
        <v>185.06514252430546</v>
      </c>
      <c r="C2723" s="12">
        <v>164.47656249478692</v>
      </c>
      <c r="D2723" s="12">
        <v>135.40825905006599</v>
      </c>
    </row>
    <row r="2724" spans="1:4">
      <c r="A2724">
        <v>2721</v>
      </c>
      <c r="B2724" s="12">
        <v>133.44141630704976</v>
      </c>
      <c r="C2724" s="12">
        <v>137.11081847147855</v>
      </c>
      <c r="D2724" s="12">
        <v>109.14682267589636</v>
      </c>
    </row>
    <row r="2725" spans="1:4">
      <c r="A2725">
        <v>2722</v>
      </c>
      <c r="B2725" s="12">
        <v>177.56864197540855</v>
      </c>
      <c r="C2725" s="12">
        <v>181.05790548140124</v>
      </c>
      <c r="D2725" s="12">
        <v>86.264063582272613</v>
      </c>
    </row>
    <row r="2726" spans="1:4">
      <c r="A2726">
        <v>2723</v>
      </c>
      <c r="B2726" s="12">
        <v>225.73973538121248</v>
      </c>
      <c r="C2726" s="12">
        <v>154.71948126984441</v>
      </c>
      <c r="D2726" s="12">
        <v>124.82086175209045</v>
      </c>
    </row>
    <row r="2727" spans="1:4">
      <c r="A2727">
        <v>2724</v>
      </c>
      <c r="B2727" s="12">
        <v>154.86167592940828</v>
      </c>
      <c r="C2727" s="12">
        <v>157.75702577368023</v>
      </c>
      <c r="D2727" s="12">
        <v>144.12962968998889</v>
      </c>
    </row>
    <row r="2728" spans="1:4">
      <c r="A2728">
        <v>2725</v>
      </c>
      <c r="B2728" s="12">
        <v>115.55193661665182</v>
      </c>
      <c r="C2728" s="12">
        <v>184.53733635780205</v>
      </c>
      <c r="D2728" s="12">
        <v>98.219861296561689</v>
      </c>
    </row>
    <row r="2729" spans="1:4">
      <c r="A2729">
        <v>2726</v>
      </c>
      <c r="B2729" s="12">
        <v>151.37418853326264</v>
      </c>
      <c r="C2729" s="12">
        <v>148.66712579181927</v>
      </c>
      <c r="D2729" s="12">
        <v>90.783666185693292</v>
      </c>
    </row>
    <row r="2730" spans="1:4">
      <c r="A2730">
        <v>2727</v>
      </c>
      <c r="B2730" s="12">
        <v>158.12381177248886</v>
      </c>
      <c r="C2730" s="12">
        <v>133.46997974949144</v>
      </c>
      <c r="D2730" s="12">
        <v>61.092301825403183</v>
      </c>
    </row>
    <row r="2731" spans="1:4">
      <c r="A2731">
        <v>2728</v>
      </c>
      <c r="B2731" s="12">
        <v>130.74049511197978</v>
      </c>
      <c r="C2731" s="12">
        <v>172.9844626404352</v>
      </c>
      <c r="D2731" s="12">
        <v>84.804596626051634</v>
      </c>
    </row>
    <row r="2732" spans="1:4">
      <c r="A2732">
        <v>2729</v>
      </c>
      <c r="B2732" s="12">
        <v>278.90932244017222</v>
      </c>
      <c r="C2732" s="12">
        <v>142.94554200709103</v>
      </c>
      <c r="D2732" s="12">
        <v>91.481733890671563</v>
      </c>
    </row>
    <row r="2733" spans="1:4">
      <c r="A2733">
        <v>2730</v>
      </c>
      <c r="B2733" s="12">
        <v>155.22637986822133</v>
      </c>
      <c r="C2733" s="12">
        <v>140.57261175879222</v>
      </c>
      <c r="D2733" s="12">
        <v>119.44355313050767</v>
      </c>
    </row>
    <row r="2734" spans="1:4">
      <c r="A2734">
        <v>2731</v>
      </c>
      <c r="B2734" s="12">
        <v>144.1464722470335</v>
      </c>
      <c r="C2734" s="12">
        <v>188.88011565754908</v>
      </c>
      <c r="D2734" s="12">
        <v>106.21734383944661</v>
      </c>
    </row>
    <row r="2735" spans="1:4">
      <c r="A2735">
        <v>2732</v>
      </c>
      <c r="B2735" s="12">
        <v>162.64942627142636</v>
      </c>
      <c r="C2735" s="12">
        <v>141.9898571923201</v>
      </c>
      <c r="D2735" s="12">
        <v>113.50745505063281</v>
      </c>
    </row>
    <row r="2736" spans="1:4">
      <c r="A2736">
        <v>2733</v>
      </c>
      <c r="B2736" s="12">
        <v>161.66086624652962</v>
      </c>
      <c r="C2736" s="12">
        <v>144.05084867001901</v>
      </c>
      <c r="D2736" s="12">
        <v>105.91982106497611</v>
      </c>
    </row>
    <row r="2737" spans="1:4">
      <c r="A2737">
        <v>2734</v>
      </c>
      <c r="B2737" s="12">
        <v>193.83777262463488</v>
      </c>
      <c r="C2737" s="12">
        <v>152.29058172869401</v>
      </c>
      <c r="D2737" s="12">
        <v>96.367305252564748</v>
      </c>
    </row>
    <row r="2738" spans="1:4">
      <c r="A2738">
        <v>2735</v>
      </c>
      <c r="B2738" s="12">
        <v>133.88244034734385</v>
      </c>
      <c r="C2738" s="12">
        <v>197.46339035142006</v>
      </c>
      <c r="D2738" s="12">
        <v>97.338886722845942</v>
      </c>
    </row>
    <row r="2739" spans="1:4">
      <c r="A2739">
        <v>2736</v>
      </c>
      <c r="B2739" s="12">
        <v>214.55727533176608</v>
      </c>
      <c r="C2739" s="12">
        <v>130.27187826170265</v>
      </c>
      <c r="D2739" s="12">
        <v>93.835275289664523</v>
      </c>
    </row>
    <row r="2740" spans="1:4">
      <c r="A2740">
        <v>2737</v>
      </c>
      <c r="B2740" s="12">
        <v>111.77901507634425</v>
      </c>
      <c r="C2740" s="12">
        <v>148.26429382595487</v>
      </c>
      <c r="D2740" s="12">
        <v>72.322532368743055</v>
      </c>
    </row>
    <row r="2741" spans="1:4">
      <c r="A2741">
        <v>2738</v>
      </c>
      <c r="B2741" s="12">
        <v>133.15681303817365</v>
      </c>
      <c r="C2741" s="12">
        <v>167.84191876318567</v>
      </c>
      <c r="D2741" s="12">
        <v>97.510442324909917</v>
      </c>
    </row>
    <row r="2742" spans="1:4">
      <c r="A2742">
        <v>2739</v>
      </c>
      <c r="B2742" s="12">
        <v>154.26358409208191</v>
      </c>
      <c r="C2742" s="12">
        <v>142.68458126198817</v>
      </c>
      <c r="D2742" s="12">
        <v>110.84087975414859</v>
      </c>
    </row>
    <row r="2743" spans="1:4">
      <c r="A2743">
        <v>2740</v>
      </c>
      <c r="B2743" s="12">
        <v>170.85992606363394</v>
      </c>
      <c r="C2743" s="12">
        <v>115.52436573506118</v>
      </c>
      <c r="D2743" s="12">
        <v>96.633637601586415</v>
      </c>
    </row>
    <row r="2744" spans="1:4">
      <c r="A2744">
        <v>2741</v>
      </c>
      <c r="B2744" s="12">
        <v>224.27007774751027</v>
      </c>
      <c r="C2744" s="12">
        <v>117.15454640776994</v>
      </c>
      <c r="D2744" s="12">
        <v>161.31539104568805</v>
      </c>
    </row>
    <row r="2745" spans="1:4">
      <c r="A2745">
        <v>2742</v>
      </c>
      <c r="B2745" s="12">
        <v>132.25698168393387</v>
      </c>
      <c r="C2745" s="12">
        <v>139.39167813556827</v>
      </c>
      <c r="D2745" s="12">
        <v>102.11683854372876</v>
      </c>
    </row>
    <row r="2746" spans="1:4">
      <c r="A2746">
        <v>2743</v>
      </c>
      <c r="B2746" s="12">
        <v>232.99491191055279</v>
      </c>
      <c r="C2746" s="12">
        <v>209.70135161715686</v>
      </c>
      <c r="D2746" s="12">
        <v>75.903381887777314</v>
      </c>
    </row>
    <row r="2747" spans="1:4">
      <c r="A2747">
        <v>2744</v>
      </c>
      <c r="B2747" s="12">
        <v>147.86123006923199</v>
      </c>
      <c r="C2747" s="12">
        <v>139.11108174973023</v>
      </c>
      <c r="D2747" s="12">
        <v>126.62022039504254</v>
      </c>
    </row>
    <row r="2748" spans="1:4">
      <c r="A2748">
        <v>2745</v>
      </c>
      <c r="B2748" s="12">
        <v>122.77386726117135</v>
      </c>
      <c r="C2748" s="12">
        <v>153.42390963510638</v>
      </c>
      <c r="D2748" s="12">
        <v>133.62499917946045</v>
      </c>
    </row>
    <row r="2749" spans="1:4">
      <c r="A2749">
        <v>2746</v>
      </c>
      <c r="B2749" s="12">
        <v>136.83774567204878</v>
      </c>
      <c r="C2749" s="12">
        <v>128.9693899903464</v>
      </c>
      <c r="D2749" s="12">
        <v>145.14184717687462</v>
      </c>
    </row>
    <row r="2750" spans="1:4">
      <c r="A2750">
        <v>2747</v>
      </c>
      <c r="B2750" s="12">
        <v>164.40295610367306</v>
      </c>
      <c r="C2750" s="12">
        <v>168.34201622835076</v>
      </c>
      <c r="D2750" s="12">
        <v>115.98685682501998</v>
      </c>
    </row>
    <row r="2751" spans="1:4">
      <c r="A2751">
        <v>2748</v>
      </c>
      <c r="B2751" s="12">
        <v>179.96141342765247</v>
      </c>
      <c r="C2751" s="12">
        <v>174.52139031849393</v>
      </c>
      <c r="D2751" s="12">
        <v>98.933222303070423</v>
      </c>
    </row>
    <row r="2752" spans="1:4">
      <c r="A2752">
        <v>2749</v>
      </c>
      <c r="B2752" s="12">
        <v>148.46739134629834</v>
      </c>
      <c r="C2752" s="12">
        <v>154.4735219233151</v>
      </c>
      <c r="D2752" s="12">
        <v>67.467417504390937</v>
      </c>
    </row>
    <row r="2753" spans="1:4">
      <c r="A2753">
        <v>2750</v>
      </c>
      <c r="B2753" s="12">
        <v>145.89586959592447</v>
      </c>
      <c r="C2753" s="12">
        <v>143.37129583245837</v>
      </c>
      <c r="D2753" s="12">
        <v>108.32140360176797</v>
      </c>
    </row>
    <row r="2754" spans="1:4">
      <c r="A2754">
        <v>2751</v>
      </c>
      <c r="B2754" s="12">
        <v>181.19443769355456</v>
      </c>
      <c r="C2754" s="12">
        <v>171.73358921137316</v>
      </c>
      <c r="D2754" s="12">
        <v>105.6237957846635</v>
      </c>
    </row>
    <row r="2755" spans="1:4">
      <c r="A2755">
        <v>2752</v>
      </c>
      <c r="B2755" s="12">
        <v>114.19053333712787</v>
      </c>
      <c r="C2755" s="12">
        <v>146.30387967099452</v>
      </c>
      <c r="D2755" s="12">
        <v>80.500167282318046</v>
      </c>
    </row>
    <row r="2756" spans="1:4">
      <c r="A2756">
        <v>2753</v>
      </c>
      <c r="B2756" s="12">
        <v>218.66064535573173</v>
      </c>
      <c r="C2756" s="12">
        <v>158.68059748406921</v>
      </c>
      <c r="D2756" s="12">
        <v>107.20460173680137</v>
      </c>
    </row>
    <row r="2757" spans="1:4">
      <c r="A2757">
        <v>2754</v>
      </c>
      <c r="B2757" s="12">
        <v>313.26329869172412</v>
      </c>
      <c r="C2757" s="12">
        <v>158.00975797056867</v>
      </c>
      <c r="D2757" s="12">
        <v>109.66665659633848</v>
      </c>
    </row>
    <row r="2758" spans="1:4">
      <c r="A2758">
        <v>2755</v>
      </c>
      <c r="B2758" s="12">
        <v>217.48132621530402</v>
      </c>
      <c r="C2758" s="12">
        <v>126.96550822932153</v>
      </c>
      <c r="D2758" s="12">
        <v>100.19807028175985</v>
      </c>
    </row>
    <row r="2759" spans="1:4">
      <c r="A2759">
        <v>2756</v>
      </c>
      <c r="B2759" s="12">
        <v>190.7273365654647</v>
      </c>
      <c r="C2759" s="12">
        <v>156.18402417942391</v>
      </c>
      <c r="D2759" s="12">
        <v>83.598272610180771</v>
      </c>
    </row>
    <row r="2760" spans="1:4">
      <c r="A2760">
        <v>2757</v>
      </c>
      <c r="B2760" s="12">
        <v>192.84807213072096</v>
      </c>
      <c r="C2760" s="12">
        <v>136.51121489338414</v>
      </c>
      <c r="D2760" s="12">
        <v>78.339240285592311</v>
      </c>
    </row>
    <row r="2761" spans="1:4">
      <c r="A2761">
        <v>2758</v>
      </c>
      <c r="B2761" s="12">
        <v>185.57434259719938</v>
      </c>
      <c r="C2761" s="12">
        <v>147.11942223931578</v>
      </c>
      <c r="D2761" s="12">
        <v>115.38490221498643</v>
      </c>
    </row>
    <row r="2762" spans="1:4">
      <c r="A2762">
        <v>2759</v>
      </c>
      <c r="B2762" s="12">
        <v>155.82503171414822</v>
      </c>
      <c r="C2762" s="12">
        <v>155.77674031690287</v>
      </c>
      <c r="D2762" s="12">
        <v>52.635305785421444</v>
      </c>
    </row>
    <row r="2763" spans="1:4">
      <c r="A2763">
        <v>2760</v>
      </c>
      <c r="B2763" s="12">
        <v>163.40246589414801</v>
      </c>
      <c r="C2763" s="12">
        <v>170.85485473148518</v>
      </c>
      <c r="D2763" s="12">
        <v>108.01226851475319</v>
      </c>
    </row>
    <row r="2764" spans="1:4">
      <c r="A2764">
        <v>2761</v>
      </c>
      <c r="B2764" s="12">
        <v>245.54079113428122</v>
      </c>
      <c r="C2764" s="12">
        <v>191.17007275839649</v>
      </c>
      <c r="D2764" s="12">
        <v>89.818324762981447</v>
      </c>
    </row>
    <row r="2765" spans="1:4">
      <c r="A2765">
        <v>2762</v>
      </c>
      <c r="B2765" s="12">
        <v>191.30003444646579</v>
      </c>
      <c r="C2765" s="12">
        <v>138.82853309270888</v>
      </c>
      <c r="D2765" s="12">
        <v>69.295326607297227</v>
      </c>
    </row>
    <row r="2766" spans="1:4">
      <c r="A2766">
        <v>2763</v>
      </c>
      <c r="B2766" s="12">
        <v>97.487005965052077</v>
      </c>
      <c r="C2766" s="12">
        <v>138.64648647980886</v>
      </c>
      <c r="D2766" s="12">
        <v>104.37242877678841</v>
      </c>
    </row>
    <row r="2767" spans="1:4">
      <c r="A2767">
        <v>2764</v>
      </c>
      <c r="B2767" s="12">
        <v>204.86005790778691</v>
      </c>
      <c r="C2767" s="12">
        <v>140.29954823890429</v>
      </c>
      <c r="D2767" s="12">
        <v>58.452814233084041</v>
      </c>
    </row>
    <row r="2768" spans="1:4">
      <c r="A2768">
        <v>2765</v>
      </c>
      <c r="B2768" s="12">
        <v>134.31960486962438</v>
      </c>
      <c r="C2768" s="12">
        <v>165.50893407727358</v>
      </c>
      <c r="D2768" s="12">
        <v>104.08362942456051</v>
      </c>
    </row>
    <row r="2769" spans="1:4">
      <c r="A2769">
        <v>2766</v>
      </c>
      <c r="B2769" s="12">
        <v>124.86434250733215</v>
      </c>
      <c r="C2769" s="12">
        <v>132.9128731690993</v>
      </c>
      <c r="D2769" s="12">
        <v>124.04336181339959</v>
      </c>
    </row>
    <row r="2770" spans="1:4">
      <c r="A2770">
        <v>2767</v>
      </c>
      <c r="B2770" s="12">
        <v>131.04077095800983</v>
      </c>
      <c r="C2770" s="12">
        <v>141.55379638339537</v>
      </c>
      <c r="D2770" s="12">
        <v>95.665750295045783</v>
      </c>
    </row>
    <row r="2771" spans="1:4">
      <c r="A2771">
        <v>2768</v>
      </c>
      <c r="B2771" s="12">
        <v>137.25235819676294</v>
      </c>
      <c r="C2771" s="12">
        <v>181.53056663445676</v>
      </c>
      <c r="D2771" s="12">
        <v>55.786280223914474</v>
      </c>
    </row>
    <row r="2772" spans="1:4">
      <c r="A2772">
        <v>2769</v>
      </c>
      <c r="B2772" s="12">
        <v>104.13694870826923</v>
      </c>
      <c r="C2772" s="12">
        <v>230.17422113021507</v>
      </c>
      <c r="D2772" s="12">
        <v>69.597203308863968</v>
      </c>
    </row>
    <row r="2773" spans="1:4">
      <c r="A2773">
        <v>2770</v>
      </c>
      <c r="B2773" s="12">
        <v>165.41130950882697</v>
      </c>
      <c r="C2773" s="12">
        <v>165.98182472708456</v>
      </c>
      <c r="D2773" s="12">
        <v>126.11519113679302</v>
      </c>
    </row>
    <row r="2774" spans="1:4">
      <c r="A2774">
        <v>2771</v>
      </c>
      <c r="B2774" s="12">
        <v>151.97331056092389</v>
      </c>
      <c r="C2774" s="12">
        <v>164.01849812478159</v>
      </c>
      <c r="D2774" s="12">
        <v>108.83263064395324</v>
      </c>
    </row>
    <row r="2775" spans="1:4">
      <c r="A2775">
        <v>2772</v>
      </c>
      <c r="B2775" s="12">
        <v>228.31591878112096</v>
      </c>
      <c r="C2775" s="12">
        <v>103.26126230615851</v>
      </c>
      <c r="D2775" s="12">
        <v>65.391150214296914</v>
      </c>
    </row>
    <row r="2776" spans="1:4">
      <c r="A2776">
        <v>2773</v>
      </c>
      <c r="B2776" s="12">
        <v>216.34322954506251</v>
      </c>
      <c r="C2776" s="12">
        <v>147.77194441362712</v>
      </c>
      <c r="D2776" s="12">
        <v>112.60014971794686</v>
      </c>
    </row>
    <row r="2777" spans="1:4">
      <c r="A2777">
        <v>2774</v>
      </c>
      <c r="B2777" s="12">
        <v>164.64680930937993</v>
      </c>
      <c r="C2777" s="12">
        <v>137.59489406099661</v>
      </c>
      <c r="D2777" s="12">
        <v>136.11646770700446</v>
      </c>
    </row>
    <row r="2778" spans="1:4">
      <c r="A2778">
        <v>2775</v>
      </c>
      <c r="B2778" s="12">
        <v>222.86728085521517</v>
      </c>
      <c r="C2778" s="12">
        <v>143.79428646194961</v>
      </c>
      <c r="D2778" s="12">
        <v>134.28630057274833</v>
      </c>
    </row>
    <row r="2779" spans="1:4">
      <c r="A2779">
        <v>2776</v>
      </c>
      <c r="B2779" s="12">
        <v>236.33153228500871</v>
      </c>
      <c r="C2779" s="12">
        <v>137.30062575764765</v>
      </c>
      <c r="D2779" s="12">
        <v>75.678980628575772</v>
      </c>
    </row>
    <row r="2780" spans="1:4">
      <c r="A2780">
        <v>2777</v>
      </c>
      <c r="B2780" s="12">
        <v>199.66666858853054</v>
      </c>
      <c r="C2780" s="12">
        <v>124.36784731627453</v>
      </c>
      <c r="D2780" s="12">
        <v>104.66251153801703</v>
      </c>
    </row>
    <row r="2781" spans="1:4">
      <c r="A2781">
        <v>2778</v>
      </c>
      <c r="B2781" s="12">
        <v>168.74505306089438</v>
      </c>
      <c r="C2781" s="12">
        <v>126.20073072467612</v>
      </c>
      <c r="D2781" s="12">
        <v>83.882175489412589</v>
      </c>
    </row>
    <row r="2782" spans="1:4">
      <c r="A2782">
        <v>2779</v>
      </c>
      <c r="B2782" s="12">
        <v>162.03452740545319</v>
      </c>
      <c r="C2782" s="12">
        <v>118.04265006576274</v>
      </c>
      <c r="D2782" s="12">
        <v>94.532497939479782</v>
      </c>
    </row>
    <row r="2783" spans="1:4">
      <c r="A2783">
        <v>2780</v>
      </c>
      <c r="B2783" s="12">
        <v>101.25086742970149</v>
      </c>
      <c r="C2783" s="12">
        <v>154.07070782709394</v>
      </c>
      <c r="D2783" s="12">
        <v>128.88574253846843</v>
      </c>
    </row>
    <row r="2784" spans="1:4">
      <c r="A2784">
        <v>2781</v>
      </c>
      <c r="B2784" s="12">
        <v>146.13555118565264</v>
      </c>
      <c r="C2784" s="12">
        <v>180.30139505706731</v>
      </c>
      <c r="D2784" s="12">
        <v>63.659687946995696</v>
      </c>
    </row>
    <row r="2785" spans="1:4">
      <c r="A2785">
        <v>2782</v>
      </c>
      <c r="B2785" s="12">
        <v>226.71966799230702</v>
      </c>
      <c r="C2785" s="12">
        <v>141.7244790817042</v>
      </c>
      <c r="D2785" s="12">
        <v>159.99157864116637</v>
      </c>
    </row>
    <row r="2786" spans="1:4">
      <c r="A2786">
        <v>2783</v>
      </c>
      <c r="B2786" s="12">
        <v>152.70297320687962</v>
      </c>
      <c r="C2786" s="12">
        <v>124.89230297076526</v>
      </c>
      <c r="D2786" s="12">
        <v>86.088499167179961</v>
      </c>
    </row>
    <row r="2787" spans="1:4">
      <c r="A2787">
        <v>2784</v>
      </c>
      <c r="B2787" s="12">
        <v>153.30110824693921</v>
      </c>
      <c r="C2787" s="12">
        <v>144.72402455307702</v>
      </c>
      <c r="D2787" s="12">
        <v>103.61252229591665</v>
      </c>
    </row>
    <row r="2788" spans="1:4">
      <c r="A2788">
        <v>2785</v>
      </c>
      <c r="B2788" s="12">
        <v>211.86860782466883</v>
      </c>
      <c r="C2788" s="12">
        <v>133.13183675749966</v>
      </c>
      <c r="D2788" s="12">
        <v>87.52588957540712</v>
      </c>
    </row>
    <row r="2789" spans="1:4">
      <c r="A2789">
        <v>2786</v>
      </c>
      <c r="B2789" s="12">
        <v>147.49082081504412</v>
      </c>
      <c r="C2789" s="12">
        <v>156.43294696636801</v>
      </c>
      <c r="D2789" s="12">
        <v>171.00690969913666</v>
      </c>
    </row>
    <row r="2790" spans="1:4">
      <c r="A2790">
        <v>2787</v>
      </c>
      <c r="B2790" s="12">
        <v>210.90324506745719</v>
      </c>
      <c r="C2790" s="12">
        <v>151.64681233628042</v>
      </c>
      <c r="D2790" s="12">
        <v>98.489526061429004</v>
      </c>
    </row>
    <row r="2791" spans="1:4">
      <c r="A2791">
        <v>2788</v>
      </c>
      <c r="B2791" s="12">
        <v>121.77962438412999</v>
      </c>
      <c r="C2791" s="12">
        <v>137.88674625119364</v>
      </c>
      <c r="D2791" s="12">
        <v>106.70880030162891</v>
      </c>
    </row>
    <row r="2792" spans="1:4">
      <c r="A2792">
        <v>2789</v>
      </c>
      <c r="B2792" s="12">
        <v>189.24831550216393</v>
      </c>
      <c r="C2792" s="12">
        <v>158.17201461231255</v>
      </c>
      <c r="D2792" s="12">
        <v>76.250088030658461</v>
      </c>
    </row>
    <row r="2793" spans="1:4">
      <c r="A2793">
        <v>2790</v>
      </c>
      <c r="B2793" s="12">
        <v>115.03112378449018</v>
      </c>
      <c r="C2793" s="12">
        <v>124.02242636947375</v>
      </c>
      <c r="D2793" s="12">
        <v>63.20113782451471</v>
      </c>
    </row>
    <row r="2794" spans="1:4">
      <c r="A2794">
        <v>2791</v>
      </c>
      <c r="B2794" s="12">
        <v>126.82256421853366</v>
      </c>
      <c r="C2794" s="12">
        <v>182.82452476035277</v>
      </c>
      <c r="D2794" s="12">
        <v>177.51981933163205</v>
      </c>
    </row>
    <row r="2795" spans="1:4">
      <c r="A2795">
        <v>2792</v>
      </c>
      <c r="B2795" s="12">
        <v>124.30457943286093</v>
      </c>
      <c r="C2795" s="12">
        <v>151.49069813365304</v>
      </c>
      <c r="D2795" s="12">
        <v>158.07542071071788</v>
      </c>
    </row>
    <row r="2796" spans="1:4">
      <c r="A2796">
        <v>2793</v>
      </c>
      <c r="B2796" s="12">
        <v>231.13457135506269</v>
      </c>
      <c r="C2796" s="12">
        <v>139.5704214580625</v>
      </c>
      <c r="D2796" s="12">
        <v>64.991797547823154</v>
      </c>
    </row>
    <row r="2797" spans="1:4">
      <c r="A2797">
        <v>2794</v>
      </c>
      <c r="B2797" s="12">
        <v>122.38991212770749</v>
      </c>
      <c r="C2797" s="12">
        <v>200.39946003598297</v>
      </c>
      <c r="D2797" s="12">
        <v>95.230956183181874</v>
      </c>
    </row>
    <row r="2798" spans="1:4">
      <c r="A2798">
        <v>2795</v>
      </c>
      <c r="B2798" s="12">
        <v>269.76860597147419</v>
      </c>
      <c r="C2798" s="12">
        <v>160.03934787865896</v>
      </c>
      <c r="D2798" s="12">
        <v>102.57824240647635</v>
      </c>
    </row>
    <row r="2799" spans="1:4">
      <c r="A2799">
        <v>2796</v>
      </c>
      <c r="B2799" s="12">
        <v>132.70907083549648</v>
      </c>
      <c r="C2799" s="12">
        <v>208.40110133213753</v>
      </c>
      <c r="D2799" s="12">
        <v>91.0481995369054</v>
      </c>
    </row>
    <row r="2800" spans="1:4">
      <c r="A2800">
        <v>2797</v>
      </c>
      <c r="B2800" s="12">
        <v>131.50535313822465</v>
      </c>
      <c r="C2800" s="12">
        <v>99.120943368489023</v>
      </c>
      <c r="D2800" s="12">
        <v>84.625553059655275</v>
      </c>
    </row>
    <row r="2801" spans="1:4">
      <c r="A2801">
        <v>2798</v>
      </c>
      <c r="B2801" s="12">
        <v>159.09498760919939</v>
      </c>
      <c r="C2801" s="12">
        <v>130.65330332778962</v>
      </c>
      <c r="D2801" s="12">
        <v>73.750337376937139</v>
      </c>
    </row>
    <row r="2802" spans="1:4">
      <c r="A2802">
        <v>2799</v>
      </c>
      <c r="B2802" s="12">
        <v>212.86191709654022</v>
      </c>
      <c r="C2802" s="12">
        <v>187.59836636863648</v>
      </c>
      <c r="D2802" s="12">
        <v>94.004321684758835</v>
      </c>
    </row>
    <row r="2803" spans="1:4">
      <c r="A2803">
        <v>2800</v>
      </c>
      <c r="B2803" s="12">
        <v>169.14172922784866</v>
      </c>
      <c r="C2803" s="12">
        <v>178.69860392509014</v>
      </c>
      <c r="D2803" s="12">
        <v>90.518889525250529</v>
      </c>
    </row>
    <row r="2804" spans="1:4">
      <c r="A2804">
        <v>2801</v>
      </c>
      <c r="B2804" s="12">
        <v>186.94388800975176</v>
      </c>
      <c r="C2804" s="12">
        <v>145.13937363256122</v>
      </c>
      <c r="D2804" s="12">
        <v>125.30458690193031</v>
      </c>
    </row>
    <row r="2805" spans="1:4">
      <c r="A2805">
        <v>2802</v>
      </c>
      <c r="B2805" s="12">
        <v>127.15545764442676</v>
      </c>
      <c r="C2805" s="12">
        <v>147.61393281231975</v>
      </c>
      <c r="D2805" s="12">
        <v>75.324852194503308</v>
      </c>
    </row>
    <row r="2806" spans="1:4">
      <c r="A2806">
        <v>2803</v>
      </c>
      <c r="B2806" s="12">
        <v>120.74737075801984</v>
      </c>
      <c r="C2806" s="12">
        <v>214.63724316150441</v>
      </c>
      <c r="D2806" s="12">
        <v>88.944212904581462</v>
      </c>
    </row>
    <row r="2807" spans="1:4">
      <c r="A2807">
        <v>2804</v>
      </c>
      <c r="B2807" s="12">
        <v>141.48479911252497</v>
      </c>
      <c r="C2807" s="12">
        <v>169.4755369245853</v>
      </c>
      <c r="D2807" s="12">
        <v>93.307689072056633</v>
      </c>
    </row>
    <row r="2808" spans="1:4">
      <c r="A2808">
        <v>2805</v>
      </c>
      <c r="B2808" s="12">
        <v>172.34896050876813</v>
      </c>
      <c r="C2808" s="12">
        <v>169.99784337390852</v>
      </c>
      <c r="D2808" s="12">
        <v>110.51538779565611</v>
      </c>
    </row>
    <row r="2809" spans="1:4">
      <c r="A2809">
        <v>2806</v>
      </c>
      <c r="B2809" s="12">
        <v>209.37544828631528</v>
      </c>
      <c r="C2809" s="12">
        <v>135.70218193138012</v>
      </c>
      <c r="D2809" s="12">
        <v>80.802591440645514</v>
      </c>
    </row>
    <row r="2810" spans="1:4">
      <c r="A2810">
        <v>2807</v>
      </c>
      <c r="B2810" s="12">
        <v>174.56094107540682</v>
      </c>
      <c r="C2810" s="12">
        <v>165.22308157389872</v>
      </c>
      <c r="D2810" s="12">
        <v>130.37748502506497</v>
      </c>
    </row>
    <row r="2811" spans="1:4">
      <c r="A2811">
        <v>2808</v>
      </c>
      <c r="B2811" s="12">
        <v>143.13935049568934</v>
      </c>
      <c r="C2811" s="12">
        <v>194.93495781956634</v>
      </c>
      <c r="D2811" s="12">
        <v>99.476485210341977</v>
      </c>
    </row>
    <row r="2812" spans="1:4">
      <c r="A2812">
        <v>2809</v>
      </c>
      <c r="B2812" s="12">
        <v>195.47981617973304</v>
      </c>
      <c r="C2812" s="12">
        <v>150.35946184690795</v>
      </c>
      <c r="D2812" s="12">
        <v>102.86087780460394</v>
      </c>
    </row>
    <row r="2813" spans="1:4">
      <c r="A2813">
        <v>2810</v>
      </c>
      <c r="B2813" s="12">
        <v>220.69422734943117</v>
      </c>
      <c r="C2813" s="12">
        <v>122.89018994297449</v>
      </c>
      <c r="D2813" s="12">
        <v>134.71870353907968</v>
      </c>
    </row>
    <row r="2814" spans="1:4">
      <c r="A2814">
        <v>2811</v>
      </c>
      <c r="B2814" s="12">
        <v>159.70026730264846</v>
      </c>
      <c r="C2814" s="12">
        <v>148.01830403832275</v>
      </c>
      <c r="D2814" s="12">
        <v>92.875071453027346</v>
      </c>
    </row>
    <row r="2815" spans="1:4">
      <c r="A2815">
        <v>2812</v>
      </c>
      <c r="B2815" s="12">
        <v>149.43957732619987</v>
      </c>
      <c r="C2815" s="12">
        <v>152.53453839501591</v>
      </c>
      <c r="D2815" s="12">
        <v>77.145847045162299</v>
      </c>
    </row>
    <row r="2816" spans="1:4">
      <c r="A2816">
        <v>2813</v>
      </c>
      <c r="B2816" s="12">
        <v>106.99629769905775</v>
      </c>
      <c r="C2816" s="12">
        <v>133.80380271811728</v>
      </c>
      <c r="D2816" s="12">
        <v>120.53500791651787</v>
      </c>
    </row>
    <row r="2817" spans="1:4">
      <c r="A2817">
        <v>2814</v>
      </c>
      <c r="B2817" s="12">
        <v>141.09395241512428</v>
      </c>
      <c r="C2817" s="12">
        <v>225.51462446815884</v>
      </c>
      <c r="D2817" s="12">
        <v>86.809961229587884</v>
      </c>
    </row>
    <row r="2818" spans="1:4">
      <c r="A2818">
        <v>2815</v>
      </c>
      <c r="B2818" s="12">
        <v>150.40823615615844</v>
      </c>
      <c r="C2818" s="12">
        <v>150.6033361879187</v>
      </c>
      <c r="D2818" s="12">
        <v>84.34505700529229</v>
      </c>
    </row>
    <row r="2819" spans="1:4">
      <c r="A2819">
        <v>2816</v>
      </c>
      <c r="B2819" s="12">
        <v>188.35223339001683</v>
      </c>
      <c r="C2819" s="12">
        <v>143.11211692952926</v>
      </c>
      <c r="D2819" s="12">
        <v>140.22041080699969</v>
      </c>
    </row>
    <row r="2820" spans="1:4">
      <c r="A2820">
        <v>2817</v>
      </c>
      <c r="B2820" s="12">
        <v>170.60068575727487</v>
      </c>
      <c r="C2820" s="12">
        <v>155.52909671290212</v>
      </c>
      <c r="D2820" s="12">
        <v>85.813658086206672</v>
      </c>
    </row>
    <row r="2821" spans="1:4">
      <c r="A2821">
        <v>2818</v>
      </c>
      <c r="B2821" s="12">
        <v>180.42532006365914</v>
      </c>
      <c r="C2821" s="12">
        <v>154.87721120003113</v>
      </c>
      <c r="D2821" s="12">
        <v>87.9682467376105</v>
      </c>
    </row>
    <row r="2822" spans="1:4">
      <c r="A2822">
        <v>2819</v>
      </c>
      <c r="B2822" s="12">
        <v>170.19752627945962</v>
      </c>
      <c r="C2822" s="12">
        <v>175.50970048316725</v>
      </c>
      <c r="D2822" s="12">
        <v>96.804442029398487</v>
      </c>
    </row>
    <row r="2823" spans="1:4">
      <c r="A2823">
        <v>2820</v>
      </c>
      <c r="B2823" s="12">
        <v>157.1557876215206</v>
      </c>
      <c r="C2823" s="12">
        <v>136.01102173513519</v>
      </c>
      <c r="D2823" s="12">
        <v>151.36412518678466</v>
      </c>
    </row>
    <row r="2824" spans="1:4">
      <c r="A2824">
        <v>2821</v>
      </c>
      <c r="B2824" s="12">
        <v>158.49119707152391</v>
      </c>
      <c r="C2824" s="12">
        <v>188.22957227241031</v>
      </c>
      <c r="D2824" s="12">
        <v>73.992496197658639</v>
      </c>
    </row>
    <row r="2825" spans="1:4">
      <c r="A2825">
        <v>2822</v>
      </c>
      <c r="B2825" s="12">
        <v>153.66561598215739</v>
      </c>
      <c r="C2825" s="12">
        <v>120.11145489643187</v>
      </c>
      <c r="D2825" s="12">
        <v>92.442448133156091</v>
      </c>
    </row>
    <row r="2826" spans="1:4">
      <c r="A2826">
        <v>2823</v>
      </c>
      <c r="B2826" s="12">
        <v>123.36306761409504</v>
      </c>
      <c r="C2826" s="12">
        <v>135.50271174019753</v>
      </c>
      <c r="D2826" s="12">
        <v>114.43515874122861</v>
      </c>
    </row>
    <row r="2827" spans="1:4">
      <c r="A2827">
        <v>2824</v>
      </c>
      <c r="B2827" s="12">
        <v>158.72677784303832</v>
      </c>
      <c r="C2827" s="12">
        <v>149.95913596873029</v>
      </c>
      <c r="D2827" s="12">
        <v>86.537431145087069</v>
      </c>
    </row>
    <row r="2828" spans="1:4">
      <c r="A2828">
        <v>2825</v>
      </c>
      <c r="B2828" s="12">
        <v>176.84346503056489</v>
      </c>
      <c r="C2828" s="12">
        <v>160.89666129661094</v>
      </c>
      <c r="D2828" s="12">
        <v>60.173077561764323</v>
      </c>
    </row>
    <row r="2829" spans="1:4">
      <c r="A2829">
        <v>2826</v>
      </c>
      <c r="B2829" s="12">
        <v>157.52206219545565</v>
      </c>
      <c r="C2829" s="12">
        <v>194.05969917271074</v>
      </c>
      <c r="D2829" s="12">
        <v>61.641634267032281</v>
      </c>
    </row>
    <row r="2830" spans="1:4">
      <c r="A2830">
        <v>2827</v>
      </c>
      <c r="B2830" s="12">
        <v>242.69245268949476</v>
      </c>
      <c r="C2830" s="12">
        <v>134.8711715180425</v>
      </c>
      <c r="D2830" s="12">
        <v>83.129451363742561</v>
      </c>
    </row>
    <row r="2831" spans="1:4">
      <c r="A2831">
        <v>2828</v>
      </c>
      <c r="B2831" s="12">
        <v>165.02845973137633</v>
      </c>
      <c r="C2831" s="12">
        <v>199.23013814242628</v>
      </c>
      <c r="D2831" s="12">
        <v>167.8651696878035</v>
      </c>
    </row>
    <row r="2832" spans="1:4">
      <c r="A2832">
        <v>2829</v>
      </c>
      <c r="B2832" s="12">
        <v>128.49544976702035</v>
      </c>
      <c r="C2832" s="12">
        <v>145.64302285343896</v>
      </c>
      <c r="D2832" s="12">
        <v>82.84170416957042</v>
      </c>
    </row>
    <row r="2833" spans="1:4">
      <c r="A2833">
        <v>2830</v>
      </c>
      <c r="B2833" s="12">
        <v>197.85403635729014</v>
      </c>
      <c r="C2833" s="12">
        <v>128.131762169973</v>
      </c>
      <c r="D2833" s="12">
        <v>98.0474285915531</v>
      </c>
    </row>
    <row r="2834" spans="1:4">
      <c r="A2834">
        <v>2831</v>
      </c>
      <c r="B2834" s="12">
        <v>207.0472448898584</v>
      </c>
      <c r="C2834" s="12">
        <v>138.07246517008224</v>
      </c>
      <c r="D2834" s="12">
        <v>72.724062278148438</v>
      </c>
    </row>
    <row r="2835" spans="1:4">
      <c r="A2835">
        <v>2832</v>
      </c>
      <c r="B2835" s="12">
        <v>222.00084780955785</v>
      </c>
      <c r="C2835" s="12">
        <v>156.68240309598713</v>
      </c>
      <c r="D2835" s="12">
        <v>115.0225207662431</v>
      </c>
    </row>
    <row r="2836" spans="1:4">
      <c r="A2836">
        <v>2833</v>
      </c>
      <c r="B2836" s="12">
        <v>183.7439527455428</v>
      </c>
      <c r="C2836" s="12">
        <v>166.75380839835361</v>
      </c>
      <c r="D2836" s="12">
        <v>122.38373574925917</v>
      </c>
    </row>
    <row r="2837" spans="1:4">
      <c r="A2837">
        <v>2834</v>
      </c>
      <c r="B2837" s="12">
        <v>160.6780570839488</v>
      </c>
      <c r="C2837" s="12">
        <v>146.05412037154076</v>
      </c>
      <c r="D2837" s="12">
        <v>99.204518319358996</v>
      </c>
    </row>
    <row r="2838" spans="1:4">
      <c r="A2838">
        <v>2835</v>
      </c>
      <c r="B2838" s="12">
        <v>116.34005130695262</v>
      </c>
      <c r="C2838" s="12">
        <v>144.30649684094632</v>
      </c>
      <c r="D2838" s="12">
        <v>87.255360496210628</v>
      </c>
    </row>
    <row r="2839" spans="1:4">
      <c r="A2839">
        <v>2836</v>
      </c>
      <c r="B2839" s="12">
        <v>173.44678967364194</v>
      </c>
      <c r="C2839" s="12">
        <v>167.54013711790776</v>
      </c>
      <c r="D2839" s="12">
        <v>119.03907665422335</v>
      </c>
    </row>
    <row r="2840" spans="1:4">
      <c r="A2840">
        <v>2837</v>
      </c>
      <c r="B2840" s="12">
        <v>169.79622003666105</v>
      </c>
      <c r="C2840" s="12">
        <v>121.89082598586975</v>
      </c>
      <c r="D2840" s="12">
        <v>90.349146303547528</v>
      </c>
    </row>
    <row r="2841" spans="1:4">
      <c r="A2841">
        <v>2838</v>
      </c>
      <c r="B2841" s="12">
        <v>135.02886770895978</v>
      </c>
      <c r="C2841" s="12">
        <v>190.70243583010745</v>
      </c>
      <c r="D2841" s="12">
        <v>103.89929813175182</v>
      </c>
    </row>
    <row r="2842" spans="1:4">
      <c r="A2842">
        <v>2839</v>
      </c>
      <c r="B2842" s="12">
        <v>171.93721077194527</v>
      </c>
      <c r="C2842" s="12">
        <v>244.30402553398125</v>
      </c>
      <c r="D2842" s="12">
        <v>103.14460366509387</v>
      </c>
    </row>
    <row r="2843" spans="1:4">
      <c r="A2843">
        <v>2840</v>
      </c>
      <c r="B2843" s="12">
        <v>175.26193622966409</v>
      </c>
      <c r="C2843" s="12">
        <v>189.99321789195301</v>
      </c>
      <c r="D2843" s="12">
        <v>70.790547511717506</v>
      </c>
    </row>
    <row r="2844" spans="1:4">
      <c r="A2844">
        <v>2841</v>
      </c>
      <c r="B2844" s="12">
        <v>162.40905348644819</v>
      </c>
      <c r="C2844" s="12">
        <v>173.56446646193788</v>
      </c>
      <c r="D2844" s="12">
        <v>101.10233890246245</v>
      </c>
    </row>
    <row r="2845" spans="1:4">
      <c r="A2845">
        <v>2842</v>
      </c>
      <c r="B2845" s="12">
        <v>139.39916640071988</v>
      </c>
      <c r="C2845" s="12">
        <v>174.89181249045828</v>
      </c>
      <c r="D2845" s="12">
        <v>80.195493589896586</v>
      </c>
    </row>
    <row r="2846" spans="1:4">
      <c r="A2846">
        <v>2843</v>
      </c>
      <c r="B2846" s="12">
        <v>131.96502179976233</v>
      </c>
      <c r="C2846" s="12">
        <v>170.31996461539012</v>
      </c>
      <c r="D2846" s="12">
        <v>91.217531049424878</v>
      </c>
    </row>
    <row r="2847" spans="1:4">
      <c r="A2847">
        <v>2844</v>
      </c>
      <c r="B2847" s="12">
        <v>182.93927728567056</v>
      </c>
      <c r="C2847" s="12">
        <v>151.00326348108194</v>
      </c>
      <c r="D2847" s="12">
        <v>100.64908708493269</v>
      </c>
    </row>
    <row r="2848" spans="1:4">
      <c r="A2848">
        <v>2845</v>
      </c>
      <c r="B2848" s="12">
        <v>94.359919525711732</v>
      </c>
      <c r="C2848" s="12">
        <v>156.02484649657387</v>
      </c>
      <c r="D2848" s="12">
        <v>117.99287313212454</v>
      </c>
    </row>
    <row r="2849" spans="1:4">
      <c r="A2849">
        <v>2846</v>
      </c>
      <c r="B2849" s="12">
        <v>173.02917725154339</v>
      </c>
      <c r="C2849" s="12">
        <v>206.56073071319676</v>
      </c>
      <c r="D2849" s="12">
        <v>143.1585330645718</v>
      </c>
    </row>
    <row r="2850" spans="1:4">
      <c r="A2850">
        <v>2847</v>
      </c>
      <c r="B2850" s="12">
        <v>148.09811764065907</v>
      </c>
      <c r="C2850" s="12">
        <v>173.92336247774529</v>
      </c>
      <c r="D2850" s="12">
        <v>82.552377368199984</v>
      </c>
    </row>
    <row r="2851" spans="1:4">
      <c r="A2851">
        <v>2848</v>
      </c>
      <c r="B2851" s="12">
        <v>118.99315048127525</v>
      </c>
      <c r="C2851" s="12">
        <v>109.30763956567176</v>
      </c>
      <c r="D2851" s="12">
        <v>82.366188231902328</v>
      </c>
    </row>
    <row r="2852" spans="1:4">
      <c r="A2852">
        <v>2849</v>
      </c>
      <c r="B2852" s="12">
        <v>168.09785397901149</v>
      </c>
      <c r="C2852" s="12">
        <v>182.32629897609118</v>
      </c>
      <c r="D2852" s="12">
        <v>84.063319535928585</v>
      </c>
    </row>
    <row r="2853" spans="1:4">
      <c r="A2853">
        <v>2850</v>
      </c>
      <c r="B2853" s="12">
        <v>103.08366735832651</v>
      </c>
      <c r="C2853" s="12">
        <v>136.31684666551064</v>
      </c>
      <c r="D2853" s="12">
        <v>111.71174727828983</v>
      </c>
    </row>
    <row r="2854" spans="1:4">
      <c r="A2854">
        <v>2851</v>
      </c>
      <c r="B2854" s="12">
        <v>167.70544154764838</v>
      </c>
      <c r="C2854" s="12">
        <v>129.63093128454983</v>
      </c>
      <c r="D2854" s="12">
        <v>76.592574148412083</v>
      </c>
    </row>
    <row r="2855" spans="1:4">
      <c r="A2855">
        <v>2852</v>
      </c>
      <c r="B2855" s="12">
        <v>194.45226538075113</v>
      </c>
      <c r="C2855" s="12">
        <v>134.01545429506749</v>
      </c>
      <c r="D2855" s="12">
        <v>85.360665314815535</v>
      </c>
    </row>
    <row r="2856" spans="1:4">
      <c r="A2856">
        <v>2853</v>
      </c>
      <c r="B2856" s="12">
        <v>156.1902116569002</v>
      </c>
      <c r="C2856" s="12">
        <v>138.36056097609108</v>
      </c>
      <c r="D2856" s="12">
        <v>130.96371702095402</v>
      </c>
    </row>
    <row r="2857" spans="1:4">
      <c r="A2857">
        <v>2854</v>
      </c>
      <c r="B2857" s="12">
        <v>99.102750174605447</v>
      </c>
      <c r="C2857" s="12">
        <v>114.39182340918485</v>
      </c>
      <c r="D2857" s="12">
        <v>197.04964803944128</v>
      </c>
    </row>
    <row r="2858" spans="1:4">
      <c r="A2858">
        <v>2855</v>
      </c>
      <c r="B2858" s="12">
        <v>119.43024544612641</v>
      </c>
      <c r="C2858" s="12">
        <v>157.34386951354421</v>
      </c>
      <c r="D2858" s="12">
        <v>112.2615554318501</v>
      </c>
    </row>
    <row r="2859" spans="1:4">
      <c r="A2859">
        <v>2856</v>
      </c>
      <c r="B2859" s="12">
        <v>197.18819592200788</v>
      </c>
      <c r="C2859" s="12">
        <v>148.42167972546713</v>
      </c>
      <c r="D2859" s="12">
        <v>109.9862908983372</v>
      </c>
    </row>
    <row r="2860" spans="1:4">
      <c r="A2860">
        <v>2857</v>
      </c>
      <c r="B2860" s="12">
        <v>174.13700038027346</v>
      </c>
      <c r="C2860" s="12">
        <v>196.46494793965775</v>
      </c>
      <c r="D2860" s="12">
        <v>49.606415387082848</v>
      </c>
    </row>
    <row r="2861" spans="1:4">
      <c r="A2861">
        <v>2858</v>
      </c>
      <c r="B2861" s="12">
        <v>113.31277734016595</v>
      </c>
      <c r="C2861" s="12">
        <v>189.30765522440737</v>
      </c>
      <c r="D2861" s="12">
        <v>91.914836620784627</v>
      </c>
    </row>
    <row r="2862" spans="1:4">
      <c r="A2862">
        <v>2859</v>
      </c>
      <c r="B2862" s="12">
        <v>179.20808341644118</v>
      </c>
      <c r="C2862" s="12">
        <v>156.8424829635558</v>
      </c>
      <c r="D2862" s="12">
        <v>81.294115750292363</v>
      </c>
    </row>
    <row r="2863" spans="1:4">
      <c r="A2863">
        <v>2860</v>
      </c>
      <c r="B2863" s="12">
        <v>210.29874315468243</v>
      </c>
      <c r="C2863" s="12">
        <v>193.22259404914504</v>
      </c>
      <c r="D2863" s="12">
        <v>87.698814164436314</v>
      </c>
    </row>
    <row r="2864" spans="1:4">
      <c r="A2864">
        <v>2861</v>
      </c>
      <c r="B2864" s="12">
        <v>207.91119625219824</v>
      </c>
      <c r="C2864" s="12">
        <v>201.19146914271872</v>
      </c>
      <c r="D2864" s="12">
        <v>80.995170576230791</v>
      </c>
    </row>
    <row r="2865" spans="1:4">
      <c r="A2865">
        <v>2862</v>
      </c>
      <c r="B2865" s="12">
        <v>128.17494940456842</v>
      </c>
      <c r="C2865" s="12">
        <v>179.1291071635217</v>
      </c>
      <c r="D2865" s="12">
        <v>68.316671827368438</v>
      </c>
    </row>
    <row r="2866" spans="1:4">
      <c r="A2866">
        <v>2863</v>
      </c>
      <c r="B2866" s="12">
        <v>168.49183922536955</v>
      </c>
      <c r="C2866" s="12">
        <v>159.52189579281344</v>
      </c>
      <c r="D2866" s="12">
        <v>70.058386686438268</v>
      </c>
    </row>
    <row r="2867" spans="1:4">
      <c r="A2867">
        <v>2864</v>
      </c>
      <c r="B2867" s="12">
        <v>139.79836904797068</v>
      </c>
      <c r="C2867" s="12">
        <v>155.12375970010882</v>
      </c>
      <c r="D2867" s="12">
        <v>62.447919847103151</v>
      </c>
    </row>
    <row r="2868" spans="1:4">
      <c r="A2868">
        <v>2865</v>
      </c>
      <c r="B2868" s="12">
        <v>154.62812808017941</v>
      </c>
      <c r="C2868" s="12">
        <v>112.19807302057177</v>
      </c>
      <c r="D2868" s="12">
        <v>98.759784832851196</v>
      </c>
    </row>
    <row r="2869" spans="1:4">
      <c r="A2869">
        <v>2866</v>
      </c>
      <c r="B2869" s="12">
        <v>200.83585903661228</v>
      </c>
      <c r="C2869" s="12">
        <v>144.46978866652773</v>
      </c>
      <c r="D2869" s="12">
        <v>129.44149438355743</v>
      </c>
    </row>
    <row r="2870" spans="1:4">
      <c r="A2870">
        <v>2867</v>
      </c>
      <c r="B2870" s="12">
        <v>110.77673048120667</v>
      </c>
      <c r="C2870" s="12">
        <v>195.51757456796543</v>
      </c>
      <c r="D2870" s="12">
        <v>85.53785589501075</v>
      </c>
    </row>
    <row r="2871" spans="1:4">
      <c r="A2871">
        <v>2868</v>
      </c>
      <c r="B2871" s="12">
        <v>241.01147228840316</v>
      </c>
      <c r="C2871" s="12">
        <v>148.91227818963381</v>
      </c>
      <c r="D2871" s="12">
        <v>68.813164471804996</v>
      </c>
    </row>
    <row r="2872" spans="1:4">
      <c r="A2872">
        <v>2869</v>
      </c>
      <c r="B2872" s="12">
        <v>142.89359067973592</v>
      </c>
      <c r="C2872" s="12">
        <v>149.31389866864555</v>
      </c>
      <c r="D2872" s="12">
        <v>88.676837290905155</v>
      </c>
    </row>
    <row r="2873" spans="1:4">
      <c r="A2873">
        <v>2870</v>
      </c>
      <c r="B2873" s="12">
        <v>167.0649483693966</v>
      </c>
      <c r="C2873" s="12">
        <v>186.60129005970171</v>
      </c>
      <c r="D2873" s="12">
        <v>76.809831985536917</v>
      </c>
    </row>
    <row r="2874" spans="1:4">
      <c r="A2874">
        <v>2871</v>
      </c>
      <c r="B2874" s="12">
        <v>144.90339679393642</v>
      </c>
      <c r="C2874" s="12">
        <v>145.39155393241563</v>
      </c>
      <c r="D2874" s="12">
        <v>101.37977616507979</v>
      </c>
    </row>
    <row r="2875" spans="1:4">
      <c r="A2875">
        <v>2872</v>
      </c>
      <c r="B2875" s="12">
        <v>254.93431948059302</v>
      </c>
      <c r="C2875" s="12">
        <v>186.0150917148342</v>
      </c>
      <c r="D2875" s="12">
        <v>96.101343214162881</v>
      </c>
    </row>
    <row r="2876" spans="1:4">
      <c r="A2876">
        <v>2873</v>
      </c>
      <c r="B2876" s="12">
        <v>160.07002168978204</v>
      </c>
      <c r="C2876" s="12">
        <v>127.41596550083017</v>
      </c>
      <c r="D2876" s="12">
        <v>81.5910619299312</v>
      </c>
    </row>
    <row r="2877" spans="1:4">
      <c r="A2877">
        <v>2874</v>
      </c>
      <c r="B2877" s="12">
        <v>171.26624912495132</v>
      </c>
      <c r="C2877" s="12">
        <v>172.63604489708305</v>
      </c>
      <c r="D2877" s="12">
        <v>103.32693107510715</v>
      </c>
    </row>
    <row r="2878" spans="1:4">
      <c r="A2878">
        <v>2875</v>
      </c>
      <c r="B2878" s="12">
        <v>128.99034034817885</v>
      </c>
      <c r="C2878" s="12">
        <v>122.50831220196562</v>
      </c>
      <c r="D2878" s="12">
        <v>67.990491013582542</v>
      </c>
    </row>
    <row r="2879" spans="1:4">
      <c r="A2879">
        <v>2876</v>
      </c>
      <c r="B2879" s="12">
        <v>110.1033007131244</v>
      </c>
      <c r="C2879" s="12">
        <v>131.02818907362709</v>
      </c>
      <c r="D2879" s="12">
        <v>132.57421853339434</v>
      </c>
    </row>
    <row r="2880" spans="1:4">
      <c r="A2880">
        <v>2877</v>
      </c>
      <c r="B2880" s="12">
        <v>263.09991837512581</v>
      </c>
      <c r="C2880" s="12">
        <v>129.23027173886277</v>
      </c>
      <c r="D2880" s="12">
        <v>95.931165136550064</v>
      </c>
    </row>
    <row r="2881" spans="1:4">
      <c r="A2881">
        <v>2878</v>
      </c>
      <c r="B2881" s="12">
        <v>238.57446585698835</v>
      </c>
      <c r="C2881" s="12">
        <v>198.13280208243847</v>
      </c>
      <c r="D2881" s="12">
        <v>83.31296769745363</v>
      </c>
    </row>
    <row r="2882" spans="1:4">
      <c r="A2882">
        <v>2879</v>
      </c>
      <c r="B2882" s="12">
        <v>112.7287939005184</v>
      </c>
      <c r="C2882" s="12">
        <v>127.85555142309161</v>
      </c>
      <c r="D2882" s="12">
        <v>155.25768408869791</v>
      </c>
    </row>
    <row r="2883" spans="1:4">
      <c r="A2883">
        <v>2880</v>
      </c>
      <c r="B2883" s="12">
        <v>155.59123247423167</v>
      </c>
      <c r="C2883" s="12">
        <v>220.39627754860632</v>
      </c>
      <c r="D2883" s="12">
        <v>105.43494641698598</v>
      </c>
    </row>
    <row r="2884" spans="1:4">
      <c r="A2884">
        <v>2881</v>
      </c>
      <c r="B2884" s="12">
        <v>165.65719151062223</v>
      </c>
      <c r="C2884" s="12">
        <v>135.18863355133107</v>
      </c>
      <c r="D2884" s="12">
        <v>166.07810449588152</v>
      </c>
    </row>
    <row r="2885" spans="1:4">
      <c r="A2885">
        <v>2882</v>
      </c>
      <c r="B2885" s="12">
        <v>149.80678812221231</v>
      </c>
      <c r="C2885" s="12">
        <v>134.34262138853558</v>
      </c>
      <c r="D2885" s="12">
        <v>46.2334261772098</v>
      </c>
    </row>
    <row r="2886" spans="1:4">
      <c r="A2886">
        <v>2883</v>
      </c>
      <c r="B2886" s="12">
        <v>140.84265063535014</v>
      </c>
      <c r="C2886" s="12">
        <v>153.17937940129278</v>
      </c>
      <c r="D2886" s="12">
        <v>74.365686485021826</v>
      </c>
    </row>
    <row r="2887" spans="1:4">
      <c r="A2887">
        <v>2884</v>
      </c>
      <c r="B2887" s="12">
        <v>125.41418267289782</v>
      </c>
      <c r="C2887" s="12">
        <v>187.20359187498144</v>
      </c>
      <c r="D2887" s="12">
        <v>138.58701973223441</v>
      </c>
    </row>
    <row r="2888" spans="1:4">
      <c r="A2888">
        <v>2885</v>
      </c>
      <c r="B2888" s="12">
        <v>153.89908611005654</v>
      </c>
      <c r="C2888" s="12">
        <v>159.78016016377686</v>
      </c>
      <c r="D2888" s="12">
        <v>127.46778676696438</v>
      </c>
    </row>
    <row r="2889" spans="1:4">
      <c r="A2889">
        <v>2886</v>
      </c>
      <c r="B2889" s="12">
        <v>149.07186103624062</v>
      </c>
      <c r="C2889" s="12">
        <v>171.1849817386458</v>
      </c>
      <c r="D2889" s="12">
        <v>89.115224480399689</v>
      </c>
    </row>
    <row r="2890" spans="1:4">
      <c r="A2890">
        <v>2887</v>
      </c>
      <c r="B2890" s="12">
        <v>196.11860588136773</v>
      </c>
      <c r="C2890" s="12">
        <v>131.26505035914889</v>
      </c>
      <c r="D2890" s="12">
        <v>91.745776414814941</v>
      </c>
    </row>
    <row r="2891" spans="1:4">
      <c r="A2891">
        <v>2888</v>
      </c>
      <c r="B2891" s="12">
        <v>127.66886377375361</v>
      </c>
      <c r="C2891" s="12">
        <v>126.67087734807801</v>
      </c>
      <c r="D2891" s="12">
        <v>174.7218156021199</v>
      </c>
    </row>
    <row r="2892" spans="1:4">
      <c r="A2892">
        <v>2889</v>
      </c>
      <c r="B2892" s="12">
        <v>146.88148485653576</v>
      </c>
      <c r="C2892" s="12">
        <v>141.28620271193543</v>
      </c>
      <c r="D2892" s="12">
        <v>116.35849464486435</v>
      </c>
    </row>
    <row r="2893" spans="1:4">
      <c r="A2893">
        <v>2890</v>
      </c>
      <c r="B2893" s="12">
        <v>152.93654215790775</v>
      </c>
      <c r="C2893" s="12">
        <v>161.86142856353464</v>
      </c>
      <c r="D2893" s="12">
        <v>116.97626152838836</v>
      </c>
    </row>
    <row r="2894" spans="1:4">
      <c r="A2894">
        <v>2891</v>
      </c>
      <c r="B2894" s="12">
        <v>176.40533274969735</v>
      </c>
      <c r="C2894" s="12">
        <v>185.085657137732</v>
      </c>
      <c r="D2894" s="12">
        <v>79.379390635652229</v>
      </c>
    </row>
    <row r="2895" spans="1:4">
      <c r="A2895">
        <v>2892</v>
      </c>
      <c r="B2895" s="12">
        <v>135.45662245290637</v>
      </c>
      <c r="C2895" s="12">
        <v>163.28983210301695</v>
      </c>
      <c r="D2895" s="12">
        <v>111.37994821723544</v>
      </c>
    </row>
    <row r="2896" spans="1:4">
      <c r="A2896">
        <v>2893</v>
      </c>
      <c r="B2896" s="12">
        <v>202.7947689395447</v>
      </c>
      <c r="C2896" s="12">
        <v>142.42247252972922</v>
      </c>
      <c r="D2896" s="12">
        <v>148.04439516986255</v>
      </c>
    </row>
    <row r="2897" spans="1:4">
      <c r="A2897">
        <v>2894</v>
      </c>
      <c r="B2897" s="12">
        <v>161.42195650764086</v>
      </c>
      <c r="C2897" s="12">
        <v>176.53269838822337</v>
      </c>
      <c r="D2897" s="12">
        <v>94.701796516823663</v>
      </c>
    </row>
    <row r="2898" spans="1:4">
      <c r="A2898">
        <v>2895</v>
      </c>
      <c r="B2898" s="12">
        <v>166.04210582909423</v>
      </c>
      <c r="C2898" s="12">
        <v>191.92260213459602</v>
      </c>
      <c r="D2898" s="12">
        <v>66.925909752978683</v>
      </c>
    </row>
    <row r="2899" spans="1:4">
      <c r="A2899">
        <v>2896</v>
      </c>
      <c r="B2899" s="12">
        <v>208.47574512395011</v>
      </c>
      <c r="C2899" s="12">
        <v>153.58065345327861</v>
      </c>
      <c r="D2899" s="12">
        <v>92.178682419181385</v>
      </c>
    </row>
    <row r="2900" spans="1:4">
      <c r="A2900">
        <v>2897</v>
      </c>
      <c r="B2900" s="12">
        <v>152.33822438971339</v>
      </c>
      <c r="C2900" s="12">
        <v>146.71236698807883</v>
      </c>
      <c r="D2900" s="12">
        <v>97.071442326645084</v>
      </c>
    </row>
    <row r="2901" spans="1:4">
      <c r="A2901">
        <v>2898</v>
      </c>
      <c r="B2901" s="12">
        <v>130.26732712278715</v>
      </c>
      <c r="C2901" s="12">
        <v>116.54668117928213</v>
      </c>
      <c r="D2901" s="12">
        <v>77.478171703700497</v>
      </c>
    </row>
    <row r="2902" spans="1:4">
      <c r="A2902">
        <v>2899</v>
      </c>
      <c r="B2902" s="12">
        <v>189.8029421945412</v>
      </c>
      <c r="C2902" s="12">
        <v>141.01718495206026</v>
      </c>
      <c r="D2902" s="12">
        <v>190.23556598002079</v>
      </c>
    </row>
    <row r="2903" spans="1:4">
      <c r="A2903">
        <v>2900</v>
      </c>
      <c r="B2903" s="12">
        <v>143.90301353654678</v>
      </c>
      <c r="C2903" s="12">
        <v>147.36690207392741</v>
      </c>
      <c r="D2903" s="12">
        <v>94.966264747651778</v>
      </c>
    </row>
    <row r="2904" spans="1:4">
      <c r="A2904">
        <v>2901</v>
      </c>
      <c r="B2904" s="12">
        <v>140.44878486580367</v>
      </c>
      <c r="C2904" s="12">
        <v>172.07245216969781</v>
      </c>
      <c r="D2904" s="12">
        <v>86.984108669885273</v>
      </c>
    </row>
    <row r="2905" spans="1:4">
      <c r="A2905">
        <v>2902</v>
      </c>
      <c r="B2905" s="12">
        <v>215.63441580515232</v>
      </c>
      <c r="C2905" s="12">
        <v>160.72842889340538</v>
      </c>
      <c r="D2905" s="12">
        <v>100.37391041214882</v>
      </c>
    </row>
    <row r="2906" spans="1:4">
      <c r="A2906">
        <v>2903</v>
      </c>
      <c r="B2906" s="12">
        <v>142.50870308240451</v>
      </c>
      <c r="C2906" s="12">
        <v>167.04984865915816</v>
      </c>
      <c r="D2906" s="12">
        <v>99.651057479833227</v>
      </c>
    </row>
    <row r="2907" spans="1:4">
      <c r="A2907">
        <v>2904</v>
      </c>
      <c r="B2907" s="12">
        <v>145.52087218350556</v>
      </c>
      <c r="C2907" s="12">
        <v>160.46664295312928</v>
      </c>
      <c r="D2907" s="12">
        <v>123.57876759952816</v>
      </c>
    </row>
    <row r="2908" spans="1:4">
      <c r="A2908">
        <v>2905</v>
      </c>
      <c r="B2908" s="12">
        <v>157.75687846128591</v>
      </c>
      <c r="C2908" s="12">
        <v>151.89056300472609</v>
      </c>
      <c r="D2908" s="12">
        <v>79.690516692179642</v>
      </c>
    </row>
    <row r="2909" spans="1:4">
      <c r="A2909">
        <v>2906</v>
      </c>
      <c r="B2909" s="12">
        <v>230.00198184724036</v>
      </c>
      <c r="C2909" s="12">
        <v>152.77861922477931</v>
      </c>
      <c r="D2909" s="12">
        <v>139.3903921091856</v>
      </c>
    </row>
    <row r="2910" spans="1:4">
      <c r="A2910">
        <v>2907</v>
      </c>
      <c r="B2910" s="12">
        <v>125.76143686126142</v>
      </c>
      <c r="C2910" s="12">
        <v>149.55841000935661</v>
      </c>
      <c r="D2910" s="12">
        <v>64.343118699424352</v>
      </c>
    </row>
    <row r="2911" spans="1:4">
      <c r="A2911">
        <v>2908</v>
      </c>
      <c r="B2911" s="12">
        <v>151.73946235326156</v>
      </c>
      <c r="C2911" s="12">
        <v>128.55510095677087</v>
      </c>
      <c r="D2911" s="12">
        <v>79.178714848564482</v>
      </c>
    </row>
    <row r="2912" spans="1:4">
      <c r="A2912">
        <v>2909</v>
      </c>
      <c r="B2912" s="12">
        <v>181.66834950134552</v>
      </c>
      <c r="C2912" s="12">
        <v>152.93504009909381</v>
      </c>
      <c r="D2912" s="12">
        <v>94.268335248632013</v>
      </c>
    </row>
    <row r="2913" spans="1:4">
      <c r="A2913">
        <v>2910</v>
      </c>
      <c r="B2913" s="12">
        <v>143.52186204595756</v>
      </c>
      <c r="C2913" s="12">
        <v>164.75790006852807</v>
      </c>
      <c r="D2913" s="12">
        <v>106.40872640017895</v>
      </c>
    </row>
    <row r="2914" spans="1:4">
      <c r="A2914">
        <v>2911</v>
      </c>
      <c r="B2914" s="12">
        <v>105.63675188511793</v>
      </c>
      <c r="C2914" s="12">
        <v>152.13437084968785</v>
      </c>
      <c r="D2914" s="12">
        <v>146.9024079906232</v>
      </c>
    </row>
    <row r="2915" spans="1:4">
      <c r="A2915">
        <v>2912</v>
      </c>
      <c r="B2915" s="12">
        <v>107.80723798742652</v>
      </c>
      <c r="C2915" s="12">
        <v>204.90686499943962</v>
      </c>
      <c r="D2915" s="12">
        <v>78.544761548118558</v>
      </c>
    </row>
    <row r="2916" spans="1:4">
      <c r="A2916">
        <v>2913</v>
      </c>
      <c r="B2916" s="12">
        <v>138.73948056258601</v>
      </c>
      <c r="C2916" s="12">
        <v>157.09287325264191</v>
      </c>
      <c r="D2916" s="12">
        <v>153.70206912453992</v>
      </c>
    </row>
    <row r="2917" spans="1:4">
      <c r="A2917">
        <v>2914</v>
      </c>
      <c r="B2917" s="12">
        <v>250.97801829679818</v>
      </c>
      <c r="C2917" s="12">
        <v>132.21654215492339</v>
      </c>
      <c r="D2917" s="12">
        <v>89.648023772555234</v>
      </c>
    </row>
    <row r="2918" spans="1:4">
      <c r="A2918">
        <v>2915</v>
      </c>
      <c r="B2918" s="12">
        <v>138.33429863779406</v>
      </c>
      <c r="C2918" s="12">
        <v>178.00713206368479</v>
      </c>
      <c r="D2918" s="12">
        <v>71.913193778316526</v>
      </c>
    </row>
    <row r="2919" spans="1:4">
      <c r="A2919">
        <v>2916</v>
      </c>
      <c r="B2919" s="12">
        <v>159.46375066250971</v>
      </c>
      <c r="C2919" s="12">
        <v>183.66522741947594</v>
      </c>
      <c r="D2919" s="12">
        <v>81.780258448449388</v>
      </c>
    </row>
    <row r="2920" spans="1:4">
      <c r="A2920">
        <v>2917</v>
      </c>
      <c r="B2920" s="12">
        <v>123.94052126594413</v>
      </c>
      <c r="C2920" s="12">
        <v>192.70474007322747</v>
      </c>
      <c r="D2920" s="12">
        <v>101.65812727634757</v>
      </c>
    </row>
    <row r="2921" spans="1:4">
      <c r="A2921">
        <v>2918</v>
      </c>
      <c r="B2921" s="12">
        <v>182.45453956419564</v>
      </c>
      <c r="C2921" s="12">
        <v>169.16076682045997</v>
      </c>
      <c r="D2921" s="12">
        <v>113.16153338029078</v>
      </c>
    </row>
    <row r="2922" spans="1:4">
      <c r="A2922">
        <v>2919</v>
      </c>
      <c r="B2922" s="12">
        <v>192.25550540124138</v>
      </c>
      <c r="C2922" s="12">
        <v>154.22788774021367</v>
      </c>
      <c r="D2922" s="12">
        <v>90.083900355146483</v>
      </c>
    </row>
    <row r="2923" spans="1:4">
      <c r="A2923">
        <v>2920</v>
      </c>
      <c r="B2923" s="12">
        <v>161.04962717678103</v>
      </c>
      <c r="C2923" s="12">
        <v>123.46704626013559</v>
      </c>
      <c r="D2923" s="12">
        <v>88.237063681284894</v>
      </c>
    </row>
    <row r="2924" spans="1:4">
      <c r="A2924">
        <v>2921</v>
      </c>
      <c r="B2924" s="12">
        <v>144.52553134853605</v>
      </c>
      <c r="C2924" s="12">
        <v>162.57106842156833</v>
      </c>
      <c r="D2924" s="12">
        <v>114.08132723197362</v>
      </c>
    </row>
    <row r="2925" spans="1:4">
      <c r="A2925">
        <v>2922</v>
      </c>
      <c r="B2925" s="12">
        <v>187.81409672071717</v>
      </c>
      <c r="C2925" s="12">
        <v>160.20586876711127</v>
      </c>
      <c r="D2925" s="12">
        <v>65.99211528811577</v>
      </c>
    </row>
    <row r="2926" spans="1:4">
      <c r="A2926">
        <v>2923</v>
      </c>
      <c r="B2926" s="12">
        <v>148.83603665619191</v>
      </c>
      <c r="C2926" s="12">
        <v>136.81236432747036</v>
      </c>
      <c r="D2926" s="12">
        <v>142.55645998585899</v>
      </c>
    </row>
    <row r="2927" spans="1:4">
      <c r="A2927">
        <v>2924</v>
      </c>
      <c r="B2927" s="12">
        <v>167.45488829020314</v>
      </c>
      <c r="C2927" s="12">
        <v>161.5949101015064</v>
      </c>
      <c r="D2927" s="12">
        <v>218.32280902851753</v>
      </c>
    </row>
    <row r="2928" spans="1:4">
      <c r="A2928">
        <v>2925</v>
      </c>
      <c r="B2928" s="12">
        <v>166.42833875866654</v>
      </c>
      <c r="C2928" s="12">
        <v>163.74132822158651</v>
      </c>
      <c r="D2928" s="12">
        <v>141.64538546826373</v>
      </c>
    </row>
    <row r="2929" spans="1:4">
      <c r="A2929">
        <v>2926</v>
      </c>
      <c r="B2929" s="12">
        <v>121.15522901275499</v>
      </c>
      <c r="C2929" s="12">
        <v>155.37070150098256</v>
      </c>
      <c r="D2929" s="12">
        <v>121.23129359718183</v>
      </c>
    </row>
    <row r="2930" spans="1:4">
      <c r="A2930">
        <v>2927</v>
      </c>
      <c r="B2930" s="12">
        <v>163.64448476499967</v>
      </c>
      <c r="C2930" s="12">
        <v>139.84797881881326</v>
      </c>
      <c r="D2930" s="12">
        <v>122.83106801786909</v>
      </c>
    </row>
    <row r="2931" spans="1:4">
      <c r="A2931">
        <v>2928</v>
      </c>
      <c r="B2931" s="12">
        <v>134.59767676475096</v>
      </c>
      <c r="C2931" s="12">
        <v>134.66597466679502</v>
      </c>
      <c r="D2931" s="12">
        <v>117.35793880977486</v>
      </c>
    </row>
    <row r="2932" spans="1:4">
      <c r="A2932">
        <v>2929</v>
      </c>
      <c r="B2932" s="12">
        <v>150.04175723588529</v>
      </c>
      <c r="C2932" s="12">
        <v>168.65002506288357</v>
      </c>
      <c r="D2932" s="12">
        <v>95.400632257858689</v>
      </c>
    </row>
    <row r="2933" spans="1:4">
      <c r="A2933">
        <v>2930</v>
      </c>
      <c r="B2933" s="12">
        <v>163.02545952107715</v>
      </c>
      <c r="C2933" s="12">
        <v>106.87972539602566</v>
      </c>
      <c r="D2933" s="12">
        <v>100.92509414015615</v>
      </c>
    </row>
    <row r="2934" spans="1:4">
      <c r="A2934">
        <v>2931</v>
      </c>
      <c r="B2934" s="12">
        <v>186.42084219277643</v>
      </c>
      <c r="C2934" s="12">
        <v>162.30128768637783</v>
      </c>
      <c r="D2934" s="12">
        <v>163.56240748846645</v>
      </c>
    </row>
    <row r="2935" spans="1:4">
      <c r="A2935">
        <v>2932</v>
      </c>
      <c r="B2935" s="12">
        <v>219.43933720420918</v>
      </c>
      <c r="C2935" s="12">
        <v>145.80374187273665</v>
      </c>
      <c r="D2935" s="12">
        <v>121.66298382538325</v>
      </c>
    </row>
    <row r="2936" spans="1:4">
      <c r="A2936">
        <v>2933</v>
      </c>
      <c r="B2936" s="12">
        <v>137.92667028030783</v>
      </c>
      <c r="C2936" s="12">
        <v>125.40010609694481</v>
      </c>
      <c r="D2936" s="12">
        <v>54.709621903623677</v>
      </c>
    </row>
    <row r="2937" spans="1:4">
      <c r="A2937">
        <v>2934</v>
      </c>
      <c r="B2937" s="12">
        <v>137.66423286658761</v>
      </c>
      <c r="C2937" s="12">
        <v>159.1001174112221</v>
      </c>
      <c r="D2937" s="12">
        <v>131.95313477655978</v>
      </c>
    </row>
    <row r="2938" spans="1:4">
      <c r="A2938">
        <v>2935</v>
      </c>
      <c r="B2938" s="12">
        <v>140.05296950140928</v>
      </c>
      <c r="C2938" s="12">
        <v>113.59342819652991</v>
      </c>
      <c r="D2938" s="12">
        <v>79.999107751101519</v>
      </c>
    </row>
    <row r="2939" spans="1:4">
      <c r="A2939">
        <v>2936</v>
      </c>
      <c r="B2939" s="12">
        <v>178.01471842991819</v>
      </c>
      <c r="C2939" s="12">
        <v>158.84413704239643</v>
      </c>
      <c r="D2939" s="12">
        <v>73.367159093475479</v>
      </c>
    </row>
    <row r="2940" spans="1:4">
      <c r="A2940">
        <v>2937</v>
      </c>
      <c r="B2940" s="12">
        <v>129.47886155359612</v>
      </c>
      <c r="C2940" s="12">
        <v>175.89284568023362</v>
      </c>
      <c r="D2940" s="12">
        <v>77.689183184724882</v>
      </c>
    </row>
    <row r="2941" spans="1:4">
      <c r="A2941">
        <v>2938</v>
      </c>
      <c r="B2941" s="12">
        <v>141.87391024951779</v>
      </c>
      <c r="C2941" s="12">
        <v>151.24698599481326</v>
      </c>
      <c r="D2941" s="12">
        <v>82.074111988954257</v>
      </c>
    </row>
    <row r="2942" spans="1:4">
      <c r="A2942">
        <v>2939</v>
      </c>
      <c r="B2942" s="12">
        <v>203.56362866540184</v>
      </c>
      <c r="C2942" s="12">
        <v>110.55261666636234</v>
      </c>
      <c r="D2942" s="12">
        <v>59.161566258432011</v>
      </c>
    </row>
    <row r="2943" spans="1:4">
      <c r="A2943">
        <v>2940</v>
      </c>
      <c r="B2943" s="12">
        <v>287.31266629273097</v>
      </c>
      <c r="C2943" s="12">
        <v>125.71728314254862</v>
      </c>
      <c r="D2943" s="12">
        <v>102.39775960064463</v>
      </c>
    </row>
    <row r="2944" spans="1:4">
      <c r="A2944">
        <v>2941</v>
      </c>
      <c r="B2944" s="12">
        <v>178.75343405033178</v>
      </c>
      <c r="C2944" s="12">
        <v>177.59419107302594</v>
      </c>
      <c r="D2944" s="12">
        <v>92.611372764978697</v>
      </c>
    </row>
    <row r="2945" spans="1:4">
      <c r="A2945">
        <v>2942</v>
      </c>
      <c r="B2945" s="12">
        <v>175.69270424742609</v>
      </c>
      <c r="C2945" s="12">
        <v>163.01650725213381</v>
      </c>
      <c r="D2945" s="12">
        <v>150.04952681442001</v>
      </c>
    </row>
    <row r="2946" spans="1:4">
      <c r="A2946">
        <v>2943</v>
      </c>
      <c r="B2946" s="12">
        <v>89.758773810554047</v>
      </c>
      <c r="C2946" s="12">
        <v>121.24452755519613</v>
      </c>
      <c r="D2946" s="12">
        <v>140.76702583756605</v>
      </c>
    </row>
    <row r="2947" spans="1:4">
      <c r="A2947">
        <v>2944</v>
      </c>
      <c r="B2947" s="12">
        <v>151.00864010271195</v>
      </c>
      <c r="C2947" s="12">
        <v>166.27256746446139</v>
      </c>
      <c r="D2947" s="12">
        <v>101.83691786785434</v>
      </c>
    </row>
    <row r="2948" spans="1:4">
      <c r="A2948">
        <v>2945</v>
      </c>
      <c r="B2948" s="12">
        <v>136.15131025403602</v>
      </c>
      <c r="C2948" s="12">
        <v>185.6475944111391</v>
      </c>
      <c r="D2948" s="12">
        <v>145.81366892385947</v>
      </c>
    </row>
    <row r="2949" spans="1:4">
      <c r="A2949">
        <v>2946</v>
      </c>
      <c r="B2949" s="12">
        <v>145.14483595401705</v>
      </c>
      <c r="C2949" s="12">
        <v>184.19289832135087</v>
      </c>
      <c r="D2949" s="12">
        <v>156.31506347312032</v>
      </c>
    </row>
    <row r="2950" spans="1:4">
      <c r="A2950">
        <v>2947</v>
      </c>
      <c r="B2950" s="12">
        <v>135.72887959366361</v>
      </c>
      <c r="C2950" s="12">
        <v>131.98924554582658</v>
      </c>
      <c r="D2950" s="12">
        <v>127.99666868855921</v>
      </c>
    </row>
    <row r="2951" spans="1:4">
      <c r="A2951">
        <v>2948</v>
      </c>
      <c r="B2951" s="12">
        <v>117.57407356498119</v>
      </c>
      <c r="C2951" s="12">
        <v>159.35693685186871</v>
      </c>
      <c r="D2951" s="12">
        <v>104.84901384551551</v>
      </c>
    </row>
    <row r="2952" spans="1:4">
      <c r="A2952">
        <v>2949</v>
      </c>
      <c r="B2952" s="12">
        <v>120.09743234648855</v>
      </c>
      <c r="C2952" s="12">
        <v>140.12377864198771</v>
      </c>
      <c r="D2952" s="12">
        <v>99.924189114627012</v>
      </c>
    </row>
    <row r="2953" spans="1:4">
      <c r="A2953">
        <v>2950</v>
      </c>
      <c r="B2953" s="12">
        <v>108.99545601212635</v>
      </c>
      <c r="C2953" s="12">
        <v>150.20319661346593</v>
      </c>
      <c r="D2953" s="12">
        <v>57.222732150781681</v>
      </c>
    </row>
    <row r="2954" spans="1:4">
      <c r="A2954">
        <v>2951</v>
      </c>
      <c r="B2954" s="12">
        <v>160.44043161036439</v>
      </c>
      <c r="C2954" s="12">
        <v>179.85112670811537</v>
      </c>
      <c r="D2954" s="12">
        <v>88.408946655220987</v>
      </c>
    </row>
    <row r="2955" spans="1:4">
      <c r="A2955">
        <v>2952</v>
      </c>
      <c r="B2955" s="12">
        <v>201.5660677126144</v>
      </c>
      <c r="C2955" s="12">
        <v>119.36840060489656</v>
      </c>
      <c r="D2955" s="12">
        <v>148.80661249307974</v>
      </c>
    </row>
    <row r="2956" spans="1:4">
      <c r="A2956">
        <v>2953</v>
      </c>
      <c r="B2956" s="12">
        <v>142.12227554273213</v>
      </c>
      <c r="C2956" s="12">
        <v>203.9279845884852</v>
      </c>
      <c r="D2956" s="12">
        <v>93.138768058152635</v>
      </c>
    </row>
    <row r="2957" spans="1:4">
      <c r="A2957">
        <v>2954</v>
      </c>
      <c r="B2957" s="12">
        <v>118.29439664199685</v>
      </c>
      <c r="C2957" s="12">
        <v>142.25395535968434</v>
      </c>
      <c r="D2957" s="12">
        <v>93.57144509517984</v>
      </c>
    </row>
    <row r="2958" spans="1:4">
      <c r="A2958">
        <v>2955</v>
      </c>
      <c r="B2958" s="12">
        <v>146.50896497351872</v>
      </c>
      <c r="C2958" s="12">
        <v>158.42592684615281</v>
      </c>
      <c r="D2958" s="12">
        <v>137.32194840477607</v>
      </c>
    </row>
    <row r="2959" spans="1:4">
      <c r="A2959">
        <v>2956</v>
      </c>
      <c r="B2959" s="12">
        <v>129.78858021651246</v>
      </c>
      <c r="C2959" s="12">
        <v>143.62944823252795</v>
      </c>
      <c r="D2959" s="12">
        <v>89.381834111835872</v>
      </c>
    </row>
    <row r="2960" spans="1:4">
      <c r="A2960">
        <v>2957</v>
      </c>
      <c r="B2960" s="12">
        <v>164.02317823252551</v>
      </c>
      <c r="C2960" s="12">
        <v>211.9732765037518</v>
      </c>
      <c r="D2960" s="12">
        <v>136.58046063642931</v>
      </c>
    </row>
    <row r="2961" spans="1:4">
      <c r="A2961">
        <v>2958</v>
      </c>
      <c r="B2961" s="12">
        <v>156.78986417503316</v>
      </c>
      <c r="C2961" s="12">
        <v>153.82555173037599</v>
      </c>
      <c r="D2961" s="12">
        <v>71.223284559144915</v>
      </c>
    </row>
    <row r="2962" spans="1:4">
      <c r="A2962">
        <v>2959</v>
      </c>
      <c r="B2962" s="12">
        <v>136.57067555669929</v>
      </c>
      <c r="C2962" s="12">
        <v>161.1601825100428</v>
      </c>
      <c r="D2962" s="12">
        <v>120.11754572917084</v>
      </c>
    </row>
    <row r="2963" spans="1:4">
      <c r="A2963">
        <v>2960</v>
      </c>
      <c r="B2963" s="12">
        <v>166.67645129978587</v>
      </c>
      <c r="C2963" s="12">
        <v>132.56716906122645</v>
      </c>
      <c r="D2963" s="12">
        <v>66.568438742181755</v>
      </c>
    </row>
    <row r="2964" spans="1:4">
      <c r="A2964">
        <v>2961</v>
      </c>
      <c r="B2964" s="12">
        <v>117.10039705407058</v>
      </c>
      <c r="C2964" s="12">
        <v>118.86797168315215</v>
      </c>
      <c r="D2964" s="12">
        <v>74.733244642277242</v>
      </c>
    </row>
    <row r="2965" spans="1:4">
      <c r="A2965">
        <v>2962</v>
      </c>
      <c r="B2965" s="12">
        <v>205.67308321933368</v>
      </c>
      <c r="C2965" s="12">
        <v>216.62806306584255</v>
      </c>
      <c r="D2965" s="12">
        <v>72.977387136388401</v>
      </c>
    </row>
    <row r="2966" spans="1:4">
      <c r="A2966">
        <v>2963</v>
      </c>
      <c r="B2966" s="12">
        <v>156.55564179416112</v>
      </c>
      <c r="C2966" s="12">
        <v>202.50506947866566</v>
      </c>
      <c r="D2966" s="12">
        <v>152.24819383700159</v>
      </c>
    </row>
    <row r="2967" spans="1:4">
      <c r="A2967">
        <v>2964</v>
      </c>
      <c r="B2967" s="12">
        <v>138.99777849543872</v>
      </c>
      <c r="C2967" s="12">
        <v>120.8136733905428</v>
      </c>
      <c r="D2967" s="12">
        <v>71.646642388464613</v>
      </c>
    </row>
    <row r="2968" spans="1:4">
      <c r="A2968">
        <v>2965</v>
      </c>
      <c r="B2968" s="12">
        <v>234.98238876196982</v>
      </c>
      <c r="C2968" s="12">
        <v>150.84713168050493</v>
      </c>
      <c r="D2968" s="12">
        <v>182.8667390650277</v>
      </c>
    </row>
    <row r="2969" spans="1:4">
      <c r="A2969">
        <v>2966</v>
      </c>
      <c r="B2969" s="12">
        <v>169.54011470674772</v>
      </c>
      <c r="C2969" s="12">
        <v>157.50497443030287</v>
      </c>
      <c r="D2969" s="12">
        <v>78.863169760925047</v>
      </c>
    </row>
    <row r="2970" spans="1:4">
      <c r="A2970">
        <v>2967</v>
      </c>
      <c r="B2970" s="12">
        <v>248.72245674616241</v>
      </c>
      <c r="C2970" s="12">
        <v>146.96065084859404</v>
      </c>
      <c r="D2970" s="12">
        <v>78.015833686086438</v>
      </c>
    </row>
    <row r="2971" spans="1:4">
      <c r="A2971">
        <v>2968</v>
      </c>
      <c r="B2971" s="12">
        <v>84.58273587173403</v>
      </c>
      <c r="C2971" s="12">
        <v>140.84409281075344</v>
      </c>
      <c r="D2971" s="12">
        <v>97.778676188047072</v>
      </c>
    </row>
    <row r="2972" spans="1:4">
      <c r="A2972">
        <v>2969</v>
      </c>
      <c r="B2972" s="12">
        <v>126.29624136109406</v>
      </c>
      <c r="C2972" s="12">
        <v>130.02394480971861</v>
      </c>
      <c r="D2972" s="12">
        <v>138.08555634358007</v>
      </c>
    </row>
    <row r="2973" spans="1:4">
      <c r="A2973">
        <v>2970</v>
      </c>
      <c r="B2973" s="12">
        <v>213.51375814242203</v>
      </c>
      <c r="C2973" s="12">
        <v>149.7149267052192</v>
      </c>
      <c r="D2973" s="12">
        <v>105.14128639582745</v>
      </c>
    </row>
    <row r="2974" spans="1:4">
      <c r="A2974">
        <v>2971</v>
      </c>
      <c r="B2974" s="12">
        <v>198.970551501979</v>
      </c>
      <c r="C2974" s="12">
        <v>146.46355111983686</v>
      </c>
      <c r="D2974" s="12">
        <v>118.38546198848991</v>
      </c>
    </row>
    <row r="2975" spans="1:4">
      <c r="A2975">
        <v>2972</v>
      </c>
      <c r="B2975" s="12">
        <v>147.11965405376566</v>
      </c>
      <c r="C2975" s="12">
        <v>176.92994341278037</v>
      </c>
      <c r="D2975" s="12">
        <v>74.965867387320785</v>
      </c>
    </row>
    <row r="2976" spans="1:4">
      <c r="A2976">
        <v>2973</v>
      </c>
      <c r="B2976" s="12">
        <v>150.77432722737126</v>
      </c>
      <c r="C2976" s="12">
        <v>131.62997283975398</v>
      </c>
      <c r="D2976" s="12">
        <v>70.508104688678287</v>
      </c>
    </row>
    <row r="2977" spans="1:4">
      <c r="A2977">
        <v>2974</v>
      </c>
      <c r="B2977" s="12">
        <v>259.59775154847853</v>
      </c>
      <c r="C2977" s="12">
        <v>144.97745108887386</v>
      </c>
      <c r="D2977" s="12">
        <v>85.083178548945597</v>
      </c>
    </row>
    <row r="2978" spans="1:4">
      <c r="A2978">
        <v>2975</v>
      </c>
      <c r="B2978" s="12">
        <v>184.24042093732319</v>
      </c>
      <c r="C2978" s="12">
        <v>149.06916724459734</v>
      </c>
      <c r="D2978" s="12">
        <v>107.50903862424339</v>
      </c>
    </row>
    <row r="2979" spans="1:4">
      <c r="A2979">
        <v>2976</v>
      </c>
      <c r="B2979" s="12">
        <v>185.06514252430546</v>
      </c>
      <c r="C2979" s="12">
        <v>164.47656249478692</v>
      </c>
      <c r="D2979" s="12">
        <v>135.40825905006599</v>
      </c>
    </row>
    <row r="2980" spans="1:4">
      <c r="A2980">
        <v>2977</v>
      </c>
      <c r="B2980" s="12">
        <v>133.44141630704976</v>
      </c>
      <c r="C2980" s="12">
        <v>137.11081847147855</v>
      </c>
      <c r="D2980" s="12">
        <v>109.14682267589636</v>
      </c>
    </row>
    <row r="2981" spans="1:4">
      <c r="A2981">
        <v>2978</v>
      </c>
      <c r="B2981" s="12">
        <v>177.56864197540855</v>
      </c>
      <c r="C2981" s="12">
        <v>181.05790548140124</v>
      </c>
      <c r="D2981" s="12">
        <v>86.264063582272613</v>
      </c>
    </row>
    <row r="2982" spans="1:4">
      <c r="A2982">
        <v>2979</v>
      </c>
      <c r="B2982" s="12">
        <v>225.73973538121248</v>
      </c>
      <c r="C2982" s="12">
        <v>154.71948126984441</v>
      </c>
      <c r="D2982" s="12">
        <v>124.82086175209045</v>
      </c>
    </row>
    <row r="2983" spans="1:4">
      <c r="A2983">
        <v>2980</v>
      </c>
      <c r="B2983" s="12">
        <v>154.86167592940828</v>
      </c>
      <c r="C2983" s="12">
        <v>157.75702577368023</v>
      </c>
      <c r="D2983" s="12">
        <v>144.12962968998889</v>
      </c>
    </row>
    <row r="2984" spans="1:4">
      <c r="A2984">
        <v>2981</v>
      </c>
      <c r="B2984" s="12">
        <v>115.55193661665182</v>
      </c>
      <c r="C2984" s="12">
        <v>184.53733635780205</v>
      </c>
      <c r="D2984" s="12">
        <v>98.219861296561689</v>
      </c>
    </row>
    <row r="2985" spans="1:4">
      <c r="A2985">
        <v>2982</v>
      </c>
      <c r="B2985" s="12">
        <v>151.37418853326264</v>
      </c>
      <c r="C2985" s="12">
        <v>148.66712579181927</v>
      </c>
      <c r="D2985" s="12">
        <v>90.783666185693292</v>
      </c>
    </row>
    <row r="2986" spans="1:4">
      <c r="A2986">
        <v>2983</v>
      </c>
      <c r="B2986" s="12">
        <v>158.12381177248886</v>
      </c>
      <c r="C2986" s="12">
        <v>133.46997974949144</v>
      </c>
      <c r="D2986" s="12">
        <v>61.092301825403183</v>
      </c>
    </row>
    <row r="2987" spans="1:4">
      <c r="A2987">
        <v>2984</v>
      </c>
      <c r="B2987" s="12">
        <v>130.74049511197978</v>
      </c>
      <c r="C2987" s="12">
        <v>172.9844626404352</v>
      </c>
      <c r="D2987" s="12">
        <v>84.804596626051634</v>
      </c>
    </row>
    <row r="2988" spans="1:4">
      <c r="A2988">
        <v>2985</v>
      </c>
      <c r="B2988" s="12">
        <v>278.90932244017222</v>
      </c>
      <c r="C2988" s="12">
        <v>142.94554200709103</v>
      </c>
      <c r="D2988" s="12">
        <v>91.481733890671563</v>
      </c>
    </row>
    <row r="2989" spans="1:4">
      <c r="A2989">
        <v>2986</v>
      </c>
      <c r="B2989" s="12">
        <v>155.22637986822133</v>
      </c>
      <c r="C2989" s="12">
        <v>140.57261175879222</v>
      </c>
      <c r="D2989" s="12">
        <v>119.44355313050767</v>
      </c>
    </row>
    <row r="2990" spans="1:4">
      <c r="A2990">
        <v>2987</v>
      </c>
      <c r="B2990" s="12">
        <v>144.1464722470335</v>
      </c>
      <c r="C2990" s="12">
        <v>188.88011565754908</v>
      </c>
      <c r="D2990" s="12">
        <v>106.21734383944661</v>
      </c>
    </row>
    <row r="2991" spans="1:4">
      <c r="A2991">
        <v>2988</v>
      </c>
      <c r="B2991" s="12">
        <v>162.64942627142636</v>
      </c>
      <c r="C2991" s="12">
        <v>141.9898571923201</v>
      </c>
      <c r="D2991" s="12">
        <v>113.50745505063281</v>
      </c>
    </row>
    <row r="2992" spans="1:4">
      <c r="A2992">
        <v>2989</v>
      </c>
      <c r="B2992" s="12">
        <v>161.66086624652962</v>
      </c>
      <c r="C2992" s="12">
        <v>144.05084867001901</v>
      </c>
      <c r="D2992" s="12">
        <v>105.91982106497611</v>
      </c>
    </row>
    <row r="2993" spans="1:4">
      <c r="A2993">
        <v>2990</v>
      </c>
      <c r="B2993" s="12">
        <v>193.83777262463488</v>
      </c>
      <c r="C2993" s="12">
        <v>152.29058172869401</v>
      </c>
      <c r="D2993" s="12">
        <v>96.367305252564748</v>
      </c>
    </row>
    <row r="2994" spans="1:4">
      <c r="A2994">
        <v>2991</v>
      </c>
      <c r="B2994" s="12">
        <v>133.88244034734385</v>
      </c>
      <c r="C2994" s="12">
        <v>197.46339035142006</v>
      </c>
      <c r="D2994" s="12">
        <v>97.338886722845942</v>
      </c>
    </row>
    <row r="2995" spans="1:4">
      <c r="A2995">
        <v>2992</v>
      </c>
      <c r="B2995" s="12">
        <v>214.55727533176608</v>
      </c>
      <c r="C2995" s="12">
        <v>130.27187826170265</v>
      </c>
      <c r="D2995" s="12">
        <v>93.835275289664523</v>
      </c>
    </row>
    <row r="2996" spans="1:4">
      <c r="A2996">
        <v>2993</v>
      </c>
      <c r="B2996" s="12">
        <v>111.77901507634425</v>
      </c>
      <c r="C2996" s="12">
        <v>148.26429382595487</v>
      </c>
      <c r="D2996" s="12">
        <v>72.322532368743055</v>
      </c>
    </row>
    <row r="2997" spans="1:4">
      <c r="A2997">
        <v>2994</v>
      </c>
      <c r="B2997" s="12">
        <v>133.15681303817365</v>
      </c>
      <c r="C2997" s="12">
        <v>167.84191876318567</v>
      </c>
      <c r="D2997" s="12">
        <v>97.510442324909917</v>
      </c>
    </row>
    <row r="2998" spans="1:4">
      <c r="A2998">
        <v>2995</v>
      </c>
      <c r="B2998" s="12">
        <v>154.26358409208191</v>
      </c>
      <c r="C2998" s="12">
        <v>142.68458126198817</v>
      </c>
      <c r="D2998" s="12">
        <v>110.84087975414859</v>
      </c>
    </row>
    <row r="2999" spans="1:4">
      <c r="A2999">
        <v>2996</v>
      </c>
      <c r="B2999" s="12">
        <v>170.85992606363394</v>
      </c>
      <c r="C2999" s="12">
        <v>115.52436573506118</v>
      </c>
      <c r="D2999" s="12">
        <v>96.633637601586415</v>
      </c>
    </row>
    <row r="3000" spans="1:4">
      <c r="A3000">
        <v>2997</v>
      </c>
      <c r="B3000" s="12">
        <v>224.27007774751027</v>
      </c>
      <c r="C3000" s="12">
        <v>117.15454640776994</v>
      </c>
      <c r="D3000" s="12">
        <v>161.31539104568805</v>
      </c>
    </row>
    <row r="3001" spans="1:4">
      <c r="A3001">
        <v>2998</v>
      </c>
      <c r="B3001" s="12">
        <v>132.25698168393387</v>
      </c>
      <c r="C3001" s="12">
        <v>139.39167813556827</v>
      </c>
      <c r="D3001" s="12">
        <v>102.11683854372876</v>
      </c>
    </row>
    <row r="3002" spans="1:4">
      <c r="A3002">
        <v>2999</v>
      </c>
      <c r="B3002" s="12">
        <v>232.99491191055279</v>
      </c>
      <c r="C3002" s="12">
        <v>209.70135161715686</v>
      </c>
      <c r="D3002" s="12">
        <v>75.903381887777314</v>
      </c>
    </row>
    <row r="3003" spans="1:4">
      <c r="A3003">
        <v>3000</v>
      </c>
      <c r="B3003" s="12">
        <v>147.86123006923199</v>
      </c>
      <c r="C3003" s="12">
        <v>139.11108174973023</v>
      </c>
      <c r="D3003" s="12">
        <v>126.62022039504254</v>
      </c>
    </row>
    <row r="3004" spans="1:4">
      <c r="A3004">
        <v>3001</v>
      </c>
      <c r="B3004" s="12">
        <v>122.77386726117135</v>
      </c>
      <c r="C3004" s="12">
        <v>153.42390963510638</v>
      </c>
      <c r="D3004" s="12">
        <v>133.62499917946045</v>
      </c>
    </row>
    <row r="3005" spans="1:4">
      <c r="A3005">
        <v>3002</v>
      </c>
      <c r="B3005" s="12">
        <v>136.83774567204878</v>
      </c>
      <c r="C3005" s="12">
        <v>128.9693899903464</v>
      </c>
      <c r="D3005" s="12">
        <v>145.14184717687462</v>
      </c>
    </row>
    <row r="3006" spans="1:4">
      <c r="A3006">
        <v>3003</v>
      </c>
      <c r="B3006" s="12">
        <v>164.40295610367306</v>
      </c>
      <c r="C3006" s="12">
        <v>168.34201622835076</v>
      </c>
      <c r="D3006" s="12">
        <v>115.98685682501998</v>
      </c>
    </row>
    <row r="3007" spans="1:4">
      <c r="A3007">
        <v>3004</v>
      </c>
      <c r="B3007" s="12">
        <v>179.96141342765247</v>
      </c>
      <c r="C3007" s="12">
        <v>174.52139031849393</v>
      </c>
      <c r="D3007" s="12">
        <v>98.933222303070423</v>
      </c>
    </row>
    <row r="3008" spans="1:4">
      <c r="A3008">
        <v>3005</v>
      </c>
      <c r="B3008" s="12">
        <v>148.46739134629834</v>
      </c>
      <c r="C3008" s="12">
        <v>154.4735219233151</v>
      </c>
      <c r="D3008" s="12">
        <v>67.467417504390937</v>
      </c>
    </row>
    <row r="3009" spans="1:4">
      <c r="A3009">
        <v>3006</v>
      </c>
      <c r="B3009" s="12">
        <v>145.89586959592447</v>
      </c>
      <c r="C3009" s="12">
        <v>143.37129583245837</v>
      </c>
      <c r="D3009" s="12">
        <v>108.32140360176797</v>
      </c>
    </row>
    <row r="3010" spans="1:4">
      <c r="A3010">
        <v>3007</v>
      </c>
      <c r="B3010" s="12">
        <v>181.19443769355456</v>
      </c>
      <c r="C3010" s="12">
        <v>171.73358921137316</v>
      </c>
      <c r="D3010" s="12">
        <v>105.6237957846635</v>
      </c>
    </row>
    <row r="3011" spans="1:4">
      <c r="A3011">
        <v>3008</v>
      </c>
      <c r="B3011" s="12">
        <v>114.19053333712787</v>
      </c>
      <c r="C3011" s="12">
        <v>146.30387967099452</v>
      </c>
      <c r="D3011" s="12">
        <v>80.500167282318046</v>
      </c>
    </row>
    <row r="3012" spans="1:4">
      <c r="A3012">
        <v>3009</v>
      </c>
      <c r="B3012" s="12">
        <v>218.66064535573173</v>
      </c>
      <c r="C3012" s="12">
        <v>158.68059748406921</v>
      </c>
      <c r="D3012" s="12">
        <v>107.20460173680137</v>
      </c>
    </row>
    <row r="3013" spans="1:4">
      <c r="A3013">
        <v>3010</v>
      </c>
      <c r="B3013" s="12">
        <v>313.26329869172412</v>
      </c>
      <c r="C3013" s="12">
        <v>158.00975797056867</v>
      </c>
      <c r="D3013" s="12">
        <v>109.66665659633848</v>
      </c>
    </row>
    <row r="3014" spans="1:4">
      <c r="A3014">
        <v>3011</v>
      </c>
      <c r="B3014" s="12">
        <v>217.48132621530402</v>
      </c>
      <c r="C3014" s="12">
        <v>126.96550822932153</v>
      </c>
      <c r="D3014" s="12">
        <v>100.19807028175985</v>
      </c>
    </row>
    <row r="3015" spans="1:4">
      <c r="A3015">
        <v>3012</v>
      </c>
      <c r="B3015" s="12">
        <v>190.7273365654647</v>
      </c>
      <c r="C3015" s="12">
        <v>156.18402417942391</v>
      </c>
      <c r="D3015" s="12">
        <v>83.598272610180771</v>
      </c>
    </row>
    <row r="3016" spans="1:4">
      <c r="A3016">
        <v>3013</v>
      </c>
      <c r="B3016" s="12">
        <v>192.84807213072096</v>
      </c>
      <c r="C3016" s="12">
        <v>136.51121489338414</v>
      </c>
      <c r="D3016" s="12">
        <v>78.339240285592311</v>
      </c>
    </row>
    <row r="3017" spans="1:4">
      <c r="A3017">
        <v>3014</v>
      </c>
      <c r="B3017" s="12">
        <v>185.57434259719938</v>
      </c>
      <c r="C3017" s="12">
        <v>147.11942223931578</v>
      </c>
      <c r="D3017" s="12">
        <v>115.38490221498643</v>
      </c>
    </row>
    <row r="3018" spans="1:4">
      <c r="A3018">
        <v>3015</v>
      </c>
      <c r="B3018" s="12">
        <v>155.82503171414822</v>
      </c>
      <c r="C3018" s="12">
        <v>155.77674031690287</v>
      </c>
      <c r="D3018" s="12">
        <v>52.635305785421444</v>
      </c>
    </row>
    <row r="3019" spans="1:4">
      <c r="A3019">
        <v>3016</v>
      </c>
      <c r="B3019" s="12">
        <v>163.40246589414801</v>
      </c>
      <c r="C3019" s="12">
        <v>170.85485473148518</v>
      </c>
      <c r="D3019" s="12">
        <v>108.01226851475319</v>
      </c>
    </row>
    <row r="3020" spans="1:4">
      <c r="A3020">
        <v>3017</v>
      </c>
      <c r="B3020" s="12">
        <v>245.54079113428122</v>
      </c>
      <c r="C3020" s="12">
        <v>191.17007275839649</v>
      </c>
      <c r="D3020" s="12">
        <v>89.818324762981447</v>
      </c>
    </row>
    <row r="3021" spans="1:4">
      <c r="A3021">
        <v>3018</v>
      </c>
      <c r="B3021" s="12">
        <v>191.30003444646579</v>
      </c>
      <c r="C3021" s="12">
        <v>138.82853309270888</v>
      </c>
      <c r="D3021" s="12">
        <v>69.295326607297227</v>
      </c>
    </row>
    <row r="3022" spans="1:4">
      <c r="A3022">
        <v>3019</v>
      </c>
      <c r="B3022" s="12">
        <v>97.487005965052077</v>
      </c>
      <c r="C3022" s="12">
        <v>138.64648647980886</v>
      </c>
      <c r="D3022" s="12">
        <v>104.37242877678841</v>
      </c>
    </row>
    <row r="3023" spans="1:4">
      <c r="A3023">
        <v>3020</v>
      </c>
      <c r="B3023" s="12">
        <v>204.86005790778691</v>
      </c>
      <c r="C3023" s="12">
        <v>140.29954823890429</v>
      </c>
      <c r="D3023" s="12">
        <v>58.452814233084041</v>
      </c>
    </row>
    <row r="3024" spans="1:4">
      <c r="A3024">
        <v>3021</v>
      </c>
      <c r="B3024" s="12">
        <v>134.31960486962438</v>
      </c>
      <c r="C3024" s="12">
        <v>165.50893407727358</v>
      </c>
      <c r="D3024" s="12">
        <v>104.08362942456051</v>
      </c>
    </row>
    <row r="3025" spans="1:4">
      <c r="A3025">
        <v>3022</v>
      </c>
      <c r="B3025" s="12">
        <v>124.86434250733215</v>
      </c>
      <c r="C3025" s="12">
        <v>132.9128731690993</v>
      </c>
      <c r="D3025" s="12">
        <v>124.04336181339959</v>
      </c>
    </row>
    <row r="3026" spans="1:4">
      <c r="A3026">
        <v>3023</v>
      </c>
      <c r="B3026" s="12">
        <v>131.04077095800983</v>
      </c>
      <c r="C3026" s="12">
        <v>141.55379638339537</v>
      </c>
      <c r="D3026" s="12">
        <v>95.665750295045783</v>
      </c>
    </row>
    <row r="3027" spans="1:4">
      <c r="A3027">
        <v>3024</v>
      </c>
      <c r="B3027" s="12">
        <v>137.25235819676294</v>
      </c>
      <c r="C3027" s="12">
        <v>181.53056663445676</v>
      </c>
      <c r="D3027" s="12">
        <v>55.786280223914474</v>
      </c>
    </row>
    <row r="3028" spans="1:4">
      <c r="A3028">
        <v>3025</v>
      </c>
      <c r="B3028" s="12">
        <v>104.13694870826923</v>
      </c>
      <c r="C3028" s="12">
        <v>230.17422113021507</v>
      </c>
      <c r="D3028" s="12">
        <v>69.597203308863968</v>
      </c>
    </row>
    <row r="3029" spans="1:4">
      <c r="A3029">
        <v>3026</v>
      </c>
      <c r="B3029" s="12">
        <v>165.41130950882697</v>
      </c>
      <c r="C3029" s="12">
        <v>165.98182472708456</v>
      </c>
      <c r="D3029" s="12">
        <v>126.11519113679302</v>
      </c>
    </row>
    <row r="3030" spans="1:4">
      <c r="A3030">
        <v>3027</v>
      </c>
      <c r="B3030" s="12">
        <v>151.97331056092389</v>
      </c>
      <c r="C3030" s="12">
        <v>164.01849812478159</v>
      </c>
      <c r="D3030" s="12">
        <v>108.83263064395324</v>
      </c>
    </row>
    <row r="3031" spans="1:4">
      <c r="A3031">
        <v>3028</v>
      </c>
      <c r="B3031" s="12">
        <v>228.31591878112096</v>
      </c>
      <c r="C3031" s="12">
        <v>103.26126230615851</v>
      </c>
      <c r="D3031" s="12">
        <v>65.391150214296914</v>
      </c>
    </row>
    <row r="3032" spans="1:4">
      <c r="A3032">
        <v>3029</v>
      </c>
      <c r="B3032" s="12">
        <v>216.34322954506251</v>
      </c>
      <c r="C3032" s="12">
        <v>147.77194441362712</v>
      </c>
      <c r="D3032" s="12">
        <v>112.60014971794686</v>
      </c>
    </row>
    <row r="3033" spans="1:4">
      <c r="A3033">
        <v>3030</v>
      </c>
      <c r="B3033" s="12">
        <v>164.64680930937993</v>
      </c>
      <c r="C3033" s="12">
        <v>137.59489406099661</v>
      </c>
      <c r="D3033" s="12">
        <v>136.11646770700446</v>
      </c>
    </row>
    <row r="3034" spans="1:4">
      <c r="A3034">
        <v>3031</v>
      </c>
      <c r="B3034" s="12">
        <v>222.86728085521517</v>
      </c>
      <c r="C3034" s="12">
        <v>143.79428646194961</v>
      </c>
      <c r="D3034" s="12">
        <v>134.28630057274833</v>
      </c>
    </row>
    <row r="3035" spans="1:4">
      <c r="A3035">
        <v>3032</v>
      </c>
      <c r="B3035" s="12">
        <v>236.33153228500871</v>
      </c>
      <c r="C3035" s="12">
        <v>137.30062575764765</v>
      </c>
      <c r="D3035" s="12">
        <v>75.678980628575772</v>
      </c>
    </row>
    <row r="3036" spans="1:4">
      <c r="A3036">
        <v>3033</v>
      </c>
      <c r="B3036" s="12">
        <v>199.66666858853054</v>
      </c>
      <c r="C3036" s="12">
        <v>124.36784731627453</v>
      </c>
      <c r="D3036" s="12">
        <v>104.66251153801703</v>
      </c>
    </row>
    <row r="3037" spans="1:4">
      <c r="A3037">
        <v>3034</v>
      </c>
      <c r="B3037" s="12">
        <v>168.74505306089438</v>
      </c>
      <c r="C3037" s="12">
        <v>126.20073072467612</v>
      </c>
      <c r="D3037" s="12">
        <v>83.882175489412589</v>
      </c>
    </row>
    <row r="3038" spans="1:4">
      <c r="A3038">
        <v>3035</v>
      </c>
      <c r="B3038" s="12">
        <v>162.03452740545319</v>
      </c>
      <c r="C3038" s="12">
        <v>118.04265006576274</v>
      </c>
      <c r="D3038" s="12">
        <v>94.532497939479782</v>
      </c>
    </row>
    <row r="3039" spans="1:4">
      <c r="A3039">
        <v>3036</v>
      </c>
      <c r="B3039" s="12">
        <v>101.25086742970149</v>
      </c>
      <c r="C3039" s="12">
        <v>154.07070782709394</v>
      </c>
      <c r="D3039" s="12">
        <v>128.88574253846843</v>
      </c>
    </row>
    <row r="3040" spans="1:4">
      <c r="A3040">
        <v>3037</v>
      </c>
      <c r="B3040" s="12">
        <v>146.13555118565264</v>
      </c>
      <c r="C3040" s="12">
        <v>180.30139505706731</v>
      </c>
      <c r="D3040" s="12">
        <v>63.659687946995696</v>
      </c>
    </row>
    <row r="3041" spans="1:4">
      <c r="A3041">
        <v>3038</v>
      </c>
      <c r="B3041" s="12">
        <v>226.71966799230702</v>
      </c>
      <c r="C3041" s="12">
        <v>141.7244790817042</v>
      </c>
      <c r="D3041" s="12">
        <v>159.99157864116637</v>
      </c>
    </row>
    <row r="3042" spans="1:4">
      <c r="A3042">
        <v>3039</v>
      </c>
      <c r="B3042" s="12">
        <v>152.70297320687962</v>
      </c>
      <c r="C3042" s="12">
        <v>124.89230297076526</v>
      </c>
      <c r="D3042" s="12">
        <v>86.088499167179961</v>
      </c>
    </row>
    <row r="3043" spans="1:4">
      <c r="A3043">
        <v>3040</v>
      </c>
      <c r="B3043" s="12">
        <v>153.30110824693921</v>
      </c>
      <c r="C3043" s="12">
        <v>144.72402455307702</v>
      </c>
      <c r="D3043" s="12">
        <v>103.61252229591665</v>
      </c>
    </row>
    <row r="3044" spans="1:4">
      <c r="A3044">
        <v>3041</v>
      </c>
      <c r="B3044" s="12">
        <v>211.86860782466883</v>
      </c>
      <c r="C3044" s="12">
        <v>133.13183675749966</v>
      </c>
      <c r="D3044" s="12">
        <v>87.52588957540712</v>
      </c>
    </row>
    <row r="3045" spans="1:4">
      <c r="A3045">
        <v>3042</v>
      </c>
      <c r="B3045" s="12">
        <v>147.49082081504412</v>
      </c>
      <c r="C3045" s="12">
        <v>156.43294696636801</v>
      </c>
      <c r="D3045" s="12">
        <v>171.00690969913666</v>
      </c>
    </row>
    <row r="3046" spans="1:4">
      <c r="A3046">
        <v>3043</v>
      </c>
      <c r="B3046" s="12">
        <v>210.90324506745719</v>
      </c>
      <c r="C3046" s="12">
        <v>151.64681233628042</v>
      </c>
      <c r="D3046" s="12">
        <v>98.489526061429004</v>
      </c>
    </row>
    <row r="3047" spans="1:4">
      <c r="A3047">
        <v>3044</v>
      </c>
      <c r="B3047" s="12">
        <v>121.77962438412999</v>
      </c>
      <c r="C3047" s="12">
        <v>137.88674625119364</v>
      </c>
      <c r="D3047" s="12">
        <v>106.70880030162891</v>
      </c>
    </row>
    <row r="3048" spans="1:4">
      <c r="A3048">
        <v>3045</v>
      </c>
      <c r="B3048" s="12">
        <v>189.24831550216393</v>
      </c>
      <c r="C3048" s="12">
        <v>158.17201461231255</v>
      </c>
      <c r="D3048" s="12">
        <v>76.250088030658461</v>
      </c>
    </row>
    <row r="3049" spans="1:4">
      <c r="A3049">
        <v>3046</v>
      </c>
      <c r="B3049" s="12">
        <v>115.03112378449018</v>
      </c>
      <c r="C3049" s="12">
        <v>124.02242636947375</v>
      </c>
      <c r="D3049" s="12">
        <v>63.20113782451471</v>
      </c>
    </row>
    <row r="3050" spans="1:4">
      <c r="A3050">
        <v>3047</v>
      </c>
      <c r="B3050" s="12">
        <v>126.82256421853366</v>
      </c>
      <c r="C3050" s="12">
        <v>182.82452476035277</v>
      </c>
      <c r="D3050" s="12">
        <v>177.51981933163205</v>
      </c>
    </row>
    <row r="3051" spans="1:4">
      <c r="A3051">
        <v>3048</v>
      </c>
      <c r="B3051" s="12">
        <v>124.30457943286093</v>
      </c>
      <c r="C3051" s="12">
        <v>151.49069813365304</v>
      </c>
      <c r="D3051" s="12">
        <v>158.07542071071788</v>
      </c>
    </row>
    <row r="3052" spans="1:4">
      <c r="A3052">
        <v>3049</v>
      </c>
      <c r="B3052" s="12">
        <v>231.13457135506269</v>
      </c>
      <c r="C3052" s="12">
        <v>139.5704214580625</v>
      </c>
      <c r="D3052" s="12">
        <v>64.991797547823154</v>
      </c>
    </row>
    <row r="3053" spans="1:4">
      <c r="A3053">
        <v>3050</v>
      </c>
      <c r="B3053" s="12">
        <v>122.38991212770749</v>
      </c>
      <c r="C3053" s="12">
        <v>200.39946003598297</v>
      </c>
      <c r="D3053" s="12">
        <v>95.230956183181874</v>
      </c>
    </row>
    <row r="3054" spans="1:4">
      <c r="A3054">
        <v>3051</v>
      </c>
      <c r="B3054" s="12">
        <v>269.76860597147419</v>
      </c>
      <c r="C3054" s="12">
        <v>160.03934787865896</v>
      </c>
      <c r="D3054" s="12">
        <v>102.57824240647635</v>
      </c>
    </row>
    <row r="3055" spans="1:4">
      <c r="A3055">
        <v>3052</v>
      </c>
      <c r="B3055" s="12">
        <v>132.70907083549648</v>
      </c>
      <c r="C3055" s="12">
        <v>208.40110133213753</v>
      </c>
      <c r="D3055" s="12">
        <v>91.0481995369054</v>
      </c>
    </row>
    <row r="3056" spans="1:4">
      <c r="A3056">
        <v>3053</v>
      </c>
      <c r="B3056" s="12">
        <v>131.50535313822465</v>
      </c>
      <c r="C3056" s="12">
        <v>99.120943368489023</v>
      </c>
      <c r="D3056" s="12">
        <v>84.625553059655275</v>
      </c>
    </row>
    <row r="3057" spans="1:4">
      <c r="A3057">
        <v>3054</v>
      </c>
      <c r="B3057" s="12">
        <v>159.09498760919939</v>
      </c>
      <c r="C3057" s="12">
        <v>130.65330332778962</v>
      </c>
      <c r="D3057" s="12">
        <v>73.750337376937139</v>
      </c>
    </row>
    <row r="3058" spans="1:4">
      <c r="A3058">
        <v>3055</v>
      </c>
      <c r="B3058" s="12">
        <v>212.86191709654022</v>
      </c>
      <c r="C3058" s="12">
        <v>187.59836636863648</v>
      </c>
      <c r="D3058" s="12">
        <v>94.004321684758835</v>
      </c>
    </row>
    <row r="3059" spans="1:4">
      <c r="A3059">
        <v>3056</v>
      </c>
      <c r="B3059" s="12">
        <v>169.14172922784866</v>
      </c>
      <c r="C3059" s="12">
        <v>178.69860392509014</v>
      </c>
      <c r="D3059" s="12">
        <v>90.518889525250529</v>
      </c>
    </row>
    <row r="3060" spans="1:4">
      <c r="A3060">
        <v>3057</v>
      </c>
      <c r="B3060" s="12">
        <v>186.94388800975176</v>
      </c>
      <c r="C3060" s="12">
        <v>145.13937363256122</v>
      </c>
      <c r="D3060" s="12">
        <v>125.30458690193031</v>
      </c>
    </row>
    <row r="3061" spans="1:4">
      <c r="A3061">
        <v>3058</v>
      </c>
      <c r="B3061" s="12">
        <v>127.15545764442676</v>
      </c>
      <c r="C3061" s="12">
        <v>147.61393281231975</v>
      </c>
      <c r="D3061" s="12">
        <v>75.324852194503308</v>
      </c>
    </row>
    <row r="3062" spans="1:4">
      <c r="A3062">
        <v>3059</v>
      </c>
      <c r="B3062" s="12">
        <v>120.74737075801984</v>
      </c>
      <c r="C3062" s="12">
        <v>214.63724316150441</v>
      </c>
      <c r="D3062" s="12">
        <v>88.944212904581462</v>
      </c>
    </row>
    <row r="3063" spans="1:4">
      <c r="A3063">
        <v>3060</v>
      </c>
      <c r="B3063" s="12">
        <v>141.48479911252497</v>
      </c>
      <c r="C3063" s="12">
        <v>169.4755369245853</v>
      </c>
      <c r="D3063" s="12">
        <v>93.307689072056633</v>
      </c>
    </row>
    <row r="3064" spans="1:4">
      <c r="A3064">
        <v>3061</v>
      </c>
      <c r="B3064" s="12">
        <v>172.34896050876813</v>
      </c>
      <c r="C3064" s="12">
        <v>169.99784337390852</v>
      </c>
      <c r="D3064" s="12">
        <v>110.51538779565611</v>
      </c>
    </row>
    <row r="3065" spans="1:4">
      <c r="A3065">
        <v>3062</v>
      </c>
      <c r="B3065" s="12">
        <v>209.37544828631528</v>
      </c>
      <c r="C3065" s="12">
        <v>135.70218193138012</v>
      </c>
      <c r="D3065" s="12">
        <v>80.802591440645514</v>
      </c>
    </row>
    <row r="3066" spans="1:4">
      <c r="A3066">
        <v>3063</v>
      </c>
      <c r="B3066" s="12">
        <v>174.56094107540682</v>
      </c>
      <c r="C3066" s="12">
        <v>165.22308157389872</v>
      </c>
      <c r="D3066" s="12">
        <v>130.37748502506497</v>
      </c>
    </row>
    <row r="3067" spans="1:4">
      <c r="A3067">
        <v>3064</v>
      </c>
      <c r="B3067" s="12">
        <v>143.13935049568934</v>
      </c>
      <c r="C3067" s="12">
        <v>194.93495781956634</v>
      </c>
      <c r="D3067" s="12">
        <v>99.476485210341977</v>
      </c>
    </row>
    <row r="3068" spans="1:4">
      <c r="A3068">
        <v>3065</v>
      </c>
      <c r="B3068" s="12">
        <v>195.47981617973304</v>
      </c>
      <c r="C3068" s="12">
        <v>150.35946184690795</v>
      </c>
      <c r="D3068" s="12">
        <v>102.86087780460394</v>
      </c>
    </row>
    <row r="3069" spans="1:4">
      <c r="A3069">
        <v>3066</v>
      </c>
      <c r="B3069" s="12">
        <v>220.69422734943117</v>
      </c>
      <c r="C3069" s="12">
        <v>122.89018994297449</v>
      </c>
      <c r="D3069" s="12">
        <v>134.71870353907968</v>
      </c>
    </row>
    <row r="3070" spans="1:4">
      <c r="A3070">
        <v>3067</v>
      </c>
      <c r="B3070" s="12">
        <v>159.70026730264846</v>
      </c>
      <c r="C3070" s="12">
        <v>148.01830403832275</v>
      </c>
      <c r="D3070" s="12">
        <v>92.875071453027346</v>
      </c>
    </row>
    <row r="3071" spans="1:4">
      <c r="A3071">
        <v>3068</v>
      </c>
      <c r="B3071" s="12">
        <v>149.43957732619987</v>
      </c>
      <c r="C3071" s="12">
        <v>152.53453839501591</v>
      </c>
      <c r="D3071" s="12">
        <v>77.145847045162299</v>
      </c>
    </row>
    <row r="3072" spans="1:4">
      <c r="A3072">
        <v>3069</v>
      </c>
      <c r="B3072" s="12">
        <v>106.99629769905775</v>
      </c>
      <c r="C3072" s="12">
        <v>133.80380271811728</v>
      </c>
      <c r="D3072" s="12">
        <v>120.53500791651787</v>
      </c>
    </row>
    <row r="3073" spans="1:4">
      <c r="A3073">
        <v>3070</v>
      </c>
      <c r="B3073" s="12">
        <v>141.09395241512428</v>
      </c>
      <c r="C3073" s="12">
        <v>225.51462446815884</v>
      </c>
      <c r="D3073" s="12">
        <v>86.809961229587884</v>
      </c>
    </row>
    <row r="3074" spans="1:4">
      <c r="A3074">
        <v>3071</v>
      </c>
      <c r="B3074" s="12">
        <v>150.40823615615844</v>
      </c>
      <c r="C3074" s="12">
        <v>150.6033361879187</v>
      </c>
      <c r="D3074" s="12">
        <v>84.34505700529229</v>
      </c>
    </row>
    <row r="3075" spans="1:4">
      <c r="A3075">
        <v>3072</v>
      </c>
      <c r="B3075" s="12">
        <v>188.35223339001683</v>
      </c>
      <c r="C3075" s="12">
        <v>143.11211692952926</v>
      </c>
      <c r="D3075" s="12">
        <v>140.22041080699969</v>
      </c>
    </row>
    <row r="3076" spans="1:4">
      <c r="A3076">
        <v>3073</v>
      </c>
      <c r="B3076" s="12">
        <v>170.60068575727487</v>
      </c>
      <c r="C3076" s="12">
        <v>155.52909671290212</v>
      </c>
      <c r="D3076" s="12">
        <v>85.813658086206672</v>
      </c>
    </row>
    <row r="3077" spans="1:4">
      <c r="A3077">
        <v>3074</v>
      </c>
      <c r="B3077" s="12">
        <v>180.42532006365914</v>
      </c>
      <c r="C3077" s="12">
        <v>154.87721120003113</v>
      </c>
      <c r="D3077" s="12">
        <v>87.9682467376105</v>
      </c>
    </row>
    <row r="3078" spans="1:4">
      <c r="A3078">
        <v>3075</v>
      </c>
      <c r="B3078" s="12">
        <v>170.19752627945962</v>
      </c>
      <c r="C3078" s="12">
        <v>175.50970048316725</v>
      </c>
      <c r="D3078" s="12">
        <v>96.804442029398487</v>
      </c>
    </row>
    <row r="3079" spans="1:4">
      <c r="A3079">
        <v>3076</v>
      </c>
      <c r="B3079" s="12">
        <v>157.1557876215206</v>
      </c>
      <c r="C3079" s="12">
        <v>136.01102173513519</v>
      </c>
      <c r="D3079" s="12">
        <v>151.36412518678466</v>
      </c>
    </row>
    <row r="3080" spans="1:4">
      <c r="A3080">
        <v>3077</v>
      </c>
      <c r="B3080" s="12">
        <v>158.49119707152391</v>
      </c>
      <c r="C3080" s="12">
        <v>188.22957227241031</v>
      </c>
      <c r="D3080" s="12">
        <v>73.992496197658639</v>
      </c>
    </row>
    <row r="3081" spans="1:4">
      <c r="A3081">
        <v>3078</v>
      </c>
      <c r="B3081" s="12">
        <v>153.66561598215739</v>
      </c>
      <c r="C3081" s="12">
        <v>120.11145489643187</v>
      </c>
      <c r="D3081" s="12">
        <v>92.442448133156091</v>
      </c>
    </row>
    <row r="3082" spans="1:4">
      <c r="A3082">
        <v>3079</v>
      </c>
      <c r="B3082" s="12">
        <v>123.36306761409504</v>
      </c>
      <c r="C3082" s="12">
        <v>135.50271174019753</v>
      </c>
      <c r="D3082" s="12">
        <v>114.43515874122861</v>
      </c>
    </row>
    <row r="3083" spans="1:4">
      <c r="A3083">
        <v>3080</v>
      </c>
      <c r="B3083" s="12">
        <v>158.72677784303832</v>
      </c>
      <c r="C3083" s="12">
        <v>149.95913596873029</v>
      </c>
      <c r="D3083" s="12">
        <v>86.537431145087069</v>
      </c>
    </row>
    <row r="3084" spans="1:4">
      <c r="A3084">
        <v>3081</v>
      </c>
      <c r="B3084" s="12">
        <v>176.84346503056489</v>
      </c>
      <c r="C3084" s="12">
        <v>160.89666129661094</v>
      </c>
      <c r="D3084" s="12">
        <v>60.173077561764323</v>
      </c>
    </row>
    <row r="3085" spans="1:4">
      <c r="A3085">
        <v>3082</v>
      </c>
      <c r="B3085" s="12">
        <v>157.52206219545565</v>
      </c>
      <c r="C3085" s="12">
        <v>194.05969917271074</v>
      </c>
      <c r="D3085" s="12">
        <v>61.641634267032281</v>
      </c>
    </row>
    <row r="3086" spans="1:4">
      <c r="A3086">
        <v>3083</v>
      </c>
      <c r="B3086" s="12">
        <v>242.69245268949476</v>
      </c>
      <c r="C3086" s="12">
        <v>134.8711715180425</v>
      </c>
      <c r="D3086" s="12">
        <v>83.129451363742561</v>
      </c>
    </row>
    <row r="3087" spans="1:4">
      <c r="A3087">
        <v>3084</v>
      </c>
      <c r="B3087" s="12">
        <v>165.02845973137633</v>
      </c>
      <c r="C3087" s="12">
        <v>199.23013814242628</v>
      </c>
      <c r="D3087" s="12">
        <v>167.8651696878035</v>
      </c>
    </row>
    <row r="3088" spans="1:4">
      <c r="A3088">
        <v>3085</v>
      </c>
      <c r="B3088" s="12">
        <v>128.49544976702035</v>
      </c>
      <c r="C3088" s="12">
        <v>145.64302285343896</v>
      </c>
      <c r="D3088" s="12">
        <v>82.84170416957042</v>
      </c>
    </row>
    <row r="3089" spans="1:4">
      <c r="A3089">
        <v>3086</v>
      </c>
      <c r="B3089" s="12">
        <v>197.85403635729014</v>
      </c>
      <c r="C3089" s="12">
        <v>128.131762169973</v>
      </c>
      <c r="D3089" s="12">
        <v>98.0474285915531</v>
      </c>
    </row>
    <row r="3090" spans="1:4">
      <c r="A3090">
        <v>3087</v>
      </c>
      <c r="B3090" s="12">
        <v>207.0472448898584</v>
      </c>
      <c r="C3090" s="12">
        <v>138.07246517008224</v>
      </c>
      <c r="D3090" s="12">
        <v>72.724062278148438</v>
      </c>
    </row>
    <row r="3091" spans="1:4">
      <c r="A3091">
        <v>3088</v>
      </c>
      <c r="B3091" s="12">
        <v>222.00084780955785</v>
      </c>
      <c r="C3091" s="12">
        <v>156.68240309598713</v>
      </c>
      <c r="D3091" s="12">
        <v>115.0225207662431</v>
      </c>
    </row>
    <row r="3092" spans="1:4">
      <c r="A3092">
        <v>3089</v>
      </c>
      <c r="B3092" s="12">
        <v>183.7439527455428</v>
      </c>
      <c r="C3092" s="12">
        <v>166.75380839835361</v>
      </c>
      <c r="D3092" s="12">
        <v>122.38373574925917</v>
      </c>
    </row>
    <row r="3093" spans="1:4">
      <c r="A3093">
        <v>3090</v>
      </c>
      <c r="B3093" s="12">
        <v>160.6780570839488</v>
      </c>
      <c r="C3093" s="12">
        <v>146.05412037154076</v>
      </c>
      <c r="D3093" s="12">
        <v>99.204518319358996</v>
      </c>
    </row>
    <row r="3094" spans="1:4">
      <c r="A3094">
        <v>3091</v>
      </c>
      <c r="B3094" s="12">
        <v>116.34005130695262</v>
      </c>
      <c r="C3094" s="12">
        <v>144.30649684094632</v>
      </c>
      <c r="D3094" s="12">
        <v>87.255360496210628</v>
      </c>
    </row>
    <row r="3095" spans="1:4">
      <c r="A3095">
        <v>3092</v>
      </c>
      <c r="B3095" s="12">
        <v>173.44678967364194</v>
      </c>
      <c r="C3095" s="12">
        <v>167.54013711790776</v>
      </c>
      <c r="D3095" s="12">
        <v>119.03907665422335</v>
      </c>
    </row>
    <row r="3096" spans="1:4">
      <c r="A3096">
        <v>3093</v>
      </c>
      <c r="B3096" s="12">
        <v>169.79622003666105</v>
      </c>
      <c r="C3096" s="12">
        <v>121.89082598586975</v>
      </c>
      <c r="D3096" s="12">
        <v>90.349146303547528</v>
      </c>
    </row>
    <row r="3097" spans="1:4">
      <c r="A3097">
        <v>3094</v>
      </c>
      <c r="B3097" s="12">
        <v>135.02886770895978</v>
      </c>
      <c r="C3097" s="12">
        <v>190.70243583010745</v>
      </c>
      <c r="D3097" s="12">
        <v>103.89929813175182</v>
      </c>
    </row>
    <row r="3098" spans="1:4">
      <c r="A3098">
        <v>3095</v>
      </c>
      <c r="B3098" s="12">
        <v>171.93721077194527</v>
      </c>
      <c r="C3098" s="12">
        <v>244.30402553398125</v>
      </c>
      <c r="D3098" s="12">
        <v>103.14460366509387</v>
      </c>
    </row>
    <row r="3099" spans="1:4">
      <c r="A3099">
        <v>3096</v>
      </c>
      <c r="B3099" s="12">
        <v>175.26193622966409</v>
      </c>
      <c r="C3099" s="12">
        <v>189.99321789195301</v>
      </c>
      <c r="D3099" s="12">
        <v>70.790547511717506</v>
      </c>
    </row>
    <row r="3100" spans="1:4">
      <c r="A3100">
        <v>3097</v>
      </c>
      <c r="B3100" s="12">
        <v>162.40905348644819</v>
      </c>
      <c r="C3100" s="12">
        <v>173.56446646193788</v>
      </c>
      <c r="D3100" s="12">
        <v>101.10233890246245</v>
      </c>
    </row>
    <row r="3101" spans="1:4">
      <c r="A3101">
        <v>3098</v>
      </c>
      <c r="B3101" s="12">
        <v>139.39916640071988</v>
      </c>
      <c r="C3101" s="12">
        <v>174.89181249045828</v>
      </c>
      <c r="D3101" s="12">
        <v>80.195493589896586</v>
      </c>
    </row>
    <row r="3102" spans="1:4">
      <c r="A3102">
        <v>3099</v>
      </c>
      <c r="B3102" s="12">
        <v>131.96502179976233</v>
      </c>
      <c r="C3102" s="12">
        <v>170.31996461539012</v>
      </c>
      <c r="D3102" s="12">
        <v>91.217531049424878</v>
      </c>
    </row>
    <row r="3103" spans="1:4">
      <c r="A3103">
        <v>3100</v>
      </c>
      <c r="B3103" s="12">
        <v>182.93927728567056</v>
      </c>
      <c r="C3103" s="12">
        <v>151.00326348108194</v>
      </c>
      <c r="D3103" s="12">
        <v>100.64908708493269</v>
      </c>
    </row>
    <row r="3104" spans="1:4">
      <c r="A3104">
        <v>3101</v>
      </c>
      <c r="B3104" s="12">
        <v>94.359919525711732</v>
      </c>
      <c r="C3104" s="12">
        <v>156.02484649657387</v>
      </c>
      <c r="D3104" s="12">
        <v>117.99287313212454</v>
      </c>
    </row>
    <row r="3105" spans="1:4">
      <c r="A3105">
        <v>3102</v>
      </c>
      <c r="B3105" s="12">
        <v>173.02917725154339</v>
      </c>
      <c r="C3105" s="12">
        <v>206.56073071319676</v>
      </c>
      <c r="D3105" s="12">
        <v>143.1585330645718</v>
      </c>
    </row>
    <row r="3106" spans="1:4">
      <c r="A3106">
        <v>3103</v>
      </c>
      <c r="B3106" s="12">
        <v>148.09811764065907</v>
      </c>
      <c r="C3106" s="12">
        <v>173.92336247774529</v>
      </c>
      <c r="D3106" s="12">
        <v>82.552377368199984</v>
      </c>
    </row>
    <row r="3107" spans="1:4">
      <c r="A3107">
        <v>3104</v>
      </c>
      <c r="B3107" s="12">
        <v>118.99315048127525</v>
      </c>
      <c r="C3107" s="12">
        <v>109.30763956567176</v>
      </c>
      <c r="D3107" s="12">
        <v>82.366188231902328</v>
      </c>
    </row>
    <row r="3108" spans="1:4">
      <c r="A3108">
        <v>3105</v>
      </c>
      <c r="B3108" s="12">
        <v>168.09785397901149</v>
      </c>
      <c r="C3108" s="12">
        <v>182.32629897609118</v>
      </c>
      <c r="D3108" s="12">
        <v>84.063319535928585</v>
      </c>
    </row>
    <row r="3109" spans="1:4">
      <c r="A3109">
        <v>3106</v>
      </c>
      <c r="B3109" s="12">
        <v>103.08366735832651</v>
      </c>
      <c r="C3109" s="12">
        <v>136.31684666551064</v>
      </c>
      <c r="D3109" s="12">
        <v>111.71174727828983</v>
      </c>
    </row>
    <row r="3110" spans="1:4">
      <c r="A3110">
        <v>3107</v>
      </c>
      <c r="B3110" s="12">
        <v>167.70544154764838</v>
      </c>
      <c r="C3110" s="12">
        <v>129.63093128454983</v>
      </c>
      <c r="D3110" s="12">
        <v>76.592574148412083</v>
      </c>
    </row>
    <row r="3111" spans="1:4">
      <c r="A3111">
        <v>3108</v>
      </c>
      <c r="B3111" s="12">
        <v>194.45226538075113</v>
      </c>
      <c r="C3111" s="12">
        <v>134.01545429506749</v>
      </c>
      <c r="D3111" s="12">
        <v>85.360665314815535</v>
      </c>
    </row>
    <row r="3112" spans="1:4">
      <c r="A3112">
        <v>3109</v>
      </c>
      <c r="B3112" s="12">
        <v>156.1902116569002</v>
      </c>
      <c r="C3112" s="12">
        <v>138.36056097609108</v>
      </c>
      <c r="D3112" s="12">
        <v>130.96371702095402</v>
      </c>
    </row>
    <row r="3113" spans="1:4">
      <c r="A3113">
        <v>3110</v>
      </c>
      <c r="B3113" s="12">
        <v>99.102750174605447</v>
      </c>
      <c r="C3113" s="12">
        <v>114.39182340918485</v>
      </c>
      <c r="D3113" s="12">
        <v>197.04964803944128</v>
      </c>
    </row>
    <row r="3114" spans="1:4">
      <c r="A3114">
        <v>3111</v>
      </c>
      <c r="B3114" s="12">
        <v>119.43024544612641</v>
      </c>
      <c r="C3114" s="12">
        <v>157.34386951354421</v>
      </c>
      <c r="D3114" s="12">
        <v>112.2615554318501</v>
      </c>
    </row>
    <row r="3115" spans="1:4">
      <c r="A3115">
        <v>3112</v>
      </c>
      <c r="B3115" s="12">
        <v>197.18819592200788</v>
      </c>
      <c r="C3115" s="12">
        <v>148.42167972546713</v>
      </c>
      <c r="D3115" s="12">
        <v>109.9862908983372</v>
      </c>
    </row>
    <row r="3116" spans="1:4">
      <c r="A3116">
        <v>3113</v>
      </c>
      <c r="B3116" s="12">
        <v>174.13700038027346</v>
      </c>
      <c r="C3116" s="12">
        <v>196.46494793965775</v>
      </c>
      <c r="D3116" s="12">
        <v>49.606415387082848</v>
      </c>
    </row>
    <row r="3117" spans="1:4">
      <c r="A3117">
        <v>3114</v>
      </c>
      <c r="B3117" s="12">
        <v>113.31277734016595</v>
      </c>
      <c r="C3117" s="12">
        <v>189.30765522440737</v>
      </c>
      <c r="D3117" s="12">
        <v>91.914836620784627</v>
      </c>
    </row>
    <row r="3118" spans="1:4">
      <c r="A3118">
        <v>3115</v>
      </c>
      <c r="B3118" s="12">
        <v>179.20808341644118</v>
      </c>
      <c r="C3118" s="12">
        <v>156.8424829635558</v>
      </c>
      <c r="D3118" s="12">
        <v>81.294115750292363</v>
      </c>
    </row>
    <row r="3119" spans="1:4">
      <c r="A3119">
        <v>3116</v>
      </c>
      <c r="B3119" s="12">
        <v>210.29874315468243</v>
      </c>
      <c r="C3119" s="12">
        <v>193.22259404914504</v>
      </c>
      <c r="D3119" s="12">
        <v>87.698814164436314</v>
      </c>
    </row>
    <row r="3120" spans="1:4">
      <c r="A3120">
        <v>3117</v>
      </c>
      <c r="B3120" s="12">
        <v>207.91119625219824</v>
      </c>
      <c r="C3120" s="12">
        <v>201.19146914271872</v>
      </c>
      <c r="D3120" s="12">
        <v>80.995170576230791</v>
      </c>
    </row>
    <row r="3121" spans="1:4">
      <c r="A3121">
        <v>3118</v>
      </c>
      <c r="B3121" s="12">
        <v>128.17494940456842</v>
      </c>
      <c r="C3121" s="12">
        <v>179.1291071635217</v>
      </c>
      <c r="D3121" s="12">
        <v>68.316671827368438</v>
      </c>
    </row>
    <row r="3122" spans="1:4">
      <c r="A3122">
        <v>3119</v>
      </c>
      <c r="B3122" s="12">
        <v>168.49183922536955</v>
      </c>
      <c r="C3122" s="12">
        <v>159.52189579281344</v>
      </c>
      <c r="D3122" s="12">
        <v>70.058386686438268</v>
      </c>
    </row>
    <row r="3123" spans="1:4">
      <c r="A3123">
        <v>3120</v>
      </c>
      <c r="B3123" s="12">
        <v>139.79836904797068</v>
      </c>
      <c r="C3123" s="12">
        <v>155.12375970010882</v>
      </c>
      <c r="D3123" s="12">
        <v>62.447919847103151</v>
      </c>
    </row>
    <row r="3124" spans="1:4">
      <c r="A3124">
        <v>3121</v>
      </c>
      <c r="B3124" s="12">
        <v>154.62812808017941</v>
      </c>
      <c r="C3124" s="12">
        <v>112.19807302057177</v>
      </c>
      <c r="D3124" s="12">
        <v>98.759784832851196</v>
      </c>
    </row>
    <row r="3125" spans="1:4">
      <c r="A3125">
        <v>3122</v>
      </c>
      <c r="B3125" s="12">
        <v>200.83585903661228</v>
      </c>
      <c r="C3125" s="12">
        <v>144.46978866652773</v>
      </c>
      <c r="D3125" s="12">
        <v>129.44149438355743</v>
      </c>
    </row>
    <row r="3126" spans="1:4">
      <c r="A3126">
        <v>3123</v>
      </c>
      <c r="B3126" s="12">
        <v>110.77673048120667</v>
      </c>
      <c r="C3126" s="12">
        <v>195.51757456796543</v>
      </c>
      <c r="D3126" s="12">
        <v>85.53785589501075</v>
      </c>
    </row>
    <row r="3127" spans="1:4">
      <c r="A3127">
        <v>3124</v>
      </c>
      <c r="B3127" s="12">
        <v>241.01147228840316</v>
      </c>
      <c r="C3127" s="12">
        <v>148.91227818963381</v>
      </c>
      <c r="D3127" s="12">
        <v>68.813164471804996</v>
      </c>
    </row>
    <row r="3128" spans="1:4">
      <c r="A3128">
        <v>3125</v>
      </c>
      <c r="B3128" s="12">
        <v>142.89359067973592</v>
      </c>
      <c r="C3128" s="12">
        <v>149.31389866864555</v>
      </c>
      <c r="D3128" s="12">
        <v>88.676837290905155</v>
      </c>
    </row>
    <row r="3129" spans="1:4">
      <c r="A3129">
        <v>3126</v>
      </c>
      <c r="B3129" s="12">
        <v>167.0649483693966</v>
      </c>
      <c r="C3129" s="12">
        <v>186.60129005970171</v>
      </c>
      <c r="D3129" s="12">
        <v>76.809831985536917</v>
      </c>
    </row>
    <row r="3130" spans="1:4">
      <c r="A3130">
        <v>3127</v>
      </c>
      <c r="B3130" s="12">
        <v>144.90339679393642</v>
      </c>
      <c r="C3130" s="12">
        <v>145.39155393241563</v>
      </c>
      <c r="D3130" s="12">
        <v>101.37977616507979</v>
      </c>
    </row>
    <row r="3131" spans="1:4">
      <c r="A3131">
        <v>3128</v>
      </c>
      <c r="B3131" s="12">
        <v>254.93431948059302</v>
      </c>
      <c r="C3131" s="12">
        <v>186.0150917148342</v>
      </c>
      <c r="D3131" s="12">
        <v>96.101343214162881</v>
      </c>
    </row>
    <row r="3132" spans="1:4">
      <c r="A3132">
        <v>3129</v>
      </c>
      <c r="B3132" s="12">
        <v>160.07002168978204</v>
      </c>
      <c r="C3132" s="12">
        <v>127.41596550083017</v>
      </c>
      <c r="D3132" s="12">
        <v>81.5910619299312</v>
      </c>
    </row>
    <row r="3133" spans="1:4">
      <c r="A3133">
        <v>3130</v>
      </c>
      <c r="B3133" s="12">
        <v>171.26624912495132</v>
      </c>
      <c r="C3133" s="12">
        <v>172.63604489708305</v>
      </c>
      <c r="D3133" s="12">
        <v>103.32693107510715</v>
      </c>
    </row>
    <row r="3134" spans="1:4">
      <c r="A3134">
        <v>3131</v>
      </c>
      <c r="B3134" s="12">
        <v>128.99034034817885</v>
      </c>
      <c r="C3134" s="12">
        <v>122.50831220196562</v>
      </c>
      <c r="D3134" s="12">
        <v>67.990491013582542</v>
      </c>
    </row>
    <row r="3135" spans="1:4">
      <c r="A3135">
        <v>3132</v>
      </c>
      <c r="B3135" s="12">
        <v>110.1033007131244</v>
      </c>
      <c r="C3135" s="12">
        <v>131.02818907362709</v>
      </c>
      <c r="D3135" s="12">
        <v>132.57421853339434</v>
      </c>
    </row>
    <row r="3136" spans="1:4">
      <c r="A3136">
        <v>3133</v>
      </c>
      <c r="B3136" s="12">
        <v>263.09991837512581</v>
      </c>
      <c r="C3136" s="12">
        <v>129.23027173886277</v>
      </c>
      <c r="D3136" s="12">
        <v>95.931165136550064</v>
      </c>
    </row>
    <row r="3137" spans="1:4">
      <c r="A3137">
        <v>3134</v>
      </c>
      <c r="B3137" s="12">
        <v>238.57446585698835</v>
      </c>
      <c r="C3137" s="12">
        <v>198.13280208243847</v>
      </c>
      <c r="D3137" s="12">
        <v>83.31296769745363</v>
      </c>
    </row>
    <row r="3138" spans="1:4">
      <c r="A3138">
        <v>3135</v>
      </c>
      <c r="B3138" s="12">
        <v>112.7287939005184</v>
      </c>
      <c r="C3138" s="12">
        <v>127.85555142309161</v>
      </c>
      <c r="D3138" s="12">
        <v>155.25768408869791</v>
      </c>
    </row>
    <row r="3139" spans="1:4">
      <c r="A3139">
        <v>3136</v>
      </c>
      <c r="B3139" s="12">
        <v>155.59123247423167</v>
      </c>
      <c r="C3139" s="12">
        <v>220.39627754860632</v>
      </c>
      <c r="D3139" s="12">
        <v>105.43494641698598</v>
      </c>
    </row>
    <row r="3140" spans="1:4">
      <c r="A3140">
        <v>3137</v>
      </c>
      <c r="B3140" s="12">
        <v>165.65719151062223</v>
      </c>
      <c r="C3140" s="12">
        <v>135.18863355133107</v>
      </c>
      <c r="D3140" s="12">
        <v>166.07810449588152</v>
      </c>
    </row>
    <row r="3141" spans="1:4">
      <c r="A3141">
        <v>3138</v>
      </c>
      <c r="B3141" s="12">
        <v>149.80678812221231</v>
      </c>
      <c r="C3141" s="12">
        <v>134.34262138853558</v>
      </c>
      <c r="D3141" s="12">
        <v>46.2334261772098</v>
      </c>
    </row>
    <row r="3142" spans="1:4">
      <c r="A3142">
        <v>3139</v>
      </c>
      <c r="B3142" s="12">
        <v>140.84265063535014</v>
      </c>
      <c r="C3142" s="12">
        <v>153.17937940129278</v>
      </c>
      <c r="D3142" s="12">
        <v>74.365686485021826</v>
      </c>
    </row>
    <row r="3143" spans="1:4">
      <c r="A3143">
        <v>3140</v>
      </c>
      <c r="B3143" s="12">
        <v>125.41418267289782</v>
      </c>
      <c r="C3143" s="12">
        <v>187.20359187498144</v>
      </c>
      <c r="D3143" s="12">
        <v>138.58701973223441</v>
      </c>
    </row>
    <row r="3144" spans="1:4">
      <c r="A3144">
        <v>3141</v>
      </c>
      <c r="B3144" s="12">
        <v>153.89908611005654</v>
      </c>
      <c r="C3144" s="12">
        <v>159.78016016377686</v>
      </c>
      <c r="D3144" s="12">
        <v>127.46778676696438</v>
      </c>
    </row>
    <row r="3145" spans="1:4">
      <c r="A3145">
        <v>3142</v>
      </c>
      <c r="B3145" s="12">
        <v>149.07186103624062</v>
      </c>
      <c r="C3145" s="12">
        <v>171.1849817386458</v>
      </c>
      <c r="D3145" s="12">
        <v>89.115224480399689</v>
      </c>
    </row>
    <row r="3146" spans="1:4">
      <c r="A3146">
        <v>3143</v>
      </c>
      <c r="B3146" s="12">
        <v>196.11860588136773</v>
      </c>
      <c r="C3146" s="12">
        <v>131.26505035914889</v>
      </c>
      <c r="D3146" s="12">
        <v>91.745776414814941</v>
      </c>
    </row>
    <row r="3147" spans="1:4">
      <c r="A3147">
        <v>3144</v>
      </c>
      <c r="B3147" s="12">
        <v>127.66886377375361</v>
      </c>
      <c r="C3147" s="12">
        <v>126.67087734807801</v>
      </c>
      <c r="D3147" s="12">
        <v>174.7218156021199</v>
      </c>
    </row>
    <row r="3148" spans="1:4">
      <c r="A3148">
        <v>3145</v>
      </c>
      <c r="B3148" s="12">
        <v>146.88148485653576</v>
      </c>
      <c r="C3148" s="12">
        <v>141.28620271193543</v>
      </c>
      <c r="D3148" s="12">
        <v>116.35849464486435</v>
      </c>
    </row>
    <row r="3149" spans="1:4">
      <c r="A3149">
        <v>3146</v>
      </c>
      <c r="B3149" s="12">
        <v>152.93654215790775</v>
      </c>
      <c r="C3149" s="12">
        <v>161.86142856353464</v>
      </c>
      <c r="D3149" s="12">
        <v>116.97626152838836</v>
      </c>
    </row>
    <row r="3150" spans="1:4">
      <c r="A3150">
        <v>3147</v>
      </c>
      <c r="B3150" s="12">
        <v>176.40533274969735</v>
      </c>
      <c r="C3150" s="12">
        <v>185.085657137732</v>
      </c>
      <c r="D3150" s="12">
        <v>79.379390635652229</v>
      </c>
    </row>
    <row r="3151" spans="1:4">
      <c r="A3151">
        <v>3148</v>
      </c>
      <c r="B3151" s="12">
        <v>135.45662245290637</v>
      </c>
      <c r="C3151" s="12">
        <v>163.28983210301695</v>
      </c>
      <c r="D3151" s="12">
        <v>111.37994821723544</v>
      </c>
    </row>
    <row r="3152" spans="1:4">
      <c r="A3152">
        <v>3149</v>
      </c>
      <c r="B3152" s="12">
        <v>202.7947689395447</v>
      </c>
      <c r="C3152" s="12">
        <v>142.42247252972922</v>
      </c>
      <c r="D3152" s="12">
        <v>148.04439516986255</v>
      </c>
    </row>
    <row r="3153" spans="1:4">
      <c r="A3153">
        <v>3150</v>
      </c>
      <c r="B3153" s="12">
        <v>161.42195650764086</v>
      </c>
      <c r="C3153" s="12">
        <v>176.53269838822337</v>
      </c>
      <c r="D3153" s="12">
        <v>94.701796516823663</v>
      </c>
    </row>
    <row r="3154" spans="1:4">
      <c r="A3154">
        <v>3151</v>
      </c>
      <c r="B3154" s="12">
        <v>166.04210582909423</v>
      </c>
      <c r="C3154" s="12">
        <v>191.92260213459602</v>
      </c>
      <c r="D3154" s="12">
        <v>66.925909752978683</v>
      </c>
    </row>
    <row r="3155" spans="1:4">
      <c r="A3155">
        <v>3152</v>
      </c>
      <c r="B3155" s="12">
        <v>208.47574512395011</v>
      </c>
      <c r="C3155" s="12">
        <v>153.58065345327861</v>
      </c>
      <c r="D3155" s="12">
        <v>92.178682419181385</v>
      </c>
    </row>
    <row r="3156" spans="1:4">
      <c r="A3156">
        <v>3153</v>
      </c>
      <c r="B3156" s="12">
        <v>152.33822438971339</v>
      </c>
      <c r="C3156" s="12">
        <v>146.71236698807883</v>
      </c>
      <c r="D3156" s="12">
        <v>97.071442326645084</v>
      </c>
    </row>
    <row r="3157" spans="1:4">
      <c r="A3157">
        <v>3154</v>
      </c>
      <c r="B3157" s="12">
        <v>130.26732712278715</v>
      </c>
      <c r="C3157" s="12">
        <v>116.54668117928213</v>
      </c>
      <c r="D3157" s="12">
        <v>77.478171703700497</v>
      </c>
    </row>
    <row r="3158" spans="1:4">
      <c r="A3158">
        <v>3155</v>
      </c>
      <c r="B3158" s="12">
        <v>189.8029421945412</v>
      </c>
      <c r="C3158" s="12">
        <v>141.01718495206026</v>
      </c>
      <c r="D3158" s="12">
        <v>190.23556598002079</v>
      </c>
    </row>
    <row r="3159" spans="1:4">
      <c r="A3159">
        <v>3156</v>
      </c>
      <c r="B3159" s="12">
        <v>143.90301353654678</v>
      </c>
      <c r="C3159" s="12">
        <v>147.36690207392741</v>
      </c>
      <c r="D3159" s="12">
        <v>94.966264747651778</v>
      </c>
    </row>
    <row r="3160" spans="1:4">
      <c r="A3160">
        <v>3157</v>
      </c>
      <c r="B3160" s="12">
        <v>140.44878486580367</v>
      </c>
      <c r="C3160" s="12">
        <v>172.07245216969781</v>
      </c>
      <c r="D3160" s="12">
        <v>86.984108669885273</v>
      </c>
    </row>
    <row r="3161" spans="1:4">
      <c r="A3161">
        <v>3158</v>
      </c>
      <c r="B3161" s="12">
        <v>215.63441580515232</v>
      </c>
      <c r="C3161" s="12">
        <v>160.72842889340538</v>
      </c>
      <c r="D3161" s="12">
        <v>100.37391041214882</v>
      </c>
    </row>
    <row r="3162" spans="1:4">
      <c r="A3162">
        <v>3159</v>
      </c>
      <c r="B3162" s="12">
        <v>142.50870308240451</v>
      </c>
      <c r="C3162" s="12">
        <v>167.04984865915816</v>
      </c>
      <c r="D3162" s="12">
        <v>99.651057479833227</v>
      </c>
    </row>
    <row r="3163" spans="1:4">
      <c r="A3163">
        <v>3160</v>
      </c>
      <c r="B3163" s="12">
        <v>145.52087218350556</v>
      </c>
      <c r="C3163" s="12">
        <v>160.46664295312928</v>
      </c>
      <c r="D3163" s="12">
        <v>123.57876759952816</v>
      </c>
    </row>
    <row r="3164" spans="1:4">
      <c r="A3164">
        <v>3161</v>
      </c>
      <c r="B3164" s="12">
        <v>157.75687846128591</v>
      </c>
      <c r="C3164" s="12">
        <v>151.89056300472609</v>
      </c>
      <c r="D3164" s="12">
        <v>79.690516692179642</v>
      </c>
    </row>
    <row r="3165" spans="1:4">
      <c r="A3165">
        <v>3162</v>
      </c>
      <c r="B3165" s="12">
        <v>230.00198184724036</v>
      </c>
      <c r="C3165" s="12">
        <v>152.77861922477931</v>
      </c>
      <c r="D3165" s="12">
        <v>139.3903921091856</v>
      </c>
    </row>
    <row r="3166" spans="1:4">
      <c r="A3166">
        <v>3163</v>
      </c>
      <c r="B3166" s="12">
        <v>125.76143686126142</v>
      </c>
      <c r="C3166" s="12">
        <v>149.55841000935661</v>
      </c>
      <c r="D3166" s="12">
        <v>64.343118699424352</v>
      </c>
    </row>
    <row r="3167" spans="1:4">
      <c r="A3167">
        <v>3164</v>
      </c>
      <c r="B3167" s="12">
        <v>151.73946235326156</v>
      </c>
      <c r="C3167" s="12">
        <v>128.55510095677087</v>
      </c>
      <c r="D3167" s="12">
        <v>79.178714848564482</v>
      </c>
    </row>
    <row r="3168" spans="1:4">
      <c r="A3168">
        <v>3165</v>
      </c>
      <c r="B3168" s="12">
        <v>181.66834950134552</v>
      </c>
      <c r="C3168" s="12">
        <v>152.93504009909381</v>
      </c>
      <c r="D3168" s="12">
        <v>94.268335248632013</v>
      </c>
    </row>
    <row r="3169" spans="1:4">
      <c r="A3169">
        <v>3166</v>
      </c>
      <c r="B3169" s="12">
        <v>143.52186204595756</v>
      </c>
      <c r="C3169" s="12">
        <v>164.75790006852807</v>
      </c>
      <c r="D3169" s="12">
        <v>106.40872640017895</v>
      </c>
    </row>
    <row r="3170" spans="1:4">
      <c r="A3170">
        <v>3167</v>
      </c>
      <c r="B3170" s="12">
        <v>105.63675188511793</v>
      </c>
      <c r="C3170" s="12">
        <v>152.13437084968785</v>
      </c>
      <c r="D3170" s="12">
        <v>146.9024079906232</v>
      </c>
    </row>
    <row r="3171" spans="1:4">
      <c r="A3171">
        <v>3168</v>
      </c>
      <c r="B3171" s="12">
        <v>107.80723798742652</v>
      </c>
      <c r="C3171" s="12">
        <v>204.90686499943962</v>
      </c>
      <c r="D3171" s="12">
        <v>78.544761548118558</v>
      </c>
    </row>
    <row r="3172" spans="1:4">
      <c r="A3172">
        <v>3169</v>
      </c>
      <c r="B3172" s="12">
        <v>138.73948056258601</v>
      </c>
      <c r="C3172" s="12">
        <v>157.09287325264191</v>
      </c>
      <c r="D3172" s="12">
        <v>153.70206912453992</v>
      </c>
    </row>
    <row r="3173" spans="1:4">
      <c r="A3173">
        <v>3170</v>
      </c>
      <c r="B3173" s="12">
        <v>250.97801829679818</v>
      </c>
      <c r="C3173" s="12">
        <v>132.21654215492339</v>
      </c>
      <c r="D3173" s="12">
        <v>89.648023772555234</v>
      </c>
    </row>
    <row r="3174" spans="1:4">
      <c r="A3174">
        <v>3171</v>
      </c>
      <c r="B3174" s="12">
        <v>138.33429863779406</v>
      </c>
      <c r="C3174" s="12">
        <v>178.00713206368479</v>
      </c>
      <c r="D3174" s="12">
        <v>71.913193778316526</v>
      </c>
    </row>
    <row r="3175" spans="1:4">
      <c r="A3175">
        <v>3172</v>
      </c>
      <c r="B3175" s="12">
        <v>159.46375066250971</v>
      </c>
      <c r="C3175" s="12">
        <v>183.66522741947594</v>
      </c>
      <c r="D3175" s="12">
        <v>81.780258448449388</v>
      </c>
    </row>
    <row r="3176" spans="1:4">
      <c r="A3176">
        <v>3173</v>
      </c>
      <c r="B3176" s="12">
        <v>123.94052126594413</v>
      </c>
      <c r="C3176" s="12">
        <v>192.70474007322747</v>
      </c>
      <c r="D3176" s="12">
        <v>101.65812727634757</v>
      </c>
    </row>
    <row r="3177" spans="1:4">
      <c r="A3177">
        <v>3174</v>
      </c>
      <c r="B3177" s="12">
        <v>182.45453956419564</v>
      </c>
      <c r="C3177" s="12">
        <v>169.16076682045997</v>
      </c>
      <c r="D3177" s="12">
        <v>113.16153338029078</v>
      </c>
    </row>
    <row r="3178" spans="1:4">
      <c r="A3178">
        <v>3175</v>
      </c>
      <c r="B3178" s="12">
        <v>192.25550540124138</v>
      </c>
      <c r="C3178" s="12">
        <v>154.22788774021367</v>
      </c>
      <c r="D3178" s="12">
        <v>90.083900355146483</v>
      </c>
    </row>
    <row r="3179" spans="1:4">
      <c r="A3179">
        <v>3176</v>
      </c>
      <c r="B3179" s="12">
        <v>161.04962717678103</v>
      </c>
      <c r="C3179" s="12">
        <v>123.46704626013559</v>
      </c>
      <c r="D3179" s="12">
        <v>88.237063681284894</v>
      </c>
    </row>
    <row r="3180" spans="1:4">
      <c r="A3180">
        <v>3177</v>
      </c>
      <c r="B3180" s="12">
        <v>144.52553134853605</v>
      </c>
      <c r="C3180" s="12">
        <v>162.57106842156833</v>
      </c>
      <c r="D3180" s="12">
        <v>114.08132723197362</v>
      </c>
    </row>
    <row r="3181" spans="1:4">
      <c r="A3181">
        <v>3178</v>
      </c>
      <c r="B3181" s="12">
        <v>187.81409672071717</v>
      </c>
      <c r="C3181" s="12">
        <v>160.20586876711127</v>
      </c>
      <c r="D3181" s="12">
        <v>65.99211528811577</v>
      </c>
    </row>
    <row r="3182" spans="1:4">
      <c r="A3182">
        <v>3179</v>
      </c>
      <c r="B3182" s="12">
        <v>148.83603665619191</v>
      </c>
      <c r="C3182" s="12">
        <v>136.81236432747036</v>
      </c>
      <c r="D3182" s="12">
        <v>142.55645998585899</v>
      </c>
    </row>
    <row r="3183" spans="1:4">
      <c r="A3183">
        <v>3180</v>
      </c>
      <c r="B3183" s="12">
        <v>167.45488829020314</v>
      </c>
      <c r="C3183" s="12">
        <v>161.5949101015064</v>
      </c>
      <c r="D3183" s="12">
        <v>218.32280902851753</v>
      </c>
    </row>
    <row r="3184" spans="1:4">
      <c r="A3184">
        <v>3181</v>
      </c>
      <c r="B3184" s="12">
        <v>166.42833875866654</v>
      </c>
      <c r="C3184" s="12">
        <v>163.74132822158651</v>
      </c>
      <c r="D3184" s="12">
        <v>141.64538546826373</v>
      </c>
    </row>
    <row r="3185" spans="1:4">
      <c r="A3185">
        <v>3182</v>
      </c>
      <c r="B3185" s="12">
        <v>121.15522901275499</v>
      </c>
      <c r="C3185" s="12">
        <v>155.37070150098256</v>
      </c>
      <c r="D3185" s="12">
        <v>121.23129359718183</v>
      </c>
    </row>
    <row r="3186" spans="1:4">
      <c r="A3186">
        <v>3183</v>
      </c>
      <c r="B3186" s="12">
        <v>163.64448476499967</v>
      </c>
      <c r="C3186" s="12">
        <v>139.84797881881326</v>
      </c>
      <c r="D3186" s="12">
        <v>122.83106801786909</v>
      </c>
    </row>
    <row r="3187" spans="1:4">
      <c r="A3187">
        <v>3184</v>
      </c>
      <c r="B3187" s="12">
        <v>134.59767676475096</v>
      </c>
      <c r="C3187" s="12">
        <v>134.66597466679502</v>
      </c>
      <c r="D3187" s="12">
        <v>117.35793880977486</v>
      </c>
    </row>
    <row r="3188" spans="1:4">
      <c r="A3188">
        <v>3185</v>
      </c>
      <c r="B3188" s="12">
        <v>150.04175723588529</v>
      </c>
      <c r="C3188" s="12">
        <v>168.65002506288357</v>
      </c>
      <c r="D3188" s="12">
        <v>95.400632257858689</v>
      </c>
    </row>
    <row r="3189" spans="1:4">
      <c r="A3189">
        <v>3186</v>
      </c>
      <c r="B3189" s="12">
        <v>163.02545952107715</v>
      </c>
      <c r="C3189" s="12">
        <v>106.87972539602566</v>
      </c>
      <c r="D3189" s="12">
        <v>100.92509414015615</v>
      </c>
    </row>
    <row r="3190" spans="1:4">
      <c r="A3190">
        <v>3187</v>
      </c>
      <c r="B3190" s="12">
        <v>186.42084219277643</v>
      </c>
      <c r="C3190" s="12">
        <v>162.30128768637783</v>
      </c>
      <c r="D3190" s="12">
        <v>163.56240748846645</v>
      </c>
    </row>
    <row r="3191" spans="1:4">
      <c r="A3191">
        <v>3188</v>
      </c>
      <c r="B3191" s="12">
        <v>219.43933720420918</v>
      </c>
      <c r="C3191" s="12">
        <v>145.80374187273665</v>
      </c>
      <c r="D3191" s="12">
        <v>121.66298382538325</v>
      </c>
    </row>
    <row r="3192" spans="1:4">
      <c r="A3192">
        <v>3189</v>
      </c>
      <c r="B3192" s="12">
        <v>137.92667028030783</v>
      </c>
      <c r="C3192" s="12">
        <v>125.40010609694481</v>
      </c>
      <c r="D3192" s="12">
        <v>54.709621903623677</v>
      </c>
    </row>
    <row r="3193" spans="1:4">
      <c r="A3193">
        <v>3190</v>
      </c>
      <c r="B3193" s="12">
        <v>137.66423286658761</v>
      </c>
      <c r="C3193" s="12">
        <v>159.1001174112221</v>
      </c>
      <c r="D3193" s="12">
        <v>131.95313477655978</v>
      </c>
    </row>
    <row r="3194" spans="1:4">
      <c r="A3194">
        <v>3191</v>
      </c>
      <c r="B3194" s="12">
        <v>140.05296950140928</v>
      </c>
      <c r="C3194" s="12">
        <v>113.59342819652991</v>
      </c>
      <c r="D3194" s="12">
        <v>79.999107751101519</v>
      </c>
    </row>
    <row r="3195" spans="1:4">
      <c r="A3195">
        <v>3192</v>
      </c>
      <c r="B3195" s="12">
        <v>178.01471842991819</v>
      </c>
      <c r="C3195" s="12">
        <v>158.84413704239643</v>
      </c>
      <c r="D3195" s="12">
        <v>73.367159093475479</v>
      </c>
    </row>
    <row r="3196" spans="1:4">
      <c r="A3196">
        <v>3193</v>
      </c>
      <c r="B3196" s="12">
        <v>129.47886155359612</v>
      </c>
      <c r="C3196" s="12">
        <v>175.89284568023362</v>
      </c>
      <c r="D3196" s="12">
        <v>77.689183184724882</v>
      </c>
    </row>
    <row r="3197" spans="1:4">
      <c r="A3197">
        <v>3194</v>
      </c>
      <c r="B3197" s="12">
        <v>141.87391024951779</v>
      </c>
      <c r="C3197" s="12">
        <v>151.24698599481326</v>
      </c>
      <c r="D3197" s="12">
        <v>82.074111988954257</v>
      </c>
    </row>
    <row r="3198" spans="1:4">
      <c r="A3198">
        <v>3195</v>
      </c>
      <c r="B3198" s="12">
        <v>203.56362866540184</v>
      </c>
      <c r="C3198" s="12">
        <v>110.55261666636234</v>
      </c>
      <c r="D3198" s="12">
        <v>59.161566258432011</v>
      </c>
    </row>
    <row r="3199" spans="1:4">
      <c r="A3199">
        <v>3196</v>
      </c>
      <c r="B3199" s="12">
        <v>287.31266629273097</v>
      </c>
      <c r="C3199" s="12">
        <v>125.71728314254862</v>
      </c>
      <c r="D3199" s="12">
        <v>102.39775960064463</v>
      </c>
    </row>
    <row r="3200" spans="1:4">
      <c r="A3200">
        <v>3197</v>
      </c>
      <c r="B3200" s="12">
        <v>178.75343405033178</v>
      </c>
      <c r="C3200" s="12">
        <v>177.59419107302594</v>
      </c>
      <c r="D3200" s="12">
        <v>92.611372764978697</v>
      </c>
    </row>
    <row r="3201" spans="1:4">
      <c r="A3201">
        <v>3198</v>
      </c>
      <c r="B3201" s="12">
        <v>175.69270424742609</v>
      </c>
      <c r="C3201" s="12">
        <v>163.01650725213381</v>
      </c>
      <c r="D3201" s="12">
        <v>150.04952681442001</v>
      </c>
    </row>
    <row r="3202" spans="1:4">
      <c r="A3202">
        <v>3199</v>
      </c>
      <c r="B3202" s="12">
        <v>89.758773810554047</v>
      </c>
      <c r="C3202" s="12">
        <v>121.24452755519613</v>
      </c>
      <c r="D3202" s="12">
        <v>140.76702583756605</v>
      </c>
    </row>
    <row r="3203" spans="1:4">
      <c r="A3203">
        <v>3200</v>
      </c>
      <c r="B3203" s="12">
        <v>151.00864010271195</v>
      </c>
      <c r="C3203" s="12">
        <v>166.27256746446139</v>
      </c>
      <c r="D3203" s="12">
        <v>101.83691786785434</v>
      </c>
    </row>
    <row r="3204" spans="1:4">
      <c r="A3204">
        <v>3201</v>
      </c>
      <c r="B3204" s="12">
        <v>136.15131025403602</v>
      </c>
      <c r="C3204" s="12">
        <v>185.6475944111391</v>
      </c>
      <c r="D3204" s="12">
        <v>145.81366892385947</v>
      </c>
    </row>
    <row r="3205" spans="1:4">
      <c r="A3205">
        <v>3202</v>
      </c>
      <c r="B3205" s="12">
        <v>145.14483595401705</v>
      </c>
      <c r="C3205" s="12">
        <v>184.19289832135087</v>
      </c>
      <c r="D3205" s="12">
        <v>156.31506347312032</v>
      </c>
    </row>
    <row r="3206" spans="1:4">
      <c r="A3206">
        <v>3203</v>
      </c>
      <c r="B3206" s="12">
        <v>135.72887959366361</v>
      </c>
      <c r="C3206" s="12">
        <v>131.98924554582658</v>
      </c>
      <c r="D3206" s="12">
        <v>127.99666868855921</v>
      </c>
    </row>
    <row r="3207" spans="1:4">
      <c r="A3207">
        <v>3204</v>
      </c>
      <c r="B3207" s="12">
        <v>117.57407356498119</v>
      </c>
      <c r="C3207" s="12">
        <v>159.35693685186871</v>
      </c>
      <c r="D3207" s="12">
        <v>104.84901384551551</v>
      </c>
    </row>
    <row r="3208" spans="1:4">
      <c r="A3208">
        <v>3205</v>
      </c>
      <c r="B3208" s="12">
        <v>120.09743234648855</v>
      </c>
      <c r="C3208" s="12">
        <v>140.12377864198771</v>
      </c>
      <c r="D3208" s="12">
        <v>99.924189114627012</v>
      </c>
    </row>
    <row r="3209" spans="1:4">
      <c r="A3209">
        <v>3206</v>
      </c>
      <c r="B3209" s="12">
        <v>108.99545601212635</v>
      </c>
      <c r="C3209" s="12">
        <v>150.20319661346593</v>
      </c>
      <c r="D3209" s="12">
        <v>57.222732150781681</v>
      </c>
    </row>
    <row r="3210" spans="1:4">
      <c r="A3210">
        <v>3207</v>
      </c>
      <c r="B3210" s="12">
        <v>160.44043161036439</v>
      </c>
      <c r="C3210" s="12">
        <v>179.85112670811537</v>
      </c>
      <c r="D3210" s="12">
        <v>88.408946655220987</v>
      </c>
    </row>
    <row r="3211" spans="1:4">
      <c r="A3211">
        <v>3208</v>
      </c>
      <c r="B3211" s="12">
        <v>201.5660677126144</v>
      </c>
      <c r="C3211" s="12">
        <v>119.36840060489656</v>
      </c>
      <c r="D3211" s="12">
        <v>148.80661249307974</v>
      </c>
    </row>
    <row r="3212" spans="1:4">
      <c r="A3212">
        <v>3209</v>
      </c>
      <c r="B3212" s="12">
        <v>142.12227554273213</v>
      </c>
      <c r="C3212" s="12">
        <v>203.9279845884852</v>
      </c>
      <c r="D3212" s="12">
        <v>93.138768058152635</v>
      </c>
    </row>
    <row r="3213" spans="1:4">
      <c r="A3213">
        <v>3210</v>
      </c>
      <c r="B3213" s="12">
        <v>118.29439664199685</v>
      </c>
      <c r="C3213" s="12">
        <v>142.25395535968434</v>
      </c>
      <c r="D3213" s="12">
        <v>93.57144509517984</v>
      </c>
    </row>
    <row r="3214" spans="1:4">
      <c r="A3214">
        <v>3211</v>
      </c>
      <c r="B3214" s="12">
        <v>146.50896497351872</v>
      </c>
      <c r="C3214" s="12">
        <v>158.42592684615281</v>
      </c>
      <c r="D3214" s="12">
        <v>137.32194840477607</v>
      </c>
    </row>
    <row r="3215" spans="1:4">
      <c r="A3215">
        <v>3212</v>
      </c>
      <c r="B3215" s="12">
        <v>129.78858021651246</v>
      </c>
      <c r="C3215" s="12">
        <v>143.62944823252795</v>
      </c>
      <c r="D3215" s="12">
        <v>89.381834111835872</v>
      </c>
    </row>
    <row r="3216" spans="1:4">
      <c r="A3216">
        <v>3213</v>
      </c>
      <c r="B3216" s="12">
        <v>164.02317823252551</v>
      </c>
      <c r="C3216" s="12">
        <v>211.9732765037518</v>
      </c>
      <c r="D3216" s="12">
        <v>136.58046063642931</v>
      </c>
    </row>
    <row r="3217" spans="1:4">
      <c r="A3217">
        <v>3214</v>
      </c>
      <c r="B3217" s="12">
        <v>156.78986417503316</v>
      </c>
      <c r="C3217" s="12">
        <v>153.82555173037599</v>
      </c>
      <c r="D3217" s="12">
        <v>71.223284559144915</v>
      </c>
    </row>
    <row r="3218" spans="1:4">
      <c r="A3218">
        <v>3215</v>
      </c>
      <c r="B3218" s="12">
        <v>136.57067555669929</v>
      </c>
      <c r="C3218" s="12">
        <v>161.1601825100428</v>
      </c>
      <c r="D3218" s="12">
        <v>120.11754572917084</v>
      </c>
    </row>
    <row r="3219" spans="1:4">
      <c r="A3219">
        <v>3216</v>
      </c>
      <c r="B3219" s="12">
        <v>166.67645129978587</v>
      </c>
      <c r="C3219" s="12">
        <v>132.56716906122645</v>
      </c>
      <c r="D3219" s="12">
        <v>66.568438742181755</v>
      </c>
    </row>
    <row r="3220" spans="1:4">
      <c r="A3220">
        <v>3217</v>
      </c>
      <c r="B3220" s="12">
        <v>117.10039705407058</v>
      </c>
      <c r="C3220" s="12">
        <v>118.86797168315215</v>
      </c>
      <c r="D3220" s="12">
        <v>74.733244642277242</v>
      </c>
    </row>
    <row r="3221" spans="1:4">
      <c r="A3221">
        <v>3218</v>
      </c>
      <c r="B3221" s="12">
        <v>205.67308321933368</v>
      </c>
      <c r="C3221" s="12">
        <v>216.62806306584255</v>
      </c>
      <c r="D3221" s="12">
        <v>72.977387136388401</v>
      </c>
    </row>
    <row r="3222" spans="1:4">
      <c r="A3222">
        <v>3219</v>
      </c>
      <c r="B3222" s="12">
        <v>156.55564179416112</v>
      </c>
      <c r="C3222" s="12">
        <v>202.50506947866566</v>
      </c>
      <c r="D3222" s="12">
        <v>152.24819383700159</v>
      </c>
    </row>
    <row r="3223" spans="1:4">
      <c r="A3223">
        <v>3220</v>
      </c>
      <c r="B3223" s="12">
        <v>138.99777849543872</v>
      </c>
      <c r="C3223" s="12">
        <v>120.8136733905428</v>
      </c>
      <c r="D3223" s="12">
        <v>71.646642388464613</v>
      </c>
    </row>
    <row r="3224" spans="1:4">
      <c r="A3224">
        <v>3221</v>
      </c>
      <c r="B3224" s="12">
        <v>234.98238876196982</v>
      </c>
      <c r="C3224" s="12">
        <v>150.84713168050493</v>
      </c>
      <c r="D3224" s="12">
        <v>182.8667390650277</v>
      </c>
    </row>
    <row r="3225" spans="1:4">
      <c r="A3225">
        <v>3222</v>
      </c>
      <c r="B3225" s="12">
        <v>169.54011470674772</v>
      </c>
      <c r="C3225" s="12">
        <v>157.50497443030287</v>
      </c>
      <c r="D3225" s="12">
        <v>78.863169760925047</v>
      </c>
    </row>
    <row r="3226" spans="1:4">
      <c r="A3226">
        <v>3223</v>
      </c>
      <c r="B3226" s="12">
        <v>248.72245674616241</v>
      </c>
      <c r="C3226" s="12">
        <v>146.96065084859404</v>
      </c>
      <c r="D3226" s="12">
        <v>78.015833686086438</v>
      </c>
    </row>
    <row r="3227" spans="1:4">
      <c r="A3227">
        <v>3224</v>
      </c>
      <c r="B3227" s="12">
        <v>84.58273587173403</v>
      </c>
      <c r="C3227" s="12">
        <v>140.84409281075344</v>
      </c>
      <c r="D3227" s="12">
        <v>97.778676188047072</v>
      </c>
    </row>
    <row r="3228" spans="1:4">
      <c r="A3228">
        <v>3225</v>
      </c>
      <c r="B3228" s="12">
        <v>126.29624136109406</v>
      </c>
      <c r="C3228" s="12">
        <v>130.02394480971861</v>
      </c>
      <c r="D3228" s="12">
        <v>138.08555634358007</v>
      </c>
    </row>
    <row r="3229" spans="1:4">
      <c r="A3229">
        <v>3226</v>
      </c>
      <c r="B3229" s="12">
        <v>213.51375814242203</v>
      </c>
      <c r="C3229" s="12">
        <v>149.7149267052192</v>
      </c>
      <c r="D3229" s="12">
        <v>105.14128639582745</v>
      </c>
    </row>
    <row r="3230" spans="1:4">
      <c r="A3230">
        <v>3227</v>
      </c>
      <c r="B3230" s="12">
        <v>198.970551501979</v>
      </c>
      <c r="C3230" s="12">
        <v>146.46355111983686</v>
      </c>
      <c r="D3230" s="12">
        <v>118.38546198848991</v>
      </c>
    </row>
    <row r="3231" spans="1:4">
      <c r="A3231">
        <v>3228</v>
      </c>
      <c r="B3231" s="12">
        <v>147.11965405376566</v>
      </c>
      <c r="C3231" s="12">
        <v>176.92994341278037</v>
      </c>
      <c r="D3231" s="12">
        <v>74.965867387320785</v>
      </c>
    </row>
    <row r="3232" spans="1:4">
      <c r="A3232">
        <v>3229</v>
      </c>
      <c r="B3232" s="12">
        <v>150.77432722737126</v>
      </c>
      <c r="C3232" s="12">
        <v>131.62997283975398</v>
      </c>
      <c r="D3232" s="12">
        <v>70.508104688678287</v>
      </c>
    </row>
    <row r="3233" spans="1:4">
      <c r="A3233">
        <v>3230</v>
      </c>
      <c r="B3233" s="12">
        <v>259.59775154847853</v>
      </c>
      <c r="C3233" s="12">
        <v>144.97745108887386</v>
      </c>
      <c r="D3233" s="12">
        <v>85.083178548945597</v>
      </c>
    </row>
    <row r="3234" spans="1:4">
      <c r="A3234">
        <v>3231</v>
      </c>
      <c r="B3234" s="12">
        <v>184.24042093732319</v>
      </c>
      <c r="C3234" s="12">
        <v>149.06916724459734</v>
      </c>
      <c r="D3234" s="12">
        <v>107.50903862424339</v>
      </c>
    </row>
    <row r="3235" spans="1:4">
      <c r="A3235">
        <v>3232</v>
      </c>
      <c r="B3235" s="12">
        <v>185.06514252430546</v>
      </c>
      <c r="C3235" s="12">
        <v>164.47656249478692</v>
      </c>
      <c r="D3235" s="12">
        <v>135.40825905006599</v>
      </c>
    </row>
    <row r="3236" spans="1:4">
      <c r="A3236">
        <v>3233</v>
      </c>
      <c r="B3236" s="12">
        <v>133.44141630704976</v>
      </c>
      <c r="C3236" s="12">
        <v>137.11081847147855</v>
      </c>
      <c r="D3236" s="12">
        <v>109.14682267589636</v>
      </c>
    </row>
    <row r="3237" spans="1:4">
      <c r="A3237">
        <v>3234</v>
      </c>
      <c r="B3237" s="12">
        <v>177.56864197540855</v>
      </c>
      <c r="C3237" s="12">
        <v>181.05790548140124</v>
      </c>
      <c r="D3237" s="12">
        <v>86.264063582272613</v>
      </c>
    </row>
    <row r="3238" spans="1:4">
      <c r="A3238">
        <v>3235</v>
      </c>
      <c r="B3238" s="12">
        <v>225.73973538121248</v>
      </c>
      <c r="C3238" s="12">
        <v>154.71948126984441</v>
      </c>
      <c r="D3238" s="12">
        <v>124.82086175209045</v>
      </c>
    </row>
    <row r="3239" spans="1:4">
      <c r="A3239">
        <v>3236</v>
      </c>
      <c r="B3239" s="12">
        <v>154.86167592940828</v>
      </c>
      <c r="C3239" s="12">
        <v>157.75702577368023</v>
      </c>
      <c r="D3239" s="12">
        <v>144.12962968998889</v>
      </c>
    </row>
    <row r="3240" spans="1:4">
      <c r="A3240">
        <v>3237</v>
      </c>
      <c r="B3240" s="12">
        <v>115.55193661665182</v>
      </c>
      <c r="C3240" s="12">
        <v>184.53733635780205</v>
      </c>
      <c r="D3240" s="12">
        <v>98.219861296561689</v>
      </c>
    </row>
    <row r="3241" spans="1:4">
      <c r="A3241">
        <v>3238</v>
      </c>
      <c r="B3241" s="12">
        <v>151.37418853326264</v>
      </c>
      <c r="C3241" s="12">
        <v>148.66712579181927</v>
      </c>
      <c r="D3241" s="12">
        <v>90.783666185693292</v>
      </c>
    </row>
    <row r="3242" spans="1:4">
      <c r="A3242">
        <v>3239</v>
      </c>
      <c r="B3242" s="12">
        <v>158.12381177248886</v>
      </c>
      <c r="C3242" s="12">
        <v>133.46997974949144</v>
      </c>
      <c r="D3242" s="12">
        <v>61.092301825403183</v>
      </c>
    </row>
    <row r="3243" spans="1:4">
      <c r="A3243">
        <v>3240</v>
      </c>
      <c r="B3243" s="12">
        <v>130.74049511197978</v>
      </c>
      <c r="C3243" s="12">
        <v>172.9844626404352</v>
      </c>
      <c r="D3243" s="12">
        <v>84.804596626051634</v>
      </c>
    </row>
    <row r="3244" spans="1:4">
      <c r="A3244">
        <v>3241</v>
      </c>
      <c r="B3244" s="12">
        <v>278.90932244017222</v>
      </c>
      <c r="C3244" s="12">
        <v>142.94554200709103</v>
      </c>
      <c r="D3244" s="12">
        <v>91.481733890671563</v>
      </c>
    </row>
    <row r="3245" spans="1:4">
      <c r="A3245">
        <v>3242</v>
      </c>
      <c r="B3245" s="12">
        <v>155.22637986822133</v>
      </c>
      <c r="C3245" s="12">
        <v>140.57261175879222</v>
      </c>
      <c r="D3245" s="12">
        <v>119.44355313050767</v>
      </c>
    </row>
    <row r="3246" spans="1:4">
      <c r="A3246">
        <v>3243</v>
      </c>
      <c r="B3246" s="12">
        <v>144.1464722470335</v>
      </c>
      <c r="C3246" s="12">
        <v>188.88011565754908</v>
      </c>
      <c r="D3246" s="12">
        <v>106.21734383944661</v>
      </c>
    </row>
    <row r="3247" spans="1:4">
      <c r="A3247">
        <v>3244</v>
      </c>
      <c r="B3247" s="12">
        <v>162.64942627142636</v>
      </c>
      <c r="C3247" s="12">
        <v>141.9898571923201</v>
      </c>
      <c r="D3247" s="12">
        <v>113.50745505063281</v>
      </c>
    </row>
    <row r="3248" spans="1:4">
      <c r="A3248">
        <v>3245</v>
      </c>
      <c r="B3248" s="12">
        <v>161.66086624652962</v>
      </c>
      <c r="C3248" s="12">
        <v>144.05084867001901</v>
      </c>
      <c r="D3248" s="12">
        <v>105.91982106497611</v>
      </c>
    </row>
    <row r="3249" spans="1:4">
      <c r="A3249">
        <v>3246</v>
      </c>
      <c r="B3249" s="12">
        <v>193.83777262463488</v>
      </c>
      <c r="C3249" s="12">
        <v>152.29058172869401</v>
      </c>
      <c r="D3249" s="12">
        <v>96.367305252564748</v>
      </c>
    </row>
    <row r="3250" spans="1:4">
      <c r="A3250">
        <v>3247</v>
      </c>
      <c r="B3250" s="12">
        <v>133.88244034734385</v>
      </c>
      <c r="C3250" s="12">
        <v>197.46339035142006</v>
      </c>
      <c r="D3250" s="12">
        <v>97.338886722845942</v>
      </c>
    </row>
    <row r="3251" spans="1:4">
      <c r="A3251">
        <v>3248</v>
      </c>
      <c r="B3251" s="12">
        <v>214.55727533176608</v>
      </c>
      <c r="C3251" s="12">
        <v>130.27187826170265</v>
      </c>
      <c r="D3251" s="12">
        <v>93.835275289664523</v>
      </c>
    </row>
    <row r="3252" spans="1:4">
      <c r="A3252">
        <v>3249</v>
      </c>
      <c r="B3252" s="12">
        <v>111.77901507634425</v>
      </c>
      <c r="C3252" s="12">
        <v>148.26429382595487</v>
      </c>
      <c r="D3252" s="12">
        <v>72.322532368743055</v>
      </c>
    </row>
    <row r="3253" spans="1:4">
      <c r="A3253">
        <v>3250</v>
      </c>
      <c r="B3253" s="12">
        <v>133.15681303817365</v>
      </c>
      <c r="C3253" s="12">
        <v>167.84191876318567</v>
      </c>
      <c r="D3253" s="12">
        <v>97.510442324909917</v>
      </c>
    </row>
    <row r="3254" spans="1:4">
      <c r="A3254">
        <v>3251</v>
      </c>
      <c r="B3254" s="12">
        <v>154.26358409208191</v>
      </c>
      <c r="C3254" s="12">
        <v>142.68458126198817</v>
      </c>
      <c r="D3254" s="12">
        <v>110.84087975414859</v>
      </c>
    </row>
    <row r="3255" spans="1:4">
      <c r="A3255">
        <v>3252</v>
      </c>
      <c r="B3255" s="12">
        <v>170.85992606363394</v>
      </c>
      <c r="C3255" s="12">
        <v>115.52436573506118</v>
      </c>
      <c r="D3255" s="12">
        <v>96.633637601586415</v>
      </c>
    </row>
    <row r="3256" spans="1:4">
      <c r="A3256">
        <v>3253</v>
      </c>
      <c r="B3256" s="12">
        <v>224.27007774751027</v>
      </c>
      <c r="C3256" s="12">
        <v>117.15454640776994</v>
      </c>
      <c r="D3256" s="12">
        <v>161.31539104568805</v>
      </c>
    </row>
    <row r="3257" spans="1:4">
      <c r="A3257">
        <v>3254</v>
      </c>
      <c r="B3257" s="12">
        <v>132.25698168393387</v>
      </c>
      <c r="C3257" s="12">
        <v>139.39167813556827</v>
      </c>
      <c r="D3257" s="12">
        <v>102.11683854372876</v>
      </c>
    </row>
    <row r="3258" spans="1:4">
      <c r="A3258">
        <v>3255</v>
      </c>
      <c r="B3258" s="12">
        <v>232.99491191055279</v>
      </c>
      <c r="C3258" s="12">
        <v>209.70135161715686</v>
      </c>
      <c r="D3258" s="12">
        <v>75.903381887777314</v>
      </c>
    </row>
    <row r="3259" spans="1:4">
      <c r="A3259">
        <v>3256</v>
      </c>
      <c r="B3259" s="12">
        <v>147.86123006923199</v>
      </c>
      <c r="C3259" s="12">
        <v>139.11108174973023</v>
      </c>
      <c r="D3259" s="12">
        <v>126.62022039504254</v>
      </c>
    </row>
    <row r="3260" spans="1:4">
      <c r="A3260">
        <v>3257</v>
      </c>
      <c r="B3260" s="12">
        <v>122.77386726117135</v>
      </c>
      <c r="C3260" s="12">
        <v>153.42390963510638</v>
      </c>
      <c r="D3260" s="12">
        <v>133.62499917946045</v>
      </c>
    </row>
    <row r="3261" spans="1:4">
      <c r="A3261">
        <v>3258</v>
      </c>
      <c r="B3261" s="12">
        <v>136.83774567204878</v>
      </c>
      <c r="C3261" s="12">
        <v>128.9693899903464</v>
      </c>
      <c r="D3261" s="12">
        <v>145.14184717687462</v>
      </c>
    </row>
    <row r="3262" spans="1:4">
      <c r="A3262">
        <v>3259</v>
      </c>
      <c r="B3262" s="12">
        <v>164.40295610367306</v>
      </c>
      <c r="C3262" s="12">
        <v>168.34201622835076</v>
      </c>
      <c r="D3262" s="12">
        <v>115.98685682501998</v>
      </c>
    </row>
    <row r="3263" spans="1:4">
      <c r="A3263">
        <v>3260</v>
      </c>
      <c r="B3263" s="12">
        <v>179.96141342765247</v>
      </c>
      <c r="C3263" s="12">
        <v>174.52139031849393</v>
      </c>
      <c r="D3263" s="12">
        <v>98.933222303070423</v>
      </c>
    </row>
    <row r="3264" spans="1:4">
      <c r="A3264">
        <v>3261</v>
      </c>
      <c r="B3264" s="12">
        <v>148.46739134629834</v>
      </c>
      <c r="C3264" s="12">
        <v>154.4735219233151</v>
      </c>
      <c r="D3264" s="12">
        <v>67.467417504390937</v>
      </c>
    </row>
    <row r="3265" spans="1:4">
      <c r="A3265">
        <v>3262</v>
      </c>
      <c r="B3265" s="12">
        <v>145.89586959592447</v>
      </c>
      <c r="C3265" s="12">
        <v>143.37129583245837</v>
      </c>
      <c r="D3265" s="12">
        <v>108.32140360176797</v>
      </c>
    </row>
    <row r="3266" spans="1:4">
      <c r="A3266">
        <v>3263</v>
      </c>
      <c r="B3266" s="12">
        <v>181.19443769355456</v>
      </c>
      <c r="C3266" s="12">
        <v>171.73358921137316</v>
      </c>
      <c r="D3266" s="12">
        <v>105.6237957846635</v>
      </c>
    </row>
    <row r="3267" spans="1:4">
      <c r="A3267">
        <v>3264</v>
      </c>
      <c r="B3267" s="12">
        <v>114.19053333712787</v>
      </c>
      <c r="C3267" s="12">
        <v>146.30387967099452</v>
      </c>
      <c r="D3267" s="12">
        <v>80.500167282318046</v>
      </c>
    </row>
    <row r="3268" spans="1:4">
      <c r="A3268">
        <v>3265</v>
      </c>
      <c r="B3268" s="12">
        <v>218.66064535573173</v>
      </c>
      <c r="C3268" s="12">
        <v>158.68059748406921</v>
      </c>
      <c r="D3268" s="12">
        <v>107.20460173680137</v>
      </c>
    </row>
    <row r="3269" spans="1:4">
      <c r="A3269">
        <v>3266</v>
      </c>
      <c r="B3269" s="12">
        <v>313.26329869172412</v>
      </c>
      <c r="C3269" s="12">
        <v>158.00975797056867</v>
      </c>
      <c r="D3269" s="12">
        <v>109.66665659633848</v>
      </c>
    </row>
    <row r="3270" spans="1:4">
      <c r="A3270">
        <v>3267</v>
      </c>
      <c r="B3270" s="12">
        <v>217.48132621530402</v>
      </c>
      <c r="C3270" s="12">
        <v>126.96550822932153</v>
      </c>
      <c r="D3270" s="12">
        <v>100.19807028175985</v>
      </c>
    </row>
    <row r="3271" spans="1:4">
      <c r="A3271">
        <v>3268</v>
      </c>
      <c r="B3271" s="12">
        <v>190.7273365654647</v>
      </c>
      <c r="C3271" s="12">
        <v>156.18402417942391</v>
      </c>
      <c r="D3271" s="12">
        <v>83.598272610180771</v>
      </c>
    </row>
    <row r="3272" spans="1:4">
      <c r="A3272">
        <v>3269</v>
      </c>
      <c r="B3272" s="12">
        <v>192.84807213072096</v>
      </c>
      <c r="C3272" s="12">
        <v>136.51121489338414</v>
      </c>
      <c r="D3272" s="12">
        <v>78.339240285592311</v>
      </c>
    </row>
    <row r="3273" spans="1:4">
      <c r="A3273">
        <v>3270</v>
      </c>
      <c r="B3273" s="12">
        <v>185.57434259719938</v>
      </c>
      <c r="C3273" s="12">
        <v>147.11942223931578</v>
      </c>
      <c r="D3273" s="12">
        <v>115.38490221498643</v>
      </c>
    </row>
    <row r="3274" spans="1:4">
      <c r="A3274">
        <v>3271</v>
      </c>
      <c r="B3274" s="12">
        <v>155.82503171414822</v>
      </c>
      <c r="C3274" s="12">
        <v>155.77674031690287</v>
      </c>
      <c r="D3274" s="12">
        <v>52.635305785421444</v>
      </c>
    </row>
    <row r="3275" spans="1:4">
      <c r="A3275">
        <v>3272</v>
      </c>
      <c r="B3275" s="12">
        <v>163.40246589414801</v>
      </c>
      <c r="C3275" s="12">
        <v>170.85485473148518</v>
      </c>
      <c r="D3275" s="12">
        <v>108.01226851475319</v>
      </c>
    </row>
    <row r="3276" spans="1:4">
      <c r="A3276">
        <v>3273</v>
      </c>
      <c r="B3276" s="12">
        <v>245.54079113428122</v>
      </c>
      <c r="C3276" s="12">
        <v>191.17007275839649</v>
      </c>
      <c r="D3276" s="12">
        <v>89.818324762981447</v>
      </c>
    </row>
    <row r="3277" spans="1:4">
      <c r="A3277">
        <v>3274</v>
      </c>
      <c r="B3277" s="12">
        <v>191.30003444646579</v>
      </c>
      <c r="C3277" s="12">
        <v>138.82853309270888</v>
      </c>
      <c r="D3277" s="12">
        <v>69.295326607297227</v>
      </c>
    </row>
    <row r="3278" spans="1:4">
      <c r="A3278">
        <v>3275</v>
      </c>
      <c r="B3278" s="12">
        <v>97.487005965052077</v>
      </c>
      <c r="C3278" s="12">
        <v>138.64648647980886</v>
      </c>
      <c r="D3278" s="12">
        <v>104.37242877678841</v>
      </c>
    </row>
    <row r="3279" spans="1:4">
      <c r="A3279">
        <v>3276</v>
      </c>
      <c r="B3279" s="12">
        <v>204.86005790778691</v>
      </c>
      <c r="C3279" s="12">
        <v>140.29954823890429</v>
      </c>
      <c r="D3279" s="12">
        <v>58.452814233084041</v>
      </c>
    </row>
    <row r="3280" spans="1:4">
      <c r="A3280">
        <v>3277</v>
      </c>
      <c r="B3280" s="12">
        <v>134.31960486962438</v>
      </c>
      <c r="C3280" s="12">
        <v>165.50893407727358</v>
      </c>
      <c r="D3280" s="12">
        <v>104.08362942456051</v>
      </c>
    </row>
    <row r="3281" spans="1:4">
      <c r="A3281">
        <v>3278</v>
      </c>
      <c r="B3281" s="12">
        <v>124.86434250733215</v>
      </c>
      <c r="C3281" s="12">
        <v>132.9128731690993</v>
      </c>
      <c r="D3281" s="12">
        <v>124.04336181339959</v>
      </c>
    </row>
    <row r="3282" spans="1:4">
      <c r="A3282">
        <v>3279</v>
      </c>
      <c r="B3282" s="12">
        <v>131.04077095800983</v>
      </c>
      <c r="C3282" s="12">
        <v>141.55379638339537</v>
      </c>
      <c r="D3282" s="12">
        <v>95.665750295045783</v>
      </c>
    </row>
    <row r="3283" spans="1:4">
      <c r="A3283">
        <v>3280</v>
      </c>
      <c r="B3283" s="12">
        <v>137.25235819676294</v>
      </c>
      <c r="C3283" s="12">
        <v>181.53056663445676</v>
      </c>
      <c r="D3283" s="12">
        <v>55.786280223914474</v>
      </c>
    </row>
    <row r="3284" spans="1:4">
      <c r="A3284">
        <v>3281</v>
      </c>
      <c r="B3284" s="12">
        <v>104.13694870826923</v>
      </c>
      <c r="C3284" s="12">
        <v>230.17422113021507</v>
      </c>
      <c r="D3284" s="12">
        <v>69.597203308863968</v>
      </c>
    </row>
    <row r="3285" spans="1:4">
      <c r="A3285">
        <v>3282</v>
      </c>
      <c r="B3285" s="12">
        <v>165.41130950882697</v>
      </c>
      <c r="C3285" s="12">
        <v>165.98182472708456</v>
      </c>
      <c r="D3285" s="12">
        <v>126.11519113679302</v>
      </c>
    </row>
    <row r="3286" spans="1:4">
      <c r="A3286">
        <v>3283</v>
      </c>
      <c r="B3286" s="12">
        <v>151.97331056092389</v>
      </c>
      <c r="C3286" s="12">
        <v>164.01849812478159</v>
      </c>
      <c r="D3286" s="12">
        <v>108.83263064395324</v>
      </c>
    </row>
    <row r="3287" spans="1:4">
      <c r="A3287">
        <v>3284</v>
      </c>
      <c r="B3287" s="12">
        <v>228.31591878112096</v>
      </c>
      <c r="C3287" s="12">
        <v>103.26126230615851</v>
      </c>
      <c r="D3287" s="12">
        <v>65.391150214296914</v>
      </c>
    </row>
    <row r="3288" spans="1:4">
      <c r="A3288">
        <v>3285</v>
      </c>
      <c r="B3288" s="12">
        <v>216.34322954506251</v>
      </c>
      <c r="C3288" s="12">
        <v>147.77194441362712</v>
      </c>
      <c r="D3288" s="12">
        <v>112.60014971794686</v>
      </c>
    </row>
    <row r="3289" spans="1:4">
      <c r="A3289">
        <v>3286</v>
      </c>
      <c r="B3289" s="12">
        <v>164.64680930937993</v>
      </c>
      <c r="C3289" s="12">
        <v>137.59489406099661</v>
      </c>
      <c r="D3289" s="12">
        <v>136.11646770700446</v>
      </c>
    </row>
    <row r="3290" spans="1:4">
      <c r="A3290">
        <v>3287</v>
      </c>
      <c r="B3290" s="12">
        <v>222.86728085521517</v>
      </c>
      <c r="C3290" s="12">
        <v>143.79428646194961</v>
      </c>
      <c r="D3290" s="12">
        <v>134.28630057274833</v>
      </c>
    </row>
    <row r="3291" spans="1:4">
      <c r="A3291">
        <v>3288</v>
      </c>
      <c r="B3291" s="12">
        <v>236.33153228500871</v>
      </c>
      <c r="C3291" s="12">
        <v>137.30062575764765</v>
      </c>
      <c r="D3291" s="12">
        <v>75.678980628575772</v>
      </c>
    </row>
    <row r="3292" spans="1:4">
      <c r="A3292">
        <v>3289</v>
      </c>
      <c r="B3292" s="12">
        <v>199.66666858853054</v>
      </c>
      <c r="C3292" s="12">
        <v>124.36784731627453</v>
      </c>
      <c r="D3292" s="12">
        <v>104.66251153801703</v>
      </c>
    </row>
    <row r="3293" spans="1:4">
      <c r="A3293">
        <v>3290</v>
      </c>
      <c r="B3293" s="12">
        <v>168.74505306089438</v>
      </c>
      <c r="C3293" s="12">
        <v>126.20073072467612</v>
      </c>
      <c r="D3293" s="12">
        <v>83.882175489412589</v>
      </c>
    </row>
    <row r="3294" spans="1:4">
      <c r="A3294">
        <v>3291</v>
      </c>
      <c r="B3294" s="12">
        <v>162.03452740545319</v>
      </c>
      <c r="C3294" s="12">
        <v>118.04265006576274</v>
      </c>
      <c r="D3294" s="12">
        <v>94.532497939479782</v>
      </c>
    </row>
    <row r="3295" spans="1:4">
      <c r="A3295">
        <v>3292</v>
      </c>
      <c r="B3295" s="12">
        <v>101.25086742970149</v>
      </c>
      <c r="C3295" s="12">
        <v>154.07070782709394</v>
      </c>
      <c r="D3295" s="12">
        <v>128.88574253846843</v>
      </c>
    </row>
    <row r="3296" spans="1:4">
      <c r="A3296">
        <v>3293</v>
      </c>
      <c r="B3296" s="12">
        <v>146.13555118565264</v>
      </c>
      <c r="C3296" s="12">
        <v>180.30139505706731</v>
      </c>
      <c r="D3296" s="12">
        <v>63.659687946995696</v>
      </c>
    </row>
    <row r="3297" spans="1:4">
      <c r="A3297">
        <v>3294</v>
      </c>
      <c r="B3297" s="12">
        <v>226.71966799230702</v>
      </c>
      <c r="C3297" s="12">
        <v>141.7244790817042</v>
      </c>
      <c r="D3297" s="12">
        <v>159.99157864116637</v>
      </c>
    </row>
    <row r="3298" spans="1:4">
      <c r="A3298">
        <v>3295</v>
      </c>
      <c r="B3298" s="12">
        <v>152.70297320687962</v>
      </c>
      <c r="C3298" s="12">
        <v>124.89230297076526</v>
      </c>
      <c r="D3298" s="12">
        <v>86.088499167179961</v>
      </c>
    </row>
    <row r="3299" spans="1:4">
      <c r="A3299">
        <v>3296</v>
      </c>
      <c r="B3299" s="12">
        <v>153.30110824693921</v>
      </c>
      <c r="C3299" s="12">
        <v>144.72402455307702</v>
      </c>
      <c r="D3299" s="12">
        <v>103.61252229591665</v>
      </c>
    </row>
    <row r="3300" spans="1:4">
      <c r="A3300">
        <v>3297</v>
      </c>
      <c r="B3300" s="12">
        <v>211.86860782466883</v>
      </c>
      <c r="C3300" s="12">
        <v>133.13183675749966</v>
      </c>
      <c r="D3300" s="12">
        <v>87.52588957540712</v>
      </c>
    </row>
    <row r="3301" spans="1:4">
      <c r="A3301">
        <v>3298</v>
      </c>
      <c r="B3301" s="12">
        <v>147.49082081504412</v>
      </c>
      <c r="C3301" s="12">
        <v>156.43294696636801</v>
      </c>
      <c r="D3301" s="12">
        <v>171.00690969913666</v>
      </c>
    </row>
    <row r="3302" spans="1:4">
      <c r="A3302">
        <v>3299</v>
      </c>
      <c r="B3302" s="12">
        <v>210.90324506745719</v>
      </c>
      <c r="C3302" s="12">
        <v>151.64681233628042</v>
      </c>
      <c r="D3302" s="12">
        <v>98.489526061429004</v>
      </c>
    </row>
    <row r="3303" spans="1:4">
      <c r="A3303">
        <v>3300</v>
      </c>
      <c r="B3303" s="12">
        <v>121.77962438412999</v>
      </c>
      <c r="C3303" s="12">
        <v>137.88674625119364</v>
      </c>
      <c r="D3303" s="12">
        <v>106.70880030162891</v>
      </c>
    </row>
    <row r="3304" spans="1:4">
      <c r="A3304">
        <v>3301</v>
      </c>
      <c r="B3304" s="12">
        <v>189.24831550216393</v>
      </c>
      <c r="C3304" s="12">
        <v>158.17201461231255</v>
      </c>
      <c r="D3304" s="12">
        <v>76.250088030658461</v>
      </c>
    </row>
    <row r="3305" spans="1:4">
      <c r="A3305">
        <v>3302</v>
      </c>
      <c r="B3305" s="12">
        <v>115.03112378449018</v>
      </c>
      <c r="C3305" s="12">
        <v>124.02242636947375</v>
      </c>
      <c r="D3305" s="12">
        <v>63.20113782451471</v>
      </c>
    </row>
    <row r="3306" spans="1:4">
      <c r="A3306">
        <v>3303</v>
      </c>
      <c r="B3306" s="12">
        <v>126.82256421853366</v>
      </c>
      <c r="C3306" s="12">
        <v>182.82452476035277</v>
      </c>
      <c r="D3306" s="12">
        <v>177.51981933163205</v>
      </c>
    </row>
    <row r="3307" spans="1:4">
      <c r="A3307">
        <v>3304</v>
      </c>
      <c r="B3307" s="12">
        <v>124.30457943286093</v>
      </c>
      <c r="C3307" s="12">
        <v>151.49069813365304</v>
      </c>
      <c r="D3307" s="12">
        <v>158.07542071071788</v>
      </c>
    </row>
    <row r="3308" spans="1:4">
      <c r="A3308">
        <v>3305</v>
      </c>
      <c r="B3308" s="12">
        <v>231.13457135506269</v>
      </c>
      <c r="C3308" s="12">
        <v>139.5704214580625</v>
      </c>
      <c r="D3308" s="12">
        <v>64.991797547823154</v>
      </c>
    </row>
    <row r="3309" spans="1:4">
      <c r="A3309">
        <v>3306</v>
      </c>
      <c r="B3309" s="12">
        <v>122.38991212770749</v>
      </c>
      <c r="C3309" s="12">
        <v>200.39946003598297</v>
      </c>
      <c r="D3309" s="12">
        <v>95.230956183181874</v>
      </c>
    </row>
    <row r="3310" spans="1:4">
      <c r="A3310">
        <v>3307</v>
      </c>
      <c r="B3310" s="12">
        <v>269.76860597147419</v>
      </c>
      <c r="C3310" s="12">
        <v>160.03934787865896</v>
      </c>
      <c r="D3310" s="12">
        <v>102.57824240647635</v>
      </c>
    </row>
    <row r="3311" spans="1:4">
      <c r="A3311">
        <v>3308</v>
      </c>
      <c r="B3311" s="12">
        <v>132.70907083549648</v>
      </c>
      <c r="C3311" s="12">
        <v>208.40110133213753</v>
      </c>
      <c r="D3311" s="12">
        <v>91.0481995369054</v>
      </c>
    </row>
    <row r="3312" spans="1:4">
      <c r="A3312">
        <v>3309</v>
      </c>
      <c r="B3312" s="12">
        <v>131.50535313822465</v>
      </c>
      <c r="C3312" s="12">
        <v>99.120943368489023</v>
      </c>
      <c r="D3312" s="12">
        <v>84.625553059655275</v>
      </c>
    </row>
    <row r="3313" spans="1:4">
      <c r="A3313">
        <v>3310</v>
      </c>
      <c r="B3313" s="12">
        <v>159.09498760919939</v>
      </c>
      <c r="C3313" s="12">
        <v>130.65330332778962</v>
      </c>
      <c r="D3313" s="12">
        <v>73.750337376937139</v>
      </c>
    </row>
    <row r="3314" spans="1:4">
      <c r="A3314">
        <v>3311</v>
      </c>
      <c r="B3314" s="12">
        <v>212.86191709654022</v>
      </c>
      <c r="C3314" s="12">
        <v>187.59836636863648</v>
      </c>
      <c r="D3314" s="12">
        <v>94.004321684758835</v>
      </c>
    </row>
    <row r="3315" spans="1:4">
      <c r="A3315">
        <v>3312</v>
      </c>
      <c r="B3315" s="12">
        <v>169.14172922784866</v>
      </c>
      <c r="C3315" s="12">
        <v>178.69860392509014</v>
      </c>
      <c r="D3315" s="12">
        <v>90.518889525250529</v>
      </c>
    </row>
    <row r="3316" spans="1:4">
      <c r="A3316">
        <v>3313</v>
      </c>
      <c r="B3316" s="12">
        <v>186.94388800975176</v>
      </c>
      <c r="C3316" s="12">
        <v>145.13937363256122</v>
      </c>
      <c r="D3316" s="12">
        <v>125.30458690193031</v>
      </c>
    </row>
    <row r="3317" spans="1:4">
      <c r="A3317">
        <v>3314</v>
      </c>
      <c r="B3317" s="12">
        <v>127.15545764442676</v>
      </c>
      <c r="C3317" s="12">
        <v>147.61393281231975</v>
      </c>
      <c r="D3317" s="12">
        <v>75.324852194503308</v>
      </c>
    </row>
    <row r="3318" spans="1:4">
      <c r="A3318">
        <v>3315</v>
      </c>
      <c r="B3318" s="12">
        <v>120.74737075801984</v>
      </c>
      <c r="C3318" s="12">
        <v>214.63724316150441</v>
      </c>
      <c r="D3318" s="12">
        <v>88.944212904581462</v>
      </c>
    </row>
    <row r="3319" spans="1:4">
      <c r="A3319">
        <v>3316</v>
      </c>
      <c r="B3319" s="12">
        <v>141.48479911252497</v>
      </c>
      <c r="C3319" s="12">
        <v>169.4755369245853</v>
      </c>
      <c r="D3319" s="12">
        <v>93.307689072056633</v>
      </c>
    </row>
    <row r="3320" spans="1:4">
      <c r="A3320">
        <v>3317</v>
      </c>
      <c r="B3320" s="12">
        <v>172.34896050876813</v>
      </c>
      <c r="C3320" s="12">
        <v>169.99784337390852</v>
      </c>
      <c r="D3320" s="12">
        <v>110.51538779565611</v>
      </c>
    </row>
    <row r="3321" spans="1:4">
      <c r="A3321">
        <v>3318</v>
      </c>
      <c r="B3321" s="12">
        <v>209.37544828631528</v>
      </c>
      <c r="C3321" s="12">
        <v>135.70218193138012</v>
      </c>
      <c r="D3321" s="12">
        <v>80.802591440645514</v>
      </c>
    </row>
    <row r="3322" spans="1:4">
      <c r="A3322">
        <v>3319</v>
      </c>
      <c r="B3322" s="12">
        <v>174.56094107540682</v>
      </c>
      <c r="C3322" s="12">
        <v>165.22308157389872</v>
      </c>
      <c r="D3322" s="12">
        <v>130.37748502506497</v>
      </c>
    </row>
    <row r="3323" spans="1:4">
      <c r="A3323">
        <v>3320</v>
      </c>
      <c r="B3323" s="12">
        <v>143.13935049568934</v>
      </c>
      <c r="C3323" s="12">
        <v>194.93495781956634</v>
      </c>
      <c r="D3323" s="12">
        <v>99.476485210341977</v>
      </c>
    </row>
    <row r="3324" spans="1:4">
      <c r="A3324">
        <v>3321</v>
      </c>
      <c r="B3324" s="12">
        <v>195.47981617973304</v>
      </c>
      <c r="C3324" s="12">
        <v>150.35946184690795</v>
      </c>
      <c r="D3324" s="12">
        <v>102.86087780460394</v>
      </c>
    </row>
    <row r="3325" spans="1:4">
      <c r="A3325">
        <v>3322</v>
      </c>
      <c r="B3325" s="12">
        <v>220.69422734943117</v>
      </c>
      <c r="C3325" s="12">
        <v>122.89018994297449</v>
      </c>
      <c r="D3325" s="12">
        <v>134.71870353907968</v>
      </c>
    </row>
    <row r="3326" spans="1:4">
      <c r="A3326">
        <v>3323</v>
      </c>
      <c r="B3326" s="12">
        <v>159.70026730264846</v>
      </c>
      <c r="C3326" s="12">
        <v>148.01830403832275</v>
      </c>
      <c r="D3326" s="12">
        <v>92.875071453027346</v>
      </c>
    </row>
    <row r="3327" spans="1:4">
      <c r="A3327">
        <v>3324</v>
      </c>
      <c r="B3327" s="12">
        <v>149.43957732619987</v>
      </c>
      <c r="C3327" s="12">
        <v>152.53453839501591</v>
      </c>
      <c r="D3327" s="12">
        <v>77.145847045162299</v>
      </c>
    </row>
    <row r="3328" spans="1:4">
      <c r="A3328">
        <v>3325</v>
      </c>
      <c r="B3328" s="12">
        <v>106.99629769905775</v>
      </c>
      <c r="C3328" s="12">
        <v>133.80380271811728</v>
      </c>
      <c r="D3328" s="12">
        <v>120.53500791651787</v>
      </c>
    </row>
    <row r="3329" spans="1:4">
      <c r="A3329">
        <v>3326</v>
      </c>
      <c r="B3329" s="12">
        <v>141.09395241512428</v>
      </c>
      <c r="C3329" s="12">
        <v>225.51462446815884</v>
      </c>
      <c r="D3329" s="12">
        <v>86.809961229587884</v>
      </c>
    </row>
    <row r="3330" spans="1:4">
      <c r="A3330">
        <v>3327</v>
      </c>
      <c r="B3330" s="12">
        <v>150.40823615615844</v>
      </c>
      <c r="C3330" s="12">
        <v>150.6033361879187</v>
      </c>
      <c r="D3330" s="12">
        <v>84.34505700529229</v>
      </c>
    </row>
    <row r="3331" spans="1:4">
      <c r="A3331">
        <v>3328</v>
      </c>
      <c r="B3331" s="12">
        <v>188.35223339001683</v>
      </c>
      <c r="C3331" s="12">
        <v>143.11211692952926</v>
      </c>
      <c r="D3331" s="12">
        <v>140.22041080699969</v>
      </c>
    </row>
    <row r="3332" spans="1:4">
      <c r="A3332">
        <v>3329</v>
      </c>
      <c r="B3332" s="12">
        <v>170.60068575727487</v>
      </c>
      <c r="C3332" s="12">
        <v>155.52909671290212</v>
      </c>
      <c r="D3332" s="12">
        <v>85.813658086206672</v>
      </c>
    </row>
    <row r="3333" spans="1:4">
      <c r="A3333">
        <v>3330</v>
      </c>
      <c r="B3333" s="12">
        <v>180.42532006365914</v>
      </c>
      <c r="C3333" s="12">
        <v>154.87721120003113</v>
      </c>
      <c r="D3333" s="12">
        <v>87.9682467376105</v>
      </c>
    </row>
    <row r="3334" spans="1:4">
      <c r="A3334">
        <v>3331</v>
      </c>
      <c r="B3334" s="12">
        <v>170.19752627945962</v>
      </c>
      <c r="C3334" s="12">
        <v>175.50970048316725</v>
      </c>
      <c r="D3334" s="12">
        <v>96.804442029398487</v>
      </c>
    </row>
    <row r="3335" spans="1:4">
      <c r="A3335">
        <v>3332</v>
      </c>
      <c r="B3335" s="12">
        <v>157.1557876215206</v>
      </c>
      <c r="C3335" s="12">
        <v>136.01102173513519</v>
      </c>
      <c r="D3335" s="12">
        <v>151.36412518678466</v>
      </c>
    </row>
    <row r="3336" spans="1:4">
      <c r="A3336">
        <v>3333</v>
      </c>
      <c r="B3336" s="12">
        <v>158.49119707152391</v>
      </c>
      <c r="C3336" s="12">
        <v>188.22957227241031</v>
      </c>
      <c r="D3336" s="12">
        <v>73.992496197658639</v>
      </c>
    </row>
    <row r="3337" spans="1:4">
      <c r="A3337">
        <v>3334</v>
      </c>
      <c r="B3337" s="12">
        <v>153.66561598215739</v>
      </c>
      <c r="C3337" s="12">
        <v>120.11145489643187</v>
      </c>
      <c r="D3337" s="12">
        <v>92.442448133156091</v>
      </c>
    </row>
    <row r="3338" spans="1:4">
      <c r="A3338">
        <v>3335</v>
      </c>
      <c r="B3338" s="12">
        <v>123.36306761409504</v>
      </c>
      <c r="C3338" s="12">
        <v>135.50271174019753</v>
      </c>
      <c r="D3338" s="12">
        <v>114.43515874122861</v>
      </c>
    </row>
    <row r="3339" spans="1:4">
      <c r="A3339">
        <v>3336</v>
      </c>
      <c r="B3339" s="12">
        <v>158.72677784303832</v>
      </c>
      <c r="C3339" s="12">
        <v>149.95913596873029</v>
      </c>
      <c r="D3339" s="12">
        <v>86.537431145087069</v>
      </c>
    </row>
    <row r="3340" spans="1:4">
      <c r="A3340">
        <v>3337</v>
      </c>
      <c r="B3340" s="12">
        <v>176.84346503056489</v>
      </c>
      <c r="C3340" s="12">
        <v>160.89666129661094</v>
      </c>
      <c r="D3340" s="12">
        <v>60.173077561764323</v>
      </c>
    </row>
    <row r="3341" spans="1:4">
      <c r="A3341">
        <v>3338</v>
      </c>
      <c r="B3341" s="12">
        <v>157.52206219545565</v>
      </c>
      <c r="C3341" s="12">
        <v>194.05969917271074</v>
      </c>
      <c r="D3341" s="12">
        <v>61.641634267032281</v>
      </c>
    </row>
    <row r="3342" spans="1:4">
      <c r="A3342">
        <v>3339</v>
      </c>
      <c r="B3342" s="12">
        <v>242.69245268949476</v>
      </c>
      <c r="C3342" s="12">
        <v>134.8711715180425</v>
      </c>
      <c r="D3342" s="12">
        <v>83.129451363742561</v>
      </c>
    </row>
    <row r="3343" spans="1:4">
      <c r="A3343">
        <v>3340</v>
      </c>
      <c r="B3343" s="12">
        <v>165.02845973137633</v>
      </c>
      <c r="C3343" s="12">
        <v>199.23013814242628</v>
      </c>
      <c r="D3343" s="12">
        <v>167.8651696878035</v>
      </c>
    </row>
    <row r="3344" spans="1:4">
      <c r="A3344">
        <v>3341</v>
      </c>
      <c r="B3344" s="12">
        <v>128.49544976702035</v>
      </c>
      <c r="C3344" s="12">
        <v>145.64302285343896</v>
      </c>
      <c r="D3344" s="12">
        <v>82.84170416957042</v>
      </c>
    </row>
    <row r="3345" spans="1:4">
      <c r="A3345">
        <v>3342</v>
      </c>
      <c r="B3345" s="12">
        <v>197.85403635729014</v>
      </c>
      <c r="C3345" s="12">
        <v>128.131762169973</v>
      </c>
      <c r="D3345" s="12">
        <v>98.0474285915531</v>
      </c>
    </row>
    <row r="3346" spans="1:4">
      <c r="A3346">
        <v>3343</v>
      </c>
      <c r="B3346" s="12">
        <v>207.0472448898584</v>
      </c>
      <c r="C3346" s="12">
        <v>138.07246517008224</v>
      </c>
      <c r="D3346" s="12">
        <v>72.724062278148438</v>
      </c>
    </row>
    <row r="3347" spans="1:4">
      <c r="A3347">
        <v>3344</v>
      </c>
      <c r="B3347" s="12">
        <v>222.00084780955785</v>
      </c>
      <c r="C3347" s="12">
        <v>156.68240309598713</v>
      </c>
      <c r="D3347" s="12">
        <v>115.0225207662431</v>
      </c>
    </row>
    <row r="3348" spans="1:4">
      <c r="A3348">
        <v>3345</v>
      </c>
      <c r="B3348" s="12">
        <v>183.7439527455428</v>
      </c>
      <c r="C3348" s="12">
        <v>166.75380839835361</v>
      </c>
      <c r="D3348" s="12">
        <v>122.38373574925917</v>
      </c>
    </row>
    <row r="3349" spans="1:4">
      <c r="A3349">
        <v>3346</v>
      </c>
      <c r="B3349" s="12">
        <v>160.6780570839488</v>
      </c>
      <c r="C3349" s="12">
        <v>146.05412037154076</v>
      </c>
      <c r="D3349" s="12">
        <v>99.204518319358996</v>
      </c>
    </row>
    <row r="3350" spans="1:4">
      <c r="A3350">
        <v>3347</v>
      </c>
      <c r="B3350" s="12">
        <v>116.34005130695262</v>
      </c>
      <c r="C3350" s="12">
        <v>144.30649684094632</v>
      </c>
      <c r="D3350" s="12">
        <v>87.255360496210628</v>
      </c>
    </row>
    <row r="3351" spans="1:4">
      <c r="A3351">
        <v>3348</v>
      </c>
      <c r="B3351" s="12">
        <v>173.44678967364194</v>
      </c>
      <c r="C3351" s="12">
        <v>167.54013711790776</v>
      </c>
      <c r="D3351" s="12">
        <v>119.03907665422335</v>
      </c>
    </row>
    <row r="3352" spans="1:4">
      <c r="A3352">
        <v>3349</v>
      </c>
      <c r="B3352" s="12">
        <v>169.79622003666105</v>
      </c>
      <c r="C3352" s="12">
        <v>121.89082598586975</v>
      </c>
      <c r="D3352" s="12">
        <v>90.349146303547528</v>
      </c>
    </row>
    <row r="3353" spans="1:4">
      <c r="A3353">
        <v>3350</v>
      </c>
      <c r="B3353" s="12">
        <v>135.02886770895978</v>
      </c>
      <c r="C3353" s="12">
        <v>190.70243583010745</v>
      </c>
      <c r="D3353" s="12">
        <v>103.89929813175182</v>
      </c>
    </row>
    <row r="3354" spans="1:4">
      <c r="A3354">
        <v>3351</v>
      </c>
      <c r="B3354" s="12">
        <v>171.93721077194527</v>
      </c>
      <c r="C3354" s="12">
        <v>244.30402553398125</v>
      </c>
      <c r="D3354" s="12">
        <v>103.14460366509387</v>
      </c>
    </row>
    <row r="3355" spans="1:4">
      <c r="A3355">
        <v>3352</v>
      </c>
      <c r="B3355" s="12">
        <v>175.26193622966409</v>
      </c>
      <c r="C3355" s="12">
        <v>189.99321789195301</v>
      </c>
      <c r="D3355" s="12">
        <v>70.790547511717506</v>
      </c>
    </row>
    <row r="3356" spans="1:4">
      <c r="A3356">
        <v>3353</v>
      </c>
      <c r="B3356" s="12">
        <v>162.40905348644819</v>
      </c>
      <c r="C3356" s="12">
        <v>173.56446646193788</v>
      </c>
      <c r="D3356" s="12">
        <v>101.10233890246245</v>
      </c>
    </row>
    <row r="3357" spans="1:4">
      <c r="A3357">
        <v>3354</v>
      </c>
      <c r="B3357" s="12">
        <v>139.39916640071988</v>
      </c>
      <c r="C3357" s="12">
        <v>174.89181249045828</v>
      </c>
      <c r="D3357" s="12">
        <v>80.195493589896586</v>
      </c>
    </row>
    <row r="3358" spans="1:4">
      <c r="A3358">
        <v>3355</v>
      </c>
      <c r="B3358" s="12">
        <v>131.96502179976233</v>
      </c>
      <c r="C3358" s="12">
        <v>170.31996461539012</v>
      </c>
      <c r="D3358" s="12">
        <v>91.217531049424878</v>
      </c>
    </row>
    <row r="3359" spans="1:4">
      <c r="A3359">
        <v>3356</v>
      </c>
      <c r="B3359" s="12">
        <v>182.93927728567056</v>
      </c>
      <c r="C3359" s="12">
        <v>151.00326348108194</v>
      </c>
      <c r="D3359" s="12">
        <v>100.64908708493269</v>
      </c>
    </row>
    <row r="3360" spans="1:4">
      <c r="A3360">
        <v>3357</v>
      </c>
      <c r="B3360" s="12">
        <v>94.359919525711732</v>
      </c>
      <c r="C3360" s="12">
        <v>156.02484649657387</v>
      </c>
      <c r="D3360" s="12">
        <v>117.99287313212454</v>
      </c>
    </row>
    <row r="3361" spans="1:4">
      <c r="A3361">
        <v>3358</v>
      </c>
      <c r="B3361" s="12">
        <v>173.02917725154339</v>
      </c>
      <c r="C3361" s="12">
        <v>206.56073071319676</v>
      </c>
      <c r="D3361" s="12">
        <v>143.1585330645718</v>
      </c>
    </row>
    <row r="3362" spans="1:4">
      <c r="A3362">
        <v>3359</v>
      </c>
      <c r="B3362" s="12">
        <v>148.09811764065907</v>
      </c>
      <c r="C3362" s="12">
        <v>173.92336247774529</v>
      </c>
      <c r="D3362" s="12">
        <v>82.552377368199984</v>
      </c>
    </row>
    <row r="3363" spans="1:4">
      <c r="A3363">
        <v>3360</v>
      </c>
      <c r="B3363" s="12">
        <v>118.99315048127525</v>
      </c>
      <c r="C3363" s="12">
        <v>109.30763956567176</v>
      </c>
      <c r="D3363" s="12">
        <v>82.366188231902328</v>
      </c>
    </row>
    <row r="3364" spans="1:4">
      <c r="A3364">
        <v>3361</v>
      </c>
      <c r="B3364" s="12">
        <v>168.09785397901149</v>
      </c>
      <c r="C3364" s="12">
        <v>182.32629897609118</v>
      </c>
      <c r="D3364" s="12">
        <v>84.063319535928585</v>
      </c>
    </row>
    <row r="3365" spans="1:4">
      <c r="A3365">
        <v>3362</v>
      </c>
      <c r="B3365" s="12">
        <v>103.08366735832651</v>
      </c>
      <c r="C3365" s="12">
        <v>136.31684666551064</v>
      </c>
      <c r="D3365" s="12">
        <v>111.71174727828983</v>
      </c>
    </row>
    <row r="3366" spans="1:4">
      <c r="A3366">
        <v>3363</v>
      </c>
      <c r="B3366" s="12">
        <v>167.70544154764838</v>
      </c>
      <c r="C3366" s="12">
        <v>129.63093128454983</v>
      </c>
      <c r="D3366" s="12">
        <v>76.592574148412083</v>
      </c>
    </row>
    <row r="3367" spans="1:4">
      <c r="A3367">
        <v>3364</v>
      </c>
      <c r="B3367" s="12">
        <v>194.45226538075113</v>
      </c>
      <c r="C3367" s="12">
        <v>134.01545429506749</v>
      </c>
      <c r="D3367" s="12">
        <v>85.360665314815535</v>
      </c>
    </row>
    <row r="3368" spans="1:4">
      <c r="A3368">
        <v>3365</v>
      </c>
      <c r="B3368" s="12">
        <v>156.1902116569002</v>
      </c>
      <c r="C3368" s="12">
        <v>138.36056097609108</v>
      </c>
      <c r="D3368" s="12">
        <v>130.96371702095402</v>
      </c>
    </row>
    <row r="3369" spans="1:4">
      <c r="A3369">
        <v>3366</v>
      </c>
      <c r="B3369" s="12">
        <v>99.102750174605447</v>
      </c>
      <c r="C3369" s="12">
        <v>114.39182340918485</v>
      </c>
      <c r="D3369" s="12">
        <v>197.04964803944128</v>
      </c>
    </row>
    <row r="3370" spans="1:4">
      <c r="A3370">
        <v>3367</v>
      </c>
      <c r="B3370" s="12">
        <v>119.43024544612641</v>
      </c>
      <c r="C3370" s="12">
        <v>157.34386951354421</v>
      </c>
      <c r="D3370" s="12">
        <v>112.2615554318501</v>
      </c>
    </row>
    <row r="3371" spans="1:4">
      <c r="A3371">
        <v>3368</v>
      </c>
      <c r="B3371" s="12">
        <v>197.18819592200788</v>
      </c>
      <c r="C3371" s="12">
        <v>148.42167972546713</v>
      </c>
      <c r="D3371" s="12">
        <v>109.9862908983372</v>
      </c>
    </row>
    <row r="3372" spans="1:4">
      <c r="A3372">
        <v>3369</v>
      </c>
      <c r="B3372" s="12">
        <v>174.13700038027346</v>
      </c>
      <c r="C3372" s="12">
        <v>196.46494793965775</v>
      </c>
      <c r="D3372" s="12">
        <v>49.606415387082848</v>
      </c>
    </row>
    <row r="3373" spans="1:4">
      <c r="A3373">
        <v>3370</v>
      </c>
      <c r="B3373" s="12">
        <v>113.31277734016595</v>
      </c>
      <c r="C3373" s="12">
        <v>189.30765522440737</v>
      </c>
      <c r="D3373" s="12">
        <v>91.914836620784627</v>
      </c>
    </row>
    <row r="3374" spans="1:4">
      <c r="A3374">
        <v>3371</v>
      </c>
      <c r="B3374" s="12">
        <v>179.20808341644118</v>
      </c>
      <c r="C3374" s="12">
        <v>156.8424829635558</v>
      </c>
      <c r="D3374" s="12">
        <v>81.294115750292363</v>
      </c>
    </row>
    <row r="3375" spans="1:4">
      <c r="A3375">
        <v>3372</v>
      </c>
      <c r="B3375" s="12">
        <v>210.29874315468243</v>
      </c>
      <c r="C3375" s="12">
        <v>193.22259404914504</v>
      </c>
      <c r="D3375" s="12">
        <v>87.698814164436314</v>
      </c>
    </row>
    <row r="3376" spans="1:4">
      <c r="A3376">
        <v>3373</v>
      </c>
      <c r="B3376" s="12">
        <v>207.91119625219824</v>
      </c>
      <c r="C3376" s="12">
        <v>201.19146914271872</v>
      </c>
      <c r="D3376" s="12">
        <v>80.995170576230791</v>
      </c>
    </row>
    <row r="3377" spans="1:4">
      <c r="A3377">
        <v>3374</v>
      </c>
      <c r="B3377" s="12">
        <v>128.17494940456842</v>
      </c>
      <c r="C3377" s="12">
        <v>179.1291071635217</v>
      </c>
      <c r="D3377" s="12">
        <v>68.316671827368438</v>
      </c>
    </row>
    <row r="3378" spans="1:4">
      <c r="A3378">
        <v>3375</v>
      </c>
      <c r="B3378" s="12">
        <v>168.49183922536955</v>
      </c>
      <c r="C3378" s="12">
        <v>159.52189579281344</v>
      </c>
      <c r="D3378" s="12">
        <v>70.058386686438268</v>
      </c>
    </row>
    <row r="3379" spans="1:4">
      <c r="A3379">
        <v>3376</v>
      </c>
      <c r="B3379" s="12">
        <v>139.79836904797068</v>
      </c>
      <c r="C3379" s="12">
        <v>155.12375970010882</v>
      </c>
      <c r="D3379" s="12">
        <v>62.447919847103151</v>
      </c>
    </row>
    <row r="3380" spans="1:4">
      <c r="A3380">
        <v>3377</v>
      </c>
      <c r="B3380" s="12">
        <v>154.62812808017941</v>
      </c>
      <c r="C3380" s="12">
        <v>112.19807302057177</v>
      </c>
      <c r="D3380" s="12">
        <v>98.759784832851196</v>
      </c>
    </row>
    <row r="3381" spans="1:4">
      <c r="A3381">
        <v>3378</v>
      </c>
      <c r="B3381" s="12">
        <v>200.83585903661228</v>
      </c>
      <c r="C3381" s="12">
        <v>144.46978866652773</v>
      </c>
      <c r="D3381" s="12">
        <v>129.44149438355743</v>
      </c>
    </row>
    <row r="3382" spans="1:4">
      <c r="A3382">
        <v>3379</v>
      </c>
      <c r="B3382" s="12">
        <v>110.77673048120667</v>
      </c>
      <c r="C3382" s="12">
        <v>195.51757456796543</v>
      </c>
      <c r="D3382" s="12">
        <v>85.53785589501075</v>
      </c>
    </row>
    <row r="3383" spans="1:4">
      <c r="A3383">
        <v>3380</v>
      </c>
      <c r="B3383" s="12">
        <v>241.01147228840316</v>
      </c>
      <c r="C3383" s="12">
        <v>148.91227818963381</v>
      </c>
      <c r="D3383" s="12">
        <v>68.813164471804996</v>
      </c>
    </row>
    <row r="3384" spans="1:4">
      <c r="A3384">
        <v>3381</v>
      </c>
      <c r="B3384" s="12">
        <v>142.89359067973592</v>
      </c>
      <c r="C3384" s="12">
        <v>149.31389866864555</v>
      </c>
      <c r="D3384" s="12">
        <v>88.676837290905155</v>
      </c>
    </row>
    <row r="3385" spans="1:4">
      <c r="A3385">
        <v>3382</v>
      </c>
      <c r="B3385" s="12">
        <v>167.0649483693966</v>
      </c>
      <c r="C3385" s="12">
        <v>186.60129005970171</v>
      </c>
      <c r="D3385" s="12">
        <v>76.809831985536917</v>
      </c>
    </row>
    <row r="3386" spans="1:4">
      <c r="A3386">
        <v>3383</v>
      </c>
      <c r="B3386" s="12">
        <v>144.90339679393642</v>
      </c>
      <c r="C3386" s="12">
        <v>145.39155393241563</v>
      </c>
      <c r="D3386" s="12">
        <v>101.37977616507979</v>
      </c>
    </row>
    <row r="3387" spans="1:4">
      <c r="A3387">
        <v>3384</v>
      </c>
      <c r="B3387" s="12">
        <v>254.93431948059302</v>
      </c>
      <c r="C3387" s="12">
        <v>186.0150917148342</v>
      </c>
      <c r="D3387" s="12">
        <v>96.101343214162881</v>
      </c>
    </row>
    <row r="3388" spans="1:4">
      <c r="A3388">
        <v>3385</v>
      </c>
      <c r="B3388" s="12">
        <v>160.07002168978204</v>
      </c>
      <c r="C3388" s="12">
        <v>127.41596550083017</v>
      </c>
      <c r="D3388" s="12">
        <v>81.5910619299312</v>
      </c>
    </row>
    <row r="3389" spans="1:4">
      <c r="A3389">
        <v>3386</v>
      </c>
      <c r="B3389" s="12">
        <v>171.26624912495132</v>
      </c>
      <c r="C3389" s="12">
        <v>172.63604489708305</v>
      </c>
      <c r="D3389" s="12">
        <v>103.32693107510715</v>
      </c>
    </row>
    <row r="3390" spans="1:4">
      <c r="A3390">
        <v>3387</v>
      </c>
      <c r="B3390" s="12">
        <v>128.99034034817885</v>
      </c>
      <c r="C3390" s="12">
        <v>122.50831220196562</v>
      </c>
      <c r="D3390" s="12">
        <v>67.990491013582542</v>
      </c>
    </row>
    <row r="3391" spans="1:4">
      <c r="A3391">
        <v>3388</v>
      </c>
      <c r="B3391" s="12">
        <v>110.1033007131244</v>
      </c>
      <c r="C3391" s="12">
        <v>131.02818907362709</v>
      </c>
      <c r="D3391" s="12">
        <v>132.57421853339434</v>
      </c>
    </row>
    <row r="3392" spans="1:4">
      <c r="A3392">
        <v>3389</v>
      </c>
      <c r="B3392" s="12">
        <v>263.09991837512581</v>
      </c>
      <c r="C3392" s="12">
        <v>129.23027173886277</v>
      </c>
      <c r="D3392" s="12">
        <v>95.931165136550064</v>
      </c>
    </row>
    <row r="3393" spans="1:4">
      <c r="A3393">
        <v>3390</v>
      </c>
      <c r="B3393" s="12">
        <v>238.57446585698835</v>
      </c>
      <c r="C3393" s="12">
        <v>198.13280208243847</v>
      </c>
      <c r="D3393" s="12">
        <v>83.31296769745363</v>
      </c>
    </row>
    <row r="3394" spans="1:4">
      <c r="A3394">
        <v>3391</v>
      </c>
      <c r="B3394" s="12">
        <v>112.7287939005184</v>
      </c>
      <c r="C3394" s="12">
        <v>127.85555142309161</v>
      </c>
      <c r="D3394" s="12">
        <v>155.25768408869791</v>
      </c>
    </row>
    <row r="3395" spans="1:4">
      <c r="A3395">
        <v>3392</v>
      </c>
      <c r="B3395" s="12">
        <v>155.59123247423167</v>
      </c>
      <c r="C3395" s="12">
        <v>220.39627754860632</v>
      </c>
      <c r="D3395" s="12">
        <v>105.43494641698598</v>
      </c>
    </row>
    <row r="3396" spans="1:4">
      <c r="A3396">
        <v>3393</v>
      </c>
      <c r="B3396" s="12">
        <v>165.65719151062223</v>
      </c>
      <c r="C3396" s="12">
        <v>135.18863355133107</v>
      </c>
      <c r="D3396" s="12">
        <v>166.07810449588152</v>
      </c>
    </row>
    <row r="3397" spans="1:4">
      <c r="A3397">
        <v>3394</v>
      </c>
      <c r="B3397" s="12">
        <v>149.80678812221231</v>
      </c>
      <c r="C3397" s="12">
        <v>134.34262138853558</v>
      </c>
      <c r="D3397" s="12">
        <v>46.2334261772098</v>
      </c>
    </row>
    <row r="3398" spans="1:4">
      <c r="A3398">
        <v>3395</v>
      </c>
      <c r="B3398" s="12">
        <v>140.84265063535014</v>
      </c>
      <c r="C3398" s="12">
        <v>153.17937940129278</v>
      </c>
      <c r="D3398" s="12">
        <v>74.365686485021826</v>
      </c>
    </row>
    <row r="3399" spans="1:4">
      <c r="A3399">
        <v>3396</v>
      </c>
      <c r="B3399" s="12">
        <v>125.41418267289782</v>
      </c>
      <c r="C3399" s="12">
        <v>187.20359187498144</v>
      </c>
      <c r="D3399" s="12">
        <v>138.58701973223441</v>
      </c>
    </row>
    <row r="3400" spans="1:4">
      <c r="A3400">
        <v>3397</v>
      </c>
      <c r="B3400" s="12">
        <v>153.89908611005654</v>
      </c>
      <c r="C3400" s="12">
        <v>159.78016016377686</v>
      </c>
      <c r="D3400" s="12">
        <v>127.46778676696438</v>
      </c>
    </row>
    <row r="3401" spans="1:4">
      <c r="A3401">
        <v>3398</v>
      </c>
      <c r="B3401" s="12">
        <v>149.07186103624062</v>
      </c>
      <c r="C3401" s="12">
        <v>171.1849817386458</v>
      </c>
      <c r="D3401" s="12">
        <v>89.115224480399689</v>
      </c>
    </row>
    <row r="3402" spans="1:4">
      <c r="A3402">
        <v>3399</v>
      </c>
      <c r="B3402" s="12">
        <v>196.11860588136773</v>
      </c>
      <c r="C3402" s="12">
        <v>131.26505035914889</v>
      </c>
      <c r="D3402" s="12">
        <v>91.745776414814941</v>
      </c>
    </row>
    <row r="3403" spans="1:4">
      <c r="A3403">
        <v>3400</v>
      </c>
      <c r="B3403" s="12">
        <v>127.66886377375361</v>
      </c>
      <c r="C3403" s="12">
        <v>126.67087734807801</v>
      </c>
      <c r="D3403" s="12">
        <v>174.7218156021199</v>
      </c>
    </row>
    <row r="3404" spans="1:4">
      <c r="A3404">
        <v>3401</v>
      </c>
      <c r="B3404" s="12">
        <v>146.88148485653576</v>
      </c>
      <c r="C3404" s="12">
        <v>141.28620271193543</v>
      </c>
      <c r="D3404" s="12">
        <v>116.35849464486435</v>
      </c>
    </row>
    <row r="3405" spans="1:4">
      <c r="A3405">
        <v>3402</v>
      </c>
      <c r="B3405" s="12">
        <v>152.93654215790775</v>
      </c>
      <c r="C3405" s="12">
        <v>161.86142856353464</v>
      </c>
      <c r="D3405" s="12">
        <v>116.97626152838836</v>
      </c>
    </row>
    <row r="3406" spans="1:4">
      <c r="A3406">
        <v>3403</v>
      </c>
      <c r="B3406" s="12">
        <v>176.40533274969735</v>
      </c>
      <c r="C3406" s="12">
        <v>185.085657137732</v>
      </c>
      <c r="D3406" s="12">
        <v>79.379390635652229</v>
      </c>
    </row>
    <row r="3407" spans="1:4">
      <c r="A3407">
        <v>3404</v>
      </c>
      <c r="B3407" s="12">
        <v>135.45662245290637</v>
      </c>
      <c r="C3407" s="12">
        <v>163.28983210301695</v>
      </c>
      <c r="D3407" s="12">
        <v>111.37994821723544</v>
      </c>
    </row>
    <row r="3408" spans="1:4">
      <c r="A3408">
        <v>3405</v>
      </c>
      <c r="B3408" s="12">
        <v>202.7947689395447</v>
      </c>
      <c r="C3408" s="12">
        <v>142.42247252972922</v>
      </c>
      <c r="D3408" s="12">
        <v>148.04439516986255</v>
      </c>
    </row>
    <row r="3409" spans="1:4">
      <c r="A3409">
        <v>3406</v>
      </c>
      <c r="B3409" s="12">
        <v>161.42195650764086</v>
      </c>
      <c r="C3409" s="12">
        <v>176.53269838822337</v>
      </c>
      <c r="D3409" s="12">
        <v>94.701796516823663</v>
      </c>
    </row>
    <row r="3410" spans="1:4">
      <c r="A3410">
        <v>3407</v>
      </c>
      <c r="B3410" s="12">
        <v>166.04210582909423</v>
      </c>
      <c r="C3410" s="12">
        <v>191.92260213459602</v>
      </c>
      <c r="D3410" s="12">
        <v>66.925909752978683</v>
      </c>
    </row>
    <row r="3411" spans="1:4">
      <c r="A3411">
        <v>3408</v>
      </c>
      <c r="B3411" s="12">
        <v>208.47574512395011</v>
      </c>
      <c r="C3411" s="12">
        <v>153.58065345327861</v>
      </c>
      <c r="D3411" s="12">
        <v>92.178682419181385</v>
      </c>
    </row>
    <row r="3412" spans="1:4">
      <c r="A3412">
        <v>3409</v>
      </c>
      <c r="B3412" s="12">
        <v>152.33822438971339</v>
      </c>
      <c r="C3412" s="12">
        <v>146.71236698807883</v>
      </c>
      <c r="D3412" s="12">
        <v>97.071442326645084</v>
      </c>
    </row>
    <row r="3413" spans="1:4">
      <c r="A3413">
        <v>3410</v>
      </c>
      <c r="B3413" s="12">
        <v>130.26732712278715</v>
      </c>
      <c r="C3413" s="12">
        <v>116.54668117928213</v>
      </c>
      <c r="D3413" s="12">
        <v>77.478171703700497</v>
      </c>
    </row>
    <row r="3414" spans="1:4">
      <c r="A3414">
        <v>3411</v>
      </c>
      <c r="B3414" s="12">
        <v>189.8029421945412</v>
      </c>
      <c r="C3414" s="12">
        <v>141.01718495206026</v>
      </c>
      <c r="D3414" s="12">
        <v>190.23556598002079</v>
      </c>
    </row>
    <row r="3415" spans="1:4">
      <c r="A3415">
        <v>3412</v>
      </c>
      <c r="B3415" s="12">
        <v>143.90301353654678</v>
      </c>
      <c r="C3415" s="12">
        <v>147.36690207392741</v>
      </c>
      <c r="D3415" s="12">
        <v>94.966264747651778</v>
      </c>
    </row>
    <row r="3416" spans="1:4">
      <c r="A3416">
        <v>3413</v>
      </c>
      <c r="B3416" s="12">
        <v>140.44878486580367</v>
      </c>
      <c r="C3416" s="12">
        <v>172.07245216969781</v>
      </c>
      <c r="D3416" s="12">
        <v>86.984108669885273</v>
      </c>
    </row>
    <row r="3417" spans="1:4">
      <c r="A3417">
        <v>3414</v>
      </c>
      <c r="B3417" s="12">
        <v>215.63441580515232</v>
      </c>
      <c r="C3417" s="12">
        <v>160.72842889340538</v>
      </c>
      <c r="D3417" s="12">
        <v>100.37391041214882</v>
      </c>
    </row>
    <row r="3418" spans="1:4">
      <c r="A3418">
        <v>3415</v>
      </c>
      <c r="B3418" s="12">
        <v>142.50870308240451</v>
      </c>
      <c r="C3418" s="12">
        <v>167.04984865915816</v>
      </c>
      <c r="D3418" s="12">
        <v>99.651057479833227</v>
      </c>
    </row>
    <row r="3419" spans="1:4">
      <c r="A3419">
        <v>3416</v>
      </c>
      <c r="B3419" s="12">
        <v>145.52087218350556</v>
      </c>
      <c r="C3419" s="12">
        <v>160.46664295312928</v>
      </c>
      <c r="D3419" s="12">
        <v>123.57876759952816</v>
      </c>
    </row>
    <row r="3420" spans="1:4">
      <c r="A3420">
        <v>3417</v>
      </c>
      <c r="B3420" s="12">
        <v>157.75687846128591</v>
      </c>
      <c r="C3420" s="12">
        <v>151.89056300472609</v>
      </c>
      <c r="D3420" s="12">
        <v>79.690516692179642</v>
      </c>
    </row>
    <row r="3421" spans="1:4">
      <c r="A3421">
        <v>3418</v>
      </c>
      <c r="B3421" s="12">
        <v>230.00198184724036</v>
      </c>
      <c r="C3421" s="12">
        <v>152.77861922477931</v>
      </c>
      <c r="D3421" s="12">
        <v>139.3903921091856</v>
      </c>
    </row>
    <row r="3422" spans="1:4">
      <c r="A3422">
        <v>3419</v>
      </c>
      <c r="B3422" s="12">
        <v>125.76143686126142</v>
      </c>
      <c r="C3422" s="12">
        <v>149.55841000935661</v>
      </c>
      <c r="D3422" s="12">
        <v>64.343118699424352</v>
      </c>
    </row>
    <row r="3423" spans="1:4">
      <c r="A3423">
        <v>3420</v>
      </c>
      <c r="B3423" s="12">
        <v>151.73946235326156</v>
      </c>
      <c r="C3423" s="12">
        <v>128.55510095677087</v>
      </c>
      <c r="D3423" s="12">
        <v>79.178714848564482</v>
      </c>
    </row>
    <row r="3424" spans="1:4">
      <c r="A3424">
        <v>3421</v>
      </c>
      <c r="B3424" s="12">
        <v>181.66834950134552</v>
      </c>
      <c r="C3424" s="12">
        <v>152.93504009909381</v>
      </c>
      <c r="D3424" s="12">
        <v>94.268335248632013</v>
      </c>
    </row>
    <row r="3425" spans="1:4">
      <c r="A3425">
        <v>3422</v>
      </c>
      <c r="B3425" s="12">
        <v>143.52186204595756</v>
      </c>
      <c r="C3425" s="12">
        <v>164.75790006852807</v>
      </c>
      <c r="D3425" s="12">
        <v>106.40872640017895</v>
      </c>
    </row>
    <row r="3426" spans="1:4">
      <c r="A3426">
        <v>3423</v>
      </c>
      <c r="B3426" s="12">
        <v>105.63675188511793</v>
      </c>
      <c r="C3426" s="12">
        <v>152.13437084968785</v>
      </c>
      <c r="D3426" s="12">
        <v>146.9024079906232</v>
      </c>
    </row>
    <row r="3427" spans="1:4">
      <c r="A3427">
        <v>3424</v>
      </c>
      <c r="B3427" s="12">
        <v>107.80723798742652</v>
      </c>
      <c r="C3427" s="12">
        <v>204.90686499943962</v>
      </c>
      <c r="D3427" s="12">
        <v>78.544761548118558</v>
      </c>
    </row>
    <row r="3428" spans="1:4">
      <c r="A3428">
        <v>3425</v>
      </c>
      <c r="B3428" s="12">
        <v>138.73948056258601</v>
      </c>
      <c r="C3428" s="12">
        <v>157.09287325264191</v>
      </c>
      <c r="D3428" s="12">
        <v>153.70206912453992</v>
      </c>
    </row>
    <row r="3429" spans="1:4">
      <c r="A3429">
        <v>3426</v>
      </c>
      <c r="B3429" s="12">
        <v>250.97801829679818</v>
      </c>
      <c r="C3429" s="12">
        <v>132.21654215492339</v>
      </c>
      <c r="D3429" s="12">
        <v>89.648023772555234</v>
      </c>
    </row>
    <row r="3430" spans="1:4">
      <c r="A3430">
        <v>3427</v>
      </c>
      <c r="B3430" s="12">
        <v>138.33429863779406</v>
      </c>
      <c r="C3430" s="12">
        <v>178.00713206368479</v>
      </c>
      <c r="D3430" s="12">
        <v>71.913193778316526</v>
      </c>
    </row>
    <row r="3431" spans="1:4">
      <c r="A3431">
        <v>3428</v>
      </c>
      <c r="B3431" s="12">
        <v>159.46375066250971</v>
      </c>
      <c r="C3431" s="12">
        <v>183.66522741947594</v>
      </c>
      <c r="D3431" s="12">
        <v>81.780258448449388</v>
      </c>
    </row>
    <row r="3432" spans="1:4">
      <c r="A3432">
        <v>3429</v>
      </c>
      <c r="B3432" s="12">
        <v>123.94052126594413</v>
      </c>
      <c r="C3432" s="12">
        <v>192.70474007322747</v>
      </c>
      <c r="D3432" s="12">
        <v>101.65812727634757</v>
      </c>
    </row>
    <row r="3433" spans="1:4">
      <c r="A3433">
        <v>3430</v>
      </c>
      <c r="B3433" s="12">
        <v>182.45453956419564</v>
      </c>
      <c r="C3433" s="12">
        <v>169.16076682045997</v>
      </c>
      <c r="D3433" s="12">
        <v>113.16153338029078</v>
      </c>
    </row>
    <row r="3434" spans="1:4">
      <c r="A3434">
        <v>3431</v>
      </c>
      <c r="B3434" s="12">
        <v>192.25550540124138</v>
      </c>
      <c r="C3434" s="12">
        <v>154.22788774021367</v>
      </c>
      <c r="D3434" s="12">
        <v>90.083900355146483</v>
      </c>
    </row>
    <row r="3435" spans="1:4">
      <c r="A3435">
        <v>3432</v>
      </c>
      <c r="B3435" s="12">
        <v>161.04962717678103</v>
      </c>
      <c r="C3435" s="12">
        <v>123.46704626013559</v>
      </c>
      <c r="D3435" s="12">
        <v>88.237063681284894</v>
      </c>
    </row>
    <row r="3436" spans="1:4">
      <c r="A3436">
        <v>3433</v>
      </c>
      <c r="B3436" s="12">
        <v>144.52553134853605</v>
      </c>
      <c r="C3436" s="12">
        <v>162.57106842156833</v>
      </c>
      <c r="D3436" s="12">
        <v>114.08132723197362</v>
      </c>
    </row>
    <row r="3437" spans="1:4">
      <c r="A3437">
        <v>3434</v>
      </c>
      <c r="B3437" s="12">
        <v>187.81409672071717</v>
      </c>
      <c r="C3437" s="12">
        <v>160.20586876711127</v>
      </c>
      <c r="D3437" s="12">
        <v>65.99211528811577</v>
      </c>
    </row>
    <row r="3438" spans="1:4">
      <c r="A3438">
        <v>3435</v>
      </c>
      <c r="B3438" s="12">
        <v>148.83603665619191</v>
      </c>
      <c r="C3438" s="12">
        <v>136.81236432747036</v>
      </c>
      <c r="D3438" s="12">
        <v>142.55645998585899</v>
      </c>
    </row>
    <row r="3439" spans="1:4">
      <c r="A3439">
        <v>3436</v>
      </c>
      <c r="B3439" s="12">
        <v>167.45488829020314</v>
      </c>
      <c r="C3439" s="12">
        <v>161.5949101015064</v>
      </c>
      <c r="D3439" s="12">
        <v>218.32280902851753</v>
      </c>
    </row>
    <row r="3440" spans="1:4">
      <c r="A3440">
        <v>3437</v>
      </c>
      <c r="B3440" s="12">
        <v>166.42833875866654</v>
      </c>
      <c r="C3440" s="12">
        <v>163.74132822158651</v>
      </c>
      <c r="D3440" s="12">
        <v>141.64538546826373</v>
      </c>
    </row>
    <row r="3441" spans="1:4">
      <c r="A3441">
        <v>3438</v>
      </c>
      <c r="B3441" s="12">
        <v>121.15522901275499</v>
      </c>
      <c r="C3441" s="12">
        <v>155.37070150098256</v>
      </c>
      <c r="D3441" s="12">
        <v>121.23129359718183</v>
      </c>
    </row>
    <row r="3442" spans="1:4">
      <c r="A3442">
        <v>3439</v>
      </c>
      <c r="B3442" s="12">
        <v>163.64448476499967</v>
      </c>
      <c r="C3442" s="12">
        <v>139.84797881881326</v>
      </c>
      <c r="D3442" s="12">
        <v>122.83106801786909</v>
      </c>
    </row>
    <row r="3443" spans="1:4">
      <c r="A3443">
        <v>3440</v>
      </c>
      <c r="B3443" s="12">
        <v>134.59767676475096</v>
      </c>
      <c r="C3443" s="12">
        <v>134.66597466679502</v>
      </c>
      <c r="D3443" s="12">
        <v>117.35793880977486</v>
      </c>
    </row>
    <row r="3444" spans="1:4">
      <c r="A3444">
        <v>3441</v>
      </c>
      <c r="B3444" s="12">
        <v>150.04175723588529</v>
      </c>
      <c r="C3444" s="12">
        <v>168.65002506288357</v>
      </c>
      <c r="D3444" s="12">
        <v>95.400632257858689</v>
      </c>
    </row>
    <row r="3445" spans="1:4">
      <c r="A3445">
        <v>3442</v>
      </c>
      <c r="B3445" s="12">
        <v>163.02545952107715</v>
      </c>
      <c r="C3445" s="12">
        <v>106.87972539602566</v>
      </c>
      <c r="D3445" s="12">
        <v>100.92509414015615</v>
      </c>
    </row>
    <row r="3446" spans="1:4">
      <c r="A3446">
        <v>3443</v>
      </c>
      <c r="B3446" s="12">
        <v>186.42084219277643</v>
      </c>
      <c r="C3446" s="12">
        <v>162.30128768637783</v>
      </c>
      <c r="D3446" s="12">
        <v>163.56240748846645</v>
      </c>
    </row>
    <row r="3447" spans="1:4">
      <c r="A3447">
        <v>3444</v>
      </c>
      <c r="B3447" s="12">
        <v>219.43933720420918</v>
      </c>
      <c r="C3447" s="12">
        <v>145.80374187273665</v>
      </c>
      <c r="D3447" s="12">
        <v>121.66298382538325</v>
      </c>
    </row>
    <row r="3448" spans="1:4">
      <c r="A3448">
        <v>3445</v>
      </c>
      <c r="B3448" s="12">
        <v>137.92667028030783</v>
      </c>
      <c r="C3448" s="12">
        <v>125.40010609694481</v>
      </c>
      <c r="D3448" s="12">
        <v>54.709621903623677</v>
      </c>
    </row>
    <row r="3449" spans="1:4">
      <c r="A3449">
        <v>3446</v>
      </c>
      <c r="B3449" s="12">
        <v>137.66423286658761</v>
      </c>
      <c r="C3449" s="12">
        <v>159.1001174112221</v>
      </c>
      <c r="D3449" s="12">
        <v>131.95313477655978</v>
      </c>
    </row>
    <row r="3450" spans="1:4">
      <c r="A3450">
        <v>3447</v>
      </c>
      <c r="B3450" s="12">
        <v>140.05296950140928</v>
      </c>
      <c r="C3450" s="12">
        <v>113.59342819652991</v>
      </c>
      <c r="D3450" s="12">
        <v>79.999107751101519</v>
      </c>
    </row>
    <row r="3451" spans="1:4">
      <c r="A3451">
        <v>3448</v>
      </c>
      <c r="B3451" s="12">
        <v>178.01471842991819</v>
      </c>
      <c r="C3451" s="12">
        <v>158.84413704239643</v>
      </c>
      <c r="D3451" s="12">
        <v>73.367159093475479</v>
      </c>
    </row>
    <row r="3452" spans="1:4">
      <c r="A3452">
        <v>3449</v>
      </c>
      <c r="B3452" s="12">
        <v>129.47886155359612</v>
      </c>
      <c r="C3452" s="12">
        <v>175.89284568023362</v>
      </c>
      <c r="D3452" s="12">
        <v>77.689183184724882</v>
      </c>
    </row>
    <row r="3453" spans="1:4">
      <c r="A3453">
        <v>3450</v>
      </c>
      <c r="B3453" s="12">
        <v>141.87391024951779</v>
      </c>
      <c r="C3453" s="12">
        <v>151.24698599481326</v>
      </c>
      <c r="D3453" s="12">
        <v>82.074111988954257</v>
      </c>
    </row>
    <row r="3454" spans="1:4">
      <c r="A3454">
        <v>3451</v>
      </c>
      <c r="B3454" s="12">
        <v>203.56362866540184</v>
      </c>
      <c r="C3454" s="12">
        <v>110.55261666636234</v>
      </c>
      <c r="D3454" s="12">
        <v>59.161566258432011</v>
      </c>
    </row>
    <row r="3455" spans="1:4">
      <c r="A3455">
        <v>3452</v>
      </c>
      <c r="B3455" s="12">
        <v>287.31266629273097</v>
      </c>
      <c r="C3455" s="12">
        <v>125.71728314254862</v>
      </c>
      <c r="D3455" s="12">
        <v>102.39775960064463</v>
      </c>
    </row>
    <row r="3456" spans="1:4">
      <c r="A3456">
        <v>3453</v>
      </c>
      <c r="B3456" s="12">
        <v>178.75343405033178</v>
      </c>
      <c r="C3456" s="12">
        <v>177.59419107302594</v>
      </c>
      <c r="D3456" s="12">
        <v>92.611372764978697</v>
      </c>
    </row>
    <row r="3457" spans="1:4">
      <c r="A3457">
        <v>3454</v>
      </c>
      <c r="B3457" s="12">
        <v>175.69270424742609</v>
      </c>
      <c r="C3457" s="12">
        <v>163.01650725213381</v>
      </c>
      <c r="D3457" s="12">
        <v>150.04952681442001</v>
      </c>
    </row>
    <row r="3458" spans="1:4">
      <c r="A3458">
        <v>3455</v>
      </c>
      <c r="B3458" s="12">
        <v>89.758773810554047</v>
      </c>
      <c r="C3458" s="12">
        <v>121.24452755519613</v>
      </c>
      <c r="D3458" s="12">
        <v>140.76702583756605</v>
      </c>
    </row>
    <row r="3459" spans="1:4">
      <c r="A3459">
        <v>3456</v>
      </c>
      <c r="B3459" s="12">
        <v>151.00864010271195</v>
      </c>
      <c r="C3459" s="12">
        <v>166.27256746446139</v>
      </c>
      <c r="D3459" s="12">
        <v>101.83691786785434</v>
      </c>
    </row>
    <row r="3460" spans="1:4">
      <c r="A3460">
        <v>3457</v>
      </c>
      <c r="B3460" s="12">
        <v>136.15131025403602</v>
      </c>
      <c r="C3460" s="12">
        <v>185.6475944111391</v>
      </c>
      <c r="D3460" s="12">
        <v>145.81366892385947</v>
      </c>
    </row>
    <row r="3461" spans="1:4">
      <c r="A3461">
        <v>3458</v>
      </c>
      <c r="B3461" s="12">
        <v>145.14483595401705</v>
      </c>
      <c r="C3461" s="12">
        <v>184.19289832135087</v>
      </c>
      <c r="D3461" s="12">
        <v>156.31506347312032</v>
      </c>
    </row>
    <row r="3462" spans="1:4">
      <c r="A3462">
        <v>3459</v>
      </c>
      <c r="B3462" s="12">
        <v>135.72887959366361</v>
      </c>
      <c r="C3462" s="12">
        <v>131.98924554582658</v>
      </c>
      <c r="D3462" s="12">
        <v>127.99666868855921</v>
      </c>
    </row>
    <row r="3463" spans="1:4">
      <c r="A3463">
        <v>3460</v>
      </c>
      <c r="B3463" s="12">
        <v>117.57407356498119</v>
      </c>
      <c r="C3463" s="12">
        <v>159.35693685186871</v>
      </c>
      <c r="D3463" s="12">
        <v>104.84901384551551</v>
      </c>
    </row>
    <row r="3464" spans="1:4">
      <c r="A3464">
        <v>3461</v>
      </c>
      <c r="B3464" s="12">
        <v>120.09743234648855</v>
      </c>
      <c r="C3464" s="12">
        <v>140.12377864198771</v>
      </c>
      <c r="D3464" s="12">
        <v>99.924189114627012</v>
      </c>
    </row>
    <row r="3465" spans="1:4">
      <c r="A3465">
        <v>3462</v>
      </c>
      <c r="B3465" s="12">
        <v>108.99545601212635</v>
      </c>
      <c r="C3465" s="12">
        <v>150.20319661346593</v>
      </c>
      <c r="D3465" s="12">
        <v>57.222732150781681</v>
      </c>
    </row>
    <row r="3466" spans="1:4">
      <c r="A3466">
        <v>3463</v>
      </c>
      <c r="B3466" s="12">
        <v>160.44043161036439</v>
      </c>
      <c r="C3466" s="12">
        <v>179.85112670811537</v>
      </c>
      <c r="D3466" s="12">
        <v>88.408946655220987</v>
      </c>
    </row>
    <row r="3467" spans="1:4">
      <c r="A3467">
        <v>3464</v>
      </c>
      <c r="B3467" s="12">
        <v>201.5660677126144</v>
      </c>
      <c r="C3467" s="12">
        <v>119.36840060489656</v>
      </c>
      <c r="D3467" s="12">
        <v>148.80661249307974</v>
      </c>
    </row>
    <row r="3468" spans="1:4">
      <c r="A3468">
        <v>3465</v>
      </c>
      <c r="B3468" s="12">
        <v>142.12227554273213</v>
      </c>
      <c r="C3468" s="12">
        <v>203.9279845884852</v>
      </c>
      <c r="D3468" s="12">
        <v>93.138768058152635</v>
      </c>
    </row>
    <row r="3469" spans="1:4">
      <c r="A3469">
        <v>3466</v>
      </c>
      <c r="B3469" s="12">
        <v>118.29439664199685</v>
      </c>
      <c r="C3469" s="12">
        <v>142.25395535968434</v>
      </c>
      <c r="D3469" s="12">
        <v>93.57144509517984</v>
      </c>
    </row>
    <row r="3470" spans="1:4">
      <c r="A3470">
        <v>3467</v>
      </c>
      <c r="B3470" s="12">
        <v>146.50896497351872</v>
      </c>
      <c r="C3470" s="12">
        <v>158.42592684615281</v>
      </c>
      <c r="D3470" s="12">
        <v>137.32194840477607</v>
      </c>
    </row>
    <row r="3471" spans="1:4">
      <c r="A3471">
        <v>3468</v>
      </c>
      <c r="B3471" s="12">
        <v>129.78858021651246</v>
      </c>
      <c r="C3471" s="12">
        <v>143.62944823252795</v>
      </c>
      <c r="D3471" s="12">
        <v>89.381834111835872</v>
      </c>
    </row>
    <row r="3472" spans="1:4">
      <c r="A3472">
        <v>3469</v>
      </c>
      <c r="B3472" s="12">
        <v>164.02317823252551</v>
      </c>
      <c r="C3472" s="12">
        <v>211.9732765037518</v>
      </c>
      <c r="D3472" s="12">
        <v>136.58046063642931</v>
      </c>
    </row>
    <row r="3473" spans="1:4">
      <c r="A3473">
        <v>3470</v>
      </c>
      <c r="B3473" s="12">
        <v>156.78986417503316</v>
      </c>
      <c r="C3473" s="12">
        <v>153.82555173037599</v>
      </c>
      <c r="D3473" s="12">
        <v>71.223284559144915</v>
      </c>
    </row>
    <row r="3474" spans="1:4">
      <c r="A3474">
        <v>3471</v>
      </c>
      <c r="B3474" s="12">
        <v>136.57067555669929</v>
      </c>
      <c r="C3474" s="12">
        <v>161.1601825100428</v>
      </c>
      <c r="D3474" s="12">
        <v>120.11754572917084</v>
      </c>
    </row>
    <row r="3475" spans="1:4">
      <c r="A3475">
        <v>3472</v>
      </c>
      <c r="B3475" s="12">
        <v>166.67645129978587</v>
      </c>
      <c r="C3475" s="12">
        <v>132.56716906122645</v>
      </c>
      <c r="D3475" s="12">
        <v>66.568438742181755</v>
      </c>
    </row>
    <row r="3476" spans="1:4">
      <c r="A3476">
        <v>3473</v>
      </c>
      <c r="B3476" s="12">
        <v>117.10039705407058</v>
      </c>
      <c r="C3476" s="12">
        <v>118.86797168315215</v>
      </c>
      <c r="D3476" s="12">
        <v>74.733244642277242</v>
      </c>
    </row>
    <row r="3477" spans="1:4">
      <c r="A3477">
        <v>3474</v>
      </c>
      <c r="B3477" s="12">
        <v>205.67308321933368</v>
      </c>
      <c r="C3477" s="12">
        <v>216.62806306584255</v>
      </c>
      <c r="D3477" s="12">
        <v>72.977387136388401</v>
      </c>
    </row>
    <row r="3478" spans="1:4">
      <c r="A3478">
        <v>3475</v>
      </c>
      <c r="B3478" s="12">
        <v>156.55564179416112</v>
      </c>
      <c r="C3478" s="12">
        <v>202.50506947866566</v>
      </c>
      <c r="D3478" s="12">
        <v>152.24819383700159</v>
      </c>
    </row>
    <row r="3479" spans="1:4">
      <c r="A3479">
        <v>3476</v>
      </c>
      <c r="B3479" s="12">
        <v>138.99777849543872</v>
      </c>
      <c r="C3479" s="12">
        <v>120.8136733905428</v>
      </c>
      <c r="D3479" s="12">
        <v>71.646642388464613</v>
      </c>
    </row>
    <row r="3480" spans="1:4">
      <c r="A3480">
        <v>3477</v>
      </c>
      <c r="B3480" s="12">
        <v>234.98238876196982</v>
      </c>
      <c r="C3480" s="12">
        <v>150.84713168050493</v>
      </c>
      <c r="D3480" s="12">
        <v>182.8667390650277</v>
      </c>
    </row>
    <row r="3481" spans="1:4">
      <c r="A3481">
        <v>3478</v>
      </c>
      <c r="B3481" s="12">
        <v>169.54011470674772</v>
      </c>
      <c r="C3481" s="12">
        <v>157.50497443030287</v>
      </c>
      <c r="D3481" s="12">
        <v>78.863169760925047</v>
      </c>
    </row>
    <row r="3482" spans="1:4">
      <c r="A3482">
        <v>3479</v>
      </c>
      <c r="B3482" s="12">
        <v>248.72245674616241</v>
      </c>
      <c r="C3482" s="12">
        <v>146.96065084859404</v>
      </c>
      <c r="D3482" s="12">
        <v>78.015833686086438</v>
      </c>
    </row>
    <row r="3483" spans="1:4">
      <c r="A3483">
        <v>3480</v>
      </c>
      <c r="B3483" s="12">
        <v>84.58273587173403</v>
      </c>
      <c r="C3483" s="12">
        <v>140.84409281075344</v>
      </c>
      <c r="D3483" s="12">
        <v>97.778676188047072</v>
      </c>
    </row>
    <row r="3484" spans="1:4">
      <c r="A3484">
        <v>3481</v>
      </c>
      <c r="B3484" s="12">
        <v>126.29624136109406</v>
      </c>
      <c r="C3484" s="12">
        <v>130.02394480971861</v>
      </c>
      <c r="D3484" s="12">
        <v>138.08555634358007</v>
      </c>
    </row>
    <row r="3485" spans="1:4">
      <c r="A3485">
        <v>3482</v>
      </c>
      <c r="B3485" s="12">
        <v>213.51375814242203</v>
      </c>
      <c r="C3485" s="12">
        <v>149.7149267052192</v>
      </c>
      <c r="D3485" s="12">
        <v>105.14128639582745</v>
      </c>
    </row>
    <row r="3486" spans="1:4">
      <c r="A3486">
        <v>3483</v>
      </c>
      <c r="B3486" s="12">
        <v>198.970551501979</v>
      </c>
      <c r="C3486" s="12">
        <v>146.46355111983686</v>
      </c>
      <c r="D3486" s="12">
        <v>118.38546198848991</v>
      </c>
    </row>
    <row r="3487" spans="1:4">
      <c r="A3487">
        <v>3484</v>
      </c>
      <c r="B3487" s="12">
        <v>147.11965405376566</v>
      </c>
      <c r="C3487" s="12">
        <v>176.92994341278037</v>
      </c>
      <c r="D3487" s="12">
        <v>74.965867387320785</v>
      </c>
    </row>
    <row r="3488" spans="1:4">
      <c r="A3488">
        <v>3485</v>
      </c>
      <c r="B3488" s="12">
        <v>150.77432722737126</v>
      </c>
      <c r="C3488" s="12">
        <v>131.62997283975398</v>
      </c>
      <c r="D3488" s="12">
        <v>70.508104688678287</v>
      </c>
    </row>
    <row r="3489" spans="1:4">
      <c r="A3489">
        <v>3486</v>
      </c>
      <c r="B3489" s="12">
        <v>259.59775154847853</v>
      </c>
      <c r="C3489" s="12">
        <v>144.97745108887386</v>
      </c>
      <c r="D3489" s="12">
        <v>85.083178548945597</v>
      </c>
    </row>
    <row r="3490" spans="1:4">
      <c r="A3490">
        <v>3487</v>
      </c>
      <c r="B3490" s="12">
        <v>184.24042093732319</v>
      </c>
      <c r="C3490" s="12">
        <v>149.06916724459734</v>
      </c>
      <c r="D3490" s="12">
        <v>107.50903862424339</v>
      </c>
    </row>
    <row r="3491" spans="1:4">
      <c r="A3491">
        <v>3488</v>
      </c>
      <c r="B3491" s="12">
        <v>185.06514252430546</v>
      </c>
      <c r="C3491" s="12">
        <v>164.47656249478692</v>
      </c>
      <c r="D3491" s="12">
        <v>135.40825905006599</v>
      </c>
    </row>
    <row r="3492" spans="1:4">
      <c r="A3492">
        <v>3489</v>
      </c>
      <c r="B3492" s="12">
        <v>133.44141630704976</v>
      </c>
      <c r="C3492" s="12">
        <v>137.11081847147855</v>
      </c>
      <c r="D3492" s="12">
        <v>109.14682267589636</v>
      </c>
    </row>
    <row r="3493" spans="1:4">
      <c r="A3493">
        <v>3490</v>
      </c>
      <c r="B3493" s="12">
        <v>177.56864197540855</v>
      </c>
      <c r="C3493" s="12">
        <v>181.05790548140124</v>
      </c>
      <c r="D3493" s="12">
        <v>86.264063582272613</v>
      </c>
    </row>
    <row r="3494" spans="1:4">
      <c r="A3494">
        <v>3491</v>
      </c>
      <c r="B3494" s="12">
        <v>225.73973538121248</v>
      </c>
      <c r="C3494" s="12">
        <v>154.71948126984441</v>
      </c>
      <c r="D3494" s="12">
        <v>124.82086175209045</v>
      </c>
    </row>
    <row r="3495" spans="1:4">
      <c r="A3495">
        <v>3492</v>
      </c>
      <c r="B3495" s="12">
        <v>154.86167592940828</v>
      </c>
      <c r="C3495" s="12">
        <v>157.75702577368023</v>
      </c>
      <c r="D3495" s="12">
        <v>144.12962968998889</v>
      </c>
    </row>
    <row r="3496" spans="1:4">
      <c r="A3496">
        <v>3493</v>
      </c>
      <c r="B3496" s="12">
        <v>115.55193661665182</v>
      </c>
      <c r="C3496" s="12">
        <v>184.53733635780205</v>
      </c>
      <c r="D3496" s="12">
        <v>98.219861296561689</v>
      </c>
    </row>
    <row r="3497" spans="1:4">
      <c r="A3497">
        <v>3494</v>
      </c>
      <c r="B3497" s="12">
        <v>151.37418853326264</v>
      </c>
      <c r="C3497" s="12">
        <v>148.66712579181927</v>
      </c>
      <c r="D3497" s="12">
        <v>90.783666185693292</v>
      </c>
    </row>
    <row r="3498" spans="1:4">
      <c r="A3498">
        <v>3495</v>
      </c>
      <c r="B3498" s="12">
        <v>158.12381177248886</v>
      </c>
      <c r="C3498" s="12">
        <v>133.46997974949144</v>
      </c>
      <c r="D3498" s="12">
        <v>61.092301825403183</v>
      </c>
    </row>
    <row r="3499" spans="1:4">
      <c r="A3499">
        <v>3496</v>
      </c>
      <c r="B3499" s="12">
        <v>130.74049511197978</v>
      </c>
      <c r="C3499" s="12">
        <v>172.9844626404352</v>
      </c>
      <c r="D3499" s="12">
        <v>84.804596626051634</v>
      </c>
    </row>
    <row r="3500" spans="1:4">
      <c r="A3500">
        <v>3497</v>
      </c>
      <c r="B3500" s="12">
        <v>278.90932244017222</v>
      </c>
      <c r="C3500" s="12">
        <v>142.94554200709103</v>
      </c>
      <c r="D3500" s="12">
        <v>91.481733890671563</v>
      </c>
    </row>
    <row r="3501" spans="1:4">
      <c r="A3501">
        <v>3498</v>
      </c>
      <c r="B3501" s="12">
        <v>155.22637986822133</v>
      </c>
      <c r="C3501" s="12">
        <v>140.57261175879222</v>
      </c>
      <c r="D3501" s="12">
        <v>119.44355313050767</v>
      </c>
    </row>
    <row r="3502" spans="1:4">
      <c r="A3502">
        <v>3499</v>
      </c>
      <c r="B3502" s="12">
        <v>144.1464722470335</v>
      </c>
      <c r="C3502" s="12">
        <v>188.88011565754908</v>
      </c>
      <c r="D3502" s="12">
        <v>106.21734383944661</v>
      </c>
    </row>
    <row r="3503" spans="1:4">
      <c r="A3503">
        <v>3500</v>
      </c>
      <c r="B3503" s="12">
        <v>162.64942627142636</v>
      </c>
      <c r="C3503" s="12">
        <v>141.9898571923201</v>
      </c>
      <c r="D3503" s="12">
        <v>113.50745505063281</v>
      </c>
    </row>
    <row r="3504" spans="1:4">
      <c r="A3504">
        <v>3501</v>
      </c>
      <c r="B3504" s="12">
        <v>161.66086624652962</v>
      </c>
      <c r="C3504" s="12">
        <v>144.05084867001901</v>
      </c>
      <c r="D3504" s="12">
        <v>105.91982106497611</v>
      </c>
    </row>
    <row r="3505" spans="1:4">
      <c r="A3505">
        <v>3502</v>
      </c>
      <c r="B3505" s="12">
        <v>193.83777262463488</v>
      </c>
      <c r="C3505" s="12">
        <v>152.29058172869401</v>
      </c>
      <c r="D3505" s="12">
        <v>96.367305252564748</v>
      </c>
    </row>
    <row r="3506" spans="1:4">
      <c r="A3506">
        <v>3503</v>
      </c>
      <c r="B3506" s="12">
        <v>133.88244034734385</v>
      </c>
      <c r="C3506" s="12">
        <v>197.46339035142006</v>
      </c>
      <c r="D3506" s="12">
        <v>97.338886722845942</v>
      </c>
    </row>
    <row r="3507" spans="1:4">
      <c r="A3507">
        <v>3504</v>
      </c>
      <c r="B3507" s="12">
        <v>214.55727533176608</v>
      </c>
      <c r="C3507" s="12">
        <v>130.27187826170265</v>
      </c>
      <c r="D3507" s="12">
        <v>93.835275289664523</v>
      </c>
    </row>
    <row r="3508" spans="1:4">
      <c r="A3508">
        <v>3505</v>
      </c>
      <c r="B3508" s="12">
        <v>111.77901507634425</v>
      </c>
      <c r="C3508" s="12">
        <v>148.26429382595487</v>
      </c>
      <c r="D3508" s="12">
        <v>72.322532368743055</v>
      </c>
    </row>
    <row r="3509" spans="1:4">
      <c r="A3509">
        <v>3506</v>
      </c>
      <c r="B3509" s="12">
        <v>133.15681303817365</v>
      </c>
      <c r="C3509" s="12">
        <v>167.84191876318567</v>
      </c>
      <c r="D3509" s="12">
        <v>97.510442324909917</v>
      </c>
    </row>
    <row r="3510" spans="1:4">
      <c r="A3510">
        <v>3507</v>
      </c>
      <c r="B3510" s="12">
        <v>154.26358409208191</v>
      </c>
      <c r="C3510" s="12">
        <v>142.68458126198817</v>
      </c>
      <c r="D3510" s="12">
        <v>110.84087975414859</v>
      </c>
    </row>
    <row r="3511" spans="1:4">
      <c r="A3511">
        <v>3508</v>
      </c>
      <c r="B3511" s="12">
        <v>170.85992606363394</v>
      </c>
      <c r="C3511" s="12">
        <v>115.52436573506118</v>
      </c>
      <c r="D3511" s="12">
        <v>96.633637601586415</v>
      </c>
    </row>
    <row r="3512" spans="1:4">
      <c r="A3512">
        <v>3509</v>
      </c>
      <c r="B3512" s="12">
        <v>224.27007774751027</v>
      </c>
      <c r="C3512" s="12">
        <v>117.15454640776994</v>
      </c>
      <c r="D3512" s="12">
        <v>161.31539104568805</v>
      </c>
    </row>
    <row r="3513" spans="1:4">
      <c r="A3513">
        <v>3510</v>
      </c>
      <c r="B3513" s="12">
        <v>132.25698168393387</v>
      </c>
      <c r="C3513" s="12">
        <v>139.39167813556827</v>
      </c>
      <c r="D3513" s="12">
        <v>102.11683854372876</v>
      </c>
    </row>
    <row r="3514" spans="1:4">
      <c r="A3514">
        <v>3511</v>
      </c>
      <c r="B3514" s="12">
        <v>232.99491191055279</v>
      </c>
      <c r="C3514" s="12">
        <v>209.70135161715686</v>
      </c>
      <c r="D3514" s="12">
        <v>75.903381887777314</v>
      </c>
    </row>
    <row r="3515" spans="1:4">
      <c r="A3515">
        <v>3512</v>
      </c>
      <c r="B3515" s="12">
        <v>147.86123006923199</v>
      </c>
      <c r="C3515" s="12">
        <v>139.11108174973023</v>
      </c>
      <c r="D3515" s="12">
        <v>126.62022039504254</v>
      </c>
    </row>
    <row r="3516" spans="1:4">
      <c r="A3516">
        <v>3513</v>
      </c>
      <c r="B3516" s="12">
        <v>122.77386726117135</v>
      </c>
      <c r="C3516" s="12">
        <v>153.42390963510638</v>
      </c>
      <c r="D3516" s="12">
        <v>133.62499917946045</v>
      </c>
    </row>
    <row r="3517" spans="1:4">
      <c r="A3517">
        <v>3514</v>
      </c>
      <c r="B3517" s="12">
        <v>136.83774567204878</v>
      </c>
      <c r="C3517" s="12">
        <v>128.9693899903464</v>
      </c>
      <c r="D3517" s="12">
        <v>145.14184717687462</v>
      </c>
    </row>
    <row r="3518" spans="1:4">
      <c r="A3518">
        <v>3515</v>
      </c>
      <c r="B3518" s="12">
        <v>164.40295610367306</v>
      </c>
      <c r="C3518" s="12">
        <v>168.34201622835076</v>
      </c>
      <c r="D3518" s="12">
        <v>115.98685682501998</v>
      </c>
    </row>
    <row r="3519" spans="1:4">
      <c r="A3519">
        <v>3516</v>
      </c>
      <c r="B3519" s="12">
        <v>179.96141342765247</v>
      </c>
      <c r="C3519" s="12">
        <v>174.52139031849393</v>
      </c>
      <c r="D3519" s="12">
        <v>98.933222303070423</v>
      </c>
    </row>
    <row r="3520" spans="1:4">
      <c r="A3520">
        <v>3517</v>
      </c>
      <c r="B3520" s="12">
        <v>148.46739134629834</v>
      </c>
      <c r="C3520" s="12">
        <v>154.4735219233151</v>
      </c>
      <c r="D3520" s="12">
        <v>67.467417504390937</v>
      </c>
    </row>
    <row r="3521" spans="1:4">
      <c r="A3521">
        <v>3518</v>
      </c>
      <c r="B3521" s="12">
        <v>145.89586959592447</v>
      </c>
      <c r="C3521" s="12">
        <v>143.37129583245837</v>
      </c>
      <c r="D3521" s="12">
        <v>108.32140360176797</v>
      </c>
    </row>
    <row r="3522" spans="1:4">
      <c r="A3522">
        <v>3519</v>
      </c>
      <c r="B3522" s="12">
        <v>181.19443769355456</v>
      </c>
      <c r="C3522" s="12">
        <v>171.73358921137316</v>
      </c>
      <c r="D3522" s="12">
        <v>105.6237957846635</v>
      </c>
    </row>
    <row r="3523" spans="1:4">
      <c r="A3523">
        <v>3520</v>
      </c>
      <c r="B3523" s="12">
        <v>114.19053333712787</v>
      </c>
      <c r="C3523" s="12">
        <v>146.30387967099452</v>
      </c>
      <c r="D3523" s="12">
        <v>80.500167282318046</v>
      </c>
    </row>
    <row r="3524" spans="1:4">
      <c r="A3524">
        <v>3521</v>
      </c>
      <c r="B3524" s="12">
        <v>218.66064535573173</v>
      </c>
      <c r="C3524" s="12">
        <v>158.68059748406921</v>
      </c>
      <c r="D3524" s="12">
        <v>107.20460173680137</v>
      </c>
    </row>
    <row r="3525" spans="1:4">
      <c r="A3525">
        <v>3522</v>
      </c>
      <c r="B3525" s="12">
        <v>313.26329869172412</v>
      </c>
      <c r="C3525" s="12">
        <v>158.00975797056867</v>
      </c>
      <c r="D3525" s="12">
        <v>109.66665659633848</v>
      </c>
    </row>
    <row r="3526" spans="1:4">
      <c r="A3526">
        <v>3523</v>
      </c>
      <c r="B3526" s="12">
        <v>217.48132621530402</v>
      </c>
      <c r="C3526" s="12">
        <v>126.96550822932153</v>
      </c>
      <c r="D3526" s="12">
        <v>100.19807028175985</v>
      </c>
    </row>
    <row r="3527" spans="1:4">
      <c r="A3527">
        <v>3524</v>
      </c>
      <c r="B3527" s="12">
        <v>190.7273365654647</v>
      </c>
      <c r="C3527" s="12">
        <v>156.18402417942391</v>
      </c>
      <c r="D3527" s="12">
        <v>83.598272610180771</v>
      </c>
    </row>
    <row r="3528" spans="1:4">
      <c r="A3528">
        <v>3525</v>
      </c>
      <c r="B3528" s="12">
        <v>192.84807213072096</v>
      </c>
      <c r="C3528" s="12">
        <v>136.51121489338414</v>
      </c>
      <c r="D3528" s="12">
        <v>78.339240285592311</v>
      </c>
    </row>
    <row r="3529" spans="1:4">
      <c r="A3529">
        <v>3526</v>
      </c>
      <c r="B3529" s="12">
        <v>185.57434259719938</v>
      </c>
      <c r="C3529" s="12">
        <v>147.11942223931578</v>
      </c>
      <c r="D3529" s="12">
        <v>115.38490221498643</v>
      </c>
    </row>
    <row r="3530" spans="1:4">
      <c r="A3530">
        <v>3527</v>
      </c>
      <c r="B3530" s="12">
        <v>155.82503171414822</v>
      </c>
      <c r="C3530" s="12">
        <v>155.77674031690287</v>
      </c>
      <c r="D3530" s="12">
        <v>52.635305785421444</v>
      </c>
    </row>
    <row r="3531" spans="1:4">
      <c r="A3531">
        <v>3528</v>
      </c>
      <c r="B3531" s="12">
        <v>163.40246589414801</v>
      </c>
      <c r="C3531" s="12">
        <v>170.85485473148518</v>
      </c>
      <c r="D3531" s="12">
        <v>108.01226851475319</v>
      </c>
    </row>
    <row r="3532" spans="1:4">
      <c r="A3532">
        <v>3529</v>
      </c>
      <c r="B3532" s="12">
        <v>245.54079113428122</v>
      </c>
      <c r="C3532" s="12">
        <v>191.17007275839649</v>
      </c>
      <c r="D3532" s="12">
        <v>89.818324762981447</v>
      </c>
    </row>
    <row r="3533" spans="1:4">
      <c r="A3533">
        <v>3530</v>
      </c>
      <c r="B3533" s="12">
        <v>191.30003444646579</v>
      </c>
      <c r="C3533" s="12">
        <v>138.82853309270888</v>
      </c>
      <c r="D3533" s="12">
        <v>69.295326607297227</v>
      </c>
    </row>
    <row r="3534" spans="1:4">
      <c r="A3534">
        <v>3531</v>
      </c>
      <c r="B3534" s="12">
        <v>97.487005965052077</v>
      </c>
      <c r="C3534" s="12">
        <v>138.64648647980886</v>
      </c>
      <c r="D3534" s="12">
        <v>104.37242877678841</v>
      </c>
    </row>
    <row r="3535" spans="1:4">
      <c r="A3535">
        <v>3532</v>
      </c>
      <c r="B3535" s="12">
        <v>204.86005790778691</v>
      </c>
      <c r="C3535" s="12">
        <v>140.29954823890429</v>
      </c>
      <c r="D3535" s="12">
        <v>58.452814233084041</v>
      </c>
    </row>
    <row r="3536" spans="1:4">
      <c r="A3536">
        <v>3533</v>
      </c>
      <c r="B3536" s="12">
        <v>134.31960486962438</v>
      </c>
      <c r="C3536" s="12">
        <v>165.50893407727358</v>
      </c>
      <c r="D3536" s="12">
        <v>104.08362942456051</v>
      </c>
    </row>
    <row r="3537" spans="1:4">
      <c r="A3537">
        <v>3534</v>
      </c>
      <c r="B3537" s="12">
        <v>124.86434250733215</v>
      </c>
      <c r="C3537" s="12">
        <v>132.9128731690993</v>
      </c>
      <c r="D3537" s="12">
        <v>124.04336181339959</v>
      </c>
    </row>
    <row r="3538" spans="1:4">
      <c r="A3538">
        <v>3535</v>
      </c>
      <c r="B3538" s="12">
        <v>131.04077095800983</v>
      </c>
      <c r="C3538" s="12">
        <v>141.55379638339537</v>
      </c>
      <c r="D3538" s="12">
        <v>95.665750295045783</v>
      </c>
    </row>
    <row r="3539" spans="1:4">
      <c r="A3539">
        <v>3536</v>
      </c>
      <c r="B3539" s="12">
        <v>137.25235819676294</v>
      </c>
      <c r="C3539" s="12">
        <v>181.53056663445676</v>
      </c>
      <c r="D3539" s="12">
        <v>55.786280223914474</v>
      </c>
    </row>
    <row r="3540" spans="1:4">
      <c r="A3540">
        <v>3537</v>
      </c>
      <c r="B3540" s="12">
        <v>104.13694870826923</v>
      </c>
      <c r="C3540" s="12">
        <v>230.17422113021507</v>
      </c>
      <c r="D3540" s="12">
        <v>69.597203308863968</v>
      </c>
    </row>
    <row r="3541" spans="1:4">
      <c r="A3541">
        <v>3538</v>
      </c>
      <c r="B3541" s="12">
        <v>165.41130950882697</v>
      </c>
      <c r="C3541" s="12">
        <v>165.98182472708456</v>
      </c>
      <c r="D3541" s="12">
        <v>126.11519113679302</v>
      </c>
    </row>
    <row r="3542" spans="1:4">
      <c r="A3542">
        <v>3539</v>
      </c>
      <c r="B3542" s="12">
        <v>151.97331056092389</v>
      </c>
      <c r="C3542" s="12">
        <v>164.01849812478159</v>
      </c>
      <c r="D3542" s="12">
        <v>108.83263064395324</v>
      </c>
    </row>
    <row r="3543" spans="1:4">
      <c r="A3543">
        <v>3540</v>
      </c>
      <c r="B3543" s="12">
        <v>228.31591878112096</v>
      </c>
      <c r="C3543" s="12">
        <v>103.26126230615851</v>
      </c>
      <c r="D3543" s="12">
        <v>65.391150214296914</v>
      </c>
    </row>
    <row r="3544" spans="1:4">
      <c r="A3544">
        <v>3541</v>
      </c>
      <c r="B3544" s="12">
        <v>216.34322954506251</v>
      </c>
      <c r="C3544" s="12">
        <v>147.77194441362712</v>
      </c>
      <c r="D3544" s="12">
        <v>112.60014971794686</v>
      </c>
    </row>
    <row r="3545" spans="1:4">
      <c r="A3545">
        <v>3542</v>
      </c>
      <c r="B3545" s="12">
        <v>164.64680930937993</v>
      </c>
      <c r="C3545" s="12">
        <v>137.59489406099661</v>
      </c>
      <c r="D3545" s="12">
        <v>136.11646770700446</v>
      </c>
    </row>
    <row r="3546" spans="1:4">
      <c r="A3546">
        <v>3543</v>
      </c>
      <c r="B3546" s="12">
        <v>222.86728085521517</v>
      </c>
      <c r="C3546" s="12">
        <v>143.79428646194961</v>
      </c>
      <c r="D3546" s="12">
        <v>134.28630057274833</v>
      </c>
    </row>
    <row r="3547" spans="1:4">
      <c r="A3547">
        <v>3544</v>
      </c>
      <c r="B3547" s="12">
        <v>236.33153228500871</v>
      </c>
      <c r="C3547" s="12">
        <v>137.30062575764765</v>
      </c>
      <c r="D3547" s="12">
        <v>75.678980628575772</v>
      </c>
    </row>
    <row r="3548" spans="1:4">
      <c r="A3548">
        <v>3545</v>
      </c>
      <c r="B3548" s="12">
        <v>199.66666858853054</v>
      </c>
      <c r="C3548" s="12">
        <v>124.36784731627453</v>
      </c>
      <c r="D3548" s="12">
        <v>104.66251153801703</v>
      </c>
    </row>
    <row r="3549" spans="1:4">
      <c r="A3549">
        <v>3546</v>
      </c>
      <c r="B3549" s="12">
        <v>168.74505306089438</v>
      </c>
      <c r="C3549" s="12">
        <v>126.20073072467612</v>
      </c>
      <c r="D3549" s="12">
        <v>83.882175489412589</v>
      </c>
    </row>
    <row r="3550" spans="1:4">
      <c r="A3550">
        <v>3547</v>
      </c>
      <c r="B3550" s="12">
        <v>162.03452740545319</v>
      </c>
      <c r="C3550" s="12">
        <v>118.04265006576274</v>
      </c>
      <c r="D3550" s="12">
        <v>94.532497939479782</v>
      </c>
    </row>
    <row r="3551" spans="1:4">
      <c r="A3551">
        <v>3548</v>
      </c>
      <c r="B3551" s="12">
        <v>101.25086742970149</v>
      </c>
      <c r="C3551" s="12">
        <v>154.07070782709394</v>
      </c>
      <c r="D3551" s="12">
        <v>128.88574253846843</v>
      </c>
    </row>
    <row r="3552" spans="1:4">
      <c r="A3552">
        <v>3549</v>
      </c>
      <c r="B3552" s="12">
        <v>146.13555118565264</v>
      </c>
      <c r="C3552" s="12">
        <v>180.30139505706731</v>
      </c>
      <c r="D3552" s="12">
        <v>63.659687946995696</v>
      </c>
    </row>
    <row r="3553" spans="1:4">
      <c r="A3553">
        <v>3550</v>
      </c>
      <c r="B3553" s="12">
        <v>226.71966799230702</v>
      </c>
      <c r="C3553" s="12">
        <v>141.7244790817042</v>
      </c>
      <c r="D3553" s="12">
        <v>159.99157864116637</v>
      </c>
    </row>
    <row r="3554" spans="1:4">
      <c r="A3554">
        <v>3551</v>
      </c>
      <c r="B3554" s="12">
        <v>152.70297320687962</v>
      </c>
      <c r="C3554" s="12">
        <v>124.89230297076526</v>
      </c>
      <c r="D3554" s="12">
        <v>86.088499167179961</v>
      </c>
    </row>
    <row r="3555" spans="1:4">
      <c r="A3555">
        <v>3552</v>
      </c>
      <c r="B3555" s="12">
        <v>153.30110824693921</v>
      </c>
      <c r="C3555" s="12">
        <v>144.72402455307702</v>
      </c>
      <c r="D3555" s="12">
        <v>103.61252229591665</v>
      </c>
    </row>
    <row r="3556" spans="1:4">
      <c r="A3556">
        <v>3553</v>
      </c>
      <c r="B3556" s="12">
        <v>211.86860782466883</v>
      </c>
      <c r="C3556" s="12">
        <v>133.13183675749966</v>
      </c>
      <c r="D3556" s="12">
        <v>87.52588957540712</v>
      </c>
    </row>
    <row r="3557" spans="1:4">
      <c r="A3557">
        <v>3554</v>
      </c>
      <c r="B3557" s="12">
        <v>147.49082081504412</v>
      </c>
      <c r="C3557" s="12">
        <v>156.43294696636801</v>
      </c>
      <c r="D3557" s="12">
        <v>171.00690969913666</v>
      </c>
    </row>
    <row r="3558" spans="1:4">
      <c r="A3558">
        <v>3555</v>
      </c>
      <c r="B3558" s="12">
        <v>210.90324506745719</v>
      </c>
      <c r="C3558" s="12">
        <v>151.64681233628042</v>
      </c>
      <c r="D3558" s="12">
        <v>98.489526061429004</v>
      </c>
    </row>
    <row r="3559" spans="1:4">
      <c r="A3559">
        <v>3556</v>
      </c>
      <c r="B3559" s="12">
        <v>121.77962438412999</v>
      </c>
      <c r="C3559" s="12">
        <v>137.88674625119364</v>
      </c>
      <c r="D3559" s="12">
        <v>106.70880030162891</v>
      </c>
    </row>
    <row r="3560" spans="1:4">
      <c r="A3560">
        <v>3557</v>
      </c>
      <c r="B3560" s="12">
        <v>189.24831550216393</v>
      </c>
      <c r="C3560" s="12">
        <v>158.17201461231255</v>
      </c>
      <c r="D3560" s="12">
        <v>76.250088030658461</v>
      </c>
    </row>
    <row r="3561" spans="1:4">
      <c r="A3561">
        <v>3558</v>
      </c>
      <c r="B3561" s="12">
        <v>115.03112378449018</v>
      </c>
      <c r="C3561" s="12">
        <v>124.02242636947375</v>
      </c>
      <c r="D3561" s="12">
        <v>63.20113782451471</v>
      </c>
    </row>
    <row r="3562" spans="1:4">
      <c r="A3562">
        <v>3559</v>
      </c>
      <c r="B3562" s="12">
        <v>126.82256421853366</v>
      </c>
      <c r="C3562" s="12">
        <v>182.82452476035277</v>
      </c>
      <c r="D3562" s="12">
        <v>177.51981933163205</v>
      </c>
    </row>
    <row r="3563" spans="1:4">
      <c r="A3563">
        <v>3560</v>
      </c>
      <c r="B3563" s="12">
        <v>124.30457943286093</v>
      </c>
      <c r="C3563" s="12">
        <v>151.49069813365304</v>
      </c>
      <c r="D3563" s="12">
        <v>158.07542071071788</v>
      </c>
    </row>
    <row r="3564" spans="1:4">
      <c r="A3564">
        <v>3561</v>
      </c>
      <c r="B3564" s="12">
        <v>231.13457135506269</v>
      </c>
      <c r="C3564" s="12">
        <v>139.5704214580625</v>
      </c>
      <c r="D3564" s="12">
        <v>64.991797547823154</v>
      </c>
    </row>
    <row r="3565" spans="1:4">
      <c r="A3565">
        <v>3562</v>
      </c>
      <c r="B3565" s="12">
        <v>122.38991212770749</v>
      </c>
      <c r="C3565" s="12">
        <v>200.39946003598297</v>
      </c>
      <c r="D3565" s="12">
        <v>95.230956183181874</v>
      </c>
    </row>
    <row r="3566" spans="1:4">
      <c r="A3566">
        <v>3563</v>
      </c>
      <c r="B3566" s="12">
        <v>269.76860597147419</v>
      </c>
      <c r="C3566" s="12">
        <v>160.03934787865896</v>
      </c>
      <c r="D3566" s="12">
        <v>102.57824240647635</v>
      </c>
    </row>
    <row r="3567" spans="1:4">
      <c r="A3567">
        <v>3564</v>
      </c>
      <c r="B3567" s="12">
        <v>132.70907083549648</v>
      </c>
      <c r="C3567" s="12">
        <v>208.40110133213753</v>
      </c>
      <c r="D3567" s="12">
        <v>91.0481995369054</v>
      </c>
    </row>
    <row r="3568" spans="1:4">
      <c r="A3568">
        <v>3565</v>
      </c>
      <c r="B3568" s="12">
        <v>131.50535313822465</v>
      </c>
      <c r="C3568" s="12">
        <v>99.120943368489023</v>
      </c>
      <c r="D3568" s="12">
        <v>84.625553059655275</v>
      </c>
    </row>
    <row r="3569" spans="1:4">
      <c r="A3569">
        <v>3566</v>
      </c>
      <c r="B3569" s="12">
        <v>159.09498760919939</v>
      </c>
      <c r="C3569" s="12">
        <v>130.65330332778962</v>
      </c>
      <c r="D3569" s="12">
        <v>73.750337376937139</v>
      </c>
    </row>
    <row r="3570" spans="1:4">
      <c r="A3570">
        <v>3567</v>
      </c>
      <c r="B3570" s="12">
        <v>212.86191709654022</v>
      </c>
      <c r="C3570" s="12">
        <v>187.59836636863648</v>
      </c>
      <c r="D3570" s="12">
        <v>94.004321684758835</v>
      </c>
    </row>
    <row r="3571" spans="1:4">
      <c r="A3571">
        <v>3568</v>
      </c>
      <c r="B3571" s="12">
        <v>169.14172922784866</v>
      </c>
      <c r="C3571" s="12">
        <v>178.69860392509014</v>
      </c>
      <c r="D3571" s="12">
        <v>90.518889525250529</v>
      </c>
    </row>
    <row r="3572" spans="1:4">
      <c r="A3572">
        <v>3569</v>
      </c>
      <c r="B3572" s="12">
        <v>186.94388800975176</v>
      </c>
      <c r="C3572" s="12">
        <v>145.13937363256122</v>
      </c>
      <c r="D3572" s="12">
        <v>125.30458690193031</v>
      </c>
    </row>
    <row r="3573" spans="1:4">
      <c r="A3573">
        <v>3570</v>
      </c>
      <c r="B3573" s="12">
        <v>127.15545764442676</v>
      </c>
      <c r="C3573" s="12">
        <v>147.61393281231975</v>
      </c>
      <c r="D3573" s="12">
        <v>75.324852194503308</v>
      </c>
    </row>
    <row r="3574" spans="1:4">
      <c r="A3574">
        <v>3571</v>
      </c>
      <c r="B3574" s="12">
        <v>120.74737075801984</v>
      </c>
      <c r="C3574" s="12">
        <v>214.63724316150441</v>
      </c>
      <c r="D3574" s="12">
        <v>88.944212904581462</v>
      </c>
    </row>
    <row r="3575" spans="1:4">
      <c r="A3575">
        <v>3572</v>
      </c>
      <c r="B3575" s="12">
        <v>141.48479911252497</v>
      </c>
      <c r="C3575" s="12">
        <v>169.4755369245853</v>
      </c>
      <c r="D3575" s="12">
        <v>93.307689072056633</v>
      </c>
    </row>
    <row r="3576" spans="1:4">
      <c r="A3576">
        <v>3573</v>
      </c>
      <c r="B3576" s="12">
        <v>172.34896050876813</v>
      </c>
      <c r="C3576" s="12">
        <v>169.99784337390852</v>
      </c>
      <c r="D3576" s="12">
        <v>110.51538779565611</v>
      </c>
    </row>
    <row r="3577" spans="1:4">
      <c r="A3577">
        <v>3574</v>
      </c>
      <c r="B3577" s="12">
        <v>209.37544828631528</v>
      </c>
      <c r="C3577" s="12">
        <v>135.70218193138012</v>
      </c>
      <c r="D3577" s="12">
        <v>80.802591440645514</v>
      </c>
    </row>
    <row r="3578" spans="1:4">
      <c r="A3578">
        <v>3575</v>
      </c>
      <c r="B3578" s="12">
        <v>174.56094107540682</v>
      </c>
      <c r="C3578" s="12">
        <v>165.22308157389872</v>
      </c>
      <c r="D3578" s="12">
        <v>130.37748502506497</v>
      </c>
    </row>
    <row r="3579" spans="1:4">
      <c r="A3579">
        <v>3576</v>
      </c>
      <c r="B3579" s="12">
        <v>143.13935049568934</v>
      </c>
      <c r="C3579" s="12">
        <v>194.93495781956634</v>
      </c>
      <c r="D3579" s="12">
        <v>99.476485210341977</v>
      </c>
    </row>
    <row r="3580" spans="1:4">
      <c r="A3580">
        <v>3577</v>
      </c>
      <c r="B3580" s="12">
        <v>195.47981617973304</v>
      </c>
      <c r="C3580" s="12">
        <v>150.35946184690795</v>
      </c>
      <c r="D3580" s="12">
        <v>102.86087780460394</v>
      </c>
    </row>
    <row r="3581" spans="1:4">
      <c r="A3581">
        <v>3578</v>
      </c>
      <c r="B3581" s="12">
        <v>220.69422734943117</v>
      </c>
      <c r="C3581" s="12">
        <v>122.89018994297449</v>
      </c>
      <c r="D3581" s="12">
        <v>134.71870353907968</v>
      </c>
    </row>
    <row r="3582" spans="1:4">
      <c r="A3582">
        <v>3579</v>
      </c>
      <c r="B3582" s="12">
        <v>159.70026730264846</v>
      </c>
      <c r="C3582" s="12">
        <v>148.01830403832275</v>
      </c>
      <c r="D3582" s="12">
        <v>92.875071453027346</v>
      </c>
    </row>
    <row r="3583" spans="1:4">
      <c r="A3583">
        <v>3580</v>
      </c>
      <c r="B3583" s="12">
        <v>149.43957732619987</v>
      </c>
      <c r="C3583" s="12">
        <v>152.53453839501591</v>
      </c>
      <c r="D3583" s="12">
        <v>77.145847045162299</v>
      </c>
    </row>
    <row r="3584" spans="1:4">
      <c r="A3584">
        <v>3581</v>
      </c>
      <c r="B3584" s="12">
        <v>106.99629769905775</v>
      </c>
      <c r="C3584" s="12">
        <v>133.80380271811728</v>
      </c>
      <c r="D3584" s="12">
        <v>120.53500791651787</v>
      </c>
    </row>
    <row r="3585" spans="1:4">
      <c r="A3585">
        <v>3582</v>
      </c>
      <c r="B3585" s="12">
        <v>141.09395241512428</v>
      </c>
      <c r="C3585" s="12">
        <v>225.51462446815884</v>
      </c>
      <c r="D3585" s="12">
        <v>86.809961229587884</v>
      </c>
    </row>
    <row r="3586" spans="1:4">
      <c r="A3586">
        <v>3583</v>
      </c>
      <c r="B3586" s="12">
        <v>150.40823615615844</v>
      </c>
      <c r="C3586" s="12">
        <v>150.6033361879187</v>
      </c>
      <c r="D3586" s="12">
        <v>84.34505700529229</v>
      </c>
    </row>
    <row r="3587" spans="1:4">
      <c r="A3587">
        <v>3584</v>
      </c>
      <c r="B3587" s="12">
        <v>188.35223339001683</v>
      </c>
      <c r="C3587" s="12">
        <v>143.11211692952926</v>
      </c>
      <c r="D3587" s="12">
        <v>140.22041080699969</v>
      </c>
    </row>
    <row r="3588" spans="1:4">
      <c r="A3588">
        <v>3585</v>
      </c>
      <c r="B3588" s="12">
        <v>170.60068575727487</v>
      </c>
      <c r="C3588" s="12">
        <v>155.52909671290212</v>
      </c>
      <c r="D3588" s="12">
        <v>85.813658086206672</v>
      </c>
    </row>
    <row r="3589" spans="1:4">
      <c r="A3589">
        <v>3586</v>
      </c>
      <c r="B3589" s="12">
        <v>180.42532006365914</v>
      </c>
      <c r="C3589" s="12">
        <v>154.87721120003113</v>
      </c>
      <c r="D3589" s="12">
        <v>87.9682467376105</v>
      </c>
    </row>
    <row r="3590" spans="1:4">
      <c r="A3590">
        <v>3587</v>
      </c>
      <c r="B3590" s="12">
        <v>170.19752627945962</v>
      </c>
      <c r="C3590" s="12">
        <v>175.50970048316725</v>
      </c>
      <c r="D3590" s="12">
        <v>96.804442029398487</v>
      </c>
    </row>
    <row r="3591" spans="1:4">
      <c r="A3591">
        <v>3588</v>
      </c>
      <c r="B3591" s="12">
        <v>157.1557876215206</v>
      </c>
      <c r="C3591" s="12">
        <v>136.01102173513519</v>
      </c>
      <c r="D3591" s="12">
        <v>151.36412518678466</v>
      </c>
    </row>
    <row r="3592" spans="1:4">
      <c r="A3592">
        <v>3589</v>
      </c>
      <c r="B3592" s="12">
        <v>158.49119707152391</v>
      </c>
      <c r="C3592" s="12">
        <v>188.22957227241031</v>
      </c>
      <c r="D3592" s="12">
        <v>73.992496197658639</v>
      </c>
    </row>
    <row r="3593" spans="1:4">
      <c r="A3593">
        <v>3590</v>
      </c>
      <c r="B3593" s="12">
        <v>153.66561598215739</v>
      </c>
      <c r="C3593" s="12">
        <v>120.11145489643187</v>
      </c>
      <c r="D3593" s="12">
        <v>92.442448133156091</v>
      </c>
    </row>
    <row r="3594" spans="1:4">
      <c r="A3594">
        <v>3591</v>
      </c>
      <c r="B3594" s="12">
        <v>123.36306761409504</v>
      </c>
      <c r="C3594" s="12">
        <v>135.50271174019753</v>
      </c>
      <c r="D3594" s="12">
        <v>114.43515874122861</v>
      </c>
    </row>
    <row r="3595" spans="1:4">
      <c r="A3595">
        <v>3592</v>
      </c>
      <c r="B3595" s="12">
        <v>158.72677784303832</v>
      </c>
      <c r="C3595" s="12">
        <v>149.95913596873029</v>
      </c>
      <c r="D3595" s="12">
        <v>86.537431145087069</v>
      </c>
    </row>
    <row r="3596" spans="1:4">
      <c r="A3596">
        <v>3593</v>
      </c>
      <c r="B3596" s="12">
        <v>176.84346503056489</v>
      </c>
      <c r="C3596" s="12">
        <v>160.89666129661094</v>
      </c>
      <c r="D3596" s="12">
        <v>60.173077561764323</v>
      </c>
    </row>
    <row r="3597" spans="1:4">
      <c r="A3597">
        <v>3594</v>
      </c>
      <c r="B3597" s="12">
        <v>157.52206219545565</v>
      </c>
      <c r="C3597" s="12">
        <v>194.05969917271074</v>
      </c>
      <c r="D3597" s="12">
        <v>61.641634267032281</v>
      </c>
    </row>
    <row r="3598" spans="1:4">
      <c r="A3598">
        <v>3595</v>
      </c>
      <c r="B3598" s="12">
        <v>242.69245268949476</v>
      </c>
      <c r="C3598" s="12">
        <v>134.8711715180425</v>
      </c>
      <c r="D3598" s="12">
        <v>83.129451363742561</v>
      </c>
    </row>
    <row r="3599" spans="1:4">
      <c r="A3599">
        <v>3596</v>
      </c>
      <c r="B3599" s="12">
        <v>165.02845973137633</v>
      </c>
      <c r="C3599" s="12">
        <v>199.23013814242628</v>
      </c>
      <c r="D3599" s="12">
        <v>167.8651696878035</v>
      </c>
    </row>
    <row r="3600" spans="1:4">
      <c r="A3600">
        <v>3597</v>
      </c>
      <c r="B3600" s="12">
        <v>128.49544976702035</v>
      </c>
      <c r="C3600" s="12">
        <v>145.64302285343896</v>
      </c>
      <c r="D3600" s="12">
        <v>82.84170416957042</v>
      </c>
    </row>
    <row r="3601" spans="1:4">
      <c r="A3601">
        <v>3598</v>
      </c>
      <c r="B3601" s="12">
        <v>197.85403635729014</v>
      </c>
      <c r="C3601" s="12">
        <v>128.131762169973</v>
      </c>
      <c r="D3601" s="12">
        <v>98.0474285915531</v>
      </c>
    </row>
    <row r="3602" spans="1:4">
      <c r="A3602">
        <v>3599</v>
      </c>
      <c r="B3602" s="12">
        <v>207.0472448898584</v>
      </c>
      <c r="C3602" s="12">
        <v>138.07246517008224</v>
      </c>
      <c r="D3602" s="12">
        <v>72.724062278148438</v>
      </c>
    </row>
    <row r="3603" spans="1:4">
      <c r="A3603">
        <v>3600</v>
      </c>
      <c r="B3603" s="12">
        <v>222.00084780955785</v>
      </c>
      <c r="C3603" s="12">
        <v>156.68240309598713</v>
      </c>
      <c r="D3603" s="12">
        <v>115.0225207662431</v>
      </c>
    </row>
    <row r="3604" spans="1:4">
      <c r="A3604">
        <v>3601</v>
      </c>
      <c r="B3604" s="12">
        <v>183.7439527455428</v>
      </c>
      <c r="C3604" s="12">
        <v>166.75380839835361</v>
      </c>
      <c r="D3604" s="12">
        <v>122.38373574925917</v>
      </c>
    </row>
    <row r="3605" spans="1:4">
      <c r="A3605">
        <v>3602</v>
      </c>
      <c r="B3605" s="12">
        <v>160.6780570839488</v>
      </c>
      <c r="C3605" s="12">
        <v>146.05412037154076</v>
      </c>
      <c r="D3605" s="12">
        <v>99.204518319358996</v>
      </c>
    </row>
    <row r="3606" spans="1:4">
      <c r="A3606">
        <v>3603</v>
      </c>
      <c r="B3606" s="12">
        <v>116.34005130695262</v>
      </c>
      <c r="C3606" s="12">
        <v>144.30649684094632</v>
      </c>
      <c r="D3606" s="12">
        <v>87.255360496210628</v>
      </c>
    </row>
    <row r="3607" spans="1:4">
      <c r="A3607">
        <v>3604</v>
      </c>
      <c r="B3607" s="12">
        <v>173.44678967364194</v>
      </c>
      <c r="C3607" s="12">
        <v>167.54013711790776</v>
      </c>
      <c r="D3607" s="12">
        <v>119.03907665422335</v>
      </c>
    </row>
    <row r="3608" spans="1:4">
      <c r="A3608">
        <v>3605</v>
      </c>
      <c r="B3608" s="12">
        <v>169.79622003666105</v>
      </c>
      <c r="C3608" s="12">
        <v>121.89082598586975</v>
      </c>
      <c r="D3608" s="12">
        <v>90.349146303547528</v>
      </c>
    </row>
    <row r="3609" spans="1:4">
      <c r="A3609">
        <v>3606</v>
      </c>
      <c r="B3609" s="12">
        <v>135.02886770895978</v>
      </c>
      <c r="C3609" s="12">
        <v>190.70243583010745</v>
      </c>
      <c r="D3609" s="12">
        <v>103.89929813175182</v>
      </c>
    </row>
    <row r="3610" spans="1:4">
      <c r="A3610">
        <v>3607</v>
      </c>
      <c r="B3610" s="12">
        <v>171.93721077194527</v>
      </c>
      <c r="C3610" s="12">
        <v>244.30402553398125</v>
      </c>
      <c r="D3610" s="12">
        <v>103.14460366509387</v>
      </c>
    </row>
    <row r="3611" spans="1:4">
      <c r="A3611">
        <v>3608</v>
      </c>
      <c r="B3611" s="12">
        <v>175.26193622966409</v>
      </c>
      <c r="C3611" s="12">
        <v>189.99321789195301</v>
      </c>
      <c r="D3611" s="12">
        <v>70.790547511717506</v>
      </c>
    </row>
    <row r="3612" spans="1:4">
      <c r="A3612">
        <v>3609</v>
      </c>
      <c r="B3612" s="12">
        <v>162.40905348644819</v>
      </c>
      <c r="C3612" s="12">
        <v>173.56446646193788</v>
      </c>
      <c r="D3612" s="12">
        <v>101.10233890246245</v>
      </c>
    </row>
    <row r="3613" spans="1:4">
      <c r="A3613">
        <v>3610</v>
      </c>
      <c r="B3613" s="12">
        <v>139.39916640071988</v>
      </c>
      <c r="C3613" s="12">
        <v>174.89181249045828</v>
      </c>
      <c r="D3613" s="12">
        <v>80.195493589896586</v>
      </c>
    </row>
    <row r="3614" spans="1:4">
      <c r="A3614">
        <v>3611</v>
      </c>
      <c r="B3614" s="12">
        <v>131.96502179976233</v>
      </c>
      <c r="C3614" s="12">
        <v>170.31996461539012</v>
      </c>
      <c r="D3614" s="12">
        <v>91.217531049424878</v>
      </c>
    </row>
    <row r="3615" spans="1:4">
      <c r="A3615">
        <v>3612</v>
      </c>
      <c r="B3615" s="12">
        <v>182.93927728567056</v>
      </c>
      <c r="C3615" s="12">
        <v>151.00326348108194</v>
      </c>
      <c r="D3615" s="12">
        <v>100.64908708493269</v>
      </c>
    </row>
    <row r="3616" spans="1:4">
      <c r="A3616">
        <v>3613</v>
      </c>
      <c r="B3616" s="12">
        <v>94.359919525711732</v>
      </c>
      <c r="C3616" s="12">
        <v>156.02484649657387</v>
      </c>
      <c r="D3616" s="12">
        <v>117.99287313212454</v>
      </c>
    </row>
    <row r="3617" spans="1:4">
      <c r="A3617">
        <v>3614</v>
      </c>
      <c r="B3617" s="12">
        <v>173.02917725154339</v>
      </c>
      <c r="C3617" s="12">
        <v>206.56073071319676</v>
      </c>
      <c r="D3617" s="12">
        <v>143.1585330645718</v>
      </c>
    </row>
    <row r="3618" spans="1:4">
      <c r="A3618">
        <v>3615</v>
      </c>
      <c r="B3618" s="12">
        <v>148.09811764065907</v>
      </c>
      <c r="C3618" s="12">
        <v>173.92336247774529</v>
      </c>
      <c r="D3618" s="12">
        <v>82.552377368199984</v>
      </c>
    </row>
    <row r="3619" spans="1:4">
      <c r="A3619">
        <v>3616</v>
      </c>
      <c r="B3619" s="12">
        <v>118.99315048127525</v>
      </c>
      <c r="C3619" s="12">
        <v>109.30763956567176</v>
      </c>
      <c r="D3619" s="12">
        <v>82.366188231902328</v>
      </c>
    </row>
    <row r="3620" spans="1:4">
      <c r="A3620">
        <v>3617</v>
      </c>
      <c r="B3620" s="12">
        <v>168.09785397901149</v>
      </c>
      <c r="C3620" s="12">
        <v>182.32629897609118</v>
      </c>
      <c r="D3620" s="12">
        <v>84.063319535928585</v>
      </c>
    </row>
    <row r="3621" spans="1:4">
      <c r="A3621">
        <v>3618</v>
      </c>
      <c r="B3621" s="12">
        <v>103.08366735832651</v>
      </c>
      <c r="C3621" s="12">
        <v>136.31684666551064</v>
      </c>
      <c r="D3621" s="12">
        <v>111.71174727828983</v>
      </c>
    </row>
    <row r="3622" spans="1:4">
      <c r="A3622">
        <v>3619</v>
      </c>
      <c r="B3622" s="12">
        <v>167.70544154764838</v>
      </c>
      <c r="C3622" s="12">
        <v>129.63093128454983</v>
      </c>
      <c r="D3622" s="12">
        <v>76.592574148412083</v>
      </c>
    </row>
    <row r="3623" spans="1:4">
      <c r="A3623">
        <v>3620</v>
      </c>
      <c r="B3623" s="12">
        <v>194.45226538075113</v>
      </c>
      <c r="C3623" s="12">
        <v>134.01545429506749</v>
      </c>
      <c r="D3623" s="12">
        <v>85.360665314815535</v>
      </c>
    </row>
    <row r="3624" spans="1:4">
      <c r="A3624">
        <v>3621</v>
      </c>
      <c r="B3624" s="12">
        <v>156.1902116569002</v>
      </c>
      <c r="C3624" s="12">
        <v>138.36056097609108</v>
      </c>
      <c r="D3624" s="12">
        <v>130.96371702095402</v>
      </c>
    </row>
    <row r="3625" spans="1:4">
      <c r="A3625">
        <v>3622</v>
      </c>
      <c r="B3625" s="12">
        <v>99.102750174605447</v>
      </c>
      <c r="C3625" s="12">
        <v>114.39182340918485</v>
      </c>
      <c r="D3625" s="12">
        <v>197.04964803944128</v>
      </c>
    </row>
    <row r="3626" spans="1:4">
      <c r="A3626">
        <v>3623</v>
      </c>
      <c r="B3626" s="12">
        <v>119.43024544612641</v>
      </c>
      <c r="C3626" s="12">
        <v>157.34386951354421</v>
      </c>
      <c r="D3626" s="12">
        <v>112.2615554318501</v>
      </c>
    </row>
    <row r="3627" spans="1:4">
      <c r="A3627">
        <v>3624</v>
      </c>
      <c r="B3627" s="12">
        <v>197.18819592200788</v>
      </c>
      <c r="C3627" s="12">
        <v>148.42167972546713</v>
      </c>
      <c r="D3627" s="12">
        <v>109.9862908983372</v>
      </c>
    </row>
    <row r="3628" spans="1:4">
      <c r="A3628">
        <v>3625</v>
      </c>
      <c r="B3628" s="12">
        <v>174.13700038027346</v>
      </c>
      <c r="C3628" s="12">
        <v>196.46494793965775</v>
      </c>
      <c r="D3628" s="12">
        <v>49.606415387082848</v>
      </c>
    </row>
    <row r="3629" spans="1:4">
      <c r="A3629">
        <v>3626</v>
      </c>
      <c r="B3629" s="12">
        <v>113.31277734016595</v>
      </c>
      <c r="C3629" s="12">
        <v>189.30765522440737</v>
      </c>
      <c r="D3629" s="12">
        <v>91.914836620784627</v>
      </c>
    </row>
    <row r="3630" spans="1:4">
      <c r="A3630">
        <v>3627</v>
      </c>
      <c r="B3630" s="12">
        <v>179.20808341644118</v>
      </c>
      <c r="C3630" s="12">
        <v>156.8424829635558</v>
      </c>
      <c r="D3630" s="12">
        <v>81.294115750292363</v>
      </c>
    </row>
    <row r="3631" spans="1:4">
      <c r="A3631">
        <v>3628</v>
      </c>
      <c r="B3631" s="12">
        <v>210.29874315468243</v>
      </c>
      <c r="C3631" s="12">
        <v>193.22259404914504</v>
      </c>
      <c r="D3631" s="12">
        <v>87.698814164436314</v>
      </c>
    </row>
    <row r="3632" spans="1:4">
      <c r="A3632">
        <v>3629</v>
      </c>
      <c r="B3632" s="12">
        <v>207.91119625219824</v>
      </c>
      <c r="C3632" s="12">
        <v>201.19146914271872</v>
      </c>
      <c r="D3632" s="12">
        <v>80.995170576230791</v>
      </c>
    </row>
    <row r="3633" spans="1:4">
      <c r="A3633">
        <v>3630</v>
      </c>
      <c r="B3633" s="12">
        <v>128.17494940456842</v>
      </c>
      <c r="C3633" s="12">
        <v>179.1291071635217</v>
      </c>
      <c r="D3633" s="12">
        <v>68.316671827368438</v>
      </c>
    </row>
    <row r="3634" spans="1:4">
      <c r="A3634">
        <v>3631</v>
      </c>
      <c r="B3634" s="12">
        <v>168.49183922536955</v>
      </c>
      <c r="C3634" s="12">
        <v>159.52189579281344</v>
      </c>
      <c r="D3634" s="12">
        <v>70.058386686438268</v>
      </c>
    </row>
    <row r="3635" spans="1:4">
      <c r="A3635">
        <v>3632</v>
      </c>
      <c r="B3635" s="12">
        <v>139.79836904797068</v>
      </c>
      <c r="C3635" s="12">
        <v>155.12375970010882</v>
      </c>
      <c r="D3635" s="12">
        <v>62.447919847103151</v>
      </c>
    </row>
    <row r="3636" spans="1:4">
      <c r="A3636">
        <v>3633</v>
      </c>
      <c r="B3636" s="12">
        <v>154.62812808017941</v>
      </c>
      <c r="C3636" s="12">
        <v>112.19807302057177</v>
      </c>
      <c r="D3636" s="12">
        <v>98.759784832851196</v>
      </c>
    </row>
    <row r="3637" spans="1:4">
      <c r="A3637">
        <v>3634</v>
      </c>
      <c r="B3637" s="12">
        <v>200.83585903661228</v>
      </c>
      <c r="C3637" s="12">
        <v>144.46978866652773</v>
      </c>
      <c r="D3637" s="12">
        <v>129.44149438355743</v>
      </c>
    </row>
    <row r="3638" spans="1:4">
      <c r="A3638">
        <v>3635</v>
      </c>
      <c r="B3638" s="12">
        <v>110.77673048120667</v>
      </c>
      <c r="C3638" s="12">
        <v>195.51757456796543</v>
      </c>
      <c r="D3638" s="12">
        <v>85.53785589501075</v>
      </c>
    </row>
    <row r="3639" spans="1:4">
      <c r="A3639">
        <v>3636</v>
      </c>
      <c r="B3639" s="12">
        <v>241.01147228840316</v>
      </c>
      <c r="C3639" s="12">
        <v>148.91227818963381</v>
      </c>
      <c r="D3639" s="12">
        <v>68.813164471804996</v>
      </c>
    </row>
    <row r="3640" spans="1:4">
      <c r="A3640">
        <v>3637</v>
      </c>
      <c r="B3640" s="12">
        <v>142.89359067973592</v>
      </c>
      <c r="C3640" s="12">
        <v>149.31389866864555</v>
      </c>
      <c r="D3640" s="12">
        <v>88.676837290905155</v>
      </c>
    </row>
    <row r="3641" spans="1:4">
      <c r="A3641">
        <v>3638</v>
      </c>
      <c r="B3641" s="12">
        <v>167.0649483693966</v>
      </c>
      <c r="C3641" s="12">
        <v>186.60129005970171</v>
      </c>
      <c r="D3641" s="12">
        <v>76.809831985536917</v>
      </c>
    </row>
    <row r="3642" spans="1:4">
      <c r="A3642">
        <v>3639</v>
      </c>
      <c r="B3642" s="12">
        <v>144.90339679393642</v>
      </c>
      <c r="C3642" s="12">
        <v>145.39155393241563</v>
      </c>
      <c r="D3642" s="12">
        <v>101.37977616507979</v>
      </c>
    </row>
    <row r="3643" spans="1:4">
      <c r="A3643">
        <v>3640</v>
      </c>
      <c r="B3643" s="12">
        <v>254.93431948059302</v>
      </c>
      <c r="C3643" s="12">
        <v>186.0150917148342</v>
      </c>
      <c r="D3643" s="12">
        <v>96.101343214162881</v>
      </c>
    </row>
    <row r="3644" spans="1:4">
      <c r="A3644">
        <v>3641</v>
      </c>
      <c r="B3644" s="12">
        <v>160.07002168978204</v>
      </c>
      <c r="C3644" s="12">
        <v>127.41596550083017</v>
      </c>
      <c r="D3644" s="12">
        <v>81.5910619299312</v>
      </c>
    </row>
    <row r="3645" spans="1:4">
      <c r="A3645">
        <v>3642</v>
      </c>
      <c r="B3645" s="12">
        <v>171.26624912495132</v>
      </c>
      <c r="C3645" s="12">
        <v>172.63604489708305</v>
      </c>
      <c r="D3645" s="12">
        <v>103.32693107510715</v>
      </c>
    </row>
    <row r="3646" spans="1:4">
      <c r="A3646">
        <v>3643</v>
      </c>
      <c r="B3646" s="12">
        <v>128.99034034817885</v>
      </c>
      <c r="C3646" s="12">
        <v>122.50831220196562</v>
      </c>
      <c r="D3646" s="12">
        <v>67.990491013582542</v>
      </c>
    </row>
    <row r="3647" spans="1:4">
      <c r="A3647">
        <v>3644</v>
      </c>
      <c r="B3647" s="12">
        <v>110.1033007131244</v>
      </c>
      <c r="C3647" s="12">
        <v>131.02818907362709</v>
      </c>
      <c r="D3647" s="12">
        <v>132.57421853339434</v>
      </c>
    </row>
    <row r="3648" spans="1:4">
      <c r="A3648">
        <v>3645</v>
      </c>
      <c r="B3648" s="12">
        <v>263.09991837512581</v>
      </c>
      <c r="C3648" s="12">
        <v>129.23027173886277</v>
      </c>
      <c r="D3648" s="12">
        <v>95.931165136550064</v>
      </c>
    </row>
    <row r="3649" spans="1:4">
      <c r="A3649">
        <v>3646</v>
      </c>
      <c r="B3649" s="12">
        <v>238.57446585698835</v>
      </c>
      <c r="C3649" s="12">
        <v>198.13280208243847</v>
      </c>
      <c r="D3649" s="12">
        <v>83.31296769745363</v>
      </c>
    </row>
    <row r="3650" spans="1:4">
      <c r="A3650">
        <v>3647</v>
      </c>
      <c r="B3650" s="12">
        <v>112.7287939005184</v>
      </c>
      <c r="C3650" s="12">
        <v>127.85555142309161</v>
      </c>
      <c r="D3650" s="12">
        <v>155.25768408869791</v>
      </c>
    </row>
    <row r="3651" spans="1:4">
      <c r="A3651">
        <v>3648</v>
      </c>
      <c r="B3651" s="12">
        <v>155.59123247423167</v>
      </c>
      <c r="C3651" s="12">
        <v>220.39627754860632</v>
      </c>
      <c r="D3651" s="12">
        <v>105.43494641698598</v>
      </c>
    </row>
    <row r="3652" spans="1:4">
      <c r="A3652">
        <v>3649</v>
      </c>
      <c r="B3652" s="12">
        <v>165.65719151062223</v>
      </c>
      <c r="C3652" s="12">
        <v>135.18863355133107</v>
      </c>
      <c r="D3652" s="12">
        <v>166.07810449588152</v>
      </c>
    </row>
    <row r="3653" spans="1:4">
      <c r="A3653">
        <v>3650</v>
      </c>
      <c r="B3653" s="12">
        <v>149.80678812221231</v>
      </c>
      <c r="C3653" s="12">
        <v>134.34262138853558</v>
      </c>
      <c r="D3653" s="12">
        <v>46.2334261772098</v>
      </c>
    </row>
    <row r="3654" spans="1:4">
      <c r="A3654">
        <v>3651</v>
      </c>
      <c r="B3654" s="12">
        <v>140.84265063535014</v>
      </c>
      <c r="C3654" s="12">
        <v>153.17937940129278</v>
      </c>
      <c r="D3654" s="12">
        <v>74.365686485021826</v>
      </c>
    </row>
    <row r="3655" spans="1:4">
      <c r="A3655">
        <v>3652</v>
      </c>
      <c r="B3655" s="12">
        <v>125.41418267289782</v>
      </c>
      <c r="C3655" s="12">
        <v>187.20359187498144</v>
      </c>
      <c r="D3655" s="12">
        <v>138.58701973223441</v>
      </c>
    </row>
    <row r="3656" spans="1:4">
      <c r="A3656">
        <v>3653</v>
      </c>
      <c r="B3656" s="12">
        <v>153.89908611005654</v>
      </c>
      <c r="C3656" s="12">
        <v>159.78016016377686</v>
      </c>
      <c r="D3656" s="12">
        <v>127.46778676696438</v>
      </c>
    </row>
    <row r="3657" spans="1:4">
      <c r="A3657">
        <v>3654</v>
      </c>
      <c r="B3657" s="12">
        <v>149.07186103624062</v>
      </c>
      <c r="C3657" s="12">
        <v>171.1849817386458</v>
      </c>
      <c r="D3657" s="12">
        <v>89.115224480399689</v>
      </c>
    </row>
    <row r="3658" spans="1:4">
      <c r="A3658">
        <v>3655</v>
      </c>
      <c r="B3658" s="12">
        <v>196.11860588136773</v>
      </c>
      <c r="C3658" s="12">
        <v>131.26505035914889</v>
      </c>
      <c r="D3658" s="12">
        <v>91.745776414814941</v>
      </c>
    </row>
    <row r="3659" spans="1:4">
      <c r="A3659">
        <v>3656</v>
      </c>
      <c r="B3659" s="12">
        <v>127.66886377375361</v>
      </c>
      <c r="C3659" s="12">
        <v>126.67087734807801</v>
      </c>
      <c r="D3659" s="12">
        <v>174.7218156021199</v>
      </c>
    </row>
    <row r="3660" spans="1:4">
      <c r="A3660">
        <v>3657</v>
      </c>
      <c r="B3660" s="12">
        <v>146.88148485653576</v>
      </c>
      <c r="C3660" s="12">
        <v>141.28620271193543</v>
      </c>
      <c r="D3660" s="12">
        <v>116.35849464486435</v>
      </c>
    </row>
    <row r="3661" spans="1:4">
      <c r="A3661">
        <v>3658</v>
      </c>
      <c r="B3661" s="12">
        <v>152.93654215790775</v>
      </c>
      <c r="C3661" s="12">
        <v>161.86142856353464</v>
      </c>
      <c r="D3661" s="12">
        <v>116.97626152838836</v>
      </c>
    </row>
    <row r="3662" spans="1:4">
      <c r="A3662">
        <v>3659</v>
      </c>
      <c r="B3662" s="12">
        <v>176.40533274969735</v>
      </c>
      <c r="C3662" s="12">
        <v>185.085657137732</v>
      </c>
      <c r="D3662" s="12">
        <v>79.379390635652229</v>
      </c>
    </row>
    <row r="3663" spans="1:4">
      <c r="A3663">
        <v>3660</v>
      </c>
      <c r="B3663" s="12">
        <v>135.45662245290637</v>
      </c>
      <c r="C3663" s="12">
        <v>163.28983210301695</v>
      </c>
      <c r="D3663" s="12">
        <v>111.37994821723544</v>
      </c>
    </row>
    <row r="3664" spans="1:4">
      <c r="A3664">
        <v>3661</v>
      </c>
      <c r="B3664" s="12">
        <v>202.7947689395447</v>
      </c>
      <c r="C3664" s="12">
        <v>142.42247252972922</v>
      </c>
      <c r="D3664" s="12">
        <v>148.04439516986255</v>
      </c>
    </row>
    <row r="3665" spans="1:4">
      <c r="A3665">
        <v>3662</v>
      </c>
      <c r="B3665" s="12">
        <v>161.42195650764086</v>
      </c>
      <c r="C3665" s="12">
        <v>176.53269838822337</v>
      </c>
      <c r="D3665" s="12">
        <v>94.701796516823663</v>
      </c>
    </row>
    <row r="3666" spans="1:4">
      <c r="A3666">
        <v>3663</v>
      </c>
      <c r="B3666" s="12">
        <v>166.04210582909423</v>
      </c>
      <c r="C3666" s="12">
        <v>191.92260213459602</v>
      </c>
      <c r="D3666" s="12">
        <v>66.925909752978683</v>
      </c>
    </row>
    <row r="3667" spans="1:4">
      <c r="A3667">
        <v>3664</v>
      </c>
      <c r="B3667" s="12">
        <v>208.47574512395011</v>
      </c>
      <c r="C3667" s="12">
        <v>153.58065345327861</v>
      </c>
      <c r="D3667" s="12">
        <v>92.178682419181385</v>
      </c>
    </row>
    <row r="3668" spans="1:4">
      <c r="A3668">
        <v>3665</v>
      </c>
      <c r="B3668" s="12">
        <v>152.33822438971339</v>
      </c>
      <c r="C3668" s="12">
        <v>146.71236698807883</v>
      </c>
      <c r="D3668" s="12">
        <v>97.071442326645084</v>
      </c>
    </row>
    <row r="3669" spans="1:4">
      <c r="A3669">
        <v>3666</v>
      </c>
      <c r="B3669" s="12">
        <v>130.26732712278715</v>
      </c>
      <c r="C3669" s="12">
        <v>116.54668117928213</v>
      </c>
      <c r="D3669" s="12">
        <v>77.478171703700497</v>
      </c>
    </row>
    <row r="3670" spans="1:4">
      <c r="A3670">
        <v>3667</v>
      </c>
      <c r="B3670" s="12">
        <v>189.8029421945412</v>
      </c>
      <c r="C3670" s="12">
        <v>141.01718495206026</v>
      </c>
      <c r="D3670" s="12">
        <v>190.23556598002079</v>
      </c>
    </row>
    <row r="3671" spans="1:4">
      <c r="A3671">
        <v>3668</v>
      </c>
      <c r="B3671" s="12">
        <v>143.90301353654678</v>
      </c>
      <c r="C3671" s="12">
        <v>147.36690207392741</v>
      </c>
      <c r="D3671" s="12">
        <v>94.966264747651778</v>
      </c>
    </row>
    <row r="3672" spans="1:4">
      <c r="A3672">
        <v>3669</v>
      </c>
      <c r="B3672" s="12">
        <v>140.44878486580367</v>
      </c>
      <c r="C3672" s="12">
        <v>172.07245216969781</v>
      </c>
      <c r="D3672" s="12">
        <v>86.984108669885273</v>
      </c>
    </row>
    <row r="3673" spans="1:4">
      <c r="A3673">
        <v>3670</v>
      </c>
      <c r="B3673" s="12">
        <v>215.63441580515232</v>
      </c>
      <c r="C3673" s="12">
        <v>160.72842889340538</v>
      </c>
      <c r="D3673" s="12">
        <v>100.37391041214882</v>
      </c>
    </row>
    <row r="3674" spans="1:4">
      <c r="A3674">
        <v>3671</v>
      </c>
      <c r="B3674" s="12">
        <v>142.50870308240451</v>
      </c>
      <c r="C3674" s="12">
        <v>167.04984865915816</v>
      </c>
      <c r="D3674" s="12">
        <v>99.651057479833227</v>
      </c>
    </row>
    <row r="3675" spans="1:4">
      <c r="A3675">
        <v>3672</v>
      </c>
      <c r="B3675" s="12">
        <v>145.52087218350556</v>
      </c>
      <c r="C3675" s="12">
        <v>160.46664295312928</v>
      </c>
      <c r="D3675" s="12">
        <v>123.57876759952816</v>
      </c>
    </row>
    <row r="3676" spans="1:4">
      <c r="A3676">
        <v>3673</v>
      </c>
      <c r="B3676" s="12">
        <v>157.75687846128591</v>
      </c>
      <c r="C3676" s="12">
        <v>151.89056300472609</v>
      </c>
      <c r="D3676" s="12">
        <v>79.690516692179642</v>
      </c>
    </row>
    <row r="3677" spans="1:4">
      <c r="A3677">
        <v>3674</v>
      </c>
      <c r="B3677" s="12">
        <v>230.00198184724036</v>
      </c>
      <c r="C3677" s="12">
        <v>152.77861922477931</v>
      </c>
      <c r="D3677" s="12">
        <v>139.3903921091856</v>
      </c>
    </row>
    <row r="3678" spans="1:4">
      <c r="A3678">
        <v>3675</v>
      </c>
      <c r="B3678" s="12">
        <v>125.76143686126142</v>
      </c>
      <c r="C3678" s="12">
        <v>149.55841000935661</v>
      </c>
      <c r="D3678" s="12">
        <v>64.343118699424352</v>
      </c>
    </row>
    <row r="3679" spans="1:4">
      <c r="A3679">
        <v>3676</v>
      </c>
      <c r="B3679" s="12">
        <v>151.73946235326156</v>
      </c>
      <c r="C3679" s="12">
        <v>128.55510095677087</v>
      </c>
      <c r="D3679" s="12">
        <v>79.178714848564482</v>
      </c>
    </row>
    <row r="3680" spans="1:4">
      <c r="A3680">
        <v>3677</v>
      </c>
      <c r="B3680" s="12">
        <v>181.66834950134552</v>
      </c>
      <c r="C3680" s="12">
        <v>152.93504009909381</v>
      </c>
      <c r="D3680" s="12">
        <v>94.268335248632013</v>
      </c>
    </row>
    <row r="3681" spans="1:4">
      <c r="A3681">
        <v>3678</v>
      </c>
      <c r="B3681" s="12">
        <v>143.52186204595756</v>
      </c>
      <c r="C3681" s="12">
        <v>164.75790006852807</v>
      </c>
      <c r="D3681" s="12">
        <v>106.40872640017895</v>
      </c>
    </row>
    <row r="3682" spans="1:4">
      <c r="A3682">
        <v>3679</v>
      </c>
      <c r="B3682" s="12">
        <v>105.63675188511793</v>
      </c>
      <c r="C3682" s="12">
        <v>152.13437084968785</v>
      </c>
      <c r="D3682" s="12">
        <v>146.9024079906232</v>
      </c>
    </row>
    <row r="3683" spans="1:4">
      <c r="A3683">
        <v>3680</v>
      </c>
      <c r="B3683" s="12">
        <v>107.80723798742652</v>
      </c>
      <c r="C3683" s="12">
        <v>204.90686499943962</v>
      </c>
      <c r="D3683" s="12">
        <v>78.544761548118558</v>
      </c>
    </row>
    <row r="3684" spans="1:4">
      <c r="A3684">
        <v>3681</v>
      </c>
      <c r="B3684" s="12">
        <v>138.73948056258601</v>
      </c>
      <c r="C3684" s="12">
        <v>157.09287325264191</v>
      </c>
      <c r="D3684" s="12">
        <v>153.70206912453992</v>
      </c>
    </row>
    <row r="3685" spans="1:4">
      <c r="A3685">
        <v>3682</v>
      </c>
      <c r="B3685" s="12">
        <v>250.97801829679818</v>
      </c>
      <c r="C3685" s="12">
        <v>132.21654215492339</v>
      </c>
      <c r="D3685" s="12">
        <v>89.648023772555234</v>
      </c>
    </row>
    <row r="3686" spans="1:4">
      <c r="A3686">
        <v>3683</v>
      </c>
      <c r="B3686" s="12">
        <v>138.33429863779406</v>
      </c>
      <c r="C3686" s="12">
        <v>178.00713206368479</v>
      </c>
      <c r="D3686" s="12">
        <v>71.913193778316526</v>
      </c>
    </row>
    <row r="3687" spans="1:4">
      <c r="A3687">
        <v>3684</v>
      </c>
      <c r="B3687" s="12">
        <v>159.46375066250971</v>
      </c>
      <c r="C3687" s="12">
        <v>183.66522741947594</v>
      </c>
      <c r="D3687" s="12">
        <v>81.780258448449388</v>
      </c>
    </row>
    <row r="3688" spans="1:4">
      <c r="A3688">
        <v>3685</v>
      </c>
      <c r="B3688" s="12">
        <v>123.94052126594413</v>
      </c>
      <c r="C3688" s="12">
        <v>192.70474007322747</v>
      </c>
      <c r="D3688" s="12">
        <v>101.65812727634757</v>
      </c>
    </row>
    <row r="3689" spans="1:4">
      <c r="A3689">
        <v>3686</v>
      </c>
      <c r="B3689" s="12">
        <v>182.45453956419564</v>
      </c>
      <c r="C3689" s="12">
        <v>169.16076682045997</v>
      </c>
      <c r="D3689" s="12">
        <v>113.16153338029078</v>
      </c>
    </row>
    <row r="3690" spans="1:4">
      <c r="A3690">
        <v>3687</v>
      </c>
      <c r="B3690" s="12">
        <v>192.25550540124138</v>
      </c>
      <c r="C3690" s="12">
        <v>154.22788774021367</v>
      </c>
      <c r="D3690" s="12">
        <v>90.083900355146483</v>
      </c>
    </row>
    <row r="3691" spans="1:4">
      <c r="A3691">
        <v>3688</v>
      </c>
      <c r="B3691" s="12">
        <v>161.04962717678103</v>
      </c>
      <c r="C3691" s="12">
        <v>123.46704626013559</v>
      </c>
      <c r="D3691" s="12">
        <v>88.237063681284894</v>
      </c>
    </row>
    <row r="3692" spans="1:4">
      <c r="A3692">
        <v>3689</v>
      </c>
      <c r="B3692" s="12">
        <v>144.52553134853605</v>
      </c>
      <c r="C3692" s="12">
        <v>162.57106842156833</v>
      </c>
      <c r="D3692" s="12">
        <v>114.08132723197362</v>
      </c>
    </row>
    <row r="3693" spans="1:4">
      <c r="A3693">
        <v>3690</v>
      </c>
      <c r="B3693" s="12">
        <v>187.81409672071717</v>
      </c>
      <c r="C3693" s="12">
        <v>160.20586876711127</v>
      </c>
      <c r="D3693" s="12">
        <v>65.99211528811577</v>
      </c>
    </row>
    <row r="3694" spans="1:4">
      <c r="A3694">
        <v>3691</v>
      </c>
      <c r="B3694" s="12">
        <v>148.83603665619191</v>
      </c>
      <c r="C3694" s="12">
        <v>136.81236432747036</v>
      </c>
      <c r="D3694" s="12">
        <v>142.55645998585899</v>
      </c>
    </row>
    <row r="3695" spans="1:4">
      <c r="A3695">
        <v>3692</v>
      </c>
      <c r="B3695" s="12">
        <v>167.45488829020314</v>
      </c>
      <c r="C3695" s="12">
        <v>161.5949101015064</v>
      </c>
      <c r="D3695" s="12">
        <v>218.32280902851753</v>
      </c>
    </row>
    <row r="3696" spans="1:4">
      <c r="A3696">
        <v>3693</v>
      </c>
      <c r="B3696" s="12">
        <v>166.42833875866654</v>
      </c>
      <c r="C3696" s="12">
        <v>163.74132822158651</v>
      </c>
      <c r="D3696" s="12">
        <v>141.64538546826373</v>
      </c>
    </row>
    <row r="3697" spans="1:4">
      <c r="A3697">
        <v>3694</v>
      </c>
      <c r="B3697" s="12">
        <v>121.15522901275499</v>
      </c>
      <c r="C3697" s="12">
        <v>155.37070150098256</v>
      </c>
      <c r="D3697" s="12">
        <v>121.23129359718183</v>
      </c>
    </row>
    <row r="3698" spans="1:4">
      <c r="A3698">
        <v>3695</v>
      </c>
      <c r="B3698" s="12">
        <v>163.64448476499967</v>
      </c>
      <c r="C3698" s="12">
        <v>139.84797881881326</v>
      </c>
      <c r="D3698" s="12">
        <v>122.83106801786909</v>
      </c>
    </row>
    <row r="3699" spans="1:4">
      <c r="A3699">
        <v>3696</v>
      </c>
      <c r="B3699" s="12">
        <v>134.59767676475096</v>
      </c>
      <c r="C3699" s="12">
        <v>134.66597466679502</v>
      </c>
      <c r="D3699" s="12">
        <v>117.35793880977486</v>
      </c>
    </row>
    <row r="3700" spans="1:4">
      <c r="A3700">
        <v>3697</v>
      </c>
      <c r="B3700" s="12">
        <v>150.04175723588529</v>
      </c>
      <c r="C3700" s="12">
        <v>168.65002506288357</v>
      </c>
      <c r="D3700" s="12">
        <v>95.400632257858689</v>
      </c>
    </row>
    <row r="3701" spans="1:4">
      <c r="A3701">
        <v>3698</v>
      </c>
      <c r="B3701" s="12">
        <v>163.02545952107715</v>
      </c>
      <c r="C3701" s="12">
        <v>106.87972539602566</v>
      </c>
      <c r="D3701" s="12">
        <v>100.92509414015615</v>
      </c>
    </row>
    <row r="3702" spans="1:4">
      <c r="A3702">
        <v>3699</v>
      </c>
      <c r="B3702" s="12">
        <v>186.42084219277643</v>
      </c>
      <c r="C3702" s="12">
        <v>162.30128768637783</v>
      </c>
      <c r="D3702" s="12">
        <v>163.56240748846645</v>
      </c>
    </row>
    <row r="3703" spans="1:4">
      <c r="A3703">
        <v>3700</v>
      </c>
      <c r="B3703" s="12">
        <v>219.43933720420918</v>
      </c>
      <c r="C3703" s="12">
        <v>145.80374187273665</v>
      </c>
      <c r="D3703" s="12">
        <v>121.66298382538325</v>
      </c>
    </row>
    <row r="3704" spans="1:4">
      <c r="A3704">
        <v>3701</v>
      </c>
      <c r="B3704" s="12">
        <v>137.92667028030783</v>
      </c>
      <c r="C3704" s="12">
        <v>125.40010609694481</v>
      </c>
      <c r="D3704" s="12">
        <v>54.709621903623677</v>
      </c>
    </row>
    <row r="3705" spans="1:4">
      <c r="A3705">
        <v>3702</v>
      </c>
      <c r="B3705" s="12">
        <v>137.66423286658761</v>
      </c>
      <c r="C3705" s="12">
        <v>159.1001174112221</v>
      </c>
      <c r="D3705" s="12">
        <v>131.95313477655978</v>
      </c>
    </row>
    <row r="3706" spans="1:4">
      <c r="A3706">
        <v>3703</v>
      </c>
      <c r="B3706" s="12">
        <v>140.05296950140928</v>
      </c>
      <c r="C3706" s="12">
        <v>113.59342819652991</v>
      </c>
      <c r="D3706" s="12">
        <v>79.999107751101519</v>
      </c>
    </row>
    <row r="3707" spans="1:4">
      <c r="A3707">
        <v>3704</v>
      </c>
      <c r="B3707" s="12">
        <v>178.01471842991819</v>
      </c>
      <c r="C3707" s="12">
        <v>158.84413704239643</v>
      </c>
      <c r="D3707" s="12">
        <v>73.367159093475479</v>
      </c>
    </row>
    <row r="3708" spans="1:4">
      <c r="A3708">
        <v>3705</v>
      </c>
      <c r="B3708" s="12">
        <v>129.47886155359612</v>
      </c>
      <c r="C3708" s="12">
        <v>175.89284568023362</v>
      </c>
      <c r="D3708" s="12">
        <v>77.689183184724882</v>
      </c>
    </row>
    <row r="3709" spans="1:4">
      <c r="A3709">
        <v>3706</v>
      </c>
      <c r="B3709" s="12">
        <v>141.87391024951779</v>
      </c>
      <c r="C3709" s="12">
        <v>151.24698599481326</v>
      </c>
      <c r="D3709" s="12">
        <v>82.074111988954257</v>
      </c>
    </row>
    <row r="3710" spans="1:4">
      <c r="A3710">
        <v>3707</v>
      </c>
      <c r="B3710" s="12">
        <v>203.56362866540184</v>
      </c>
      <c r="C3710" s="12">
        <v>110.55261666636234</v>
      </c>
      <c r="D3710" s="12">
        <v>59.161566258432011</v>
      </c>
    </row>
    <row r="3711" spans="1:4">
      <c r="A3711">
        <v>3708</v>
      </c>
      <c r="B3711" s="12">
        <v>287.31266629273097</v>
      </c>
      <c r="C3711" s="12">
        <v>125.71728314254862</v>
      </c>
      <c r="D3711" s="12">
        <v>102.39775960064463</v>
      </c>
    </row>
    <row r="3712" spans="1:4">
      <c r="A3712">
        <v>3709</v>
      </c>
      <c r="B3712" s="12">
        <v>178.75343405033178</v>
      </c>
      <c r="C3712" s="12">
        <v>177.59419107302594</v>
      </c>
      <c r="D3712" s="12">
        <v>92.611372764978697</v>
      </c>
    </row>
    <row r="3713" spans="1:4">
      <c r="A3713">
        <v>3710</v>
      </c>
      <c r="B3713" s="12">
        <v>175.69270424742609</v>
      </c>
      <c r="C3713" s="12">
        <v>163.01650725213381</v>
      </c>
      <c r="D3713" s="12">
        <v>150.04952681442001</v>
      </c>
    </row>
    <row r="3714" spans="1:4">
      <c r="A3714">
        <v>3711</v>
      </c>
      <c r="B3714" s="12">
        <v>89.758773810554047</v>
      </c>
      <c r="C3714" s="12">
        <v>121.24452755519613</v>
      </c>
      <c r="D3714" s="12">
        <v>140.76702583756605</v>
      </c>
    </row>
    <row r="3715" spans="1:4">
      <c r="A3715">
        <v>3712</v>
      </c>
      <c r="B3715" s="12">
        <v>151.00864010271195</v>
      </c>
      <c r="C3715" s="12">
        <v>166.27256746446139</v>
      </c>
      <c r="D3715" s="12">
        <v>101.83691786785434</v>
      </c>
    </row>
    <row r="3716" spans="1:4">
      <c r="A3716">
        <v>3713</v>
      </c>
      <c r="B3716" s="12">
        <v>136.15131025403602</v>
      </c>
      <c r="C3716" s="12">
        <v>185.6475944111391</v>
      </c>
      <c r="D3716" s="12">
        <v>145.81366892385947</v>
      </c>
    </row>
    <row r="3717" spans="1:4">
      <c r="A3717">
        <v>3714</v>
      </c>
      <c r="B3717" s="12">
        <v>145.14483595401705</v>
      </c>
      <c r="C3717" s="12">
        <v>184.19289832135087</v>
      </c>
      <c r="D3717" s="12">
        <v>156.31506347312032</v>
      </c>
    </row>
    <row r="3718" spans="1:4">
      <c r="A3718">
        <v>3715</v>
      </c>
      <c r="B3718" s="12">
        <v>135.72887959366361</v>
      </c>
      <c r="C3718" s="12">
        <v>131.98924554582658</v>
      </c>
      <c r="D3718" s="12">
        <v>127.99666868855921</v>
      </c>
    </row>
    <row r="3719" spans="1:4">
      <c r="A3719">
        <v>3716</v>
      </c>
      <c r="B3719" s="12">
        <v>117.57407356498119</v>
      </c>
      <c r="C3719" s="12">
        <v>159.35693685186871</v>
      </c>
      <c r="D3719" s="12">
        <v>104.84901384551551</v>
      </c>
    </row>
    <row r="3720" spans="1:4">
      <c r="A3720">
        <v>3717</v>
      </c>
      <c r="B3720" s="12">
        <v>120.09743234648855</v>
      </c>
      <c r="C3720" s="12">
        <v>140.12377864198771</v>
      </c>
      <c r="D3720" s="12">
        <v>99.924189114627012</v>
      </c>
    </row>
    <row r="3721" spans="1:4">
      <c r="A3721">
        <v>3718</v>
      </c>
      <c r="B3721" s="12">
        <v>108.99545601212635</v>
      </c>
      <c r="C3721" s="12">
        <v>150.20319661346593</v>
      </c>
      <c r="D3721" s="12">
        <v>57.222732150781681</v>
      </c>
    </row>
    <row r="3722" spans="1:4">
      <c r="A3722">
        <v>3719</v>
      </c>
      <c r="B3722" s="12">
        <v>160.44043161036439</v>
      </c>
      <c r="C3722" s="12">
        <v>179.85112670811537</v>
      </c>
      <c r="D3722" s="12">
        <v>88.408946655220987</v>
      </c>
    </row>
    <row r="3723" spans="1:4">
      <c r="A3723">
        <v>3720</v>
      </c>
      <c r="B3723" s="12">
        <v>201.5660677126144</v>
      </c>
      <c r="C3723" s="12">
        <v>119.36840060489656</v>
      </c>
      <c r="D3723" s="12">
        <v>148.80661249307974</v>
      </c>
    </row>
    <row r="3724" spans="1:4">
      <c r="A3724">
        <v>3721</v>
      </c>
      <c r="B3724" s="12">
        <v>142.12227554273213</v>
      </c>
      <c r="C3724" s="12">
        <v>203.9279845884852</v>
      </c>
      <c r="D3724" s="12">
        <v>93.138768058152635</v>
      </c>
    </row>
    <row r="3725" spans="1:4">
      <c r="A3725">
        <v>3722</v>
      </c>
      <c r="B3725" s="12">
        <v>118.29439664199685</v>
      </c>
      <c r="C3725" s="12">
        <v>142.25395535968434</v>
      </c>
      <c r="D3725" s="12">
        <v>93.57144509517984</v>
      </c>
    </row>
    <row r="3726" spans="1:4">
      <c r="A3726">
        <v>3723</v>
      </c>
      <c r="B3726" s="12">
        <v>146.50896497351872</v>
      </c>
      <c r="C3726" s="12">
        <v>158.42592684615281</v>
      </c>
      <c r="D3726" s="12">
        <v>137.32194840477607</v>
      </c>
    </row>
    <row r="3727" spans="1:4">
      <c r="A3727">
        <v>3724</v>
      </c>
      <c r="B3727" s="12">
        <v>129.78858021651246</v>
      </c>
      <c r="C3727" s="12">
        <v>143.62944823252795</v>
      </c>
      <c r="D3727" s="12">
        <v>89.381834111835872</v>
      </c>
    </row>
    <row r="3728" spans="1:4">
      <c r="A3728">
        <v>3725</v>
      </c>
      <c r="B3728" s="12">
        <v>164.02317823252551</v>
      </c>
      <c r="C3728" s="12">
        <v>211.9732765037518</v>
      </c>
      <c r="D3728" s="12">
        <v>136.58046063642931</v>
      </c>
    </row>
    <row r="3729" spans="1:4">
      <c r="A3729">
        <v>3726</v>
      </c>
      <c r="B3729" s="12">
        <v>156.78986417503316</v>
      </c>
      <c r="C3729" s="12">
        <v>153.82555173037599</v>
      </c>
      <c r="D3729" s="12">
        <v>71.223284559144915</v>
      </c>
    </row>
    <row r="3730" spans="1:4">
      <c r="A3730">
        <v>3727</v>
      </c>
      <c r="B3730" s="12">
        <v>136.57067555669929</v>
      </c>
      <c r="C3730" s="12">
        <v>161.1601825100428</v>
      </c>
      <c r="D3730" s="12">
        <v>120.11754572917084</v>
      </c>
    </row>
    <row r="3731" spans="1:4">
      <c r="A3731">
        <v>3728</v>
      </c>
      <c r="B3731" s="12">
        <v>166.67645129978587</v>
      </c>
      <c r="C3731" s="12">
        <v>132.56716906122645</v>
      </c>
      <c r="D3731" s="12">
        <v>66.568438742181755</v>
      </c>
    </row>
    <row r="3732" spans="1:4">
      <c r="A3732">
        <v>3729</v>
      </c>
      <c r="B3732" s="12">
        <v>117.10039705407058</v>
      </c>
      <c r="C3732" s="12">
        <v>118.86797168315215</v>
      </c>
      <c r="D3732" s="12">
        <v>74.733244642277242</v>
      </c>
    </row>
    <row r="3733" spans="1:4">
      <c r="A3733">
        <v>3730</v>
      </c>
      <c r="B3733" s="12">
        <v>205.67308321933368</v>
      </c>
      <c r="C3733" s="12">
        <v>216.62806306584255</v>
      </c>
      <c r="D3733" s="12">
        <v>72.977387136388401</v>
      </c>
    </row>
    <row r="3734" spans="1:4">
      <c r="A3734">
        <v>3731</v>
      </c>
      <c r="B3734" s="12">
        <v>156.55564179416112</v>
      </c>
      <c r="C3734" s="12">
        <v>202.50506947866566</v>
      </c>
      <c r="D3734" s="12">
        <v>152.24819383700159</v>
      </c>
    </row>
    <row r="3735" spans="1:4">
      <c r="A3735">
        <v>3732</v>
      </c>
      <c r="B3735" s="12">
        <v>138.99777849543872</v>
      </c>
      <c r="C3735" s="12">
        <v>120.8136733905428</v>
      </c>
      <c r="D3735" s="12">
        <v>71.646642388464613</v>
      </c>
    </row>
    <row r="3736" spans="1:4">
      <c r="A3736">
        <v>3733</v>
      </c>
      <c r="B3736" s="12">
        <v>234.98238876196982</v>
      </c>
      <c r="C3736" s="12">
        <v>150.84713168050493</v>
      </c>
      <c r="D3736" s="12">
        <v>182.8667390650277</v>
      </c>
    </row>
    <row r="3737" spans="1:4">
      <c r="A3737">
        <v>3734</v>
      </c>
      <c r="B3737" s="12">
        <v>169.54011470674772</v>
      </c>
      <c r="C3737" s="12">
        <v>157.50497443030287</v>
      </c>
      <c r="D3737" s="12">
        <v>78.863169760925047</v>
      </c>
    </row>
    <row r="3738" spans="1:4">
      <c r="A3738">
        <v>3735</v>
      </c>
      <c r="B3738" s="12">
        <v>248.72245674616241</v>
      </c>
      <c r="C3738" s="12">
        <v>146.96065084859404</v>
      </c>
      <c r="D3738" s="12">
        <v>78.015833686086438</v>
      </c>
    </row>
    <row r="3739" spans="1:4">
      <c r="A3739">
        <v>3736</v>
      </c>
      <c r="B3739" s="12">
        <v>84.58273587173403</v>
      </c>
      <c r="C3739" s="12">
        <v>140.84409281075344</v>
      </c>
      <c r="D3739" s="12">
        <v>97.778676188047072</v>
      </c>
    </row>
    <row r="3740" spans="1:4">
      <c r="A3740">
        <v>3737</v>
      </c>
      <c r="B3740" s="12">
        <v>126.29624136109406</v>
      </c>
      <c r="C3740" s="12">
        <v>130.02394480971861</v>
      </c>
      <c r="D3740" s="12">
        <v>138.08555634358007</v>
      </c>
    </row>
    <row r="3741" spans="1:4">
      <c r="A3741">
        <v>3738</v>
      </c>
      <c r="B3741" s="12">
        <v>213.51375814242203</v>
      </c>
      <c r="C3741" s="12">
        <v>149.7149267052192</v>
      </c>
      <c r="D3741" s="12">
        <v>105.14128639582745</v>
      </c>
    </row>
    <row r="3742" spans="1:4">
      <c r="A3742">
        <v>3739</v>
      </c>
      <c r="B3742" s="12">
        <v>198.970551501979</v>
      </c>
      <c r="C3742" s="12">
        <v>146.46355111983686</v>
      </c>
      <c r="D3742" s="12">
        <v>118.38546198848991</v>
      </c>
    </row>
    <row r="3743" spans="1:4">
      <c r="A3743">
        <v>3740</v>
      </c>
      <c r="B3743" s="12">
        <v>147.11965405376566</v>
      </c>
      <c r="C3743" s="12">
        <v>176.92994341278037</v>
      </c>
      <c r="D3743" s="12">
        <v>74.965867387320785</v>
      </c>
    </row>
    <row r="3744" spans="1:4">
      <c r="A3744">
        <v>3741</v>
      </c>
      <c r="B3744" s="12">
        <v>150.77432722737126</v>
      </c>
      <c r="C3744" s="12">
        <v>131.62997283975398</v>
      </c>
      <c r="D3744" s="12">
        <v>70.508104688678287</v>
      </c>
    </row>
    <row r="3745" spans="1:4">
      <c r="A3745">
        <v>3742</v>
      </c>
      <c r="B3745" s="12">
        <v>259.59775154847853</v>
      </c>
      <c r="C3745" s="12">
        <v>144.97745108887386</v>
      </c>
      <c r="D3745" s="12">
        <v>85.083178548945597</v>
      </c>
    </row>
    <row r="3746" spans="1:4">
      <c r="A3746">
        <v>3743</v>
      </c>
      <c r="B3746" s="12">
        <v>184.24042093732319</v>
      </c>
      <c r="C3746" s="12">
        <v>149.06916724459734</v>
      </c>
      <c r="D3746" s="12">
        <v>107.50903862424339</v>
      </c>
    </row>
    <row r="3747" spans="1:4">
      <c r="A3747">
        <v>3744</v>
      </c>
      <c r="B3747" s="12">
        <v>185.06514252430546</v>
      </c>
      <c r="C3747" s="12">
        <v>164.47656249478692</v>
      </c>
      <c r="D3747" s="12">
        <v>135.40825905006599</v>
      </c>
    </row>
    <row r="3748" spans="1:4">
      <c r="A3748">
        <v>3745</v>
      </c>
      <c r="B3748" s="12">
        <v>133.44141630704976</v>
      </c>
      <c r="C3748" s="12">
        <v>137.11081847147855</v>
      </c>
      <c r="D3748" s="12">
        <v>109.14682267589636</v>
      </c>
    </row>
    <row r="3749" spans="1:4">
      <c r="A3749">
        <v>3746</v>
      </c>
      <c r="B3749" s="12">
        <v>177.56864197540855</v>
      </c>
      <c r="C3749" s="12">
        <v>181.05790548140124</v>
      </c>
      <c r="D3749" s="12">
        <v>86.264063582272613</v>
      </c>
    </row>
    <row r="3750" spans="1:4">
      <c r="A3750">
        <v>3747</v>
      </c>
      <c r="B3750" s="12">
        <v>225.73973538121248</v>
      </c>
      <c r="C3750" s="12">
        <v>154.71948126984441</v>
      </c>
      <c r="D3750" s="12">
        <v>124.82086175209045</v>
      </c>
    </row>
    <row r="3751" spans="1:4">
      <c r="A3751">
        <v>3748</v>
      </c>
      <c r="B3751" s="12">
        <v>154.86167592940828</v>
      </c>
      <c r="C3751" s="12">
        <v>157.75702577368023</v>
      </c>
      <c r="D3751" s="12">
        <v>144.12962968998889</v>
      </c>
    </row>
    <row r="3752" spans="1:4">
      <c r="A3752">
        <v>3749</v>
      </c>
      <c r="B3752" s="12">
        <v>115.55193661665182</v>
      </c>
      <c r="C3752" s="12">
        <v>184.53733635780205</v>
      </c>
      <c r="D3752" s="12">
        <v>98.219861296561689</v>
      </c>
    </row>
    <row r="3753" spans="1:4">
      <c r="A3753">
        <v>3750</v>
      </c>
      <c r="B3753" s="12">
        <v>151.37418853326264</v>
      </c>
      <c r="C3753" s="12">
        <v>148.66712579181927</v>
      </c>
      <c r="D3753" s="12">
        <v>90.783666185693292</v>
      </c>
    </row>
    <row r="3754" spans="1:4">
      <c r="A3754">
        <v>3751</v>
      </c>
      <c r="B3754" s="12">
        <v>158.12381177248886</v>
      </c>
      <c r="C3754" s="12">
        <v>133.46997974949144</v>
      </c>
      <c r="D3754" s="12">
        <v>61.092301825403183</v>
      </c>
    </row>
    <row r="3755" spans="1:4">
      <c r="A3755">
        <v>3752</v>
      </c>
      <c r="B3755" s="12">
        <v>130.74049511197978</v>
      </c>
      <c r="C3755" s="12">
        <v>172.9844626404352</v>
      </c>
      <c r="D3755" s="12">
        <v>84.804596626051634</v>
      </c>
    </row>
    <row r="3756" spans="1:4">
      <c r="A3756">
        <v>3753</v>
      </c>
      <c r="B3756" s="12">
        <v>278.90932244017222</v>
      </c>
      <c r="C3756" s="12">
        <v>142.94554200709103</v>
      </c>
      <c r="D3756" s="12">
        <v>91.481733890671563</v>
      </c>
    </row>
    <row r="3757" spans="1:4">
      <c r="A3757">
        <v>3754</v>
      </c>
      <c r="B3757" s="12">
        <v>155.22637986822133</v>
      </c>
      <c r="C3757" s="12">
        <v>140.57261175879222</v>
      </c>
      <c r="D3757" s="12">
        <v>119.44355313050767</v>
      </c>
    </row>
    <row r="3758" spans="1:4">
      <c r="A3758">
        <v>3755</v>
      </c>
      <c r="B3758" s="12">
        <v>144.1464722470335</v>
      </c>
      <c r="C3758" s="12">
        <v>188.88011565754908</v>
      </c>
      <c r="D3758" s="12">
        <v>106.21734383944661</v>
      </c>
    </row>
    <row r="3759" spans="1:4">
      <c r="A3759">
        <v>3756</v>
      </c>
      <c r="B3759" s="12">
        <v>162.64942627142636</v>
      </c>
      <c r="C3759" s="12">
        <v>141.9898571923201</v>
      </c>
      <c r="D3759" s="12">
        <v>113.50745505063281</v>
      </c>
    </row>
    <row r="3760" spans="1:4">
      <c r="A3760">
        <v>3757</v>
      </c>
      <c r="B3760" s="12">
        <v>161.66086624652962</v>
      </c>
      <c r="C3760" s="12">
        <v>144.05084867001901</v>
      </c>
      <c r="D3760" s="12">
        <v>105.91982106497611</v>
      </c>
    </row>
    <row r="3761" spans="1:4">
      <c r="A3761">
        <v>3758</v>
      </c>
      <c r="B3761" s="12">
        <v>193.83777262463488</v>
      </c>
      <c r="C3761" s="12">
        <v>152.29058172869401</v>
      </c>
      <c r="D3761" s="12">
        <v>96.367305252564748</v>
      </c>
    </row>
    <row r="3762" spans="1:4">
      <c r="A3762">
        <v>3759</v>
      </c>
      <c r="B3762" s="12">
        <v>133.88244034734385</v>
      </c>
      <c r="C3762" s="12">
        <v>197.46339035142006</v>
      </c>
      <c r="D3762" s="12">
        <v>97.338886722845942</v>
      </c>
    </row>
    <row r="3763" spans="1:4">
      <c r="A3763">
        <v>3760</v>
      </c>
      <c r="B3763" s="12">
        <v>214.55727533176608</v>
      </c>
      <c r="C3763" s="12">
        <v>130.27187826170265</v>
      </c>
      <c r="D3763" s="12">
        <v>93.835275289664523</v>
      </c>
    </row>
    <row r="3764" spans="1:4">
      <c r="A3764">
        <v>3761</v>
      </c>
      <c r="B3764" s="12">
        <v>111.77901507634425</v>
      </c>
      <c r="C3764" s="12">
        <v>148.26429382595487</v>
      </c>
      <c r="D3764" s="12">
        <v>72.322532368743055</v>
      </c>
    </row>
    <row r="3765" spans="1:4">
      <c r="A3765">
        <v>3762</v>
      </c>
      <c r="B3765" s="12">
        <v>133.15681303817365</v>
      </c>
      <c r="C3765" s="12">
        <v>167.84191876318567</v>
      </c>
      <c r="D3765" s="12">
        <v>97.510442324909917</v>
      </c>
    </row>
    <row r="3766" spans="1:4">
      <c r="A3766">
        <v>3763</v>
      </c>
      <c r="B3766" s="12">
        <v>154.26358409208191</v>
      </c>
      <c r="C3766" s="12">
        <v>142.68458126198817</v>
      </c>
      <c r="D3766" s="12">
        <v>110.84087975414859</v>
      </c>
    </row>
    <row r="3767" spans="1:4">
      <c r="A3767">
        <v>3764</v>
      </c>
      <c r="B3767" s="12">
        <v>170.85992606363394</v>
      </c>
      <c r="C3767" s="12">
        <v>115.52436573506118</v>
      </c>
      <c r="D3767" s="12">
        <v>96.633637601586415</v>
      </c>
    </row>
    <row r="3768" spans="1:4">
      <c r="A3768">
        <v>3765</v>
      </c>
      <c r="B3768" s="12">
        <v>224.27007774751027</v>
      </c>
      <c r="C3768" s="12">
        <v>117.15454640776994</v>
      </c>
      <c r="D3768" s="12">
        <v>161.31539104568805</v>
      </c>
    </row>
    <row r="3769" spans="1:4">
      <c r="A3769">
        <v>3766</v>
      </c>
      <c r="B3769" s="12">
        <v>132.25698168393387</v>
      </c>
      <c r="C3769" s="12">
        <v>139.39167813556827</v>
      </c>
      <c r="D3769" s="12">
        <v>102.11683854372876</v>
      </c>
    </row>
    <row r="3770" spans="1:4">
      <c r="A3770">
        <v>3767</v>
      </c>
      <c r="B3770" s="12">
        <v>232.99491191055279</v>
      </c>
      <c r="C3770" s="12">
        <v>209.70135161715686</v>
      </c>
      <c r="D3770" s="12">
        <v>75.903381887777314</v>
      </c>
    </row>
    <row r="3771" spans="1:4">
      <c r="A3771">
        <v>3768</v>
      </c>
      <c r="B3771" s="12">
        <v>147.86123006923199</v>
      </c>
      <c r="C3771" s="12">
        <v>139.11108174973023</v>
      </c>
      <c r="D3771" s="12">
        <v>126.62022039504254</v>
      </c>
    </row>
    <row r="3772" spans="1:4">
      <c r="A3772">
        <v>3769</v>
      </c>
      <c r="B3772" s="12">
        <v>122.77386726117135</v>
      </c>
      <c r="C3772" s="12">
        <v>153.42390963510638</v>
      </c>
      <c r="D3772" s="12">
        <v>133.62499917946045</v>
      </c>
    </row>
    <row r="3773" spans="1:4">
      <c r="A3773">
        <v>3770</v>
      </c>
      <c r="B3773" s="12">
        <v>136.83774567204878</v>
      </c>
      <c r="C3773" s="12">
        <v>128.9693899903464</v>
      </c>
      <c r="D3773" s="12">
        <v>145.14184717687462</v>
      </c>
    </row>
    <row r="3774" spans="1:4">
      <c r="A3774">
        <v>3771</v>
      </c>
      <c r="B3774" s="12">
        <v>164.40295610367306</v>
      </c>
      <c r="C3774" s="12">
        <v>168.34201622835076</v>
      </c>
      <c r="D3774" s="12">
        <v>115.98685682501998</v>
      </c>
    </row>
    <row r="3775" spans="1:4">
      <c r="A3775">
        <v>3772</v>
      </c>
      <c r="B3775" s="12">
        <v>179.96141342765247</v>
      </c>
      <c r="C3775" s="12">
        <v>174.52139031849393</v>
      </c>
      <c r="D3775" s="12">
        <v>98.933222303070423</v>
      </c>
    </row>
    <row r="3776" spans="1:4">
      <c r="A3776">
        <v>3773</v>
      </c>
      <c r="B3776" s="12">
        <v>148.46739134629834</v>
      </c>
      <c r="C3776" s="12">
        <v>154.4735219233151</v>
      </c>
      <c r="D3776" s="12">
        <v>67.467417504390937</v>
      </c>
    </row>
    <row r="3777" spans="1:4">
      <c r="A3777">
        <v>3774</v>
      </c>
      <c r="B3777" s="12">
        <v>145.89586959592447</v>
      </c>
      <c r="C3777" s="12">
        <v>143.37129583245837</v>
      </c>
      <c r="D3777" s="12">
        <v>108.32140360176797</v>
      </c>
    </row>
    <row r="3778" spans="1:4">
      <c r="A3778">
        <v>3775</v>
      </c>
      <c r="B3778" s="12">
        <v>181.19443769355456</v>
      </c>
      <c r="C3778" s="12">
        <v>171.73358921137316</v>
      </c>
      <c r="D3778" s="12">
        <v>105.6237957846635</v>
      </c>
    </row>
    <row r="3779" spans="1:4">
      <c r="A3779">
        <v>3776</v>
      </c>
      <c r="B3779" s="12">
        <v>114.19053333712787</v>
      </c>
      <c r="C3779" s="12">
        <v>146.30387967099452</v>
      </c>
      <c r="D3779" s="12">
        <v>80.500167282318046</v>
      </c>
    </row>
    <row r="3780" spans="1:4">
      <c r="A3780">
        <v>3777</v>
      </c>
      <c r="B3780" s="12">
        <v>218.66064535573173</v>
      </c>
      <c r="C3780" s="12">
        <v>158.68059748406921</v>
      </c>
      <c r="D3780" s="12">
        <v>107.20460173680137</v>
      </c>
    </row>
    <row r="3781" spans="1:4">
      <c r="A3781">
        <v>3778</v>
      </c>
      <c r="B3781" s="12">
        <v>313.26329869172412</v>
      </c>
      <c r="C3781" s="12">
        <v>158.00975797056867</v>
      </c>
      <c r="D3781" s="12">
        <v>109.66665659633848</v>
      </c>
    </row>
    <row r="3782" spans="1:4">
      <c r="A3782">
        <v>3779</v>
      </c>
      <c r="B3782" s="12">
        <v>217.48132621530402</v>
      </c>
      <c r="C3782" s="12">
        <v>126.96550822932153</v>
      </c>
      <c r="D3782" s="12">
        <v>100.19807028175985</v>
      </c>
    </row>
    <row r="3783" spans="1:4">
      <c r="A3783">
        <v>3780</v>
      </c>
      <c r="B3783" s="12">
        <v>190.7273365654647</v>
      </c>
      <c r="C3783" s="12">
        <v>156.18402417942391</v>
      </c>
      <c r="D3783" s="12">
        <v>83.598272610180771</v>
      </c>
    </row>
    <row r="3784" spans="1:4">
      <c r="A3784">
        <v>3781</v>
      </c>
      <c r="B3784" s="12">
        <v>192.84807213072096</v>
      </c>
      <c r="C3784" s="12">
        <v>136.51121489338414</v>
      </c>
      <c r="D3784" s="12">
        <v>78.339240285592311</v>
      </c>
    </row>
    <row r="3785" spans="1:4">
      <c r="A3785">
        <v>3782</v>
      </c>
      <c r="B3785" s="12">
        <v>185.57434259719938</v>
      </c>
      <c r="C3785" s="12">
        <v>147.11942223931578</v>
      </c>
      <c r="D3785" s="12">
        <v>115.38490221498643</v>
      </c>
    </row>
    <row r="3786" spans="1:4">
      <c r="A3786">
        <v>3783</v>
      </c>
      <c r="B3786" s="12">
        <v>155.82503171414822</v>
      </c>
      <c r="C3786" s="12">
        <v>155.77674031690287</v>
      </c>
      <c r="D3786" s="12">
        <v>52.635305785421444</v>
      </c>
    </row>
    <row r="3787" spans="1:4">
      <c r="A3787">
        <v>3784</v>
      </c>
      <c r="B3787" s="12">
        <v>163.40246589414801</v>
      </c>
      <c r="C3787" s="12">
        <v>170.85485473148518</v>
      </c>
      <c r="D3787" s="12">
        <v>108.01226851475319</v>
      </c>
    </row>
    <row r="3788" spans="1:4">
      <c r="A3788">
        <v>3785</v>
      </c>
      <c r="B3788" s="12">
        <v>245.54079113428122</v>
      </c>
      <c r="C3788" s="12">
        <v>191.17007275839649</v>
      </c>
      <c r="D3788" s="12">
        <v>89.818324762981447</v>
      </c>
    </row>
    <row r="3789" spans="1:4">
      <c r="A3789">
        <v>3786</v>
      </c>
      <c r="B3789" s="12">
        <v>191.30003444646579</v>
      </c>
      <c r="C3789" s="12">
        <v>138.82853309270888</v>
      </c>
      <c r="D3789" s="12">
        <v>69.295326607297227</v>
      </c>
    </row>
    <row r="3790" spans="1:4">
      <c r="A3790">
        <v>3787</v>
      </c>
      <c r="B3790" s="12">
        <v>97.487005965052077</v>
      </c>
      <c r="C3790" s="12">
        <v>138.64648647980886</v>
      </c>
      <c r="D3790" s="12">
        <v>104.37242877678841</v>
      </c>
    </row>
    <row r="3791" spans="1:4">
      <c r="A3791">
        <v>3788</v>
      </c>
      <c r="B3791" s="12">
        <v>204.86005790778691</v>
      </c>
      <c r="C3791" s="12">
        <v>140.29954823890429</v>
      </c>
      <c r="D3791" s="12">
        <v>58.452814233084041</v>
      </c>
    </row>
    <row r="3792" spans="1:4">
      <c r="A3792">
        <v>3789</v>
      </c>
      <c r="B3792" s="12">
        <v>134.31960486962438</v>
      </c>
      <c r="C3792" s="12">
        <v>165.50893407727358</v>
      </c>
      <c r="D3792" s="12">
        <v>104.08362942456051</v>
      </c>
    </row>
    <row r="3793" spans="1:4">
      <c r="A3793">
        <v>3790</v>
      </c>
      <c r="B3793" s="12">
        <v>124.86434250733215</v>
      </c>
      <c r="C3793" s="12">
        <v>132.9128731690993</v>
      </c>
      <c r="D3793" s="12">
        <v>124.04336181339959</v>
      </c>
    </row>
    <row r="3794" spans="1:4">
      <c r="A3794">
        <v>3791</v>
      </c>
      <c r="B3794" s="12">
        <v>131.04077095800983</v>
      </c>
      <c r="C3794" s="12">
        <v>141.55379638339537</v>
      </c>
      <c r="D3794" s="12">
        <v>95.665750295045783</v>
      </c>
    </row>
    <row r="3795" spans="1:4">
      <c r="A3795">
        <v>3792</v>
      </c>
      <c r="B3795" s="12">
        <v>137.25235819676294</v>
      </c>
      <c r="C3795" s="12">
        <v>181.53056663445676</v>
      </c>
      <c r="D3795" s="12">
        <v>55.786280223914474</v>
      </c>
    </row>
    <row r="3796" spans="1:4">
      <c r="A3796">
        <v>3793</v>
      </c>
      <c r="B3796" s="12">
        <v>104.13694870826923</v>
      </c>
      <c r="C3796" s="12">
        <v>230.17422113021507</v>
      </c>
      <c r="D3796" s="12">
        <v>69.597203308863968</v>
      </c>
    </row>
    <row r="3797" spans="1:4">
      <c r="A3797">
        <v>3794</v>
      </c>
      <c r="B3797" s="12">
        <v>165.41130950882697</v>
      </c>
      <c r="C3797" s="12">
        <v>165.98182472708456</v>
      </c>
      <c r="D3797" s="12">
        <v>126.11519113679302</v>
      </c>
    </row>
    <row r="3798" spans="1:4">
      <c r="A3798">
        <v>3795</v>
      </c>
      <c r="B3798" s="12">
        <v>151.97331056092389</v>
      </c>
      <c r="C3798" s="12">
        <v>164.01849812478159</v>
      </c>
      <c r="D3798" s="12">
        <v>108.83263064395324</v>
      </c>
    </row>
    <row r="3799" spans="1:4">
      <c r="A3799">
        <v>3796</v>
      </c>
      <c r="B3799" s="12">
        <v>228.31591878112096</v>
      </c>
      <c r="C3799" s="12">
        <v>103.26126230615851</v>
      </c>
      <c r="D3799" s="12">
        <v>65.391150214296914</v>
      </c>
    </row>
    <row r="3800" spans="1:4">
      <c r="A3800">
        <v>3797</v>
      </c>
      <c r="B3800" s="12">
        <v>216.34322954506251</v>
      </c>
      <c r="C3800" s="12">
        <v>147.77194441362712</v>
      </c>
      <c r="D3800" s="12">
        <v>112.60014971794686</v>
      </c>
    </row>
    <row r="3801" spans="1:4">
      <c r="A3801">
        <v>3798</v>
      </c>
      <c r="B3801" s="12">
        <v>164.64680930937993</v>
      </c>
      <c r="C3801" s="12">
        <v>137.59489406099661</v>
      </c>
      <c r="D3801" s="12">
        <v>136.11646770700446</v>
      </c>
    </row>
    <row r="3802" spans="1:4">
      <c r="A3802">
        <v>3799</v>
      </c>
      <c r="B3802" s="12">
        <v>222.86728085521517</v>
      </c>
      <c r="C3802" s="12">
        <v>143.79428646194961</v>
      </c>
      <c r="D3802" s="12">
        <v>134.28630057274833</v>
      </c>
    </row>
    <row r="3803" spans="1:4">
      <c r="A3803">
        <v>3800</v>
      </c>
      <c r="B3803" s="12">
        <v>236.33153228500871</v>
      </c>
      <c r="C3803" s="12">
        <v>137.30062575764765</v>
      </c>
      <c r="D3803" s="12">
        <v>75.678980628575772</v>
      </c>
    </row>
    <row r="3804" spans="1:4">
      <c r="A3804">
        <v>3801</v>
      </c>
      <c r="B3804" s="12">
        <v>199.66666858853054</v>
      </c>
      <c r="C3804" s="12">
        <v>124.36784731627453</v>
      </c>
      <c r="D3804" s="12">
        <v>104.66251153801703</v>
      </c>
    </row>
    <row r="3805" spans="1:4">
      <c r="A3805">
        <v>3802</v>
      </c>
      <c r="B3805" s="12">
        <v>168.74505306089438</v>
      </c>
      <c r="C3805" s="12">
        <v>126.20073072467612</v>
      </c>
      <c r="D3805" s="12">
        <v>83.882175489412589</v>
      </c>
    </row>
    <row r="3806" spans="1:4">
      <c r="A3806">
        <v>3803</v>
      </c>
      <c r="B3806" s="12">
        <v>162.03452740545319</v>
      </c>
      <c r="C3806" s="12">
        <v>118.04265006576274</v>
      </c>
      <c r="D3806" s="12">
        <v>94.532497939479782</v>
      </c>
    </row>
    <row r="3807" spans="1:4">
      <c r="A3807">
        <v>3804</v>
      </c>
      <c r="B3807" s="12">
        <v>101.25086742970149</v>
      </c>
      <c r="C3807" s="12">
        <v>154.07070782709394</v>
      </c>
      <c r="D3807" s="12">
        <v>128.88574253846843</v>
      </c>
    </row>
    <row r="3808" spans="1:4">
      <c r="A3808">
        <v>3805</v>
      </c>
      <c r="B3808" s="12">
        <v>146.13555118565264</v>
      </c>
      <c r="C3808" s="12">
        <v>180.30139505706731</v>
      </c>
      <c r="D3808" s="12">
        <v>63.659687946995696</v>
      </c>
    </row>
    <row r="3809" spans="1:4">
      <c r="A3809">
        <v>3806</v>
      </c>
      <c r="B3809" s="12">
        <v>226.71966799230702</v>
      </c>
      <c r="C3809" s="12">
        <v>141.7244790817042</v>
      </c>
      <c r="D3809" s="12">
        <v>159.99157864116637</v>
      </c>
    </row>
    <row r="3810" spans="1:4">
      <c r="A3810">
        <v>3807</v>
      </c>
      <c r="B3810" s="12">
        <v>152.70297320687962</v>
      </c>
      <c r="C3810" s="12">
        <v>124.89230297076526</v>
      </c>
      <c r="D3810" s="12">
        <v>86.088499167179961</v>
      </c>
    </row>
    <row r="3811" spans="1:4">
      <c r="A3811">
        <v>3808</v>
      </c>
      <c r="B3811" s="12">
        <v>153.30110824693921</v>
      </c>
      <c r="C3811" s="12">
        <v>144.72402455307702</v>
      </c>
      <c r="D3811" s="12">
        <v>103.61252229591665</v>
      </c>
    </row>
    <row r="3812" spans="1:4">
      <c r="A3812">
        <v>3809</v>
      </c>
      <c r="B3812" s="12">
        <v>211.86860782466883</v>
      </c>
      <c r="C3812" s="12">
        <v>133.13183675749966</v>
      </c>
      <c r="D3812" s="12">
        <v>87.52588957540712</v>
      </c>
    </row>
    <row r="3813" spans="1:4">
      <c r="A3813">
        <v>3810</v>
      </c>
      <c r="B3813" s="12">
        <v>147.49082081504412</v>
      </c>
      <c r="C3813" s="12">
        <v>156.43294696636801</v>
      </c>
      <c r="D3813" s="12">
        <v>171.00690969913666</v>
      </c>
    </row>
    <row r="3814" spans="1:4">
      <c r="A3814">
        <v>3811</v>
      </c>
      <c r="B3814" s="12">
        <v>210.90324506745719</v>
      </c>
      <c r="C3814" s="12">
        <v>151.64681233628042</v>
      </c>
      <c r="D3814" s="12">
        <v>98.489526061429004</v>
      </c>
    </row>
    <row r="3815" spans="1:4">
      <c r="A3815">
        <v>3812</v>
      </c>
      <c r="B3815" s="12">
        <v>121.77962438412999</v>
      </c>
      <c r="C3815" s="12">
        <v>137.88674625119364</v>
      </c>
      <c r="D3815" s="12">
        <v>106.70880030162891</v>
      </c>
    </row>
    <row r="3816" spans="1:4">
      <c r="A3816">
        <v>3813</v>
      </c>
      <c r="B3816" s="12">
        <v>189.24831550216393</v>
      </c>
      <c r="C3816" s="12">
        <v>158.17201461231255</v>
      </c>
      <c r="D3816" s="12">
        <v>76.250088030658461</v>
      </c>
    </row>
    <row r="3817" spans="1:4">
      <c r="A3817">
        <v>3814</v>
      </c>
      <c r="B3817" s="12">
        <v>115.03112378449018</v>
      </c>
      <c r="C3817" s="12">
        <v>124.02242636947375</v>
      </c>
      <c r="D3817" s="12">
        <v>63.20113782451471</v>
      </c>
    </row>
    <row r="3818" spans="1:4">
      <c r="A3818">
        <v>3815</v>
      </c>
      <c r="B3818" s="12">
        <v>126.82256421853366</v>
      </c>
      <c r="C3818" s="12">
        <v>182.82452476035277</v>
      </c>
      <c r="D3818" s="12">
        <v>177.51981933163205</v>
      </c>
    </row>
    <row r="3819" spans="1:4">
      <c r="A3819">
        <v>3816</v>
      </c>
      <c r="B3819" s="12">
        <v>124.30457943286093</v>
      </c>
      <c r="C3819" s="12">
        <v>151.49069813365304</v>
      </c>
      <c r="D3819" s="12">
        <v>158.07542071071788</v>
      </c>
    </row>
    <row r="3820" spans="1:4">
      <c r="A3820">
        <v>3817</v>
      </c>
      <c r="B3820" s="12">
        <v>231.13457135506269</v>
      </c>
      <c r="C3820" s="12">
        <v>139.5704214580625</v>
      </c>
      <c r="D3820" s="12">
        <v>64.991797547823154</v>
      </c>
    </row>
    <row r="3821" spans="1:4">
      <c r="A3821">
        <v>3818</v>
      </c>
      <c r="B3821" s="12">
        <v>122.38991212770749</v>
      </c>
      <c r="C3821" s="12">
        <v>200.39946003598297</v>
      </c>
      <c r="D3821" s="12">
        <v>95.230956183181874</v>
      </c>
    </row>
    <row r="3822" spans="1:4">
      <c r="A3822">
        <v>3819</v>
      </c>
      <c r="B3822" s="12">
        <v>269.76860597147419</v>
      </c>
      <c r="C3822" s="12">
        <v>160.03934787865896</v>
      </c>
      <c r="D3822" s="12">
        <v>102.57824240647635</v>
      </c>
    </row>
    <row r="3823" spans="1:4">
      <c r="A3823">
        <v>3820</v>
      </c>
      <c r="B3823" s="12">
        <v>132.70907083549648</v>
      </c>
      <c r="C3823" s="12">
        <v>208.40110133213753</v>
      </c>
      <c r="D3823" s="12">
        <v>91.0481995369054</v>
      </c>
    </row>
    <row r="3824" spans="1:4">
      <c r="A3824">
        <v>3821</v>
      </c>
      <c r="B3824" s="12">
        <v>131.50535313822465</v>
      </c>
      <c r="C3824" s="12">
        <v>99.120943368489023</v>
      </c>
      <c r="D3824" s="12">
        <v>84.625553059655275</v>
      </c>
    </row>
    <row r="3825" spans="1:4">
      <c r="A3825">
        <v>3822</v>
      </c>
      <c r="B3825" s="12">
        <v>159.09498760919939</v>
      </c>
      <c r="C3825" s="12">
        <v>130.65330332778962</v>
      </c>
      <c r="D3825" s="12">
        <v>73.750337376937139</v>
      </c>
    </row>
    <row r="3826" spans="1:4">
      <c r="A3826">
        <v>3823</v>
      </c>
      <c r="B3826" s="12">
        <v>212.86191709654022</v>
      </c>
      <c r="C3826" s="12">
        <v>187.59836636863648</v>
      </c>
      <c r="D3826" s="12">
        <v>94.004321684758835</v>
      </c>
    </row>
    <row r="3827" spans="1:4">
      <c r="A3827">
        <v>3824</v>
      </c>
      <c r="B3827" s="12">
        <v>169.14172922784866</v>
      </c>
      <c r="C3827" s="12">
        <v>178.69860392509014</v>
      </c>
      <c r="D3827" s="12">
        <v>90.518889525250529</v>
      </c>
    </row>
    <row r="3828" spans="1:4">
      <c r="A3828">
        <v>3825</v>
      </c>
      <c r="B3828" s="12">
        <v>186.94388800975176</v>
      </c>
      <c r="C3828" s="12">
        <v>145.13937363256122</v>
      </c>
      <c r="D3828" s="12">
        <v>125.30458690193031</v>
      </c>
    </row>
    <row r="3829" spans="1:4">
      <c r="A3829">
        <v>3826</v>
      </c>
      <c r="B3829" s="12">
        <v>127.15545764442676</v>
      </c>
      <c r="C3829" s="12">
        <v>147.61393281231975</v>
      </c>
      <c r="D3829" s="12">
        <v>75.324852194503308</v>
      </c>
    </row>
    <row r="3830" spans="1:4">
      <c r="A3830">
        <v>3827</v>
      </c>
      <c r="B3830" s="12">
        <v>120.74737075801984</v>
      </c>
      <c r="C3830" s="12">
        <v>214.63724316150441</v>
      </c>
      <c r="D3830" s="12">
        <v>88.944212904581462</v>
      </c>
    </row>
    <row r="3831" spans="1:4">
      <c r="A3831">
        <v>3828</v>
      </c>
      <c r="B3831" s="12">
        <v>141.48479911252497</v>
      </c>
      <c r="C3831" s="12">
        <v>169.4755369245853</v>
      </c>
      <c r="D3831" s="12">
        <v>93.307689072056633</v>
      </c>
    </row>
    <row r="3832" spans="1:4">
      <c r="A3832">
        <v>3829</v>
      </c>
      <c r="B3832" s="12">
        <v>172.34896050876813</v>
      </c>
      <c r="C3832" s="12">
        <v>169.99784337390852</v>
      </c>
      <c r="D3832" s="12">
        <v>110.51538779565611</v>
      </c>
    </row>
    <row r="3833" spans="1:4">
      <c r="A3833">
        <v>3830</v>
      </c>
      <c r="B3833" s="12">
        <v>209.37544828631528</v>
      </c>
      <c r="C3833" s="12">
        <v>135.70218193138012</v>
      </c>
      <c r="D3833" s="12">
        <v>80.802591440645514</v>
      </c>
    </row>
    <row r="3834" spans="1:4">
      <c r="A3834">
        <v>3831</v>
      </c>
      <c r="B3834" s="12">
        <v>174.56094107540682</v>
      </c>
      <c r="C3834" s="12">
        <v>165.22308157389872</v>
      </c>
      <c r="D3834" s="12">
        <v>130.37748502506497</v>
      </c>
    </row>
    <row r="3835" spans="1:4">
      <c r="A3835">
        <v>3832</v>
      </c>
      <c r="B3835" s="12">
        <v>143.13935049568934</v>
      </c>
      <c r="C3835" s="12">
        <v>194.93495781956634</v>
      </c>
      <c r="D3835" s="12">
        <v>99.476485210341977</v>
      </c>
    </row>
    <row r="3836" spans="1:4">
      <c r="A3836">
        <v>3833</v>
      </c>
      <c r="B3836" s="12">
        <v>195.47981617973304</v>
      </c>
      <c r="C3836" s="12">
        <v>150.35946184690795</v>
      </c>
      <c r="D3836" s="12">
        <v>102.86087780460394</v>
      </c>
    </row>
    <row r="3837" spans="1:4">
      <c r="A3837">
        <v>3834</v>
      </c>
      <c r="B3837" s="12">
        <v>220.69422734943117</v>
      </c>
      <c r="C3837" s="12">
        <v>122.89018994297449</v>
      </c>
      <c r="D3837" s="12">
        <v>134.71870353907968</v>
      </c>
    </row>
    <row r="3838" spans="1:4">
      <c r="A3838">
        <v>3835</v>
      </c>
      <c r="B3838" s="12">
        <v>159.70026730264846</v>
      </c>
      <c r="C3838" s="12">
        <v>148.01830403832275</v>
      </c>
      <c r="D3838" s="12">
        <v>92.875071453027346</v>
      </c>
    </row>
    <row r="3839" spans="1:4">
      <c r="A3839">
        <v>3836</v>
      </c>
      <c r="B3839" s="12">
        <v>149.43957732619987</v>
      </c>
      <c r="C3839" s="12">
        <v>152.53453839501591</v>
      </c>
      <c r="D3839" s="12">
        <v>77.145847045162299</v>
      </c>
    </row>
    <row r="3840" spans="1:4">
      <c r="A3840">
        <v>3837</v>
      </c>
      <c r="B3840" s="12">
        <v>106.99629769905775</v>
      </c>
      <c r="C3840" s="12">
        <v>133.80380271811728</v>
      </c>
      <c r="D3840" s="12">
        <v>120.53500791651787</v>
      </c>
    </row>
    <row r="3841" spans="1:4">
      <c r="A3841">
        <v>3838</v>
      </c>
      <c r="B3841" s="12">
        <v>141.09395241512428</v>
      </c>
      <c r="C3841" s="12">
        <v>225.51462446815884</v>
      </c>
      <c r="D3841" s="12">
        <v>86.809961229587884</v>
      </c>
    </row>
    <row r="3842" spans="1:4">
      <c r="A3842">
        <v>3839</v>
      </c>
      <c r="B3842" s="12">
        <v>150.40823615615844</v>
      </c>
      <c r="C3842" s="12">
        <v>150.6033361879187</v>
      </c>
      <c r="D3842" s="12">
        <v>84.34505700529229</v>
      </c>
    </row>
    <row r="3843" spans="1:4">
      <c r="A3843">
        <v>3840</v>
      </c>
      <c r="B3843" s="12">
        <v>188.35223339001683</v>
      </c>
      <c r="C3843" s="12">
        <v>143.11211692952926</v>
      </c>
      <c r="D3843" s="12">
        <v>140.22041080699969</v>
      </c>
    </row>
    <row r="3844" spans="1:4">
      <c r="A3844">
        <v>3841</v>
      </c>
      <c r="B3844" s="12">
        <v>170.60068575727487</v>
      </c>
      <c r="C3844" s="12">
        <v>155.52909671290212</v>
      </c>
      <c r="D3844" s="12">
        <v>85.813658086206672</v>
      </c>
    </row>
    <row r="3845" spans="1:4">
      <c r="A3845">
        <v>3842</v>
      </c>
      <c r="B3845" s="12">
        <v>180.42532006365914</v>
      </c>
      <c r="C3845" s="12">
        <v>154.87721120003113</v>
      </c>
      <c r="D3845" s="12">
        <v>87.9682467376105</v>
      </c>
    </row>
    <row r="3846" spans="1:4">
      <c r="A3846">
        <v>3843</v>
      </c>
      <c r="B3846" s="12">
        <v>170.19752627945962</v>
      </c>
      <c r="C3846" s="12">
        <v>175.50970048316725</v>
      </c>
      <c r="D3846" s="12">
        <v>96.804442029398487</v>
      </c>
    </row>
    <row r="3847" spans="1:4">
      <c r="A3847">
        <v>3844</v>
      </c>
      <c r="B3847" s="12">
        <v>157.1557876215206</v>
      </c>
      <c r="C3847" s="12">
        <v>136.01102173513519</v>
      </c>
      <c r="D3847" s="12">
        <v>151.36412518678466</v>
      </c>
    </row>
    <row r="3848" spans="1:4">
      <c r="A3848">
        <v>3845</v>
      </c>
      <c r="B3848" s="12">
        <v>158.49119707152391</v>
      </c>
      <c r="C3848" s="12">
        <v>188.22957227241031</v>
      </c>
      <c r="D3848" s="12">
        <v>73.992496197658639</v>
      </c>
    </row>
    <row r="3849" spans="1:4">
      <c r="A3849">
        <v>3846</v>
      </c>
      <c r="B3849" s="12">
        <v>153.66561598215739</v>
      </c>
      <c r="C3849" s="12">
        <v>120.11145489643187</v>
      </c>
      <c r="D3849" s="12">
        <v>92.442448133156091</v>
      </c>
    </row>
    <row r="3850" spans="1:4">
      <c r="A3850">
        <v>3847</v>
      </c>
      <c r="B3850" s="12">
        <v>123.36306761409504</v>
      </c>
      <c r="C3850" s="12">
        <v>135.50271174019753</v>
      </c>
      <c r="D3850" s="12">
        <v>114.43515874122861</v>
      </c>
    </row>
    <row r="3851" spans="1:4">
      <c r="A3851">
        <v>3848</v>
      </c>
      <c r="B3851" s="12">
        <v>158.72677784303832</v>
      </c>
      <c r="C3851" s="12">
        <v>149.95913596873029</v>
      </c>
      <c r="D3851" s="12">
        <v>86.537431145087069</v>
      </c>
    </row>
    <row r="3852" spans="1:4">
      <c r="A3852">
        <v>3849</v>
      </c>
      <c r="B3852" s="12">
        <v>176.84346503056489</v>
      </c>
      <c r="C3852" s="12">
        <v>160.89666129661094</v>
      </c>
      <c r="D3852" s="12">
        <v>60.173077561764323</v>
      </c>
    </row>
    <row r="3853" spans="1:4">
      <c r="A3853">
        <v>3850</v>
      </c>
      <c r="B3853" s="12">
        <v>157.52206219545565</v>
      </c>
      <c r="C3853" s="12">
        <v>194.05969917271074</v>
      </c>
      <c r="D3853" s="12">
        <v>61.641634267032281</v>
      </c>
    </row>
    <row r="3854" spans="1:4">
      <c r="A3854">
        <v>3851</v>
      </c>
      <c r="B3854" s="12">
        <v>242.69245268949476</v>
      </c>
      <c r="C3854" s="12">
        <v>134.8711715180425</v>
      </c>
      <c r="D3854" s="12">
        <v>83.129451363742561</v>
      </c>
    </row>
    <row r="3855" spans="1:4">
      <c r="A3855">
        <v>3852</v>
      </c>
      <c r="B3855" s="12">
        <v>165.02845973137633</v>
      </c>
      <c r="C3855" s="12">
        <v>199.23013814242628</v>
      </c>
      <c r="D3855" s="12">
        <v>167.8651696878035</v>
      </c>
    </row>
    <row r="3856" spans="1:4">
      <c r="A3856">
        <v>3853</v>
      </c>
      <c r="B3856" s="12">
        <v>128.49544976702035</v>
      </c>
      <c r="C3856" s="12">
        <v>145.64302285343896</v>
      </c>
      <c r="D3856" s="12">
        <v>82.84170416957042</v>
      </c>
    </row>
    <row r="3857" spans="1:4">
      <c r="A3857">
        <v>3854</v>
      </c>
      <c r="B3857" s="12">
        <v>197.85403635729014</v>
      </c>
      <c r="C3857" s="12">
        <v>128.131762169973</v>
      </c>
      <c r="D3857" s="12">
        <v>98.0474285915531</v>
      </c>
    </row>
    <row r="3858" spans="1:4">
      <c r="A3858">
        <v>3855</v>
      </c>
      <c r="B3858" s="12">
        <v>207.0472448898584</v>
      </c>
      <c r="C3858" s="12">
        <v>138.07246517008224</v>
      </c>
      <c r="D3858" s="12">
        <v>72.724062278148438</v>
      </c>
    </row>
    <row r="3859" spans="1:4">
      <c r="A3859">
        <v>3856</v>
      </c>
      <c r="B3859" s="12">
        <v>222.00084780955785</v>
      </c>
      <c r="C3859" s="12">
        <v>156.68240309598713</v>
      </c>
      <c r="D3859" s="12">
        <v>115.0225207662431</v>
      </c>
    </row>
    <row r="3860" spans="1:4">
      <c r="A3860">
        <v>3857</v>
      </c>
      <c r="B3860" s="12">
        <v>183.7439527455428</v>
      </c>
      <c r="C3860" s="12">
        <v>166.75380839835361</v>
      </c>
      <c r="D3860" s="12">
        <v>122.38373574925917</v>
      </c>
    </row>
    <row r="3861" spans="1:4">
      <c r="A3861">
        <v>3858</v>
      </c>
      <c r="B3861" s="12">
        <v>160.6780570839488</v>
      </c>
      <c r="C3861" s="12">
        <v>146.05412037154076</v>
      </c>
      <c r="D3861" s="12">
        <v>99.204518319358996</v>
      </c>
    </row>
    <row r="3862" spans="1:4">
      <c r="A3862">
        <v>3859</v>
      </c>
      <c r="B3862" s="12">
        <v>116.34005130695262</v>
      </c>
      <c r="C3862" s="12">
        <v>144.30649684094632</v>
      </c>
      <c r="D3862" s="12">
        <v>87.255360496210628</v>
      </c>
    </row>
    <row r="3863" spans="1:4">
      <c r="A3863">
        <v>3860</v>
      </c>
      <c r="B3863" s="12">
        <v>173.44678967364194</v>
      </c>
      <c r="C3863" s="12">
        <v>167.54013711790776</v>
      </c>
      <c r="D3863" s="12">
        <v>119.03907665422335</v>
      </c>
    </row>
    <row r="3864" spans="1:4">
      <c r="A3864">
        <v>3861</v>
      </c>
      <c r="B3864" s="12">
        <v>169.79622003666105</v>
      </c>
      <c r="C3864" s="12">
        <v>121.89082598586975</v>
      </c>
      <c r="D3864" s="12">
        <v>90.349146303547528</v>
      </c>
    </row>
    <row r="3865" spans="1:4">
      <c r="A3865">
        <v>3862</v>
      </c>
      <c r="B3865" s="12">
        <v>135.02886770895978</v>
      </c>
      <c r="C3865" s="12">
        <v>190.70243583010745</v>
      </c>
      <c r="D3865" s="12">
        <v>103.89929813175182</v>
      </c>
    </row>
    <row r="3866" spans="1:4">
      <c r="A3866">
        <v>3863</v>
      </c>
      <c r="B3866" s="12">
        <v>171.93721077194527</v>
      </c>
      <c r="C3866" s="12">
        <v>244.30402553398125</v>
      </c>
      <c r="D3866" s="12">
        <v>103.14460366509387</v>
      </c>
    </row>
    <row r="3867" spans="1:4">
      <c r="A3867">
        <v>3864</v>
      </c>
      <c r="B3867" s="12">
        <v>175.26193622966409</v>
      </c>
      <c r="C3867" s="12">
        <v>189.99321789195301</v>
      </c>
      <c r="D3867" s="12">
        <v>70.790547511717506</v>
      </c>
    </row>
    <row r="3868" spans="1:4">
      <c r="A3868">
        <v>3865</v>
      </c>
      <c r="B3868" s="12">
        <v>162.40905348644819</v>
      </c>
      <c r="C3868" s="12">
        <v>173.56446646193788</v>
      </c>
      <c r="D3868" s="12">
        <v>101.10233890246245</v>
      </c>
    </row>
    <row r="3869" spans="1:4">
      <c r="A3869">
        <v>3866</v>
      </c>
      <c r="B3869" s="12">
        <v>139.39916640071988</v>
      </c>
      <c r="C3869" s="12">
        <v>174.89181249045828</v>
      </c>
      <c r="D3869" s="12">
        <v>80.195493589896586</v>
      </c>
    </row>
    <row r="3870" spans="1:4">
      <c r="A3870">
        <v>3867</v>
      </c>
      <c r="B3870" s="12">
        <v>131.96502179976233</v>
      </c>
      <c r="C3870" s="12">
        <v>170.31996461539012</v>
      </c>
      <c r="D3870" s="12">
        <v>91.217531049424878</v>
      </c>
    </row>
    <row r="3871" spans="1:4">
      <c r="A3871">
        <v>3868</v>
      </c>
      <c r="B3871" s="12">
        <v>182.93927728567056</v>
      </c>
      <c r="C3871" s="12">
        <v>151.00326348108194</v>
      </c>
      <c r="D3871" s="12">
        <v>100.64908708493269</v>
      </c>
    </row>
    <row r="3872" spans="1:4">
      <c r="A3872">
        <v>3869</v>
      </c>
      <c r="B3872" s="12">
        <v>94.359919525711732</v>
      </c>
      <c r="C3872" s="12">
        <v>156.02484649657387</v>
      </c>
      <c r="D3872" s="12">
        <v>117.99287313212454</v>
      </c>
    </row>
    <row r="3873" spans="1:4">
      <c r="A3873">
        <v>3870</v>
      </c>
      <c r="B3873" s="12">
        <v>173.02917725154339</v>
      </c>
      <c r="C3873" s="12">
        <v>206.56073071319676</v>
      </c>
      <c r="D3873" s="12">
        <v>143.1585330645718</v>
      </c>
    </row>
    <row r="3874" spans="1:4">
      <c r="A3874">
        <v>3871</v>
      </c>
      <c r="B3874" s="12">
        <v>148.09811764065907</v>
      </c>
      <c r="C3874" s="12">
        <v>173.92336247774529</v>
      </c>
      <c r="D3874" s="12">
        <v>82.552377368199984</v>
      </c>
    </row>
    <row r="3875" spans="1:4">
      <c r="A3875">
        <v>3872</v>
      </c>
      <c r="B3875" s="12">
        <v>118.99315048127525</v>
      </c>
      <c r="C3875" s="12">
        <v>109.30763956567176</v>
      </c>
      <c r="D3875" s="12">
        <v>82.366188231902328</v>
      </c>
    </row>
    <row r="3876" spans="1:4">
      <c r="A3876">
        <v>3873</v>
      </c>
      <c r="B3876" s="12">
        <v>168.09785397901149</v>
      </c>
      <c r="C3876" s="12">
        <v>182.32629897609118</v>
      </c>
      <c r="D3876" s="12">
        <v>84.063319535928585</v>
      </c>
    </row>
    <row r="3877" spans="1:4">
      <c r="A3877">
        <v>3874</v>
      </c>
      <c r="B3877" s="12">
        <v>103.08366735832651</v>
      </c>
      <c r="C3877" s="12">
        <v>136.31684666551064</v>
      </c>
      <c r="D3877" s="12">
        <v>111.71174727828983</v>
      </c>
    </row>
    <row r="3878" spans="1:4">
      <c r="A3878">
        <v>3875</v>
      </c>
      <c r="B3878" s="12">
        <v>167.70544154764838</v>
      </c>
      <c r="C3878" s="12">
        <v>129.63093128454983</v>
      </c>
      <c r="D3878" s="12">
        <v>76.592574148412083</v>
      </c>
    </row>
    <row r="3879" spans="1:4">
      <c r="A3879">
        <v>3876</v>
      </c>
      <c r="B3879" s="12">
        <v>194.45226538075113</v>
      </c>
      <c r="C3879" s="12">
        <v>134.01545429506749</v>
      </c>
      <c r="D3879" s="12">
        <v>85.360665314815535</v>
      </c>
    </row>
    <row r="3880" spans="1:4">
      <c r="A3880">
        <v>3877</v>
      </c>
      <c r="B3880" s="12">
        <v>156.1902116569002</v>
      </c>
      <c r="C3880" s="12">
        <v>138.36056097609108</v>
      </c>
      <c r="D3880" s="12">
        <v>130.96371702095402</v>
      </c>
    </row>
    <row r="3881" spans="1:4">
      <c r="A3881">
        <v>3878</v>
      </c>
      <c r="B3881" s="12">
        <v>99.102750174605447</v>
      </c>
      <c r="C3881" s="12">
        <v>114.39182340918485</v>
      </c>
      <c r="D3881" s="12">
        <v>197.04964803944128</v>
      </c>
    </row>
    <row r="3882" spans="1:4">
      <c r="A3882">
        <v>3879</v>
      </c>
      <c r="B3882" s="12">
        <v>119.43024544612641</v>
      </c>
      <c r="C3882" s="12">
        <v>157.34386951354421</v>
      </c>
      <c r="D3882" s="12">
        <v>112.2615554318501</v>
      </c>
    </row>
    <row r="3883" spans="1:4">
      <c r="A3883">
        <v>3880</v>
      </c>
      <c r="B3883" s="12">
        <v>197.18819592200788</v>
      </c>
      <c r="C3883" s="12">
        <v>148.42167972546713</v>
      </c>
      <c r="D3883" s="12">
        <v>109.9862908983372</v>
      </c>
    </row>
    <row r="3884" spans="1:4">
      <c r="A3884">
        <v>3881</v>
      </c>
      <c r="B3884" s="12">
        <v>174.13700038027346</v>
      </c>
      <c r="C3884" s="12">
        <v>196.46494793965775</v>
      </c>
      <c r="D3884" s="12">
        <v>49.606415387082848</v>
      </c>
    </row>
    <row r="3885" spans="1:4">
      <c r="A3885">
        <v>3882</v>
      </c>
      <c r="B3885" s="12">
        <v>113.31277734016595</v>
      </c>
      <c r="C3885" s="12">
        <v>189.30765522440737</v>
      </c>
      <c r="D3885" s="12">
        <v>91.914836620784627</v>
      </c>
    </row>
    <row r="3886" spans="1:4">
      <c r="A3886">
        <v>3883</v>
      </c>
      <c r="B3886" s="12">
        <v>179.20808341644118</v>
      </c>
      <c r="C3886" s="12">
        <v>156.8424829635558</v>
      </c>
      <c r="D3886" s="12">
        <v>81.294115750292363</v>
      </c>
    </row>
    <row r="3887" spans="1:4">
      <c r="A3887">
        <v>3884</v>
      </c>
      <c r="B3887" s="12">
        <v>210.29874315468243</v>
      </c>
      <c r="C3887" s="12">
        <v>193.22259404914504</v>
      </c>
      <c r="D3887" s="12">
        <v>87.698814164436314</v>
      </c>
    </row>
    <row r="3888" spans="1:4">
      <c r="A3888">
        <v>3885</v>
      </c>
      <c r="B3888" s="12">
        <v>207.91119625219824</v>
      </c>
      <c r="C3888" s="12">
        <v>201.19146914271872</v>
      </c>
      <c r="D3888" s="12">
        <v>80.995170576230791</v>
      </c>
    </row>
    <row r="3889" spans="1:4">
      <c r="A3889">
        <v>3886</v>
      </c>
      <c r="B3889" s="12">
        <v>128.17494940456842</v>
      </c>
      <c r="C3889" s="12">
        <v>179.1291071635217</v>
      </c>
      <c r="D3889" s="12">
        <v>68.316671827368438</v>
      </c>
    </row>
    <row r="3890" spans="1:4">
      <c r="A3890">
        <v>3887</v>
      </c>
      <c r="B3890" s="12">
        <v>168.49183922536955</v>
      </c>
      <c r="C3890" s="12">
        <v>159.52189579281344</v>
      </c>
      <c r="D3890" s="12">
        <v>70.058386686438268</v>
      </c>
    </row>
    <row r="3891" spans="1:4">
      <c r="A3891">
        <v>3888</v>
      </c>
      <c r="B3891" s="12">
        <v>139.79836904797068</v>
      </c>
      <c r="C3891" s="12">
        <v>155.12375970010882</v>
      </c>
      <c r="D3891" s="12">
        <v>62.447919847103151</v>
      </c>
    </row>
    <row r="3892" spans="1:4">
      <c r="A3892">
        <v>3889</v>
      </c>
      <c r="B3892" s="12">
        <v>154.62812808017941</v>
      </c>
      <c r="C3892" s="12">
        <v>112.19807302057177</v>
      </c>
      <c r="D3892" s="12">
        <v>98.759784832851196</v>
      </c>
    </row>
    <row r="3893" spans="1:4">
      <c r="A3893">
        <v>3890</v>
      </c>
      <c r="B3893" s="12">
        <v>200.83585903661228</v>
      </c>
      <c r="C3893" s="12">
        <v>144.46978866652773</v>
      </c>
      <c r="D3893" s="12">
        <v>129.44149438355743</v>
      </c>
    </row>
    <row r="3894" spans="1:4">
      <c r="A3894">
        <v>3891</v>
      </c>
      <c r="B3894" s="12">
        <v>110.77673048120667</v>
      </c>
      <c r="C3894" s="12">
        <v>195.51757456796543</v>
      </c>
      <c r="D3894" s="12">
        <v>85.53785589501075</v>
      </c>
    </row>
    <row r="3895" spans="1:4">
      <c r="A3895">
        <v>3892</v>
      </c>
      <c r="B3895" s="12">
        <v>241.01147228840316</v>
      </c>
      <c r="C3895" s="12">
        <v>148.91227818963381</v>
      </c>
      <c r="D3895" s="12">
        <v>68.813164471804996</v>
      </c>
    </row>
    <row r="3896" spans="1:4">
      <c r="A3896">
        <v>3893</v>
      </c>
      <c r="B3896" s="12">
        <v>142.89359067973592</v>
      </c>
      <c r="C3896" s="12">
        <v>149.31389866864555</v>
      </c>
      <c r="D3896" s="12">
        <v>88.676837290905155</v>
      </c>
    </row>
    <row r="3897" spans="1:4">
      <c r="A3897">
        <v>3894</v>
      </c>
      <c r="B3897" s="12">
        <v>167.0649483693966</v>
      </c>
      <c r="C3897" s="12">
        <v>186.60129005970171</v>
      </c>
      <c r="D3897" s="12">
        <v>76.809831985536917</v>
      </c>
    </row>
    <row r="3898" spans="1:4">
      <c r="A3898">
        <v>3895</v>
      </c>
      <c r="B3898" s="12">
        <v>144.90339679393642</v>
      </c>
      <c r="C3898" s="12">
        <v>145.39155393241563</v>
      </c>
      <c r="D3898" s="12">
        <v>101.37977616507979</v>
      </c>
    </row>
    <row r="3899" spans="1:4">
      <c r="A3899">
        <v>3896</v>
      </c>
      <c r="B3899" s="12">
        <v>254.93431948059302</v>
      </c>
      <c r="C3899" s="12">
        <v>186.0150917148342</v>
      </c>
      <c r="D3899" s="12">
        <v>96.101343214162881</v>
      </c>
    </row>
    <row r="3900" spans="1:4">
      <c r="A3900">
        <v>3897</v>
      </c>
      <c r="B3900" s="12">
        <v>160.07002168978204</v>
      </c>
      <c r="C3900" s="12">
        <v>127.41596550083017</v>
      </c>
      <c r="D3900" s="12">
        <v>81.5910619299312</v>
      </c>
    </row>
    <row r="3901" spans="1:4">
      <c r="A3901">
        <v>3898</v>
      </c>
      <c r="B3901" s="12">
        <v>171.26624912495132</v>
      </c>
      <c r="C3901" s="12">
        <v>172.63604489708305</v>
      </c>
      <c r="D3901" s="12">
        <v>103.32693107510715</v>
      </c>
    </row>
    <row r="3902" spans="1:4">
      <c r="A3902">
        <v>3899</v>
      </c>
      <c r="B3902" s="12">
        <v>128.99034034817885</v>
      </c>
      <c r="C3902" s="12">
        <v>122.50831220196562</v>
      </c>
      <c r="D3902" s="12">
        <v>67.990491013582542</v>
      </c>
    </row>
    <row r="3903" spans="1:4">
      <c r="A3903">
        <v>3900</v>
      </c>
      <c r="B3903" s="12">
        <v>110.1033007131244</v>
      </c>
      <c r="C3903" s="12">
        <v>131.02818907362709</v>
      </c>
      <c r="D3903" s="12">
        <v>132.57421853339434</v>
      </c>
    </row>
    <row r="3904" spans="1:4">
      <c r="A3904">
        <v>3901</v>
      </c>
      <c r="B3904" s="12">
        <v>263.09991837512581</v>
      </c>
      <c r="C3904" s="12">
        <v>129.23027173886277</v>
      </c>
      <c r="D3904" s="12">
        <v>95.931165136550064</v>
      </c>
    </row>
    <row r="3905" spans="1:4">
      <c r="A3905">
        <v>3902</v>
      </c>
      <c r="B3905" s="12">
        <v>238.57446585698835</v>
      </c>
      <c r="C3905" s="12">
        <v>198.13280208243847</v>
      </c>
      <c r="D3905" s="12">
        <v>83.31296769745363</v>
      </c>
    </row>
    <row r="3906" spans="1:4">
      <c r="A3906">
        <v>3903</v>
      </c>
      <c r="B3906" s="12">
        <v>112.7287939005184</v>
      </c>
      <c r="C3906" s="12">
        <v>127.85555142309161</v>
      </c>
      <c r="D3906" s="12">
        <v>155.25768408869791</v>
      </c>
    </row>
    <row r="3907" spans="1:4">
      <c r="A3907">
        <v>3904</v>
      </c>
      <c r="B3907" s="12">
        <v>155.59123247423167</v>
      </c>
      <c r="C3907" s="12">
        <v>220.39627754860632</v>
      </c>
      <c r="D3907" s="12">
        <v>105.43494641698598</v>
      </c>
    </row>
    <row r="3908" spans="1:4">
      <c r="A3908">
        <v>3905</v>
      </c>
      <c r="B3908" s="12">
        <v>165.65719151062223</v>
      </c>
      <c r="C3908" s="12">
        <v>135.18863355133107</v>
      </c>
      <c r="D3908" s="12">
        <v>166.07810449588152</v>
      </c>
    </row>
    <row r="3909" spans="1:4">
      <c r="A3909">
        <v>3906</v>
      </c>
      <c r="B3909" s="12">
        <v>149.80678812221231</v>
      </c>
      <c r="C3909" s="12">
        <v>134.34262138853558</v>
      </c>
      <c r="D3909" s="12">
        <v>46.2334261772098</v>
      </c>
    </row>
    <row r="3910" spans="1:4">
      <c r="A3910">
        <v>3907</v>
      </c>
      <c r="B3910" s="12">
        <v>140.84265063535014</v>
      </c>
      <c r="C3910" s="12">
        <v>153.17937940129278</v>
      </c>
      <c r="D3910" s="12">
        <v>74.365686485021826</v>
      </c>
    </row>
    <row r="3911" spans="1:4">
      <c r="A3911">
        <v>3908</v>
      </c>
      <c r="B3911" s="12">
        <v>125.41418267289782</v>
      </c>
      <c r="C3911" s="12">
        <v>187.20359187498144</v>
      </c>
      <c r="D3911" s="12">
        <v>138.58701973223441</v>
      </c>
    </row>
    <row r="3912" spans="1:4">
      <c r="A3912">
        <v>3909</v>
      </c>
      <c r="B3912" s="12">
        <v>153.89908611005654</v>
      </c>
      <c r="C3912" s="12">
        <v>159.78016016377686</v>
      </c>
      <c r="D3912" s="12">
        <v>127.46778676696438</v>
      </c>
    </row>
    <row r="3913" spans="1:4">
      <c r="A3913">
        <v>3910</v>
      </c>
      <c r="B3913" s="12">
        <v>149.07186103624062</v>
      </c>
      <c r="C3913" s="12">
        <v>171.1849817386458</v>
      </c>
      <c r="D3913" s="12">
        <v>89.115224480399689</v>
      </c>
    </row>
    <row r="3914" spans="1:4">
      <c r="A3914">
        <v>3911</v>
      </c>
      <c r="B3914" s="12">
        <v>196.11860588136773</v>
      </c>
      <c r="C3914" s="12">
        <v>131.26505035914889</v>
      </c>
      <c r="D3914" s="12">
        <v>91.745776414814941</v>
      </c>
    </row>
    <row r="3915" spans="1:4">
      <c r="A3915">
        <v>3912</v>
      </c>
      <c r="B3915" s="12">
        <v>127.66886377375361</v>
      </c>
      <c r="C3915" s="12">
        <v>126.67087734807801</v>
      </c>
      <c r="D3915" s="12">
        <v>174.7218156021199</v>
      </c>
    </row>
    <row r="3916" spans="1:4">
      <c r="A3916">
        <v>3913</v>
      </c>
      <c r="B3916" s="12">
        <v>146.88148485653576</v>
      </c>
      <c r="C3916" s="12">
        <v>141.28620271193543</v>
      </c>
      <c r="D3916" s="12">
        <v>116.35849464486435</v>
      </c>
    </row>
    <row r="3917" spans="1:4">
      <c r="A3917">
        <v>3914</v>
      </c>
      <c r="B3917" s="12">
        <v>152.93654215790775</v>
      </c>
      <c r="C3917" s="12">
        <v>161.86142856353464</v>
      </c>
      <c r="D3917" s="12">
        <v>116.97626152838836</v>
      </c>
    </row>
    <row r="3918" spans="1:4">
      <c r="A3918">
        <v>3915</v>
      </c>
      <c r="B3918" s="12">
        <v>176.40533274969735</v>
      </c>
      <c r="C3918" s="12">
        <v>185.085657137732</v>
      </c>
      <c r="D3918" s="12">
        <v>79.379390635652229</v>
      </c>
    </row>
    <row r="3919" spans="1:4">
      <c r="A3919">
        <v>3916</v>
      </c>
      <c r="B3919" s="12">
        <v>135.45662245290637</v>
      </c>
      <c r="C3919" s="12">
        <v>163.28983210301695</v>
      </c>
      <c r="D3919" s="12">
        <v>111.37994821723544</v>
      </c>
    </row>
    <row r="3920" spans="1:4">
      <c r="A3920">
        <v>3917</v>
      </c>
      <c r="B3920" s="12">
        <v>202.7947689395447</v>
      </c>
      <c r="C3920" s="12">
        <v>142.42247252972922</v>
      </c>
      <c r="D3920" s="12">
        <v>148.04439516986255</v>
      </c>
    </row>
    <row r="3921" spans="1:4">
      <c r="A3921">
        <v>3918</v>
      </c>
      <c r="B3921" s="12">
        <v>161.42195650764086</v>
      </c>
      <c r="C3921" s="12">
        <v>176.53269838822337</v>
      </c>
      <c r="D3921" s="12">
        <v>94.701796516823663</v>
      </c>
    </row>
    <row r="3922" spans="1:4">
      <c r="A3922">
        <v>3919</v>
      </c>
      <c r="B3922" s="12">
        <v>166.04210582909423</v>
      </c>
      <c r="C3922" s="12">
        <v>191.92260213459602</v>
      </c>
      <c r="D3922" s="12">
        <v>66.925909752978683</v>
      </c>
    </row>
    <row r="3923" spans="1:4">
      <c r="A3923">
        <v>3920</v>
      </c>
      <c r="B3923" s="12">
        <v>208.47574512395011</v>
      </c>
      <c r="C3923" s="12">
        <v>153.58065345327861</v>
      </c>
      <c r="D3923" s="12">
        <v>92.178682419181385</v>
      </c>
    </row>
    <row r="3924" spans="1:4">
      <c r="A3924">
        <v>3921</v>
      </c>
      <c r="B3924" s="12">
        <v>152.33822438971339</v>
      </c>
      <c r="C3924" s="12">
        <v>146.71236698807883</v>
      </c>
      <c r="D3924" s="12">
        <v>97.071442326645084</v>
      </c>
    </row>
    <row r="3925" spans="1:4">
      <c r="A3925">
        <v>3922</v>
      </c>
      <c r="B3925" s="12">
        <v>130.26732712278715</v>
      </c>
      <c r="C3925" s="12">
        <v>116.54668117928213</v>
      </c>
      <c r="D3925" s="12">
        <v>77.478171703700497</v>
      </c>
    </row>
    <row r="3926" spans="1:4">
      <c r="A3926">
        <v>3923</v>
      </c>
      <c r="B3926" s="12">
        <v>189.8029421945412</v>
      </c>
      <c r="C3926" s="12">
        <v>141.01718495206026</v>
      </c>
      <c r="D3926" s="12">
        <v>190.23556598002079</v>
      </c>
    </row>
    <row r="3927" spans="1:4">
      <c r="A3927">
        <v>3924</v>
      </c>
      <c r="B3927" s="12">
        <v>143.90301353654678</v>
      </c>
      <c r="C3927" s="12">
        <v>147.36690207392741</v>
      </c>
      <c r="D3927" s="12">
        <v>94.966264747651778</v>
      </c>
    </row>
    <row r="3928" spans="1:4">
      <c r="A3928">
        <v>3925</v>
      </c>
      <c r="B3928" s="12">
        <v>140.44878486580367</v>
      </c>
      <c r="C3928" s="12">
        <v>172.07245216969781</v>
      </c>
      <c r="D3928" s="12">
        <v>86.984108669885273</v>
      </c>
    </row>
    <row r="3929" spans="1:4">
      <c r="A3929">
        <v>3926</v>
      </c>
      <c r="B3929" s="12">
        <v>215.63441580515232</v>
      </c>
      <c r="C3929" s="12">
        <v>160.72842889340538</v>
      </c>
      <c r="D3929" s="12">
        <v>100.37391041214882</v>
      </c>
    </row>
    <row r="3930" spans="1:4">
      <c r="A3930">
        <v>3927</v>
      </c>
      <c r="B3930" s="12">
        <v>142.50870308240451</v>
      </c>
      <c r="C3930" s="12">
        <v>167.04984865915816</v>
      </c>
      <c r="D3930" s="12">
        <v>99.651057479833227</v>
      </c>
    </row>
    <row r="3931" spans="1:4">
      <c r="A3931">
        <v>3928</v>
      </c>
      <c r="B3931" s="12">
        <v>145.52087218350556</v>
      </c>
      <c r="C3931" s="12">
        <v>160.46664295312928</v>
      </c>
      <c r="D3931" s="12">
        <v>123.57876759952816</v>
      </c>
    </row>
    <row r="3932" spans="1:4">
      <c r="A3932">
        <v>3929</v>
      </c>
      <c r="B3932" s="12">
        <v>157.75687846128591</v>
      </c>
      <c r="C3932" s="12">
        <v>151.89056300472609</v>
      </c>
      <c r="D3932" s="12">
        <v>79.690516692179642</v>
      </c>
    </row>
    <row r="3933" spans="1:4">
      <c r="A3933">
        <v>3930</v>
      </c>
      <c r="B3933" s="12">
        <v>230.00198184724036</v>
      </c>
      <c r="C3933" s="12">
        <v>152.77861922477931</v>
      </c>
      <c r="D3933" s="12">
        <v>139.3903921091856</v>
      </c>
    </row>
    <row r="3934" spans="1:4">
      <c r="A3934">
        <v>3931</v>
      </c>
      <c r="B3934" s="12">
        <v>125.76143686126142</v>
      </c>
      <c r="C3934" s="12">
        <v>149.55841000935661</v>
      </c>
      <c r="D3934" s="12">
        <v>64.343118699424352</v>
      </c>
    </row>
    <row r="3935" spans="1:4">
      <c r="A3935">
        <v>3932</v>
      </c>
      <c r="B3935" s="12">
        <v>151.73946235326156</v>
      </c>
      <c r="C3935" s="12">
        <v>128.55510095677087</v>
      </c>
      <c r="D3935" s="12">
        <v>79.178714848564482</v>
      </c>
    </row>
    <row r="3936" spans="1:4">
      <c r="A3936">
        <v>3933</v>
      </c>
      <c r="B3936" s="12">
        <v>181.66834950134552</v>
      </c>
      <c r="C3936" s="12">
        <v>152.93504009909381</v>
      </c>
      <c r="D3936" s="12">
        <v>94.268335248632013</v>
      </c>
    </row>
    <row r="3937" spans="1:4">
      <c r="A3937">
        <v>3934</v>
      </c>
      <c r="B3937" s="12">
        <v>143.52186204595756</v>
      </c>
      <c r="C3937" s="12">
        <v>164.75790006852807</v>
      </c>
      <c r="D3937" s="12">
        <v>106.40872640017895</v>
      </c>
    </row>
    <row r="3938" spans="1:4">
      <c r="A3938">
        <v>3935</v>
      </c>
      <c r="B3938" s="12">
        <v>105.63675188511793</v>
      </c>
      <c r="C3938" s="12">
        <v>152.13437084968785</v>
      </c>
      <c r="D3938" s="12">
        <v>146.9024079906232</v>
      </c>
    </row>
    <row r="3939" spans="1:4">
      <c r="A3939">
        <v>3936</v>
      </c>
      <c r="B3939" s="12">
        <v>107.80723798742652</v>
      </c>
      <c r="C3939" s="12">
        <v>204.90686499943962</v>
      </c>
      <c r="D3939" s="12">
        <v>78.544761548118558</v>
      </c>
    </row>
    <row r="3940" spans="1:4">
      <c r="A3940">
        <v>3937</v>
      </c>
      <c r="B3940" s="12">
        <v>138.73948056258601</v>
      </c>
      <c r="C3940" s="12">
        <v>157.09287325264191</v>
      </c>
      <c r="D3940" s="12">
        <v>153.70206912453992</v>
      </c>
    </row>
    <row r="3941" spans="1:4">
      <c r="A3941">
        <v>3938</v>
      </c>
      <c r="B3941" s="12">
        <v>250.97801829679818</v>
      </c>
      <c r="C3941" s="12">
        <v>132.21654215492339</v>
      </c>
      <c r="D3941" s="12">
        <v>89.648023772555234</v>
      </c>
    </row>
    <row r="3942" spans="1:4">
      <c r="A3942">
        <v>3939</v>
      </c>
      <c r="B3942" s="12">
        <v>138.33429863779406</v>
      </c>
      <c r="C3942" s="12">
        <v>178.00713206368479</v>
      </c>
      <c r="D3942" s="12">
        <v>71.913193778316526</v>
      </c>
    </row>
    <row r="3943" spans="1:4">
      <c r="A3943">
        <v>3940</v>
      </c>
      <c r="B3943" s="12">
        <v>159.46375066250971</v>
      </c>
      <c r="C3943" s="12">
        <v>183.66522741947594</v>
      </c>
      <c r="D3943" s="12">
        <v>81.780258448449388</v>
      </c>
    </row>
    <row r="3944" spans="1:4">
      <c r="A3944">
        <v>3941</v>
      </c>
      <c r="B3944" s="12">
        <v>123.94052126594413</v>
      </c>
      <c r="C3944" s="12">
        <v>192.70474007322747</v>
      </c>
      <c r="D3944" s="12">
        <v>101.65812727634757</v>
      </c>
    </row>
    <row r="3945" spans="1:4">
      <c r="A3945">
        <v>3942</v>
      </c>
      <c r="B3945" s="12">
        <v>182.45453956419564</v>
      </c>
      <c r="C3945" s="12">
        <v>169.16076682045997</v>
      </c>
      <c r="D3945" s="12">
        <v>113.16153338029078</v>
      </c>
    </row>
    <row r="3946" spans="1:4">
      <c r="A3946">
        <v>3943</v>
      </c>
      <c r="B3946" s="12">
        <v>192.25550540124138</v>
      </c>
      <c r="C3946" s="12">
        <v>154.22788774021367</v>
      </c>
      <c r="D3946" s="12">
        <v>90.083900355146483</v>
      </c>
    </row>
    <row r="3947" spans="1:4">
      <c r="A3947">
        <v>3944</v>
      </c>
      <c r="B3947" s="12">
        <v>161.04962717678103</v>
      </c>
      <c r="C3947" s="12">
        <v>123.46704626013559</v>
      </c>
      <c r="D3947" s="12">
        <v>88.237063681284894</v>
      </c>
    </row>
    <row r="3948" spans="1:4">
      <c r="A3948">
        <v>3945</v>
      </c>
      <c r="B3948" s="12">
        <v>144.52553134853605</v>
      </c>
      <c r="C3948" s="12">
        <v>162.57106842156833</v>
      </c>
      <c r="D3948" s="12">
        <v>114.08132723197362</v>
      </c>
    </row>
    <row r="3949" spans="1:4">
      <c r="A3949">
        <v>3946</v>
      </c>
      <c r="B3949" s="12">
        <v>187.81409672071717</v>
      </c>
      <c r="C3949" s="12">
        <v>160.20586876711127</v>
      </c>
      <c r="D3949" s="12">
        <v>65.99211528811577</v>
      </c>
    </row>
    <row r="3950" spans="1:4">
      <c r="A3950">
        <v>3947</v>
      </c>
      <c r="B3950" s="12">
        <v>148.83603665619191</v>
      </c>
      <c r="C3950" s="12">
        <v>136.81236432747036</v>
      </c>
      <c r="D3950" s="12">
        <v>142.55645998585899</v>
      </c>
    </row>
    <row r="3951" spans="1:4">
      <c r="A3951">
        <v>3948</v>
      </c>
      <c r="B3951" s="12">
        <v>167.45488829020314</v>
      </c>
      <c r="C3951" s="12">
        <v>161.5949101015064</v>
      </c>
      <c r="D3951" s="12">
        <v>218.32280902851753</v>
      </c>
    </row>
    <row r="3952" spans="1:4">
      <c r="A3952">
        <v>3949</v>
      </c>
      <c r="B3952" s="12">
        <v>166.42833875866654</v>
      </c>
      <c r="C3952" s="12">
        <v>163.74132822158651</v>
      </c>
      <c r="D3952" s="12">
        <v>141.64538546826373</v>
      </c>
    </row>
    <row r="3953" spans="1:4">
      <c r="A3953">
        <v>3950</v>
      </c>
      <c r="B3953" s="12">
        <v>121.15522901275499</v>
      </c>
      <c r="C3953" s="12">
        <v>155.37070150098256</v>
      </c>
      <c r="D3953" s="12">
        <v>121.23129359718183</v>
      </c>
    </row>
    <row r="3954" spans="1:4">
      <c r="A3954">
        <v>3951</v>
      </c>
      <c r="B3954" s="12">
        <v>163.64448476499967</v>
      </c>
      <c r="C3954" s="12">
        <v>139.84797881881326</v>
      </c>
      <c r="D3954" s="12">
        <v>122.83106801786909</v>
      </c>
    </row>
    <row r="3955" spans="1:4">
      <c r="A3955">
        <v>3952</v>
      </c>
      <c r="B3955" s="12">
        <v>134.59767676475096</v>
      </c>
      <c r="C3955" s="12">
        <v>134.66597466679502</v>
      </c>
      <c r="D3955" s="12">
        <v>117.35793880977486</v>
      </c>
    </row>
    <row r="3956" spans="1:4">
      <c r="A3956">
        <v>3953</v>
      </c>
      <c r="B3956" s="12">
        <v>150.04175723588529</v>
      </c>
      <c r="C3956" s="12">
        <v>168.65002506288357</v>
      </c>
      <c r="D3956" s="12">
        <v>95.400632257858689</v>
      </c>
    </row>
    <row r="3957" spans="1:4">
      <c r="A3957">
        <v>3954</v>
      </c>
      <c r="B3957" s="12">
        <v>163.02545952107715</v>
      </c>
      <c r="C3957" s="12">
        <v>106.87972539602566</v>
      </c>
      <c r="D3957" s="12">
        <v>100.92509414015615</v>
      </c>
    </row>
    <row r="3958" spans="1:4">
      <c r="A3958">
        <v>3955</v>
      </c>
      <c r="B3958" s="12">
        <v>186.42084219277643</v>
      </c>
      <c r="C3958" s="12">
        <v>162.30128768637783</v>
      </c>
      <c r="D3958" s="12">
        <v>163.56240748846645</v>
      </c>
    </row>
    <row r="3959" spans="1:4">
      <c r="A3959">
        <v>3956</v>
      </c>
      <c r="B3959" s="12">
        <v>219.43933720420918</v>
      </c>
      <c r="C3959" s="12">
        <v>145.80374187273665</v>
      </c>
      <c r="D3959" s="12">
        <v>121.66298382538325</v>
      </c>
    </row>
    <row r="3960" spans="1:4">
      <c r="A3960">
        <v>3957</v>
      </c>
      <c r="B3960" s="12">
        <v>137.92667028030783</v>
      </c>
      <c r="C3960" s="12">
        <v>125.40010609694481</v>
      </c>
      <c r="D3960" s="12">
        <v>54.709621903623677</v>
      </c>
    </row>
    <row r="3961" spans="1:4">
      <c r="A3961">
        <v>3958</v>
      </c>
      <c r="B3961" s="12">
        <v>137.66423286658761</v>
      </c>
      <c r="C3961" s="12">
        <v>159.1001174112221</v>
      </c>
      <c r="D3961" s="12">
        <v>131.95313477655978</v>
      </c>
    </row>
    <row r="3962" spans="1:4">
      <c r="A3962">
        <v>3959</v>
      </c>
      <c r="B3962" s="12">
        <v>140.05296950140928</v>
      </c>
      <c r="C3962" s="12">
        <v>113.59342819652991</v>
      </c>
      <c r="D3962" s="12">
        <v>79.999107751101519</v>
      </c>
    </row>
    <row r="3963" spans="1:4">
      <c r="A3963">
        <v>3960</v>
      </c>
      <c r="B3963" s="12">
        <v>178.01471842991819</v>
      </c>
      <c r="C3963" s="12">
        <v>158.84413704239643</v>
      </c>
      <c r="D3963" s="12">
        <v>73.367159093475479</v>
      </c>
    </row>
    <row r="3964" spans="1:4">
      <c r="A3964">
        <v>3961</v>
      </c>
      <c r="B3964" s="12">
        <v>129.47886155359612</v>
      </c>
      <c r="C3964" s="12">
        <v>175.89284568023362</v>
      </c>
      <c r="D3964" s="12">
        <v>77.689183184724882</v>
      </c>
    </row>
    <row r="3965" spans="1:4">
      <c r="A3965">
        <v>3962</v>
      </c>
      <c r="B3965" s="12">
        <v>141.87391024951779</v>
      </c>
      <c r="C3965" s="12">
        <v>151.24698599481326</v>
      </c>
      <c r="D3965" s="12">
        <v>82.074111988954257</v>
      </c>
    </row>
    <row r="3966" spans="1:4">
      <c r="A3966">
        <v>3963</v>
      </c>
      <c r="B3966" s="12">
        <v>203.56362866540184</v>
      </c>
      <c r="C3966" s="12">
        <v>110.55261666636234</v>
      </c>
      <c r="D3966" s="12">
        <v>59.161566258432011</v>
      </c>
    </row>
    <row r="3967" spans="1:4">
      <c r="A3967">
        <v>3964</v>
      </c>
      <c r="B3967" s="12">
        <v>287.31266629273097</v>
      </c>
      <c r="C3967" s="12">
        <v>125.71728314254862</v>
      </c>
      <c r="D3967" s="12">
        <v>102.39775960064463</v>
      </c>
    </row>
    <row r="3968" spans="1:4">
      <c r="A3968">
        <v>3965</v>
      </c>
      <c r="B3968" s="12">
        <v>178.75343405033178</v>
      </c>
      <c r="C3968" s="12">
        <v>177.59419107302594</v>
      </c>
      <c r="D3968" s="12">
        <v>92.611372764978697</v>
      </c>
    </row>
    <row r="3969" spans="1:4">
      <c r="A3969">
        <v>3966</v>
      </c>
      <c r="B3969" s="12">
        <v>175.69270424742609</v>
      </c>
      <c r="C3969" s="12">
        <v>163.01650725213381</v>
      </c>
      <c r="D3969" s="12">
        <v>150.04952681442001</v>
      </c>
    </row>
    <row r="3970" spans="1:4">
      <c r="A3970">
        <v>3967</v>
      </c>
      <c r="B3970" s="12">
        <v>89.758773810554047</v>
      </c>
      <c r="C3970" s="12">
        <v>121.24452755519613</v>
      </c>
      <c r="D3970" s="12">
        <v>140.76702583756605</v>
      </c>
    </row>
    <row r="3971" spans="1:4">
      <c r="A3971">
        <v>3968</v>
      </c>
      <c r="B3971" s="12">
        <v>151.00864010271195</v>
      </c>
      <c r="C3971" s="12">
        <v>166.27256746446139</v>
      </c>
      <c r="D3971" s="12">
        <v>101.83691786785434</v>
      </c>
    </row>
    <row r="3972" spans="1:4">
      <c r="A3972">
        <v>3969</v>
      </c>
      <c r="B3972" s="12">
        <v>136.15131025403602</v>
      </c>
      <c r="C3972" s="12">
        <v>185.6475944111391</v>
      </c>
      <c r="D3972" s="12">
        <v>145.81366892385947</v>
      </c>
    </row>
    <row r="3973" spans="1:4">
      <c r="A3973">
        <v>3970</v>
      </c>
      <c r="B3973" s="12">
        <v>145.14483595401705</v>
      </c>
      <c r="C3973" s="12">
        <v>184.19289832135087</v>
      </c>
      <c r="D3973" s="12">
        <v>156.31506347312032</v>
      </c>
    </row>
    <row r="3974" spans="1:4">
      <c r="A3974">
        <v>3971</v>
      </c>
      <c r="B3974" s="12">
        <v>135.72887959366361</v>
      </c>
      <c r="C3974" s="12">
        <v>131.98924554582658</v>
      </c>
      <c r="D3974" s="12">
        <v>127.99666868855921</v>
      </c>
    </row>
    <row r="3975" spans="1:4">
      <c r="A3975">
        <v>3972</v>
      </c>
      <c r="B3975" s="12">
        <v>117.57407356498119</v>
      </c>
      <c r="C3975" s="12">
        <v>159.35693685186871</v>
      </c>
      <c r="D3975" s="12">
        <v>104.84901384551551</v>
      </c>
    </row>
    <row r="3976" spans="1:4">
      <c r="A3976">
        <v>3973</v>
      </c>
      <c r="B3976" s="12">
        <v>120.09743234648855</v>
      </c>
      <c r="C3976" s="12">
        <v>140.12377864198771</v>
      </c>
      <c r="D3976" s="12">
        <v>99.924189114627012</v>
      </c>
    </row>
    <row r="3977" spans="1:4">
      <c r="A3977">
        <v>3974</v>
      </c>
      <c r="B3977" s="12">
        <v>108.99545601212635</v>
      </c>
      <c r="C3977" s="12">
        <v>150.20319661346593</v>
      </c>
      <c r="D3977" s="12">
        <v>57.222732150781681</v>
      </c>
    </row>
    <row r="3978" spans="1:4">
      <c r="A3978">
        <v>3975</v>
      </c>
      <c r="B3978" s="12">
        <v>160.44043161036439</v>
      </c>
      <c r="C3978" s="12">
        <v>179.85112670811537</v>
      </c>
      <c r="D3978" s="12">
        <v>88.408946655220987</v>
      </c>
    </row>
    <row r="3979" spans="1:4">
      <c r="A3979">
        <v>3976</v>
      </c>
      <c r="B3979" s="12">
        <v>201.5660677126144</v>
      </c>
      <c r="C3979" s="12">
        <v>119.36840060489656</v>
      </c>
      <c r="D3979" s="12">
        <v>148.80661249307974</v>
      </c>
    </row>
    <row r="3980" spans="1:4">
      <c r="A3980">
        <v>3977</v>
      </c>
      <c r="B3980" s="12">
        <v>142.12227554273213</v>
      </c>
      <c r="C3980" s="12">
        <v>203.9279845884852</v>
      </c>
      <c r="D3980" s="12">
        <v>93.138768058152635</v>
      </c>
    </row>
    <row r="3981" spans="1:4">
      <c r="A3981">
        <v>3978</v>
      </c>
      <c r="B3981" s="12">
        <v>118.29439664199685</v>
      </c>
      <c r="C3981" s="12">
        <v>142.25395535968434</v>
      </c>
      <c r="D3981" s="12">
        <v>93.57144509517984</v>
      </c>
    </row>
    <row r="3982" spans="1:4">
      <c r="A3982">
        <v>3979</v>
      </c>
      <c r="B3982" s="12">
        <v>146.50896497351872</v>
      </c>
      <c r="C3982" s="12">
        <v>158.42592684615281</v>
      </c>
      <c r="D3982" s="12">
        <v>137.32194840477607</v>
      </c>
    </row>
    <row r="3983" spans="1:4">
      <c r="A3983">
        <v>3980</v>
      </c>
      <c r="B3983" s="12">
        <v>129.78858021651246</v>
      </c>
      <c r="C3983" s="12">
        <v>143.62944823252795</v>
      </c>
      <c r="D3983" s="12">
        <v>89.381834111835872</v>
      </c>
    </row>
    <row r="3984" spans="1:4">
      <c r="A3984">
        <v>3981</v>
      </c>
      <c r="B3984" s="12">
        <v>164.02317823252551</v>
      </c>
      <c r="C3984" s="12">
        <v>211.9732765037518</v>
      </c>
      <c r="D3984" s="12">
        <v>136.58046063642931</v>
      </c>
    </row>
    <row r="3985" spans="1:4">
      <c r="A3985">
        <v>3982</v>
      </c>
      <c r="B3985" s="12">
        <v>156.78986417503316</v>
      </c>
      <c r="C3985" s="12">
        <v>153.82555173037599</v>
      </c>
      <c r="D3985" s="12">
        <v>71.223284559144915</v>
      </c>
    </row>
    <row r="3986" spans="1:4">
      <c r="A3986">
        <v>3983</v>
      </c>
      <c r="B3986" s="12">
        <v>136.57067555669929</v>
      </c>
      <c r="C3986" s="12">
        <v>161.1601825100428</v>
      </c>
      <c r="D3986" s="12">
        <v>120.11754572917084</v>
      </c>
    </row>
    <row r="3987" spans="1:4">
      <c r="A3987">
        <v>3984</v>
      </c>
      <c r="B3987" s="12">
        <v>166.67645129978587</v>
      </c>
      <c r="C3987" s="12">
        <v>132.56716906122645</v>
      </c>
      <c r="D3987" s="12">
        <v>66.568438742181755</v>
      </c>
    </row>
    <row r="3988" spans="1:4">
      <c r="A3988">
        <v>3985</v>
      </c>
      <c r="B3988" s="12">
        <v>117.10039705407058</v>
      </c>
      <c r="C3988" s="12">
        <v>118.86797168315215</v>
      </c>
      <c r="D3988" s="12">
        <v>74.733244642277242</v>
      </c>
    </row>
    <row r="3989" spans="1:4">
      <c r="A3989">
        <v>3986</v>
      </c>
      <c r="B3989" s="12">
        <v>205.67308321933368</v>
      </c>
      <c r="C3989" s="12">
        <v>216.62806306584255</v>
      </c>
      <c r="D3989" s="12">
        <v>72.977387136388401</v>
      </c>
    </row>
    <row r="3990" spans="1:4">
      <c r="A3990">
        <v>3987</v>
      </c>
      <c r="B3990" s="12">
        <v>156.55564179416112</v>
      </c>
      <c r="C3990" s="12">
        <v>202.50506947866566</v>
      </c>
      <c r="D3990" s="12">
        <v>152.24819383700159</v>
      </c>
    </row>
    <row r="3991" spans="1:4">
      <c r="A3991">
        <v>3988</v>
      </c>
      <c r="B3991" s="12">
        <v>138.99777849543872</v>
      </c>
      <c r="C3991" s="12">
        <v>120.8136733905428</v>
      </c>
      <c r="D3991" s="12">
        <v>71.646642388464613</v>
      </c>
    </row>
    <row r="3992" spans="1:4">
      <c r="A3992">
        <v>3989</v>
      </c>
      <c r="B3992" s="12">
        <v>234.98238876196982</v>
      </c>
      <c r="C3992" s="12">
        <v>150.84713168050493</v>
      </c>
      <c r="D3992" s="12">
        <v>182.8667390650277</v>
      </c>
    </row>
    <row r="3993" spans="1:4">
      <c r="A3993">
        <v>3990</v>
      </c>
      <c r="B3993" s="12">
        <v>169.54011470674772</v>
      </c>
      <c r="C3993" s="12">
        <v>157.50497443030287</v>
      </c>
      <c r="D3993" s="12">
        <v>78.863169760925047</v>
      </c>
    </row>
    <row r="3994" spans="1:4">
      <c r="A3994">
        <v>3991</v>
      </c>
      <c r="B3994" s="12">
        <v>248.72245674616241</v>
      </c>
      <c r="C3994" s="12">
        <v>146.96065084859404</v>
      </c>
      <c r="D3994" s="12">
        <v>78.015833686086438</v>
      </c>
    </row>
    <row r="3995" spans="1:4">
      <c r="A3995">
        <v>3992</v>
      </c>
      <c r="B3995" s="12">
        <v>84.58273587173403</v>
      </c>
      <c r="C3995" s="12">
        <v>140.84409281075344</v>
      </c>
      <c r="D3995" s="12">
        <v>97.778676188047072</v>
      </c>
    </row>
    <row r="3996" spans="1:4">
      <c r="A3996">
        <v>3993</v>
      </c>
      <c r="B3996" s="12">
        <v>126.29624136109406</v>
      </c>
      <c r="C3996" s="12">
        <v>130.02394480971861</v>
      </c>
      <c r="D3996" s="12">
        <v>138.08555634358007</v>
      </c>
    </row>
    <row r="3997" spans="1:4">
      <c r="A3997">
        <v>3994</v>
      </c>
      <c r="B3997" s="12">
        <v>213.51375814242203</v>
      </c>
      <c r="C3997" s="12">
        <v>149.7149267052192</v>
      </c>
      <c r="D3997" s="12">
        <v>105.14128639582745</v>
      </c>
    </row>
    <row r="3998" spans="1:4">
      <c r="A3998">
        <v>3995</v>
      </c>
      <c r="B3998" s="12">
        <v>198.970551501979</v>
      </c>
      <c r="C3998" s="12">
        <v>146.46355111983686</v>
      </c>
      <c r="D3998" s="12">
        <v>118.38546198848991</v>
      </c>
    </row>
    <row r="3999" spans="1:4">
      <c r="A3999">
        <v>3996</v>
      </c>
      <c r="B3999" s="12">
        <v>147.11965405376566</v>
      </c>
      <c r="C3999" s="12">
        <v>176.92994341278037</v>
      </c>
      <c r="D3999" s="12">
        <v>74.965867387320785</v>
      </c>
    </row>
    <row r="4000" spans="1:4">
      <c r="A4000">
        <v>3997</v>
      </c>
      <c r="B4000" s="12">
        <v>150.77432722737126</v>
      </c>
      <c r="C4000" s="12">
        <v>131.62997283975398</v>
      </c>
      <c r="D4000" s="12">
        <v>70.508104688678287</v>
      </c>
    </row>
    <row r="4001" spans="1:4">
      <c r="A4001">
        <v>3998</v>
      </c>
      <c r="B4001" s="12">
        <v>259.59775154847853</v>
      </c>
      <c r="C4001" s="12">
        <v>144.97745108887386</v>
      </c>
      <c r="D4001" s="12">
        <v>85.083178548945597</v>
      </c>
    </row>
    <row r="4002" spans="1:4">
      <c r="A4002">
        <v>3999</v>
      </c>
      <c r="B4002" s="12">
        <v>184.24042093732319</v>
      </c>
      <c r="C4002" s="12">
        <v>149.06916724459734</v>
      </c>
      <c r="D4002" s="12">
        <v>107.50903862424339</v>
      </c>
    </row>
    <row r="4003" spans="1:4">
      <c r="A4003">
        <v>4000</v>
      </c>
      <c r="B4003" s="12">
        <v>185.06514252430546</v>
      </c>
      <c r="C4003" s="12">
        <v>164.47656249478692</v>
      </c>
      <c r="D4003" s="12">
        <v>135.40825905006599</v>
      </c>
    </row>
    <row r="4004" spans="1:4">
      <c r="A4004">
        <v>4001</v>
      </c>
      <c r="B4004" s="12">
        <v>133.44141630704976</v>
      </c>
      <c r="C4004" s="12">
        <v>137.11081847147855</v>
      </c>
      <c r="D4004" s="12">
        <v>109.14682267589636</v>
      </c>
    </row>
    <row r="4005" spans="1:4">
      <c r="A4005">
        <v>4002</v>
      </c>
      <c r="B4005" s="12">
        <v>177.56864197540855</v>
      </c>
      <c r="C4005" s="12">
        <v>181.05790548140124</v>
      </c>
      <c r="D4005" s="12">
        <v>86.264063582272613</v>
      </c>
    </row>
    <row r="4006" spans="1:4">
      <c r="A4006">
        <v>4003</v>
      </c>
      <c r="B4006" s="12">
        <v>225.73973538121248</v>
      </c>
      <c r="C4006" s="12">
        <v>154.71948126984441</v>
      </c>
      <c r="D4006" s="12">
        <v>124.82086175209045</v>
      </c>
    </row>
    <row r="4007" spans="1:4">
      <c r="A4007">
        <v>4004</v>
      </c>
      <c r="B4007" s="12">
        <v>154.86167592940828</v>
      </c>
      <c r="C4007" s="12">
        <v>157.75702577368023</v>
      </c>
      <c r="D4007" s="12">
        <v>144.12962968998889</v>
      </c>
    </row>
    <row r="4008" spans="1:4">
      <c r="A4008">
        <v>4005</v>
      </c>
      <c r="B4008" s="12">
        <v>115.55193661665182</v>
      </c>
      <c r="C4008" s="12">
        <v>184.53733635780205</v>
      </c>
      <c r="D4008" s="12">
        <v>98.219861296561689</v>
      </c>
    </row>
    <row r="4009" spans="1:4">
      <c r="A4009">
        <v>4006</v>
      </c>
      <c r="B4009" s="12">
        <v>151.37418853326264</v>
      </c>
      <c r="C4009" s="12">
        <v>148.66712579181927</v>
      </c>
      <c r="D4009" s="12">
        <v>90.783666185693292</v>
      </c>
    </row>
    <row r="4010" spans="1:4">
      <c r="A4010">
        <v>4007</v>
      </c>
      <c r="B4010" s="12">
        <v>158.12381177248886</v>
      </c>
      <c r="C4010" s="12">
        <v>133.46997974949144</v>
      </c>
      <c r="D4010" s="12">
        <v>61.092301825403183</v>
      </c>
    </row>
    <row r="4011" spans="1:4">
      <c r="A4011">
        <v>4008</v>
      </c>
      <c r="B4011" s="12">
        <v>130.74049511197978</v>
      </c>
      <c r="C4011" s="12">
        <v>172.9844626404352</v>
      </c>
      <c r="D4011" s="12">
        <v>84.804596626051634</v>
      </c>
    </row>
    <row r="4012" spans="1:4">
      <c r="A4012">
        <v>4009</v>
      </c>
      <c r="B4012" s="12">
        <v>278.90932244017222</v>
      </c>
      <c r="C4012" s="12">
        <v>142.94554200709103</v>
      </c>
      <c r="D4012" s="12">
        <v>91.481733890671563</v>
      </c>
    </row>
    <row r="4013" spans="1:4">
      <c r="A4013">
        <v>4010</v>
      </c>
      <c r="B4013" s="12">
        <v>155.22637986822133</v>
      </c>
      <c r="C4013" s="12">
        <v>140.57261175879222</v>
      </c>
      <c r="D4013" s="12">
        <v>119.44355313050767</v>
      </c>
    </row>
    <row r="4014" spans="1:4">
      <c r="A4014">
        <v>4011</v>
      </c>
      <c r="B4014" s="12">
        <v>144.1464722470335</v>
      </c>
      <c r="C4014" s="12">
        <v>188.88011565754908</v>
      </c>
      <c r="D4014" s="12">
        <v>106.21734383944661</v>
      </c>
    </row>
    <row r="4015" spans="1:4">
      <c r="A4015">
        <v>4012</v>
      </c>
      <c r="B4015" s="12">
        <v>162.64942627142636</v>
      </c>
      <c r="C4015" s="12">
        <v>141.9898571923201</v>
      </c>
      <c r="D4015" s="12">
        <v>113.50745505063281</v>
      </c>
    </row>
    <row r="4016" spans="1:4">
      <c r="A4016">
        <v>4013</v>
      </c>
      <c r="B4016" s="12">
        <v>161.66086624652962</v>
      </c>
      <c r="C4016" s="12">
        <v>144.05084867001901</v>
      </c>
      <c r="D4016" s="12">
        <v>105.91982106497611</v>
      </c>
    </row>
    <row r="4017" spans="1:4">
      <c r="A4017">
        <v>4014</v>
      </c>
      <c r="B4017" s="12">
        <v>193.83777262463488</v>
      </c>
      <c r="C4017" s="12">
        <v>152.29058172869401</v>
      </c>
      <c r="D4017" s="12">
        <v>96.367305252564748</v>
      </c>
    </row>
    <row r="4018" spans="1:4">
      <c r="A4018">
        <v>4015</v>
      </c>
      <c r="B4018" s="12">
        <v>133.88244034734385</v>
      </c>
      <c r="C4018" s="12">
        <v>197.46339035142006</v>
      </c>
      <c r="D4018" s="12">
        <v>97.338886722845942</v>
      </c>
    </row>
    <row r="4019" spans="1:4">
      <c r="A4019">
        <v>4016</v>
      </c>
      <c r="B4019" s="12">
        <v>214.55727533176608</v>
      </c>
      <c r="C4019" s="12">
        <v>130.27187826170265</v>
      </c>
      <c r="D4019" s="12">
        <v>93.835275289664523</v>
      </c>
    </row>
    <row r="4020" spans="1:4">
      <c r="A4020">
        <v>4017</v>
      </c>
      <c r="B4020" s="12">
        <v>111.77901507634425</v>
      </c>
      <c r="C4020" s="12">
        <v>148.26429382595487</v>
      </c>
      <c r="D4020" s="12">
        <v>72.322532368743055</v>
      </c>
    </row>
    <row r="4021" spans="1:4">
      <c r="A4021">
        <v>4018</v>
      </c>
      <c r="B4021" s="12">
        <v>133.15681303817365</v>
      </c>
      <c r="C4021" s="12">
        <v>167.84191876318567</v>
      </c>
      <c r="D4021" s="12">
        <v>97.510442324909917</v>
      </c>
    </row>
    <row r="4022" spans="1:4">
      <c r="A4022">
        <v>4019</v>
      </c>
      <c r="B4022" s="12">
        <v>154.26358409208191</v>
      </c>
      <c r="C4022" s="12">
        <v>142.68458126198817</v>
      </c>
      <c r="D4022" s="12">
        <v>110.84087975414859</v>
      </c>
    </row>
    <row r="4023" spans="1:4">
      <c r="A4023">
        <v>4020</v>
      </c>
      <c r="B4023" s="12">
        <v>170.85992606363394</v>
      </c>
      <c r="C4023" s="12">
        <v>115.52436573506118</v>
      </c>
      <c r="D4023" s="12">
        <v>96.633637601586415</v>
      </c>
    </row>
    <row r="4024" spans="1:4">
      <c r="A4024">
        <v>4021</v>
      </c>
      <c r="B4024" s="12">
        <v>224.27007774751027</v>
      </c>
      <c r="C4024" s="12">
        <v>117.15454640776994</v>
      </c>
      <c r="D4024" s="12">
        <v>161.31539104568805</v>
      </c>
    </row>
    <row r="4025" spans="1:4">
      <c r="A4025">
        <v>4022</v>
      </c>
      <c r="B4025" s="12">
        <v>132.25698168393387</v>
      </c>
      <c r="C4025" s="12">
        <v>139.39167813556827</v>
      </c>
      <c r="D4025" s="12">
        <v>102.11683854372876</v>
      </c>
    </row>
    <row r="4026" spans="1:4">
      <c r="A4026">
        <v>4023</v>
      </c>
      <c r="B4026" s="12">
        <v>232.99491191055279</v>
      </c>
      <c r="C4026" s="12">
        <v>209.70135161715686</v>
      </c>
      <c r="D4026" s="12">
        <v>75.903381887777314</v>
      </c>
    </row>
    <row r="4027" spans="1:4">
      <c r="A4027">
        <v>4024</v>
      </c>
      <c r="B4027" s="12">
        <v>147.86123006923199</v>
      </c>
      <c r="C4027" s="12">
        <v>139.11108174973023</v>
      </c>
      <c r="D4027" s="12">
        <v>126.62022039504254</v>
      </c>
    </row>
    <row r="4028" spans="1:4">
      <c r="A4028">
        <v>4025</v>
      </c>
      <c r="B4028" s="12">
        <v>122.77386726117135</v>
      </c>
      <c r="C4028" s="12">
        <v>153.42390963510638</v>
      </c>
      <c r="D4028" s="12">
        <v>133.62499917946045</v>
      </c>
    </row>
    <row r="4029" spans="1:4">
      <c r="A4029">
        <v>4026</v>
      </c>
      <c r="B4029" s="12">
        <v>136.83774567204878</v>
      </c>
      <c r="C4029" s="12">
        <v>128.9693899903464</v>
      </c>
      <c r="D4029" s="12">
        <v>145.14184717687462</v>
      </c>
    </row>
    <row r="4030" spans="1:4">
      <c r="A4030">
        <v>4027</v>
      </c>
      <c r="B4030" s="12">
        <v>164.40295610367306</v>
      </c>
      <c r="C4030" s="12">
        <v>168.34201622835076</v>
      </c>
      <c r="D4030" s="12">
        <v>115.98685682501998</v>
      </c>
    </row>
    <row r="4031" spans="1:4">
      <c r="A4031">
        <v>4028</v>
      </c>
      <c r="B4031" s="12">
        <v>179.96141342765247</v>
      </c>
      <c r="C4031" s="12">
        <v>174.52139031849393</v>
      </c>
      <c r="D4031" s="12">
        <v>98.933222303070423</v>
      </c>
    </row>
    <row r="4032" spans="1:4">
      <c r="A4032">
        <v>4029</v>
      </c>
      <c r="B4032" s="12">
        <v>148.46739134629834</v>
      </c>
      <c r="C4032" s="12">
        <v>154.4735219233151</v>
      </c>
      <c r="D4032" s="12">
        <v>67.467417504390937</v>
      </c>
    </row>
    <row r="4033" spans="1:4">
      <c r="A4033">
        <v>4030</v>
      </c>
      <c r="B4033" s="12">
        <v>145.89586959592447</v>
      </c>
      <c r="C4033" s="12">
        <v>143.37129583245837</v>
      </c>
      <c r="D4033" s="12">
        <v>108.32140360176797</v>
      </c>
    </row>
    <row r="4034" spans="1:4">
      <c r="A4034">
        <v>4031</v>
      </c>
      <c r="B4034" s="12">
        <v>181.19443769355456</v>
      </c>
      <c r="C4034" s="12">
        <v>171.73358921137316</v>
      </c>
      <c r="D4034" s="12">
        <v>105.6237957846635</v>
      </c>
    </row>
    <row r="4035" spans="1:4">
      <c r="A4035">
        <v>4032</v>
      </c>
      <c r="B4035" s="12">
        <v>114.19053333712787</v>
      </c>
      <c r="C4035" s="12">
        <v>146.30387967099452</v>
      </c>
      <c r="D4035" s="12">
        <v>80.500167282318046</v>
      </c>
    </row>
    <row r="4036" spans="1:4">
      <c r="A4036">
        <v>4033</v>
      </c>
      <c r="B4036" s="12">
        <v>218.66064535573173</v>
      </c>
      <c r="C4036" s="12">
        <v>158.68059748406921</v>
      </c>
      <c r="D4036" s="12">
        <v>107.20460173680137</v>
      </c>
    </row>
    <row r="4037" spans="1:4">
      <c r="A4037">
        <v>4034</v>
      </c>
      <c r="B4037" s="12">
        <v>313.26329869172412</v>
      </c>
      <c r="C4037" s="12">
        <v>158.00975797056867</v>
      </c>
      <c r="D4037" s="12">
        <v>109.66665659633848</v>
      </c>
    </row>
    <row r="4038" spans="1:4">
      <c r="A4038">
        <v>4035</v>
      </c>
      <c r="B4038" s="12">
        <v>217.48132621530402</v>
      </c>
      <c r="C4038" s="12">
        <v>126.96550822932153</v>
      </c>
      <c r="D4038" s="12">
        <v>100.19807028175985</v>
      </c>
    </row>
    <row r="4039" spans="1:4">
      <c r="A4039">
        <v>4036</v>
      </c>
      <c r="B4039" s="12">
        <v>190.7273365654647</v>
      </c>
      <c r="C4039" s="12">
        <v>156.18402417942391</v>
      </c>
      <c r="D4039" s="12">
        <v>83.598272610180771</v>
      </c>
    </row>
    <row r="4040" spans="1:4">
      <c r="A4040">
        <v>4037</v>
      </c>
      <c r="B4040" s="12">
        <v>192.84807213072096</v>
      </c>
      <c r="C4040" s="12">
        <v>136.51121489338414</v>
      </c>
      <c r="D4040" s="12">
        <v>78.339240285592311</v>
      </c>
    </row>
    <row r="4041" spans="1:4">
      <c r="A4041">
        <v>4038</v>
      </c>
      <c r="B4041" s="12">
        <v>185.57434259719938</v>
      </c>
      <c r="C4041" s="12">
        <v>147.11942223931578</v>
      </c>
      <c r="D4041" s="12">
        <v>115.38490221498643</v>
      </c>
    </row>
    <row r="4042" spans="1:4">
      <c r="A4042">
        <v>4039</v>
      </c>
      <c r="B4042" s="12">
        <v>155.82503171414822</v>
      </c>
      <c r="C4042" s="12">
        <v>155.77674031690287</v>
      </c>
      <c r="D4042" s="12">
        <v>52.635305785421444</v>
      </c>
    </row>
    <row r="4043" spans="1:4">
      <c r="A4043">
        <v>4040</v>
      </c>
      <c r="B4043" s="12">
        <v>163.40246589414801</v>
      </c>
      <c r="C4043" s="12">
        <v>170.85485473148518</v>
      </c>
      <c r="D4043" s="12">
        <v>108.01226851475319</v>
      </c>
    </row>
    <row r="4044" spans="1:4">
      <c r="A4044">
        <v>4041</v>
      </c>
      <c r="B4044" s="12">
        <v>245.54079113428122</v>
      </c>
      <c r="C4044" s="12">
        <v>191.17007275839649</v>
      </c>
      <c r="D4044" s="12">
        <v>89.818324762981447</v>
      </c>
    </row>
    <row r="4045" spans="1:4">
      <c r="A4045">
        <v>4042</v>
      </c>
      <c r="B4045" s="12">
        <v>191.30003444646579</v>
      </c>
      <c r="C4045" s="12">
        <v>138.82853309270888</v>
      </c>
      <c r="D4045" s="12">
        <v>69.295326607297227</v>
      </c>
    </row>
    <row r="4046" spans="1:4">
      <c r="A4046">
        <v>4043</v>
      </c>
      <c r="B4046" s="12">
        <v>97.487005965052077</v>
      </c>
      <c r="C4046" s="12">
        <v>138.64648647980886</v>
      </c>
      <c r="D4046" s="12">
        <v>104.37242877678841</v>
      </c>
    </row>
    <row r="4047" spans="1:4">
      <c r="A4047">
        <v>4044</v>
      </c>
      <c r="B4047" s="12">
        <v>204.86005790778691</v>
      </c>
      <c r="C4047" s="12">
        <v>140.29954823890429</v>
      </c>
      <c r="D4047" s="12">
        <v>58.452814233084041</v>
      </c>
    </row>
    <row r="4048" spans="1:4">
      <c r="A4048">
        <v>4045</v>
      </c>
      <c r="B4048" s="12">
        <v>134.31960486962438</v>
      </c>
      <c r="C4048" s="12">
        <v>165.50893407727358</v>
      </c>
      <c r="D4048" s="12">
        <v>104.08362942456051</v>
      </c>
    </row>
    <row r="4049" spans="1:4">
      <c r="A4049">
        <v>4046</v>
      </c>
      <c r="B4049" s="12">
        <v>124.86434250733215</v>
      </c>
      <c r="C4049" s="12">
        <v>132.9128731690993</v>
      </c>
      <c r="D4049" s="12">
        <v>124.04336181339959</v>
      </c>
    </row>
    <row r="4050" spans="1:4">
      <c r="A4050">
        <v>4047</v>
      </c>
      <c r="B4050" s="12">
        <v>131.04077095800983</v>
      </c>
      <c r="C4050" s="12">
        <v>141.55379638339537</v>
      </c>
      <c r="D4050" s="12">
        <v>95.665750295045783</v>
      </c>
    </row>
    <row r="4051" spans="1:4">
      <c r="A4051">
        <v>4048</v>
      </c>
      <c r="B4051" s="12">
        <v>137.25235819676294</v>
      </c>
      <c r="C4051" s="12">
        <v>181.53056663445676</v>
      </c>
      <c r="D4051" s="12">
        <v>55.786280223914474</v>
      </c>
    </row>
    <row r="4052" spans="1:4">
      <c r="A4052">
        <v>4049</v>
      </c>
      <c r="B4052" s="12">
        <v>104.13694870826923</v>
      </c>
      <c r="C4052" s="12">
        <v>230.17422113021507</v>
      </c>
      <c r="D4052" s="12">
        <v>69.597203308863968</v>
      </c>
    </row>
    <row r="4053" spans="1:4">
      <c r="A4053">
        <v>4050</v>
      </c>
      <c r="B4053" s="12">
        <v>165.41130950882697</v>
      </c>
      <c r="C4053" s="12">
        <v>165.98182472708456</v>
      </c>
      <c r="D4053" s="12">
        <v>126.11519113679302</v>
      </c>
    </row>
    <row r="4054" spans="1:4">
      <c r="A4054">
        <v>4051</v>
      </c>
      <c r="B4054" s="12">
        <v>151.97331056092389</v>
      </c>
      <c r="C4054" s="12">
        <v>164.01849812478159</v>
      </c>
      <c r="D4054" s="12">
        <v>108.83263064395324</v>
      </c>
    </row>
    <row r="4055" spans="1:4">
      <c r="A4055">
        <v>4052</v>
      </c>
      <c r="B4055" s="12">
        <v>228.31591878112096</v>
      </c>
      <c r="C4055" s="12">
        <v>103.26126230615851</v>
      </c>
      <c r="D4055" s="12">
        <v>65.391150214296914</v>
      </c>
    </row>
    <row r="4056" spans="1:4">
      <c r="A4056">
        <v>4053</v>
      </c>
      <c r="B4056" s="12">
        <v>216.34322954506251</v>
      </c>
      <c r="C4056" s="12">
        <v>147.77194441362712</v>
      </c>
      <c r="D4056" s="12">
        <v>112.60014971794686</v>
      </c>
    </row>
    <row r="4057" spans="1:4">
      <c r="A4057">
        <v>4054</v>
      </c>
      <c r="B4057" s="12">
        <v>164.64680930937993</v>
      </c>
      <c r="C4057" s="12">
        <v>137.59489406099661</v>
      </c>
      <c r="D4057" s="12">
        <v>136.11646770700446</v>
      </c>
    </row>
    <row r="4058" spans="1:4">
      <c r="A4058">
        <v>4055</v>
      </c>
      <c r="B4058" s="12">
        <v>222.86728085521517</v>
      </c>
      <c r="C4058" s="12">
        <v>143.79428646194961</v>
      </c>
      <c r="D4058" s="12">
        <v>134.28630057274833</v>
      </c>
    </row>
    <row r="4059" spans="1:4">
      <c r="A4059">
        <v>4056</v>
      </c>
      <c r="B4059" s="12">
        <v>236.33153228500871</v>
      </c>
      <c r="C4059" s="12">
        <v>137.30062575764765</v>
      </c>
      <c r="D4059" s="12">
        <v>75.678980628575772</v>
      </c>
    </row>
    <row r="4060" spans="1:4">
      <c r="A4060">
        <v>4057</v>
      </c>
      <c r="B4060" s="12">
        <v>199.66666858853054</v>
      </c>
      <c r="C4060" s="12">
        <v>124.36784731627453</v>
      </c>
      <c r="D4060" s="12">
        <v>104.66251153801703</v>
      </c>
    </row>
    <row r="4061" spans="1:4">
      <c r="A4061">
        <v>4058</v>
      </c>
      <c r="B4061" s="12">
        <v>168.74505306089438</v>
      </c>
      <c r="C4061" s="12">
        <v>126.20073072467612</v>
      </c>
      <c r="D4061" s="12">
        <v>83.882175489412589</v>
      </c>
    </row>
    <row r="4062" spans="1:4">
      <c r="A4062">
        <v>4059</v>
      </c>
      <c r="B4062" s="12">
        <v>162.03452740545319</v>
      </c>
      <c r="C4062" s="12">
        <v>118.04265006576274</v>
      </c>
      <c r="D4062" s="12">
        <v>94.532497939479782</v>
      </c>
    </row>
    <row r="4063" spans="1:4">
      <c r="A4063">
        <v>4060</v>
      </c>
      <c r="B4063" s="12">
        <v>101.25086742970149</v>
      </c>
      <c r="C4063" s="12">
        <v>154.07070782709394</v>
      </c>
      <c r="D4063" s="12">
        <v>128.88574253846843</v>
      </c>
    </row>
    <row r="4064" spans="1:4">
      <c r="A4064">
        <v>4061</v>
      </c>
      <c r="B4064" s="12">
        <v>146.13555118565264</v>
      </c>
      <c r="C4064" s="12">
        <v>180.30139505706731</v>
      </c>
      <c r="D4064" s="12">
        <v>63.659687946995696</v>
      </c>
    </row>
    <row r="4065" spans="1:4">
      <c r="A4065">
        <v>4062</v>
      </c>
      <c r="B4065" s="12">
        <v>226.71966799230702</v>
      </c>
      <c r="C4065" s="12">
        <v>141.7244790817042</v>
      </c>
      <c r="D4065" s="12">
        <v>159.99157864116637</v>
      </c>
    </row>
    <row r="4066" spans="1:4">
      <c r="A4066">
        <v>4063</v>
      </c>
      <c r="B4066" s="12">
        <v>152.70297320687962</v>
      </c>
      <c r="C4066" s="12">
        <v>124.89230297076526</v>
      </c>
      <c r="D4066" s="12">
        <v>86.088499167179961</v>
      </c>
    </row>
    <row r="4067" spans="1:4">
      <c r="A4067">
        <v>4064</v>
      </c>
      <c r="B4067" s="12">
        <v>153.30110824693921</v>
      </c>
      <c r="C4067" s="12">
        <v>144.72402455307702</v>
      </c>
      <c r="D4067" s="12">
        <v>103.61252229591665</v>
      </c>
    </row>
    <row r="4068" spans="1:4">
      <c r="A4068">
        <v>4065</v>
      </c>
      <c r="B4068" s="12">
        <v>211.86860782466883</v>
      </c>
      <c r="C4068" s="12">
        <v>133.13183675749966</v>
      </c>
      <c r="D4068" s="12">
        <v>87.52588957540712</v>
      </c>
    </row>
    <row r="4069" spans="1:4">
      <c r="A4069">
        <v>4066</v>
      </c>
      <c r="B4069" s="12">
        <v>147.49082081504412</v>
      </c>
      <c r="C4069" s="12">
        <v>156.43294696636801</v>
      </c>
      <c r="D4069" s="12">
        <v>171.00690969913666</v>
      </c>
    </row>
    <row r="4070" spans="1:4">
      <c r="A4070">
        <v>4067</v>
      </c>
      <c r="B4070" s="12">
        <v>210.90324506745719</v>
      </c>
      <c r="C4070" s="12">
        <v>151.64681233628042</v>
      </c>
      <c r="D4070" s="12">
        <v>98.489526061429004</v>
      </c>
    </row>
    <row r="4071" spans="1:4">
      <c r="A4071">
        <v>4068</v>
      </c>
      <c r="B4071" s="12">
        <v>121.77962438412999</v>
      </c>
      <c r="C4071" s="12">
        <v>137.88674625119364</v>
      </c>
      <c r="D4071" s="12">
        <v>106.70880030162891</v>
      </c>
    </row>
    <row r="4072" spans="1:4">
      <c r="A4072">
        <v>4069</v>
      </c>
      <c r="B4072" s="12">
        <v>189.24831550216393</v>
      </c>
      <c r="C4072" s="12">
        <v>158.17201461231255</v>
      </c>
      <c r="D4072" s="12">
        <v>76.250088030658461</v>
      </c>
    </row>
    <row r="4073" spans="1:4">
      <c r="A4073">
        <v>4070</v>
      </c>
      <c r="B4073" s="12">
        <v>115.03112378449018</v>
      </c>
      <c r="C4073" s="12">
        <v>124.02242636947375</v>
      </c>
      <c r="D4073" s="12">
        <v>63.20113782451471</v>
      </c>
    </row>
    <row r="4074" spans="1:4">
      <c r="A4074">
        <v>4071</v>
      </c>
      <c r="B4074" s="12">
        <v>126.82256421853366</v>
      </c>
      <c r="C4074" s="12">
        <v>182.82452476035277</v>
      </c>
      <c r="D4074" s="12">
        <v>177.51981933163205</v>
      </c>
    </row>
    <row r="4075" spans="1:4">
      <c r="A4075">
        <v>4072</v>
      </c>
      <c r="B4075" s="12">
        <v>124.30457943286093</v>
      </c>
      <c r="C4075" s="12">
        <v>151.49069813365304</v>
      </c>
      <c r="D4075" s="12">
        <v>158.07542071071788</v>
      </c>
    </row>
    <row r="4076" spans="1:4">
      <c r="A4076">
        <v>4073</v>
      </c>
      <c r="B4076" s="12">
        <v>231.13457135506269</v>
      </c>
      <c r="C4076" s="12">
        <v>139.5704214580625</v>
      </c>
      <c r="D4076" s="12">
        <v>64.991797547823154</v>
      </c>
    </row>
    <row r="4077" spans="1:4">
      <c r="A4077">
        <v>4074</v>
      </c>
      <c r="B4077" s="12">
        <v>122.38991212770749</v>
      </c>
      <c r="C4077" s="12">
        <v>200.39946003598297</v>
      </c>
      <c r="D4077" s="12">
        <v>95.230956183181874</v>
      </c>
    </row>
    <row r="4078" spans="1:4">
      <c r="A4078">
        <v>4075</v>
      </c>
      <c r="B4078" s="12">
        <v>269.76860597147419</v>
      </c>
      <c r="C4078" s="12">
        <v>160.03934787865896</v>
      </c>
      <c r="D4078" s="12">
        <v>102.57824240647635</v>
      </c>
    </row>
    <row r="4079" spans="1:4">
      <c r="A4079">
        <v>4076</v>
      </c>
      <c r="B4079" s="12">
        <v>132.70907083549648</v>
      </c>
      <c r="C4079" s="12">
        <v>208.40110133213753</v>
      </c>
      <c r="D4079" s="12">
        <v>91.0481995369054</v>
      </c>
    </row>
    <row r="4080" spans="1:4">
      <c r="A4080">
        <v>4077</v>
      </c>
      <c r="B4080" s="12">
        <v>131.50535313822465</v>
      </c>
      <c r="C4080" s="12">
        <v>99.120943368489023</v>
      </c>
      <c r="D4080" s="12">
        <v>84.625553059655275</v>
      </c>
    </row>
    <row r="4081" spans="1:4">
      <c r="A4081">
        <v>4078</v>
      </c>
      <c r="B4081" s="12">
        <v>159.09498760919939</v>
      </c>
      <c r="C4081" s="12">
        <v>130.65330332778962</v>
      </c>
      <c r="D4081" s="12">
        <v>73.750337376937139</v>
      </c>
    </row>
    <row r="4082" spans="1:4">
      <c r="A4082">
        <v>4079</v>
      </c>
      <c r="B4082" s="12">
        <v>212.86191709654022</v>
      </c>
      <c r="C4082" s="12">
        <v>187.59836636863648</v>
      </c>
      <c r="D4082" s="12">
        <v>94.004321684758835</v>
      </c>
    </row>
    <row r="4083" spans="1:4">
      <c r="A4083">
        <v>4080</v>
      </c>
      <c r="B4083" s="12">
        <v>169.14172922784866</v>
      </c>
      <c r="C4083" s="12">
        <v>178.69860392509014</v>
      </c>
      <c r="D4083" s="12">
        <v>90.518889525250529</v>
      </c>
    </row>
    <row r="4084" spans="1:4">
      <c r="A4084">
        <v>4081</v>
      </c>
      <c r="B4084" s="12">
        <v>186.94388800975176</v>
      </c>
      <c r="C4084" s="12">
        <v>145.13937363256122</v>
      </c>
      <c r="D4084" s="12">
        <v>125.30458690193031</v>
      </c>
    </row>
    <row r="4085" spans="1:4">
      <c r="A4085">
        <v>4082</v>
      </c>
      <c r="B4085" s="12">
        <v>127.15545764442676</v>
      </c>
      <c r="C4085" s="12">
        <v>147.61393281231975</v>
      </c>
      <c r="D4085" s="12">
        <v>75.324852194503308</v>
      </c>
    </row>
    <row r="4086" spans="1:4">
      <c r="A4086">
        <v>4083</v>
      </c>
      <c r="B4086" s="12">
        <v>120.74737075801984</v>
      </c>
      <c r="C4086" s="12">
        <v>214.63724316150441</v>
      </c>
      <c r="D4086" s="12">
        <v>88.944212904581462</v>
      </c>
    </row>
    <row r="4087" spans="1:4">
      <c r="A4087">
        <v>4084</v>
      </c>
      <c r="B4087" s="12">
        <v>141.48479911252497</v>
      </c>
      <c r="C4087" s="12">
        <v>169.4755369245853</v>
      </c>
      <c r="D4087" s="12">
        <v>93.307689072056633</v>
      </c>
    </row>
    <row r="4088" spans="1:4">
      <c r="A4088">
        <v>4085</v>
      </c>
      <c r="B4088" s="12">
        <v>172.34896050876813</v>
      </c>
      <c r="C4088" s="12">
        <v>169.99784337390852</v>
      </c>
      <c r="D4088" s="12">
        <v>110.51538779565611</v>
      </c>
    </row>
    <row r="4089" spans="1:4">
      <c r="A4089">
        <v>4086</v>
      </c>
      <c r="B4089" s="12">
        <v>209.37544828631528</v>
      </c>
      <c r="C4089" s="12">
        <v>135.70218193138012</v>
      </c>
      <c r="D4089" s="12">
        <v>80.802591440645514</v>
      </c>
    </row>
    <row r="4090" spans="1:4">
      <c r="A4090">
        <v>4087</v>
      </c>
      <c r="B4090" s="12">
        <v>174.56094107540682</v>
      </c>
      <c r="C4090" s="12">
        <v>165.22308157389872</v>
      </c>
      <c r="D4090" s="12">
        <v>130.37748502506497</v>
      </c>
    </row>
    <row r="4091" spans="1:4">
      <c r="A4091">
        <v>4088</v>
      </c>
      <c r="B4091" s="12">
        <v>143.13935049568934</v>
      </c>
      <c r="C4091" s="12">
        <v>194.93495781956634</v>
      </c>
      <c r="D4091" s="12">
        <v>99.476485210341977</v>
      </c>
    </row>
    <row r="4092" spans="1:4">
      <c r="A4092">
        <v>4089</v>
      </c>
      <c r="B4092" s="12">
        <v>195.47981617973304</v>
      </c>
      <c r="C4092" s="12">
        <v>150.35946184690795</v>
      </c>
      <c r="D4092" s="12">
        <v>102.86087780460394</v>
      </c>
    </row>
    <row r="4093" spans="1:4">
      <c r="A4093">
        <v>4090</v>
      </c>
      <c r="B4093" s="12">
        <v>220.69422734943117</v>
      </c>
      <c r="C4093" s="12">
        <v>122.89018994297449</v>
      </c>
      <c r="D4093" s="12">
        <v>134.71870353907968</v>
      </c>
    </row>
    <row r="4094" spans="1:4">
      <c r="A4094">
        <v>4091</v>
      </c>
      <c r="B4094" s="12">
        <v>159.70026730264846</v>
      </c>
      <c r="C4094" s="12">
        <v>148.01830403832275</v>
      </c>
      <c r="D4094" s="12">
        <v>92.875071453027346</v>
      </c>
    </row>
    <row r="4095" spans="1:4">
      <c r="A4095">
        <v>4092</v>
      </c>
      <c r="B4095" s="12">
        <v>149.43957732619987</v>
      </c>
      <c r="C4095" s="12">
        <v>152.53453839501591</v>
      </c>
      <c r="D4095" s="12">
        <v>77.145847045162299</v>
      </c>
    </row>
    <row r="4096" spans="1:4">
      <c r="A4096">
        <v>4093</v>
      </c>
      <c r="B4096" s="12">
        <v>106.99629769905775</v>
      </c>
      <c r="C4096" s="12">
        <v>133.80380271811728</v>
      </c>
      <c r="D4096" s="12">
        <v>120.53500791651787</v>
      </c>
    </row>
    <row r="4097" spans="1:4">
      <c r="A4097">
        <v>4094</v>
      </c>
      <c r="B4097" s="12">
        <v>141.09395241512428</v>
      </c>
      <c r="C4097" s="12">
        <v>225.51462446815884</v>
      </c>
      <c r="D4097" s="12">
        <v>86.809961229587884</v>
      </c>
    </row>
    <row r="4098" spans="1:4">
      <c r="A4098">
        <v>4095</v>
      </c>
      <c r="B4098" s="12">
        <v>150.40823615615844</v>
      </c>
      <c r="C4098" s="12">
        <v>150.6033361879187</v>
      </c>
      <c r="D4098" s="12">
        <v>84.34505700529229</v>
      </c>
    </row>
    <row r="4099" spans="1:4">
      <c r="A4099">
        <v>4096</v>
      </c>
      <c r="B4099" s="12">
        <v>188.35223339001683</v>
      </c>
      <c r="C4099" s="12">
        <v>143.11211692952926</v>
      </c>
      <c r="D4099" s="12">
        <v>140.22041080699969</v>
      </c>
    </row>
    <row r="4100" spans="1:4">
      <c r="A4100">
        <v>4097</v>
      </c>
      <c r="B4100" s="12">
        <v>170.60068575727487</v>
      </c>
      <c r="C4100" s="12">
        <v>155.52909671290212</v>
      </c>
      <c r="D4100" s="12">
        <v>85.813658086206672</v>
      </c>
    </row>
    <row r="4101" spans="1:4">
      <c r="A4101">
        <v>4098</v>
      </c>
      <c r="B4101" s="12">
        <v>180.42532006365914</v>
      </c>
      <c r="C4101" s="12">
        <v>154.87721120003113</v>
      </c>
      <c r="D4101" s="12">
        <v>87.9682467376105</v>
      </c>
    </row>
    <row r="4102" spans="1:4">
      <c r="A4102">
        <v>4099</v>
      </c>
      <c r="B4102" s="12">
        <v>170.19752627945962</v>
      </c>
      <c r="C4102" s="12">
        <v>175.50970048316725</v>
      </c>
      <c r="D4102" s="12">
        <v>96.804442029398487</v>
      </c>
    </row>
    <row r="4103" spans="1:4">
      <c r="A4103">
        <v>4100</v>
      </c>
      <c r="B4103" s="12">
        <v>157.1557876215206</v>
      </c>
      <c r="C4103" s="12">
        <v>136.01102173513519</v>
      </c>
      <c r="D4103" s="12">
        <v>151.36412518678466</v>
      </c>
    </row>
    <row r="4104" spans="1:4">
      <c r="A4104">
        <v>4101</v>
      </c>
      <c r="B4104" s="12">
        <v>158.49119707152391</v>
      </c>
      <c r="C4104" s="12">
        <v>188.22957227241031</v>
      </c>
      <c r="D4104" s="12">
        <v>73.992496197658639</v>
      </c>
    </row>
    <row r="4105" spans="1:4">
      <c r="A4105">
        <v>4102</v>
      </c>
      <c r="B4105" s="12">
        <v>153.66561598215739</v>
      </c>
      <c r="C4105" s="12">
        <v>120.11145489643187</v>
      </c>
      <c r="D4105" s="12">
        <v>92.442448133156091</v>
      </c>
    </row>
    <row r="4106" spans="1:4">
      <c r="A4106">
        <v>4103</v>
      </c>
      <c r="B4106" s="12">
        <v>123.36306761409504</v>
      </c>
      <c r="C4106" s="12">
        <v>135.50271174019753</v>
      </c>
      <c r="D4106" s="12">
        <v>114.43515874122861</v>
      </c>
    </row>
    <row r="4107" spans="1:4">
      <c r="A4107">
        <v>4104</v>
      </c>
      <c r="B4107" s="12">
        <v>158.72677784303832</v>
      </c>
      <c r="C4107" s="12">
        <v>149.95913596873029</v>
      </c>
      <c r="D4107" s="12">
        <v>86.537431145087069</v>
      </c>
    </row>
    <row r="4108" spans="1:4">
      <c r="A4108">
        <v>4105</v>
      </c>
      <c r="B4108" s="12">
        <v>176.84346503056489</v>
      </c>
      <c r="C4108" s="12">
        <v>160.89666129661094</v>
      </c>
      <c r="D4108" s="12">
        <v>60.173077561764323</v>
      </c>
    </row>
    <row r="4109" spans="1:4">
      <c r="A4109">
        <v>4106</v>
      </c>
      <c r="B4109" s="12">
        <v>157.52206219545565</v>
      </c>
      <c r="C4109" s="12">
        <v>194.05969917271074</v>
      </c>
      <c r="D4109" s="12">
        <v>61.641634267032281</v>
      </c>
    </row>
    <row r="4110" spans="1:4">
      <c r="A4110">
        <v>4107</v>
      </c>
      <c r="B4110" s="12">
        <v>242.69245268949476</v>
      </c>
      <c r="C4110" s="12">
        <v>134.8711715180425</v>
      </c>
      <c r="D4110" s="12">
        <v>83.129451363742561</v>
      </c>
    </row>
    <row r="4111" spans="1:4">
      <c r="A4111">
        <v>4108</v>
      </c>
      <c r="B4111" s="12">
        <v>165.02845973137633</v>
      </c>
      <c r="C4111" s="12">
        <v>199.23013814242628</v>
      </c>
      <c r="D4111" s="12">
        <v>167.8651696878035</v>
      </c>
    </row>
    <row r="4112" spans="1:4">
      <c r="A4112">
        <v>4109</v>
      </c>
      <c r="B4112" s="12">
        <v>128.49544976702035</v>
      </c>
      <c r="C4112" s="12">
        <v>145.64302285343896</v>
      </c>
      <c r="D4112" s="12">
        <v>82.84170416957042</v>
      </c>
    </row>
    <row r="4113" spans="1:4">
      <c r="A4113">
        <v>4110</v>
      </c>
      <c r="B4113" s="12">
        <v>197.85403635729014</v>
      </c>
      <c r="C4113" s="12">
        <v>128.131762169973</v>
      </c>
      <c r="D4113" s="12">
        <v>98.0474285915531</v>
      </c>
    </row>
    <row r="4114" spans="1:4">
      <c r="A4114">
        <v>4111</v>
      </c>
      <c r="B4114" s="12">
        <v>207.0472448898584</v>
      </c>
      <c r="C4114" s="12">
        <v>138.07246517008224</v>
      </c>
      <c r="D4114" s="12">
        <v>72.724062278148438</v>
      </c>
    </row>
    <row r="4115" spans="1:4">
      <c r="A4115">
        <v>4112</v>
      </c>
      <c r="B4115" s="12">
        <v>222.00084780955785</v>
      </c>
      <c r="C4115" s="12">
        <v>156.68240309598713</v>
      </c>
      <c r="D4115" s="12">
        <v>115.0225207662431</v>
      </c>
    </row>
    <row r="4116" spans="1:4">
      <c r="A4116">
        <v>4113</v>
      </c>
      <c r="B4116" s="12">
        <v>183.7439527455428</v>
      </c>
      <c r="C4116" s="12">
        <v>166.75380839835361</v>
      </c>
      <c r="D4116" s="12">
        <v>122.38373574925917</v>
      </c>
    </row>
    <row r="4117" spans="1:4">
      <c r="A4117">
        <v>4114</v>
      </c>
      <c r="B4117" s="12">
        <v>160.6780570839488</v>
      </c>
      <c r="C4117" s="12">
        <v>146.05412037154076</v>
      </c>
      <c r="D4117" s="12">
        <v>99.204518319358996</v>
      </c>
    </row>
    <row r="4118" spans="1:4">
      <c r="A4118">
        <v>4115</v>
      </c>
      <c r="B4118" s="12">
        <v>116.34005130695262</v>
      </c>
      <c r="C4118" s="12">
        <v>144.30649684094632</v>
      </c>
      <c r="D4118" s="12">
        <v>87.255360496210628</v>
      </c>
    </row>
    <row r="4119" spans="1:4">
      <c r="A4119">
        <v>4116</v>
      </c>
      <c r="B4119" s="12">
        <v>173.44678967364194</v>
      </c>
      <c r="C4119" s="12">
        <v>167.54013711790776</v>
      </c>
      <c r="D4119" s="12">
        <v>119.03907665422335</v>
      </c>
    </row>
    <row r="4120" spans="1:4">
      <c r="A4120">
        <v>4117</v>
      </c>
      <c r="B4120" s="12">
        <v>169.79622003666105</v>
      </c>
      <c r="C4120" s="12">
        <v>121.89082598586975</v>
      </c>
      <c r="D4120" s="12">
        <v>90.349146303547528</v>
      </c>
    </row>
    <row r="4121" spans="1:4">
      <c r="A4121">
        <v>4118</v>
      </c>
      <c r="B4121" s="12">
        <v>135.02886770895978</v>
      </c>
      <c r="C4121" s="12">
        <v>190.70243583010745</v>
      </c>
      <c r="D4121" s="12">
        <v>103.89929813175182</v>
      </c>
    </row>
    <row r="4122" spans="1:4">
      <c r="A4122">
        <v>4119</v>
      </c>
      <c r="B4122" s="12">
        <v>171.93721077194527</v>
      </c>
      <c r="C4122" s="12">
        <v>244.30402553398125</v>
      </c>
      <c r="D4122" s="12">
        <v>103.14460366509387</v>
      </c>
    </row>
    <row r="4123" spans="1:4">
      <c r="A4123">
        <v>4120</v>
      </c>
      <c r="B4123" s="12">
        <v>175.26193622966409</v>
      </c>
      <c r="C4123" s="12">
        <v>189.99321789195301</v>
      </c>
      <c r="D4123" s="12">
        <v>70.790547511717506</v>
      </c>
    </row>
    <row r="4124" spans="1:4">
      <c r="A4124">
        <v>4121</v>
      </c>
      <c r="B4124" s="12">
        <v>162.40905348644819</v>
      </c>
      <c r="C4124" s="12">
        <v>173.56446646193788</v>
      </c>
      <c r="D4124" s="12">
        <v>101.10233890246245</v>
      </c>
    </row>
    <row r="4125" spans="1:4">
      <c r="A4125">
        <v>4122</v>
      </c>
      <c r="B4125" s="12">
        <v>139.39916640071988</v>
      </c>
      <c r="C4125" s="12">
        <v>174.89181249045828</v>
      </c>
      <c r="D4125" s="12">
        <v>80.195493589896586</v>
      </c>
    </row>
    <row r="4126" spans="1:4">
      <c r="A4126">
        <v>4123</v>
      </c>
      <c r="B4126" s="12">
        <v>131.96502179976233</v>
      </c>
      <c r="C4126" s="12">
        <v>170.31996461539012</v>
      </c>
      <c r="D4126" s="12">
        <v>91.217531049424878</v>
      </c>
    </row>
    <row r="4127" spans="1:4">
      <c r="A4127">
        <v>4124</v>
      </c>
      <c r="B4127" s="12">
        <v>182.93927728567056</v>
      </c>
      <c r="C4127" s="12">
        <v>151.00326348108194</v>
      </c>
      <c r="D4127" s="12">
        <v>100.64908708493269</v>
      </c>
    </row>
    <row r="4128" spans="1:4">
      <c r="A4128">
        <v>4125</v>
      </c>
      <c r="B4128" s="12">
        <v>94.359919525711732</v>
      </c>
      <c r="C4128" s="12">
        <v>156.02484649657387</v>
      </c>
      <c r="D4128" s="12">
        <v>117.99287313212454</v>
      </c>
    </row>
    <row r="4129" spans="1:4">
      <c r="A4129">
        <v>4126</v>
      </c>
      <c r="B4129" s="12">
        <v>173.02917725154339</v>
      </c>
      <c r="C4129" s="12">
        <v>206.56073071319676</v>
      </c>
      <c r="D4129" s="12">
        <v>143.1585330645718</v>
      </c>
    </row>
    <row r="4130" spans="1:4">
      <c r="A4130">
        <v>4127</v>
      </c>
      <c r="B4130" s="12">
        <v>148.09811764065907</v>
      </c>
      <c r="C4130" s="12">
        <v>173.92336247774529</v>
      </c>
      <c r="D4130" s="12">
        <v>82.552377368199984</v>
      </c>
    </row>
    <row r="4131" spans="1:4">
      <c r="A4131">
        <v>4128</v>
      </c>
      <c r="B4131" s="12">
        <v>118.99315048127525</v>
      </c>
      <c r="C4131" s="12">
        <v>109.30763956567176</v>
      </c>
      <c r="D4131" s="12">
        <v>82.366188231902328</v>
      </c>
    </row>
    <row r="4132" spans="1:4">
      <c r="A4132">
        <v>4129</v>
      </c>
      <c r="B4132" s="12">
        <v>168.09785397901149</v>
      </c>
      <c r="C4132" s="12">
        <v>182.32629897609118</v>
      </c>
      <c r="D4132" s="12">
        <v>84.063319535928585</v>
      </c>
    </row>
    <row r="4133" spans="1:4">
      <c r="A4133">
        <v>4130</v>
      </c>
      <c r="B4133" s="12">
        <v>103.08366735832651</v>
      </c>
      <c r="C4133" s="12">
        <v>136.31684666551064</v>
      </c>
      <c r="D4133" s="12">
        <v>111.71174727828983</v>
      </c>
    </row>
    <row r="4134" spans="1:4">
      <c r="A4134">
        <v>4131</v>
      </c>
      <c r="B4134" s="12">
        <v>167.70544154764838</v>
      </c>
      <c r="C4134" s="12">
        <v>129.63093128454983</v>
      </c>
      <c r="D4134" s="12">
        <v>76.592574148412083</v>
      </c>
    </row>
    <row r="4135" spans="1:4">
      <c r="A4135">
        <v>4132</v>
      </c>
      <c r="B4135" s="12">
        <v>194.45226538075113</v>
      </c>
      <c r="C4135" s="12">
        <v>134.01545429506749</v>
      </c>
      <c r="D4135" s="12">
        <v>85.360665314815535</v>
      </c>
    </row>
    <row r="4136" spans="1:4">
      <c r="A4136">
        <v>4133</v>
      </c>
      <c r="B4136" s="12">
        <v>156.1902116569002</v>
      </c>
      <c r="C4136" s="12">
        <v>138.36056097609108</v>
      </c>
      <c r="D4136" s="12">
        <v>130.96371702095402</v>
      </c>
    </row>
    <row r="4137" spans="1:4">
      <c r="A4137">
        <v>4134</v>
      </c>
      <c r="B4137" s="12">
        <v>99.102750174605447</v>
      </c>
      <c r="C4137" s="12">
        <v>114.39182340918485</v>
      </c>
      <c r="D4137" s="12">
        <v>197.04964803944128</v>
      </c>
    </row>
    <row r="4138" spans="1:4">
      <c r="A4138">
        <v>4135</v>
      </c>
      <c r="B4138" s="12">
        <v>119.43024544612641</v>
      </c>
      <c r="C4138" s="12">
        <v>157.34386951354421</v>
      </c>
      <c r="D4138" s="12">
        <v>112.2615554318501</v>
      </c>
    </row>
    <row r="4139" spans="1:4">
      <c r="A4139">
        <v>4136</v>
      </c>
      <c r="B4139" s="12">
        <v>197.18819592200788</v>
      </c>
      <c r="C4139" s="12">
        <v>148.42167972546713</v>
      </c>
      <c r="D4139" s="12">
        <v>109.9862908983372</v>
      </c>
    </row>
    <row r="4140" spans="1:4">
      <c r="A4140">
        <v>4137</v>
      </c>
      <c r="B4140" s="12">
        <v>174.13700038027346</v>
      </c>
      <c r="C4140" s="12">
        <v>196.46494793965775</v>
      </c>
      <c r="D4140" s="12">
        <v>49.606415387082848</v>
      </c>
    </row>
    <row r="4141" spans="1:4">
      <c r="A4141">
        <v>4138</v>
      </c>
      <c r="B4141" s="12">
        <v>113.31277734016595</v>
      </c>
      <c r="C4141" s="12">
        <v>189.30765522440737</v>
      </c>
      <c r="D4141" s="12">
        <v>91.914836620784627</v>
      </c>
    </row>
    <row r="4142" spans="1:4">
      <c r="A4142">
        <v>4139</v>
      </c>
      <c r="B4142" s="12">
        <v>179.20808341644118</v>
      </c>
      <c r="C4142" s="12">
        <v>156.8424829635558</v>
      </c>
      <c r="D4142" s="12">
        <v>81.294115750292363</v>
      </c>
    </row>
    <row r="4143" spans="1:4">
      <c r="A4143">
        <v>4140</v>
      </c>
      <c r="B4143" s="12">
        <v>210.29874315468243</v>
      </c>
      <c r="C4143" s="12">
        <v>193.22259404914504</v>
      </c>
      <c r="D4143" s="12">
        <v>87.698814164436314</v>
      </c>
    </row>
    <row r="4144" spans="1:4">
      <c r="A4144">
        <v>4141</v>
      </c>
      <c r="B4144" s="12">
        <v>207.91119625219824</v>
      </c>
      <c r="C4144" s="12">
        <v>201.19146914271872</v>
      </c>
      <c r="D4144" s="12">
        <v>80.995170576230791</v>
      </c>
    </row>
    <row r="4145" spans="1:4">
      <c r="A4145">
        <v>4142</v>
      </c>
      <c r="B4145" s="12">
        <v>128.17494940456842</v>
      </c>
      <c r="C4145" s="12">
        <v>179.1291071635217</v>
      </c>
      <c r="D4145" s="12">
        <v>68.316671827368438</v>
      </c>
    </row>
    <row r="4146" spans="1:4">
      <c r="A4146">
        <v>4143</v>
      </c>
      <c r="B4146" s="12">
        <v>168.49183922536955</v>
      </c>
      <c r="C4146" s="12">
        <v>159.52189579281344</v>
      </c>
      <c r="D4146" s="12">
        <v>70.058386686438268</v>
      </c>
    </row>
    <row r="4147" spans="1:4">
      <c r="A4147">
        <v>4144</v>
      </c>
      <c r="B4147" s="12">
        <v>139.79836904797068</v>
      </c>
      <c r="C4147" s="12">
        <v>155.12375970010882</v>
      </c>
      <c r="D4147" s="12">
        <v>62.447919847103151</v>
      </c>
    </row>
    <row r="4148" spans="1:4">
      <c r="A4148">
        <v>4145</v>
      </c>
      <c r="B4148" s="12">
        <v>154.62812808017941</v>
      </c>
      <c r="C4148" s="12">
        <v>112.19807302057177</v>
      </c>
      <c r="D4148" s="12">
        <v>98.759784832851196</v>
      </c>
    </row>
    <row r="4149" spans="1:4">
      <c r="A4149">
        <v>4146</v>
      </c>
      <c r="B4149" s="12">
        <v>200.83585903661228</v>
      </c>
      <c r="C4149" s="12">
        <v>144.46978866652773</v>
      </c>
      <c r="D4149" s="12">
        <v>129.44149438355743</v>
      </c>
    </row>
    <row r="4150" spans="1:4">
      <c r="A4150">
        <v>4147</v>
      </c>
      <c r="B4150" s="12">
        <v>110.77673048120667</v>
      </c>
      <c r="C4150" s="12">
        <v>195.51757456796543</v>
      </c>
      <c r="D4150" s="12">
        <v>85.53785589501075</v>
      </c>
    </row>
    <row r="4151" spans="1:4">
      <c r="A4151">
        <v>4148</v>
      </c>
      <c r="B4151" s="12">
        <v>241.01147228840316</v>
      </c>
      <c r="C4151" s="12">
        <v>148.91227818963381</v>
      </c>
      <c r="D4151" s="12">
        <v>68.813164471804996</v>
      </c>
    </row>
    <row r="4152" spans="1:4">
      <c r="A4152">
        <v>4149</v>
      </c>
      <c r="B4152" s="12">
        <v>142.89359067973592</v>
      </c>
      <c r="C4152" s="12">
        <v>149.31389866864555</v>
      </c>
      <c r="D4152" s="12">
        <v>88.676837290905155</v>
      </c>
    </row>
    <row r="4153" spans="1:4">
      <c r="A4153">
        <v>4150</v>
      </c>
      <c r="B4153" s="12">
        <v>167.0649483693966</v>
      </c>
      <c r="C4153" s="12">
        <v>186.60129005970171</v>
      </c>
      <c r="D4153" s="12">
        <v>76.809831985536917</v>
      </c>
    </row>
    <row r="4154" spans="1:4">
      <c r="A4154">
        <v>4151</v>
      </c>
      <c r="B4154" s="12">
        <v>144.90339679393642</v>
      </c>
      <c r="C4154" s="12">
        <v>145.39155393241563</v>
      </c>
      <c r="D4154" s="12">
        <v>101.37977616507979</v>
      </c>
    </row>
    <row r="4155" spans="1:4">
      <c r="A4155">
        <v>4152</v>
      </c>
      <c r="B4155" s="12">
        <v>254.93431948059302</v>
      </c>
      <c r="C4155" s="12">
        <v>186.0150917148342</v>
      </c>
      <c r="D4155" s="12">
        <v>96.101343214162881</v>
      </c>
    </row>
    <row r="4156" spans="1:4">
      <c r="A4156">
        <v>4153</v>
      </c>
      <c r="B4156" s="12">
        <v>160.07002168978204</v>
      </c>
      <c r="C4156" s="12">
        <v>127.41596550083017</v>
      </c>
      <c r="D4156" s="12">
        <v>81.5910619299312</v>
      </c>
    </row>
    <row r="4157" spans="1:4">
      <c r="A4157">
        <v>4154</v>
      </c>
      <c r="B4157" s="12">
        <v>171.26624912495132</v>
      </c>
      <c r="C4157" s="12">
        <v>172.63604489708305</v>
      </c>
      <c r="D4157" s="12">
        <v>103.32693107510715</v>
      </c>
    </row>
    <row r="4158" spans="1:4">
      <c r="A4158">
        <v>4155</v>
      </c>
      <c r="B4158" s="12">
        <v>128.99034034817885</v>
      </c>
      <c r="C4158" s="12">
        <v>122.50831220196562</v>
      </c>
      <c r="D4158" s="12">
        <v>67.990491013582542</v>
      </c>
    </row>
    <row r="4159" spans="1:4">
      <c r="A4159">
        <v>4156</v>
      </c>
      <c r="B4159" s="12">
        <v>110.1033007131244</v>
      </c>
      <c r="C4159" s="12">
        <v>131.02818907362709</v>
      </c>
      <c r="D4159" s="12">
        <v>132.57421853339434</v>
      </c>
    </row>
    <row r="4160" spans="1:4">
      <c r="A4160">
        <v>4157</v>
      </c>
      <c r="B4160" s="12">
        <v>263.09991837512581</v>
      </c>
      <c r="C4160" s="12">
        <v>129.23027173886277</v>
      </c>
      <c r="D4160" s="12">
        <v>95.931165136550064</v>
      </c>
    </row>
    <row r="4161" spans="1:4">
      <c r="A4161">
        <v>4158</v>
      </c>
      <c r="B4161" s="12">
        <v>238.57446585698835</v>
      </c>
      <c r="C4161" s="12">
        <v>198.13280208243847</v>
      </c>
      <c r="D4161" s="12">
        <v>83.31296769745363</v>
      </c>
    </row>
    <row r="4162" spans="1:4">
      <c r="A4162">
        <v>4159</v>
      </c>
      <c r="B4162" s="12">
        <v>112.7287939005184</v>
      </c>
      <c r="C4162" s="12">
        <v>127.85555142309161</v>
      </c>
      <c r="D4162" s="12">
        <v>155.25768408869791</v>
      </c>
    </row>
    <row r="4163" spans="1:4">
      <c r="A4163">
        <v>4160</v>
      </c>
      <c r="B4163" s="12">
        <v>155.59123247423167</v>
      </c>
      <c r="C4163" s="12">
        <v>220.39627754860632</v>
      </c>
      <c r="D4163" s="12">
        <v>105.43494641698598</v>
      </c>
    </row>
    <row r="4164" spans="1:4">
      <c r="A4164">
        <v>4161</v>
      </c>
      <c r="B4164" s="12">
        <v>165.65719151062223</v>
      </c>
      <c r="C4164" s="12">
        <v>135.18863355133107</v>
      </c>
      <c r="D4164" s="12">
        <v>166.07810449588152</v>
      </c>
    </row>
    <row r="4165" spans="1:4">
      <c r="A4165">
        <v>4162</v>
      </c>
      <c r="B4165" s="12">
        <v>149.80678812221231</v>
      </c>
      <c r="C4165" s="12">
        <v>134.34262138853558</v>
      </c>
      <c r="D4165" s="12">
        <v>46.2334261772098</v>
      </c>
    </row>
    <row r="4166" spans="1:4">
      <c r="A4166">
        <v>4163</v>
      </c>
      <c r="B4166" s="12">
        <v>140.84265063535014</v>
      </c>
      <c r="C4166" s="12">
        <v>153.17937940129278</v>
      </c>
      <c r="D4166" s="12">
        <v>74.365686485021826</v>
      </c>
    </row>
    <row r="4167" spans="1:4">
      <c r="A4167">
        <v>4164</v>
      </c>
      <c r="B4167" s="12">
        <v>125.41418267289782</v>
      </c>
      <c r="C4167" s="12">
        <v>187.20359187498144</v>
      </c>
      <c r="D4167" s="12">
        <v>138.58701973223441</v>
      </c>
    </row>
    <row r="4168" spans="1:4">
      <c r="A4168">
        <v>4165</v>
      </c>
      <c r="B4168" s="12">
        <v>153.89908611005654</v>
      </c>
      <c r="C4168" s="12">
        <v>159.78016016377686</v>
      </c>
      <c r="D4168" s="12">
        <v>127.46778676696438</v>
      </c>
    </row>
    <row r="4169" spans="1:4">
      <c r="A4169">
        <v>4166</v>
      </c>
      <c r="B4169" s="12">
        <v>149.07186103624062</v>
      </c>
      <c r="C4169" s="12">
        <v>171.1849817386458</v>
      </c>
      <c r="D4169" s="12">
        <v>89.115224480399689</v>
      </c>
    </row>
    <row r="4170" spans="1:4">
      <c r="A4170">
        <v>4167</v>
      </c>
      <c r="B4170" s="12">
        <v>196.11860588136773</v>
      </c>
      <c r="C4170" s="12">
        <v>131.26505035914889</v>
      </c>
      <c r="D4170" s="12">
        <v>91.745776414814941</v>
      </c>
    </row>
    <row r="4171" spans="1:4">
      <c r="A4171">
        <v>4168</v>
      </c>
      <c r="B4171" s="12">
        <v>127.66886377375361</v>
      </c>
      <c r="C4171" s="12">
        <v>126.67087734807801</v>
      </c>
      <c r="D4171" s="12">
        <v>174.7218156021199</v>
      </c>
    </row>
    <row r="4172" spans="1:4">
      <c r="A4172">
        <v>4169</v>
      </c>
      <c r="B4172" s="12">
        <v>146.88148485653576</v>
      </c>
      <c r="C4172" s="12">
        <v>141.28620271193543</v>
      </c>
      <c r="D4172" s="12">
        <v>116.35849464486435</v>
      </c>
    </row>
    <row r="4173" spans="1:4">
      <c r="A4173">
        <v>4170</v>
      </c>
      <c r="B4173" s="12">
        <v>152.93654215790775</v>
      </c>
      <c r="C4173" s="12">
        <v>161.86142856353464</v>
      </c>
      <c r="D4173" s="12">
        <v>116.97626152838836</v>
      </c>
    </row>
    <row r="4174" spans="1:4">
      <c r="A4174">
        <v>4171</v>
      </c>
      <c r="B4174" s="12">
        <v>176.40533274969735</v>
      </c>
      <c r="C4174" s="12">
        <v>185.085657137732</v>
      </c>
      <c r="D4174" s="12">
        <v>79.379390635652229</v>
      </c>
    </row>
    <row r="4175" spans="1:4">
      <c r="A4175">
        <v>4172</v>
      </c>
      <c r="B4175" s="12">
        <v>135.45662245290637</v>
      </c>
      <c r="C4175" s="12">
        <v>163.28983210301695</v>
      </c>
      <c r="D4175" s="12">
        <v>111.37994821723544</v>
      </c>
    </row>
    <row r="4176" spans="1:4">
      <c r="A4176">
        <v>4173</v>
      </c>
      <c r="B4176" s="12">
        <v>202.7947689395447</v>
      </c>
      <c r="C4176" s="12">
        <v>142.42247252972922</v>
      </c>
      <c r="D4176" s="12">
        <v>148.04439516986255</v>
      </c>
    </row>
    <row r="4177" spans="1:4">
      <c r="A4177">
        <v>4174</v>
      </c>
      <c r="B4177" s="12">
        <v>161.42195650764086</v>
      </c>
      <c r="C4177" s="12">
        <v>176.53269838822337</v>
      </c>
      <c r="D4177" s="12">
        <v>94.701796516823663</v>
      </c>
    </row>
    <row r="4178" spans="1:4">
      <c r="A4178">
        <v>4175</v>
      </c>
      <c r="B4178" s="12">
        <v>166.04210582909423</v>
      </c>
      <c r="C4178" s="12">
        <v>191.92260213459602</v>
      </c>
      <c r="D4178" s="12">
        <v>66.925909752978683</v>
      </c>
    </row>
    <row r="4179" spans="1:4">
      <c r="A4179">
        <v>4176</v>
      </c>
      <c r="B4179" s="12">
        <v>208.47574512395011</v>
      </c>
      <c r="C4179" s="12">
        <v>153.58065345327861</v>
      </c>
      <c r="D4179" s="12">
        <v>92.178682419181385</v>
      </c>
    </row>
    <row r="4180" spans="1:4">
      <c r="A4180">
        <v>4177</v>
      </c>
      <c r="B4180" s="12">
        <v>152.33822438971339</v>
      </c>
      <c r="C4180" s="12">
        <v>146.71236698807883</v>
      </c>
      <c r="D4180" s="12">
        <v>97.071442326645084</v>
      </c>
    </row>
    <row r="4181" spans="1:4">
      <c r="A4181">
        <v>4178</v>
      </c>
      <c r="B4181" s="12">
        <v>130.26732712278715</v>
      </c>
      <c r="C4181" s="12">
        <v>116.54668117928213</v>
      </c>
      <c r="D4181" s="12">
        <v>77.478171703700497</v>
      </c>
    </row>
    <row r="4182" spans="1:4">
      <c r="A4182">
        <v>4179</v>
      </c>
      <c r="B4182" s="12">
        <v>189.8029421945412</v>
      </c>
      <c r="C4182" s="12">
        <v>141.01718495206026</v>
      </c>
      <c r="D4182" s="12">
        <v>190.23556598002079</v>
      </c>
    </row>
    <row r="4183" spans="1:4">
      <c r="A4183">
        <v>4180</v>
      </c>
      <c r="B4183" s="12">
        <v>143.90301353654678</v>
      </c>
      <c r="C4183" s="12">
        <v>147.36690207392741</v>
      </c>
      <c r="D4183" s="12">
        <v>94.966264747651778</v>
      </c>
    </row>
    <row r="4184" spans="1:4">
      <c r="A4184">
        <v>4181</v>
      </c>
      <c r="B4184" s="12">
        <v>140.44878486580367</v>
      </c>
      <c r="C4184" s="12">
        <v>172.07245216969781</v>
      </c>
      <c r="D4184" s="12">
        <v>86.984108669885273</v>
      </c>
    </row>
    <row r="4185" spans="1:4">
      <c r="A4185">
        <v>4182</v>
      </c>
      <c r="B4185" s="12">
        <v>215.63441580515232</v>
      </c>
      <c r="C4185" s="12">
        <v>160.72842889340538</v>
      </c>
      <c r="D4185" s="12">
        <v>100.37391041214882</v>
      </c>
    </row>
    <row r="4186" spans="1:4">
      <c r="A4186">
        <v>4183</v>
      </c>
      <c r="B4186" s="12">
        <v>142.50870308240451</v>
      </c>
      <c r="C4186" s="12">
        <v>167.04984865915816</v>
      </c>
      <c r="D4186" s="12">
        <v>99.651057479833227</v>
      </c>
    </row>
    <row r="4187" spans="1:4">
      <c r="A4187">
        <v>4184</v>
      </c>
      <c r="B4187" s="12">
        <v>145.52087218350556</v>
      </c>
      <c r="C4187" s="12">
        <v>160.46664295312928</v>
      </c>
      <c r="D4187" s="12">
        <v>123.57876759952816</v>
      </c>
    </row>
    <row r="4188" spans="1:4">
      <c r="A4188">
        <v>4185</v>
      </c>
      <c r="B4188" s="12">
        <v>157.75687846128591</v>
      </c>
      <c r="C4188" s="12">
        <v>151.89056300472609</v>
      </c>
      <c r="D4188" s="12">
        <v>79.690516692179642</v>
      </c>
    </row>
    <row r="4189" spans="1:4">
      <c r="A4189">
        <v>4186</v>
      </c>
      <c r="B4189" s="12">
        <v>230.00198184724036</v>
      </c>
      <c r="C4189" s="12">
        <v>152.77861922477931</v>
      </c>
      <c r="D4189" s="12">
        <v>139.3903921091856</v>
      </c>
    </row>
    <row r="4190" spans="1:4">
      <c r="A4190">
        <v>4187</v>
      </c>
      <c r="B4190" s="12">
        <v>125.76143686126142</v>
      </c>
      <c r="C4190" s="12">
        <v>149.55841000935661</v>
      </c>
      <c r="D4190" s="12">
        <v>64.343118699424352</v>
      </c>
    </row>
    <row r="4191" spans="1:4">
      <c r="A4191">
        <v>4188</v>
      </c>
      <c r="B4191" s="12">
        <v>151.73946235326156</v>
      </c>
      <c r="C4191" s="12">
        <v>128.55510095677087</v>
      </c>
      <c r="D4191" s="12">
        <v>79.178714848564482</v>
      </c>
    </row>
    <row r="4192" spans="1:4">
      <c r="A4192">
        <v>4189</v>
      </c>
      <c r="B4192" s="12">
        <v>181.66834950134552</v>
      </c>
      <c r="C4192" s="12">
        <v>152.93504009909381</v>
      </c>
      <c r="D4192" s="12">
        <v>94.268335248632013</v>
      </c>
    </row>
    <row r="4193" spans="1:4">
      <c r="A4193">
        <v>4190</v>
      </c>
      <c r="B4193" s="12">
        <v>143.52186204595756</v>
      </c>
      <c r="C4193" s="12">
        <v>164.75790006852807</v>
      </c>
      <c r="D4193" s="12">
        <v>106.40872640017895</v>
      </c>
    </row>
    <row r="4194" spans="1:4">
      <c r="A4194">
        <v>4191</v>
      </c>
      <c r="B4194" s="12">
        <v>105.63675188511793</v>
      </c>
      <c r="C4194" s="12">
        <v>152.13437084968785</v>
      </c>
      <c r="D4194" s="12">
        <v>146.9024079906232</v>
      </c>
    </row>
    <row r="4195" spans="1:4">
      <c r="A4195">
        <v>4192</v>
      </c>
      <c r="B4195" s="12">
        <v>107.80723798742652</v>
      </c>
      <c r="C4195" s="12">
        <v>204.90686499943962</v>
      </c>
      <c r="D4195" s="12">
        <v>78.544761548118558</v>
      </c>
    </row>
    <row r="4196" spans="1:4">
      <c r="A4196">
        <v>4193</v>
      </c>
      <c r="B4196" s="12">
        <v>138.73948056258601</v>
      </c>
      <c r="C4196" s="12">
        <v>157.09287325264191</v>
      </c>
      <c r="D4196" s="12">
        <v>153.70206912453992</v>
      </c>
    </row>
    <row r="4197" spans="1:4">
      <c r="A4197">
        <v>4194</v>
      </c>
      <c r="B4197" s="12">
        <v>250.97801829679818</v>
      </c>
      <c r="C4197" s="12">
        <v>132.21654215492339</v>
      </c>
      <c r="D4197" s="12">
        <v>89.648023772555234</v>
      </c>
    </row>
    <row r="4198" spans="1:4">
      <c r="A4198">
        <v>4195</v>
      </c>
      <c r="B4198" s="12">
        <v>138.33429863779406</v>
      </c>
      <c r="C4198" s="12">
        <v>178.00713206368479</v>
      </c>
      <c r="D4198" s="12">
        <v>71.913193778316526</v>
      </c>
    </row>
    <row r="4199" spans="1:4">
      <c r="A4199">
        <v>4196</v>
      </c>
      <c r="B4199" s="12">
        <v>159.46375066250971</v>
      </c>
      <c r="C4199" s="12">
        <v>183.66522741947594</v>
      </c>
      <c r="D4199" s="12">
        <v>81.780258448449388</v>
      </c>
    </row>
    <row r="4200" spans="1:4">
      <c r="A4200">
        <v>4197</v>
      </c>
      <c r="B4200" s="12">
        <v>123.94052126594413</v>
      </c>
      <c r="C4200" s="12">
        <v>192.70474007322747</v>
      </c>
      <c r="D4200" s="12">
        <v>101.65812727634757</v>
      </c>
    </row>
    <row r="4201" spans="1:4">
      <c r="A4201">
        <v>4198</v>
      </c>
      <c r="B4201" s="12">
        <v>182.45453956419564</v>
      </c>
      <c r="C4201" s="12">
        <v>169.16076682045997</v>
      </c>
      <c r="D4201" s="12">
        <v>113.16153338029078</v>
      </c>
    </row>
    <row r="4202" spans="1:4">
      <c r="A4202">
        <v>4199</v>
      </c>
      <c r="B4202" s="12">
        <v>192.25550540124138</v>
      </c>
      <c r="C4202" s="12">
        <v>154.22788774021367</v>
      </c>
      <c r="D4202" s="12">
        <v>90.083900355146483</v>
      </c>
    </row>
    <row r="4203" spans="1:4">
      <c r="A4203">
        <v>4200</v>
      </c>
      <c r="B4203" s="12">
        <v>161.04962717678103</v>
      </c>
      <c r="C4203" s="12">
        <v>123.46704626013559</v>
      </c>
      <c r="D4203" s="12">
        <v>88.237063681284894</v>
      </c>
    </row>
    <row r="4204" spans="1:4">
      <c r="A4204">
        <v>4201</v>
      </c>
      <c r="B4204" s="12">
        <v>144.52553134853605</v>
      </c>
      <c r="C4204" s="12">
        <v>162.57106842156833</v>
      </c>
      <c r="D4204" s="12">
        <v>114.08132723197362</v>
      </c>
    </row>
    <row r="4205" spans="1:4">
      <c r="A4205">
        <v>4202</v>
      </c>
      <c r="B4205" s="12">
        <v>187.81409672071717</v>
      </c>
      <c r="C4205" s="12">
        <v>160.20586876711127</v>
      </c>
      <c r="D4205" s="12">
        <v>65.99211528811577</v>
      </c>
    </row>
    <row r="4206" spans="1:4">
      <c r="A4206">
        <v>4203</v>
      </c>
      <c r="B4206" s="12">
        <v>148.83603665619191</v>
      </c>
      <c r="C4206" s="12">
        <v>136.81236432747036</v>
      </c>
      <c r="D4206" s="12">
        <v>142.55645998585899</v>
      </c>
    </row>
    <row r="4207" spans="1:4">
      <c r="A4207">
        <v>4204</v>
      </c>
      <c r="B4207" s="12">
        <v>167.45488829020314</v>
      </c>
      <c r="C4207" s="12">
        <v>161.5949101015064</v>
      </c>
      <c r="D4207" s="12">
        <v>218.32280902851753</v>
      </c>
    </row>
    <row r="4208" spans="1:4">
      <c r="A4208">
        <v>4205</v>
      </c>
      <c r="B4208" s="12">
        <v>166.42833875866654</v>
      </c>
      <c r="C4208" s="12">
        <v>163.74132822158651</v>
      </c>
      <c r="D4208" s="12">
        <v>141.64538546826373</v>
      </c>
    </row>
    <row r="4209" spans="1:4">
      <c r="A4209">
        <v>4206</v>
      </c>
      <c r="B4209" s="12">
        <v>121.15522901275499</v>
      </c>
      <c r="C4209" s="12">
        <v>155.37070150098256</v>
      </c>
      <c r="D4209" s="12">
        <v>121.23129359718183</v>
      </c>
    </row>
    <row r="4210" spans="1:4">
      <c r="A4210">
        <v>4207</v>
      </c>
      <c r="B4210" s="12">
        <v>163.64448476499967</v>
      </c>
      <c r="C4210" s="12">
        <v>139.84797881881326</v>
      </c>
      <c r="D4210" s="12">
        <v>122.83106801786909</v>
      </c>
    </row>
    <row r="4211" spans="1:4">
      <c r="A4211">
        <v>4208</v>
      </c>
      <c r="B4211" s="12">
        <v>134.59767676475096</v>
      </c>
      <c r="C4211" s="12">
        <v>134.66597466679502</v>
      </c>
      <c r="D4211" s="12">
        <v>117.35793880977486</v>
      </c>
    </row>
    <row r="4212" spans="1:4">
      <c r="A4212">
        <v>4209</v>
      </c>
      <c r="B4212" s="12">
        <v>150.04175723588529</v>
      </c>
      <c r="C4212" s="12">
        <v>168.65002506288357</v>
      </c>
      <c r="D4212" s="12">
        <v>95.400632257858689</v>
      </c>
    </row>
    <row r="4213" spans="1:4">
      <c r="A4213">
        <v>4210</v>
      </c>
      <c r="B4213" s="12">
        <v>163.02545952107715</v>
      </c>
      <c r="C4213" s="12">
        <v>106.87972539602566</v>
      </c>
      <c r="D4213" s="12">
        <v>100.92509414015615</v>
      </c>
    </row>
    <row r="4214" spans="1:4">
      <c r="A4214">
        <v>4211</v>
      </c>
      <c r="B4214" s="12">
        <v>186.42084219277643</v>
      </c>
      <c r="C4214" s="12">
        <v>162.30128768637783</v>
      </c>
      <c r="D4214" s="12">
        <v>163.56240748846645</v>
      </c>
    </row>
    <row r="4215" spans="1:4">
      <c r="A4215">
        <v>4212</v>
      </c>
      <c r="B4215" s="12">
        <v>219.43933720420918</v>
      </c>
      <c r="C4215" s="12">
        <v>145.80374187273665</v>
      </c>
      <c r="D4215" s="12">
        <v>121.66298382538325</v>
      </c>
    </row>
    <row r="4216" spans="1:4">
      <c r="A4216">
        <v>4213</v>
      </c>
      <c r="B4216" s="12">
        <v>137.92667028030783</v>
      </c>
      <c r="C4216" s="12">
        <v>125.40010609694481</v>
      </c>
      <c r="D4216" s="12">
        <v>54.709621903623677</v>
      </c>
    </row>
    <row r="4217" spans="1:4">
      <c r="A4217">
        <v>4214</v>
      </c>
      <c r="B4217" s="12">
        <v>137.66423286658761</v>
      </c>
      <c r="C4217" s="12">
        <v>159.1001174112221</v>
      </c>
      <c r="D4217" s="12">
        <v>131.95313477655978</v>
      </c>
    </row>
    <row r="4218" spans="1:4">
      <c r="A4218">
        <v>4215</v>
      </c>
      <c r="B4218" s="12">
        <v>140.05296950140928</v>
      </c>
      <c r="C4218" s="12">
        <v>113.59342819652991</v>
      </c>
      <c r="D4218" s="12">
        <v>79.999107751101519</v>
      </c>
    </row>
    <row r="4219" spans="1:4">
      <c r="A4219">
        <v>4216</v>
      </c>
      <c r="B4219" s="12">
        <v>178.01471842991819</v>
      </c>
      <c r="C4219" s="12">
        <v>158.84413704239643</v>
      </c>
      <c r="D4219" s="12">
        <v>73.367159093475479</v>
      </c>
    </row>
    <row r="4220" spans="1:4">
      <c r="A4220">
        <v>4217</v>
      </c>
      <c r="B4220" s="12">
        <v>129.47886155359612</v>
      </c>
      <c r="C4220" s="12">
        <v>175.89284568023362</v>
      </c>
      <c r="D4220" s="12">
        <v>77.689183184724882</v>
      </c>
    </row>
    <row r="4221" spans="1:4">
      <c r="A4221">
        <v>4218</v>
      </c>
      <c r="B4221" s="12">
        <v>141.87391024951779</v>
      </c>
      <c r="C4221" s="12">
        <v>151.24698599481326</v>
      </c>
      <c r="D4221" s="12">
        <v>82.074111988954257</v>
      </c>
    </row>
    <row r="4222" spans="1:4">
      <c r="A4222">
        <v>4219</v>
      </c>
      <c r="B4222" s="12">
        <v>203.56362866540184</v>
      </c>
      <c r="C4222" s="12">
        <v>110.55261666636234</v>
      </c>
      <c r="D4222" s="12">
        <v>59.161566258432011</v>
      </c>
    </row>
    <row r="4223" spans="1:4">
      <c r="A4223">
        <v>4220</v>
      </c>
      <c r="B4223" s="12">
        <v>287.31266629273097</v>
      </c>
      <c r="C4223" s="12">
        <v>125.71728314254862</v>
      </c>
      <c r="D4223" s="12">
        <v>102.39775960064463</v>
      </c>
    </row>
    <row r="4224" spans="1:4">
      <c r="A4224">
        <v>4221</v>
      </c>
      <c r="B4224" s="12">
        <v>178.75343405033178</v>
      </c>
      <c r="C4224" s="12">
        <v>177.59419107302594</v>
      </c>
      <c r="D4224" s="12">
        <v>92.611372764978697</v>
      </c>
    </row>
    <row r="4225" spans="1:4">
      <c r="A4225">
        <v>4222</v>
      </c>
      <c r="B4225" s="12">
        <v>175.69270424742609</v>
      </c>
      <c r="C4225" s="12">
        <v>163.01650725213381</v>
      </c>
      <c r="D4225" s="12">
        <v>150.04952681442001</v>
      </c>
    </row>
    <row r="4226" spans="1:4">
      <c r="A4226">
        <v>4223</v>
      </c>
      <c r="B4226" s="12">
        <v>89.758773810554047</v>
      </c>
      <c r="C4226" s="12">
        <v>121.24452755519613</v>
      </c>
      <c r="D4226" s="12">
        <v>140.76702583756605</v>
      </c>
    </row>
    <row r="4227" spans="1:4">
      <c r="A4227">
        <v>4224</v>
      </c>
      <c r="B4227" s="12">
        <v>151.00864010271195</v>
      </c>
      <c r="C4227" s="12">
        <v>166.27256746446139</v>
      </c>
      <c r="D4227" s="12">
        <v>101.83691786785434</v>
      </c>
    </row>
    <row r="4228" spans="1:4">
      <c r="A4228">
        <v>4225</v>
      </c>
      <c r="B4228" s="12">
        <v>136.15131025403602</v>
      </c>
      <c r="C4228" s="12">
        <v>185.6475944111391</v>
      </c>
      <c r="D4228" s="12">
        <v>145.81366892385947</v>
      </c>
    </row>
    <row r="4229" spans="1:4">
      <c r="A4229">
        <v>4226</v>
      </c>
      <c r="B4229" s="12">
        <v>145.14483595401705</v>
      </c>
      <c r="C4229" s="12">
        <v>184.19289832135087</v>
      </c>
      <c r="D4229" s="12">
        <v>156.31506347312032</v>
      </c>
    </row>
    <row r="4230" spans="1:4">
      <c r="A4230">
        <v>4227</v>
      </c>
      <c r="B4230" s="12">
        <v>135.72887959366361</v>
      </c>
      <c r="C4230" s="12">
        <v>131.98924554582658</v>
      </c>
      <c r="D4230" s="12">
        <v>127.99666868855921</v>
      </c>
    </row>
    <row r="4231" spans="1:4">
      <c r="A4231">
        <v>4228</v>
      </c>
      <c r="B4231" s="12">
        <v>117.57407356498119</v>
      </c>
      <c r="C4231" s="12">
        <v>159.35693685186871</v>
      </c>
      <c r="D4231" s="12">
        <v>104.84901384551551</v>
      </c>
    </row>
    <row r="4232" spans="1:4">
      <c r="A4232">
        <v>4229</v>
      </c>
      <c r="B4232" s="12">
        <v>120.09743234648855</v>
      </c>
      <c r="C4232" s="12">
        <v>140.12377864198771</v>
      </c>
      <c r="D4232" s="12">
        <v>99.924189114627012</v>
      </c>
    </row>
    <row r="4233" spans="1:4">
      <c r="A4233">
        <v>4230</v>
      </c>
      <c r="B4233" s="12">
        <v>108.99545601212635</v>
      </c>
      <c r="C4233" s="12">
        <v>150.20319661346593</v>
      </c>
      <c r="D4233" s="12">
        <v>57.222732150781681</v>
      </c>
    </row>
    <row r="4234" spans="1:4">
      <c r="A4234">
        <v>4231</v>
      </c>
      <c r="B4234" s="12">
        <v>160.44043161036439</v>
      </c>
      <c r="C4234" s="12">
        <v>179.85112670811537</v>
      </c>
      <c r="D4234" s="12">
        <v>88.408946655220987</v>
      </c>
    </row>
    <row r="4235" spans="1:4">
      <c r="A4235">
        <v>4232</v>
      </c>
      <c r="B4235" s="12">
        <v>201.5660677126144</v>
      </c>
      <c r="C4235" s="12">
        <v>119.36840060489656</v>
      </c>
      <c r="D4235" s="12">
        <v>148.80661249307974</v>
      </c>
    </row>
    <row r="4236" spans="1:4">
      <c r="A4236">
        <v>4233</v>
      </c>
      <c r="B4236" s="12">
        <v>142.12227554273213</v>
      </c>
      <c r="C4236" s="12">
        <v>203.9279845884852</v>
      </c>
      <c r="D4236" s="12">
        <v>93.138768058152635</v>
      </c>
    </row>
    <row r="4237" spans="1:4">
      <c r="A4237">
        <v>4234</v>
      </c>
      <c r="B4237" s="12">
        <v>118.29439664199685</v>
      </c>
      <c r="C4237" s="12">
        <v>142.25395535968434</v>
      </c>
      <c r="D4237" s="12">
        <v>93.57144509517984</v>
      </c>
    </row>
    <row r="4238" spans="1:4">
      <c r="A4238">
        <v>4235</v>
      </c>
      <c r="B4238" s="12">
        <v>146.50896497351872</v>
      </c>
      <c r="C4238" s="12">
        <v>158.42592684615281</v>
      </c>
      <c r="D4238" s="12">
        <v>137.32194840477607</v>
      </c>
    </row>
    <row r="4239" spans="1:4">
      <c r="A4239">
        <v>4236</v>
      </c>
      <c r="B4239" s="12">
        <v>129.78858021651246</v>
      </c>
      <c r="C4239" s="12">
        <v>143.62944823252795</v>
      </c>
      <c r="D4239" s="12">
        <v>89.381834111835872</v>
      </c>
    </row>
    <row r="4240" spans="1:4">
      <c r="A4240">
        <v>4237</v>
      </c>
      <c r="B4240" s="12">
        <v>164.02317823252551</v>
      </c>
      <c r="C4240" s="12">
        <v>211.9732765037518</v>
      </c>
      <c r="D4240" s="12">
        <v>136.58046063642931</v>
      </c>
    </row>
    <row r="4241" spans="1:4">
      <c r="A4241">
        <v>4238</v>
      </c>
      <c r="B4241" s="12">
        <v>156.78986417503316</v>
      </c>
      <c r="C4241" s="12">
        <v>153.82555173037599</v>
      </c>
      <c r="D4241" s="12">
        <v>71.223284559144915</v>
      </c>
    </row>
    <row r="4242" spans="1:4">
      <c r="A4242">
        <v>4239</v>
      </c>
      <c r="B4242" s="12">
        <v>136.57067555669929</v>
      </c>
      <c r="C4242" s="12">
        <v>161.1601825100428</v>
      </c>
      <c r="D4242" s="12">
        <v>120.11754572917084</v>
      </c>
    </row>
    <row r="4243" spans="1:4">
      <c r="A4243">
        <v>4240</v>
      </c>
      <c r="B4243" s="12">
        <v>166.67645129978587</v>
      </c>
      <c r="C4243" s="12">
        <v>132.56716906122645</v>
      </c>
      <c r="D4243" s="12">
        <v>66.568438742181755</v>
      </c>
    </row>
    <row r="4244" spans="1:4">
      <c r="A4244">
        <v>4241</v>
      </c>
      <c r="B4244" s="12">
        <v>117.10039705407058</v>
      </c>
      <c r="C4244" s="12">
        <v>118.86797168315215</v>
      </c>
      <c r="D4244" s="12">
        <v>74.733244642277242</v>
      </c>
    </row>
    <row r="4245" spans="1:4">
      <c r="A4245">
        <v>4242</v>
      </c>
      <c r="B4245" s="12">
        <v>205.67308321933368</v>
      </c>
      <c r="C4245" s="12">
        <v>216.62806306584255</v>
      </c>
      <c r="D4245" s="12">
        <v>72.977387136388401</v>
      </c>
    </row>
    <row r="4246" spans="1:4">
      <c r="A4246">
        <v>4243</v>
      </c>
      <c r="B4246" s="12">
        <v>156.55564179416112</v>
      </c>
      <c r="C4246" s="12">
        <v>202.50506947866566</v>
      </c>
      <c r="D4246" s="12">
        <v>152.24819383700159</v>
      </c>
    </row>
    <row r="4247" spans="1:4">
      <c r="A4247">
        <v>4244</v>
      </c>
      <c r="B4247" s="12">
        <v>138.99777849543872</v>
      </c>
      <c r="C4247" s="12">
        <v>120.8136733905428</v>
      </c>
      <c r="D4247" s="12">
        <v>71.646642388464613</v>
      </c>
    </row>
    <row r="4248" spans="1:4">
      <c r="A4248">
        <v>4245</v>
      </c>
      <c r="B4248" s="12">
        <v>234.98238876196982</v>
      </c>
      <c r="C4248" s="12">
        <v>150.84713168050493</v>
      </c>
      <c r="D4248" s="12">
        <v>182.8667390650277</v>
      </c>
    </row>
    <row r="4249" spans="1:4">
      <c r="A4249">
        <v>4246</v>
      </c>
      <c r="B4249" s="12">
        <v>169.54011470674772</v>
      </c>
      <c r="C4249" s="12">
        <v>157.50497443030287</v>
      </c>
      <c r="D4249" s="12">
        <v>78.863169760925047</v>
      </c>
    </row>
    <row r="4250" spans="1:4">
      <c r="A4250">
        <v>4247</v>
      </c>
      <c r="B4250" s="12">
        <v>248.72245674616241</v>
      </c>
      <c r="C4250" s="12">
        <v>146.96065084859404</v>
      </c>
      <c r="D4250" s="12">
        <v>78.015833686086438</v>
      </c>
    </row>
    <row r="4251" spans="1:4">
      <c r="A4251">
        <v>4248</v>
      </c>
      <c r="B4251" s="12">
        <v>84.58273587173403</v>
      </c>
      <c r="C4251" s="12">
        <v>140.84409281075344</v>
      </c>
      <c r="D4251" s="12">
        <v>97.778676188047072</v>
      </c>
    </row>
    <row r="4252" spans="1:4">
      <c r="A4252">
        <v>4249</v>
      </c>
      <c r="B4252" s="12">
        <v>126.29624136109406</v>
      </c>
      <c r="C4252" s="12">
        <v>130.02394480971861</v>
      </c>
      <c r="D4252" s="12">
        <v>138.08555634358007</v>
      </c>
    </row>
    <row r="4253" spans="1:4">
      <c r="A4253">
        <v>4250</v>
      </c>
      <c r="B4253" s="12">
        <v>213.51375814242203</v>
      </c>
      <c r="C4253" s="12">
        <v>149.7149267052192</v>
      </c>
      <c r="D4253" s="12">
        <v>105.14128639582745</v>
      </c>
    </row>
    <row r="4254" spans="1:4">
      <c r="A4254">
        <v>4251</v>
      </c>
      <c r="B4254" s="12">
        <v>198.970551501979</v>
      </c>
      <c r="C4254" s="12">
        <v>146.46355111983686</v>
      </c>
      <c r="D4254" s="12">
        <v>118.38546198848991</v>
      </c>
    </row>
    <row r="4255" spans="1:4">
      <c r="A4255">
        <v>4252</v>
      </c>
      <c r="B4255" s="12">
        <v>147.11965405376566</v>
      </c>
      <c r="C4255" s="12">
        <v>176.92994341278037</v>
      </c>
      <c r="D4255" s="12">
        <v>74.965867387320785</v>
      </c>
    </row>
    <row r="4256" spans="1:4">
      <c r="A4256">
        <v>4253</v>
      </c>
      <c r="B4256" s="12">
        <v>150.77432722737126</v>
      </c>
      <c r="C4256" s="12">
        <v>131.62997283975398</v>
      </c>
      <c r="D4256" s="12">
        <v>70.508104688678287</v>
      </c>
    </row>
    <row r="4257" spans="1:4">
      <c r="A4257">
        <v>4254</v>
      </c>
      <c r="B4257" s="12">
        <v>259.59775154847853</v>
      </c>
      <c r="C4257" s="12">
        <v>144.97745108887386</v>
      </c>
      <c r="D4257" s="12">
        <v>85.083178548945597</v>
      </c>
    </row>
    <row r="4258" spans="1:4">
      <c r="A4258">
        <v>4255</v>
      </c>
      <c r="B4258" s="12">
        <v>184.24042093732319</v>
      </c>
      <c r="C4258" s="12">
        <v>149.06916724459734</v>
      </c>
      <c r="D4258" s="12">
        <v>107.50903862424339</v>
      </c>
    </row>
    <row r="4259" spans="1:4">
      <c r="A4259">
        <v>4256</v>
      </c>
      <c r="B4259" s="12">
        <v>185.06514252430546</v>
      </c>
      <c r="C4259" s="12">
        <v>164.47656249478692</v>
      </c>
      <c r="D4259" s="12">
        <v>135.40825905006599</v>
      </c>
    </row>
    <row r="4260" spans="1:4">
      <c r="A4260">
        <v>4257</v>
      </c>
      <c r="B4260" s="12">
        <v>133.44141630704976</v>
      </c>
      <c r="C4260" s="12">
        <v>137.11081847147855</v>
      </c>
      <c r="D4260" s="12">
        <v>109.14682267589636</v>
      </c>
    </row>
    <row r="4261" spans="1:4">
      <c r="A4261">
        <v>4258</v>
      </c>
      <c r="B4261" s="12">
        <v>177.56864197540855</v>
      </c>
      <c r="C4261" s="12">
        <v>181.05790548140124</v>
      </c>
      <c r="D4261" s="12">
        <v>86.264063582272613</v>
      </c>
    </row>
    <row r="4262" spans="1:4">
      <c r="A4262">
        <v>4259</v>
      </c>
      <c r="B4262" s="12">
        <v>225.73973538121248</v>
      </c>
      <c r="C4262" s="12">
        <v>154.71948126984441</v>
      </c>
      <c r="D4262" s="12">
        <v>124.82086175209045</v>
      </c>
    </row>
    <row r="4263" spans="1:4">
      <c r="A4263">
        <v>4260</v>
      </c>
      <c r="B4263" s="12">
        <v>154.86167592940828</v>
      </c>
      <c r="C4263" s="12">
        <v>157.75702577368023</v>
      </c>
      <c r="D4263" s="12">
        <v>144.12962968998889</v>
      </c>
    </row>
    <row r="4264" spans="1:4">
      <c r="A4264">
        <v>4261</v>
      </c>
      <c r="B4264" s="12">
        <v>115.55193661665182</v>
      </c>
      <c r="C4264" s="12">
        <v>184.53733635780205</v>
      </c>
      <c r="D4264" s="12">
        <v>98.219861296561689</v>
      </c>
    </row>
    <row r="4265" spans="1:4">
      <c r="A4265">
        <v>4262</v>
      </c>
      <c r="B4265" s="12">
        <v>151.37418853326264</v>
      </c>
      <c r="C4265" s="12">
        <v>148.66712579181927</v>
      </c>
      <c r="D4265" s="12">
        <v>90.783666185693292</v>
      </c>
    </row>
    <row r="4266" spans="1:4">
      <c r="A4266">
        <v>4263</v>
      </c>
      <c r="B4266" s="12">
        <v>158.12381177248886</v>
      </c>
      <c r="C4266" s="12">
        <v>133.46997974949144</v>
      </c>
      <c r="D4266" s="12">
        <v>61.092301825403183</v>
      </c>
    </row>
    <row r="4267" spans="1:4">
      <c r="A4267">
        <v>4264</v>
      </c>
      <c r="B4267" s="12">
        <v>130.74049511197978</v>
      </c>
      <c r="C4267" s="12">
        <v>172.9844626404352</v>
      </c>
      <c r="D4267" s="12">
        <v>84.804596626051634</v>
      </c>
    </row>
    <row r="4268" spans="1:4">
      <c r="A4268">
        <v>4265</v>
      </c>
      <c r="B4268" s="12">
        <v>278.90932244017222</v>
      </c>
      <c r="C4268" s="12">
        <v>142.94554200709103</v>
      </c>
      <c r="D4268" s="12">
        <v>91.481733890671563</v>
      </c>
    </row>
    <row r="4269" spans="1:4">
      <c r="A4269">
        <v>4266</v>
      </c>
      <c r="B4269" s="12">
        <v>155.22637986822133</v>
      </c>
      <c r="C4269" s="12">
        <v>140.57261175879222</v>
      </c>
      <c r="D4269" s="12">
        <v>119.44355313050767</v>
      </c>
    </row>
    <row r="4270" spans="1:4">
      <c r="A4270">
        <v>4267</v>
      </c>
      <c r="B4270" s="12">
        <v>144.1464722470335</v>
      </c>
      <c r="C4270" s="12">
        <v>188.88011565754908</v>
      </c>
      <c r="D4270" s="12">
        <v>106.21734383944661</v>
      </c>
    </row>
    <row r="4271" spans="1:4">
      <c r="A4271">
        <v>4268</v>
      </c>
      <c r="B4271" s="12">
        <v>162.64942627142636</v>
      </c>
      <c r="C4271" s="12">
        <v>141.9898571923201</v>
      </c>
      <c r="D4271" s="12">
        <v>113.50745505063281</v>
      </c>
    </row>
    <row r="4272" spans="1:4">
      <c r="A4272">
        <v>4269</v>
      </c>
      <c r="B4272" s="12">
        <v>161.66086624652962</v>
      </c>
      <c r="C4272" s="12">
        <v>144.05084867001901</v>
      </c>
      <c r="D4272" s="12">
        <v>105.91982106497611</v>
      </c>
    </row>
    <row r="4273" spans="1:4">
      <c r="A4273">
        <v>4270</v>
      </c>
      <c r="B4273" s="12">
        <v>193.83777262463488</v>
      </c>
      <c r="C4273" s="12">
        <v>152.29058172869401</v>
      </c>
      <c r="D4273" s="12">
        <v>96.367305252564748</v>
      </c>
    </row>
    <row r="4274" spans="1:4">
      <c r="A4274">
        <v>4271</v>
      </c>
      <c r="B4274" s="12">
        <v>133.88244034734385</v>
      </c>
      <c r="C4274" s="12">
        <v>197.46339035142006</v>
      </c>
      <c r="D4274" s="12">
        <v>97.338886722845942</v>
      </c>
    </row>
    <row r="4275" spans="1:4">
      <c r="A4275">
        <v>4272</v>
      </c>
      <c r="B4275" s="12">
        <v>214.55727533176608</v>
      </c>
      <c r="C4275" s="12">
        <v>130.27187826170265</v>
      </c>
      <c r="D4275" s="12">
        <v>93.835275289664523</v>
      </c>
    </row>
    <row r="4276" spans="1:4">
      <c r="A4276">
        <v>4273</v>
      </c>
      <c r="B4276" s="12">
        <v>111.77901507634425</v>
      </c>
      <c r="C4276" s="12">
        <v>148.26429382595487</v>
      </c>
      <c r="D4276" s="12">
        <v>72.322532368743055</v>
      </c>
    </row>
    <row r="4277" spans="1:4">
      <c r="A4277">
        <v>4274</v>
      </c>
      <c r="B4277" s="12">
        <v>133.15681303817365</v>
      </c>
      <c r="C4277" s="12">
        <v>167.84191876318567</v>
      </c>
      <c r="D4277" s="12">
        <v>97.510442324909917</v>
      </c>
    </row>
    <row r="4278" spans="1:4">
      <c r="A4278">
        <v>4275</v>
      </c>
      <c r="B4278" s="12">
        <v>154.26358409208191</v>
      </c>
      <c r="C4278" s="12">
        <v>142.68458126198817</v>
      </c>
      <c r="D4278" s="12">
        <v>110.84087975414859</v>
      </c>
    </row>
    <row r="4279" spans="1:4">
      <c r="A4279">
        <v>4276</v>
      </c>
      <c r="B4279" s="12">
        <v>170.85992606363394</v>
      </c>
      <c r="C4279" s="12">
        <v>115.52436573506118</v>
      </c>
      <c r="D4279" s="12">
        <v>96.633637601586415</v>
      </c>
    </row>
    <row r="4280" spans="1:4">
      <c r="A4280">
        <v>4277</v>
      </c>
      <c r="B4280" s="12">
        <v>224.27007774751027</v>
      </c>
      <c r="C4280" s="12">
        <v>117.15454640776994</v>
      </c>
      <c r="D4280" s="12">
        <v>161.31539104568805</v>
      </c>
    </row>
    <row r="4281" spans="1:4">
      <c r="A4281">
        <v>4278</v>
      </c>
      <c r="B4281" s="12">
        <v>132.25698168393387</v>
      </c>
      <c r="C4281" s="12">
        <v>139.39167813556827</v>
      </c>
      <c r="D4281" s="12">
        <v>102.11683854372876</v>
      </c>
    </row>
    <row r="4282" spans="1:4">
      <c r="A4282">
        <v>4279</v>
      </c>
      <c r="B4282" s="12">
        <v>232.99491191055279</v>
      </c>
      <c r="C4282" s="12">
        <v>209.70135161715686</v>
      </c>
      <c r="D4282" s="12">
        <v>75.903381887777314</v>
      </c>
    </row>
    <row r="4283" spans="1:4">
      <c r="A4283">
        <v>4280</v>
      </c>
      <c r="B4283" s="12">
        <v>147.86123006923199</v>
      </c>
      <c r="C4283" s="12">
        <v>139.11108174973023</v>
      </c>
      <c r="D4283" s="12">
        <v>126.62022039504254</v>
      </c>
    </row>
    <row r="4284" spans="1:4">
      <c r="A4284">
        <v>4281</v>
      </c>
      <c r="B4284" s="12">
        <v>122.77386726117135</v>
      </c>
      <c r="C4284" s="12">
        <v>153.42390963510638</v>
      </c>
      <c r="D4284" s="12">
        <v>133.62499917946045</v>
      </c>
    </row>
    <row r="4285" spans="1:4">
      <c r="A4285">
        <v>4282</v>
      </c>
      <c r="B4285" s="12">
        <v>136.83774567204878</v>
      </c>
      <c r="C4285" s="12">
        <v>128.9693899903464</v>
      </c>
      <c r="D4285" s="12">
        <v>145.14184717687462</v>
      </c>
    </row>
    <row r="4286" spans="1:4">
      <c r="A4286">
        <v>4283</v>
      </c>
      <c r="B4286" s="12">
        <v>164.40295610367306</v>
      </c>
      <c r="C4286" s="12">
        <v>168.34201622835076</v>
      </c>
      <c r="D4286" s="12">
        <v>115.98685682501998</v>
      </c>
    </row>
    <row r="4287" spans="1:4">
      <c r="A4287">
        <v>4284</v>
      </c>
      <c r="B4287" s="12">
        <v>179.96141342765247</v>
      </c>
      <c r="C4287" s="12">
        <v>174.52139031849393</v>
      </c>
      <c r="D4287" s="12">
        <v>98.933222303070423</v>
      </c>
    </row>
    <row r="4288" spans="1:4">
      <c r="A4288">
        <v>4285</v>
      </c>
      <c r="B4288" s="12">
        <v>148.46739134629834</v>
      </c>
      <c r="C4288" s="12">
        <v>154.4735219233151</v>
      </c>
      <c r="D4288" s="12">
        <v>67.467417504390937</v>
      </c>
    </row>
    <row r="4289" spans="1:4">
      <c r="A4289">
        <v>4286</v>
      </c>
      <c r="B4289" s="12">
        <v>145.89586959592447</v>
      </c>
      <c r="C4289" s="12">
        <v>143.37129583245837</v>
      </c>
      <c r="D4289" s="12">
        <v>108.32140360176797</v>
      </c>
    </row>
    <row r="4290" spans="1:4">
      <c r="A4290">
        <v>4287</v>
      </c>
      <c r="B4290" s="12">
        <v>181.19443769355456</v>
      </c>
      <c r="C4290" s="12">
        <v>171.73358921137316</v>
      </c>
      <c r="D4290" s="12">
        <v>105.6237957846635</v>
      </c>
    </row>
    <row r="4291" spans="1:4">
      <c r="A4291">
        <v>4288</v>
      </c>
      <c r="B4291" s="12">
        <v>114.19053333712787</v>
      </c>
      <c r="C4291" s="12">
        <v>146.30387967099452</v>
      </c>
      <c r="D4291" s="12">
        <v>80.500167282318046</v>
      </c>
    </row>
    <row r="4292" spans="1:4">
      <c r="A4292">
        <v>4289</v>
      </c>
      <c r="B4292" s="12">
        <v>218.66064535573173</v>
      </c>
      <c r="C4292" s="12">
        <v>158.68059748406921</v>
      </c>
      <c r="D4292" s="12">
        <v>107.20460173680137</v>
      </c>
    </row>
    <row r="4293" spans="1:4">
      <c r="A4293">
        <v>4290</v>
      </c>
      <c r="B4293" s="12">
        <v>313.26329869172412</v>
      </c>
      <c r="C4293" s="12">
        <v>158.00975797056867</v>
      </c>
      <c r="D4293" s="12">
        <v>109.66665659633848</v>
      </c>
    </row>
    <row r="4294" spans="1:4">
      <c r="A4294">
        <v>4291</v>
      </c>
      <c r="B4294" s="12">
        <v>217.48132621530402</v>
      </c>
      <c r="C4294" s="12">
        <v>126.96550822932153</v>
      </c>
      <c r="D4294" s="12">
        <v>100.19807028175985</v>
      </c>
    </row>
    <row r="4295" spans="1:4">
      <c r="A4295">
        <v>4292</v>
      </c>
      <c r="B4295" s="12">
        <v>190.7273365654647</v>
      </c>
      <c r="C4295" s="12">
        <v>156.18402417942391</v>
      </c>
      <c r="D4295" s="12">
        <v>83.598272610180771</v>
      </c>
    </row>
    <row r="4296" spans="1:4">
      <c r="A4296">
        <v>4293</v>
      </c>
      <c r="B4296" s="12">
        <v>192.84807213072096</v>
      </c>
      <c r="C4296" s="12">
        <v>136.51121489338414</v>
      </c>
      <c r="D4296" s="12">
        <v>78.339240285592311</v>
      </c>
    </row>
    <row r="4297" spans="1:4">
      <c r="A4297">
        <v>4294</v>
      </c>
      <c r="B4297" s="12">
        <v>185.57434259719938</v>
      </c>
      <c r="C4297" s="12">
        <v>147.11942223931578</v>
      </c>
      <c r="D4297" s="12">
        <v>115.38490221498643</v>
      </c>
    </row>
    <row r="4298" spans="1:4">
      <c r="A4298">
        <v>4295</v>
      </c>
      <c r="B4298" s="12">
        <v>155.82503171414822</v>
      </c>
      <c r="C4298" s="12">
        <v>155.77674031690287</v>
      </c>
      <c r="D4298" s="12">
        <v>52.635305785421444</v>
      </c>
    </row>
    <row r="4299" spans="1:4">
      <c r="A4299">
        <v>4296</v>
      </c>
      <c r="B4299" s="12">
        <v>163.40246589414801</v>
      </c>
      <c r="C4299" s="12">
        <v>170.85485473148518</v>
      </c>
      <c r="D4299" s="12">
        <v>108.01226851475319</v>
      </c>
    </row>
    <row r="4300" spans="1:4">
      <c r="A4300">
        <v>4297</v>
      </c>
      <c r="B4300" s="12">
        <v>245.54079113428122</v>
      </c>
      <c r="C4300" s="12">
        <v>191.17007275839649</v>
      </c>
      <c r="D4300" s="12">
        <v>89.818324762981447</v>
      </c>
    </row>
    <row r="4301" spans="1:4">
      <c r="A4301">
        <v>4298</v>
      </c>
      <c r="B4301" s="12">
        <v>191.30003444646579</v>
      </c>
      <c r="C4301" s="12">
        <v>138.82853309270888</v>
      </c>
      <c r="D4301" s="12">
        <v>69.295326607297227</v>
      </c>
    </row>
    <row r="4302" spans="1:4">
      <c r="A4302">
        <v>4299</v>
      </c>
      <c r="B4302" s="12">
        <v>97.487005965052077</v>
      </c>
      <c r="C4302" s="12">
        <v>138.64648647980886</v>
      </c>
      <c r="D4302" s="12">
        <v>104.37242877678841</v>
      </c>
    </row>
    <row r="4303" spans="1:4">
      <c r="A4303">
        <v>4300</v>
      </c>
      <c r="B4303" s="12">
        <v>204.86005790778691</v>
      </c>
      <c r="C4303" s="12">
        <v>140.29954823890429</v>
      </c>
      <c r="D4303" s="12">
        <v>58.452814233084041</v>
      </c>
    </row>
    <row r="4304" spans="1:4">
      <c r="A4304">
        <v>4301</v>
      </c>
      <c r="B4304" s="12">
        <v>134.31960486962438</v>
      </c>
      <c r="C4304" s="12">
        <v>165.50893407727358</v>
      </c>
      <c r="D4304" s="12">
        <v>104.08362942456051</v>
      </c>
    </row>
    <row r="4305" spans="1:4">
      <c r="A4305">
        <v>4302</v>
      </c>
      <c r="B4305" s="12">
        <v>124.86434250733215</v>
      </c>
      <c r="C4305" s="12">
        <v>132.9128731690993</v>
      </c>
      <c r="D4305" s="12">
        <v>124.04336181339959</v>
      </c>
    </row>
    <row r="4306" spans="1:4">
      <c r="A4306">
        <v>4303</v>
      </c>
      <c r="B4306" s="12">
        <v>131.04077095800983</v>
      </c>
      <c r="C4306" s="12">
        <v>141.55379638339537</v>
      </c>
      <c r="D4306" s="12">
        <v>95.665750295045783</v>
      </c>
    </row>
    <row r="4307" spans="1:4">
      <c r="A4307">
        <v>4304</v>
      </c>
      <c r="B4307" s="12">
        <v>137.25235819676294</v>
      </c>
      <c r="C4307" s="12">
        <v>181.53056663445676</v>
      </c>
      <c r="D4307" s="12">
        <v>55.786280223914474</v>
      </c>
    </row>
    <row r="4308" spans="1:4">
      <c r="A4308">
        <v>4305</v>
      </c>
      <c r="B4308" s="12">
        <v>104.13694870826923</v>
      </c>
      <c r="C4308" s="12">
        <v>230.17422113021507</v>
      </c>
      <c r="D4308" s="12">
        <v>69.597203308863968</v>
      </c>
    </row>
    <row r="4309" spans="1:4">
      <c r="A4309">
        <v>4306</v>
      </c>
      <c r="B4309" s="12">
        <v>165.41130950882697</v>
      </c>
      <c r="C4309" s="12">
        <v>165.98182472708456</v>
      </c>
      <c r="D4309" s="12">
        <v>126.11519113679302</v>
      </c>
    </row>
    <row r="4310" spans="1:4">
      <c r="A4310">
        <v>4307</v>
      </c>
      <c r="B4310" s="12">
        <v>151.97331056092389</v>
      </c>
      <c r="C4310" s="12">
        <v>164.01849812478159</v>
      </c>
      <c r="D4310" s="12">
        <v>108.83263064395324</v>
      </c>
    </row>
    <row r="4311" spans="1:4">
      <c r="A4311">
        <v>4308</v>
      </c>
      <c r="B4311" s="12">
        <v>228.31591878112096</v>
      </c>
      <c r="C4311" s="12">
        <v>103.26126230615851</v>
      </c>
      <c r="D4311" s="12">
        <v>65.391150214296914</v>
      </c>
    </row>
    <row r="4312" spans="1:4">
      <c r="A4312">
        <v>4309</v>
      </c>
      <c r="B4312" s="12">
        <v>216.34322954506251</v>
      </c>
      <c r="C4312" s="12">
        <v>147.77194441362712</v>
      </c>
      <c r="D4312" s="12">
        <v>112.60014971794686</v>
      </c>
    </row>
    <row r="4313" spans="1:4">
      <c r="A4313">
        <v>4310</v>
      </c>
      <c r="B4313" s="12">
        <v>164.64680930937993</v>
      </c>
      <c r="C4313" s="12">
        <v>137.59489406099661</v>
      </c>
      <c r="D4313" s="12">
        <v>136.11646770700446</v>
      </c>
    </row>
    <row r="4314" spans="1:4">
      <c r="A4314">
        <v>4311</v>
      </c>
      <c r="B4314" s="12">
        <v>222.86728085521517</v>
      </c>
      <c r="C4314" s="12">
        <v>143.79428646194961</v>
      </c>
      <c r="D4314" s="12">
        <v>134.28630057274833</v>
      </c>
    </row>
    <row r="4315" spans="1:4">
      <c r="A4315">
        <v>4312</v>
      </c>
      <c r="B4315" s="12">
        <v>236.33153228500871</v>
      </c>
      <c r="C4315" s="12">
        <v>137.30062575764765</v>
      </c>
      <c r="D4315" s="12">
        <v>75.678980628575772</v>
      </c>
    </row>
    <row r="4316" spans="1:4">
      <c r="A4316">
        <v>4313</v>
      </c>
      <c r="B4316" s="12">
        <v>199.66666858853054</v>
      </c>
      <c r="C4316" s="12">
        <v>124.36784731627453</v>
      </c>
      <c r="D4316" s="12">
        <v>104.66251153801703</v>
      </c>
    </row>
    <row r="4317" spans="1:4">
      <c r="A4317">
        <v>4314</v>
      </c>
      <c r="B4317" s="12">
        <v>168.74505306089438</v>
      </c>
      <c r="C4317" s="12">
        <v>126.20073072467612</v>
      </c>
      <c r="D4317" s="12">
        <v>83.882175489412589</v>
      </c>
    </row>
    <row r="4318" spans="1:4">
      <c r="A4318">
        <v>4315</v>
      </c>
      <c r="B4318" s="12">
        <v>162.03452740545319</v>
      </c>
      <c r="C4318" s="12">
        <v>118.04265006576274</v>
      </c>
      <c r="D4318" s="12">
        <v>94.532497939479782</v>
      </c>
    </row>
    <row r="4319" spans="1:4">
      <c r="A4319">
        <v>4316</v>
      </c>
      <c r="B4319" s="12">
        <v>101.25086742970149</v>
      </c>
      <c r="C4319" s="12">
        <v>154.07070782709394</v>
      </c>
      <c r="D4319" s="12">
        <v>128.88574253846843</v>
      </c>
    </row>
    <row r="4320" spans="1:4">
      <c r="A4320">
        <v>4317</v>
      </c>
      <c r="B4320" s="12">
        <v>146.13555118565264</v>
      </c>
      <c r="C4320" s="12">
        <v>180.30139505706731</v>
      </c>
      <c r="D4320" s="12">
        <v>63.659687946995696</v>
      </c>
    </row>
    <row r="4321" spans="1:4">
      <c r="A4321">
        <v>4318</v>
      </c>
      <c r="B4321" s="12">
        <v>226.71966799230702</v>
      </c>
      <c r="C4321" s="12">
        <v>141.7244790817042</v>
      </c>
      <c r="D4321" s="12">
        <v>159.99157864116637</v>
      </c>
    </row>
    <row r="4322" spans="1:4">
      <c r="A4322">
        <v>4319</v>
      </c>
      <c r="B4322" s="12">
        <v>152.70297320687962</v>
      </c>
      <c r="C4322" s="12">
        <v>124.89230297076526</v>
      </c>
      <c r="D4322" s="12">
        <v>86.088499167179961</v>
      </c>
    </row>
    <row r="4323" spans="1:4">
      <c r="A4323">
        <v>4320</v>
      </c>
      <c r="B4323" s="12">
        <v>153.30110824693921</v>
      </c>
      <c r="C4323" s="12">
        <v>144.72402455307702</v>
      </c>
      <c r="D4323" s="12">
        <v>103.61252229591665</v>
      </c>
    </row>
    <row r="4324" spans="1:4">
      <c r="A4324">
        <v>4321</v>
      </c>
      <c r="B4324" s="12">
        <v>211.86860782466883</v>
      </c>
      <c r="C4324" s="12">
        <v>133.13183675749966</v>
      </c>
      <c r="D4324" s="12">
        <v>87.52588957540712</v>
      </c>
    </row>
    <row r="4325" spans="1:4">
      <c r="A4325">
        <v>4322</v>
      </c>
      <c r="B4325" s="12">
        <v>147.49082081504412</v>
      </c>
      <c r="C4325" s="12">
        <v>156.43294696636801</v>
      </c>
      <c r="D4325" s="12">
        <v>171.00690969913666</v>
      </c>
    </row>
    <row r="4326" spans="1:4">
      <c r="A4326">
        <v>4323</v>
      </c>
      <c r="B4326" s="12">
        <v>210.90324506745719</v>
      </c>
      <c r="C4326" s="12">
        <v>151.64681233628042</v>
      </c>
      <c r="D4326" s="12">
        <v>98.489526061429004</v>
      </c>
    </row>
    <row r="4327" spans="1:4">
      <c r="A4327">
        <v>4324</v>
      </c>
      <c r="B4327" s="12">
        <v>121.77962438412999</v>
      </c>
      <c r="C4327" s="12">
        <v>137.88674625119364</v>
      </c>
      <c r="D4327" s="12">
        <v>106.70880030162891</v>
      </c>
    </row>
    <row r="4328" spans="1:4">
      <c r="A4328">
        <v>4325</v>
      </c>
      <c r="B4328" s="12">
        <v>189.24831550216393</v>
      </c>
      <c r="C4328" s="12">
        <v>158.17201461231255</v>
      </c>
      <c r="D4328" s="12">
        <v>76.250088030658461</v>
      </c>
    </row>
    <row r="4329" spans="1:4">
      <c r="A4329">
        <v>4326</v>
      </c>
      <c r="B4329" s="12">
        <v>115.03112378449018</v>
      </c>
      <c r="C4329" s="12">
        <v>124.02242636947375</v>
      </c>
      <c r="D4329" s="12">
        <v>63.20113782451471</v>
      </c>
    </row>
    <row r="4330" spans="1:4">
      <c r="A4330">
        <v>4327</v>
      </c>
      <c r="B4330" s="12">
        <v>126.82256421853366</v>
      </c>
      <c r="C4330" s="12">
        <v>182.82452476035277</v>
      </c>
      <c r="D4330" s="12">
        <v>177.51981933163205</v>
      </c>
    </row>
    <row r="4331" spans="1:4">
      <c r="A4331">
        <v>4328</v>
      </c>
      <c r="B4331" s="12">
        <v>124.30457943286093</v>
      </c>
      <c r="C4331" s="12">
        <v>151.49069813365304</v>
      </c>
      <c r="D4331" s="12">
        <v>158.07542071071788</v>
      </c>
    </row>
    <row r="4332" spans="1:4">
      <c r="A4332">
        <v>4329</v>
      </c>
      <c r="B4332" s="12">
        <v>231.13457135506269</v>
      </c>
      <c r="C4332" s="12">
        <v>139.5704214580625</v>
      </c>
      <c r="D4332" s="12">
        <v>64.991797547823154</v>
      </c>
    </row>
    <row r="4333" spans="1:4">
      <c r="A4333">
        <v>4330</v>
      </c>
      <c r="B4333" s="12">
        <v>122.38991212770749</v>
      </c>
      <c r="C4333" s="12">
        <v>200.39946003598297</v>
      </c>
      <c r="D4333" s="12">
        <v>95.230956183181874</v>
      </c>
    </row>
    <row r="4334" spans="1:4">
      <c r="A4334">
        <v>4331</v>
      </c>
      <c r="B4334" s="12">
        <v>269.76860597147419</v>
      </c>
      <c r="C4334" s="12">
        <v>160.03934787865896</v>
      </c>
      <c r="D4334" s="12">
        <v>102.57824240647635</v>
      </c>
    </row>
    <row r="4335" spans="1:4">
      <c r="A4335">
        <v>4332</v>
      </c>
      <c r="B4335" s="12">
        <v>132.70907083549648</v>
      </c>
      <c r="C4335" s="12">
        <v>208.40110133213753</v>
      </c>
      <c r="D4335" s="12">
        <v>91.0481995369054</v>
      </c>
    </row>
    <row r="4336" spans="1:4">
      <c r="A4336">
        <v>4333</v>
      </c>
      <c r="B4336" s="12">
        <v>131.50535313822465</v>
      </c>
      <c r="C4336" s="12">
        <v>99.120943368489023</v>
      </c>
      <c r="D4336" s="12">
        <v>84.625553059655275</v>
      </c>
    </row>
    <row r="4337" spans="1:4">
      <c r="A4337">
        <v>4334</v>
      </c>
      <c r="B4337" s="12">
        <v>159.09498760919939</v>
      </c>
      <c r="C4337" s="12">
        <v>130.65330332778962</v>
      </c>
      <c r="D4337" s="12">
        <v>73.750337376937139</v>
      </c>
    </row>
    <row r="4338" spans="1:4">
      <c r="A4338">
        <v>4335</v>
      </c>
      <c r="B4338" s="12">
        <v>212.86191709654022</v>
      </c>
      <c r="C4338" s="12">
        <v>187.59836636863648</v>
      </c>
      <c r="D4338" s="12">
        <v>94.004321684758835</v>
      </c>
    </row>
    <row r="4339" spans="1:4">
      <c r="A4339">
        <v>4336</v>
      </c>
      <c r="B4339" s="12">
        <v>169.14172922784866</v>
      </c>
      <c r="C4339" s="12">
        <v>178.69860392509014</v>
      </c>
      <c r="D4339" s="12">
        <v>90.518889525250529</v>
      </c>
    </row>
    <row r="4340" spans="1:4">
      <c r="A4340">
        <v>4337</v>
      </c>
      <c r="B4340" s="12">
        <v>186.94388800975176</v>
      </c>
      <c r="C4340" s="12">
        <v>145.13937363256122</v>
      </c>
      <c r="D4340" s="12">
        <v>125.30458690193031</v>
      </c>
    </row>
    <row r="4341" spans="1:4">
      <c r="A4341">
        <v>4338</v>
      </c>
      <c r="B4341" s="12">
        <v>127.15545764442676</v>
      </c>
      <c r="C4341" s="12">
        <v>147.61393281231975</v>
      </c>
      <c r="D4341" s="12">
        <v>75.324852194503308</v>
      </c>
    </row>
    <row r="4342" spans="1:4">
      <c r="A4342">
        <v>4339</v>
      </c>
      <c r="B4342" s="12">
        <v>120.74737075801984</v>
      </c>
      <c r="C4342" s="12">
        <v>214.63724316150441</v>
      </c>
      <c r="D4342" s="12">
        <v>88.944212904581462</v>
      </c>
    </row>
    <row r="4343" spans="1:4">
      <c r="A4343">
        <v>4340</v>
      </c>
      <c r="B4343" s="12">
        <v>141.48479911252497</v>
      </c>
      <c r="C4343" s="12">
        <v>169.4755369245853</v>
      </c>
      <c r="D4343" s="12">
        <v>93.307689072056633</v>
      </c>
    </row>
    <row r="4344" spans="1:4">
      <c r="A4344">
        <v>4341</v>
      </c>
      <c r="B4344" s="12">
        <v>172.34896050876813</v>
      </c>
      <c r="C4344" s="12">
        <v>169.99784337390852</v>
      </c>
      <c r="D4344" s="12">
        <v>110.51538779565611</v>
      </c>
    </row>
    <row r="4345" spans="1:4">
      <c r="A4345">
        <v>4342</v>
      </c>
      <c r="B4345" s="12">
        <v>209.37544828631528</v>
      </c>
      <c r="C4345" s="12">
        <v>135.70218193138012</v>
      </c>
      <c r="D4345" s="12">
        <v>80.802591440645514</v>
      </c>
    </row>
    <row r="4346" spans="1:4">
      <c r="A4346">
        <v>4343</v>
      </c>
      <c r="B4346" s="12">
        <v>174.56094107540682</v>
      </c>
      <c r="C4346" s="12">
        <v>165.22308157389872</v>
      </c>
      <c r="D4346" s="12">
        <v>130.37748502506497</v>
      </c>
    </row>
    <row r="4347" spans="1:4">
      <c r="A4347">
        <v>4344</v>
      </c>
      <c r="B4347" s="12">
        <v>143.13935049568934</v>
      </c>
      <c r="C4347" s="12">
        <v>194.93495781956634</v>
      </c>
      <c r="D4347" s="12">
        <v>99.476485210341977</v>
      </c>
    </row>
    <row r="4348" spans="1:4">
      <c r="A4348">
        <v>4345</v>
      </c>
      <c r="B4348" s="12">
        <v>195.47981617973304</v>
      </c>
      <c r="C4348" s="12">
        <v>150.35946184690795</v>
      </c>
      <c r="D4348" s="12">
        <v>102.86087780460394</v>
      </c>
    </row>
    <row r="4349" spans="1:4">
      <c r="A4349">
        <v>4346</v>
      </c>
      <c r="B4349" s="12">
        <v>220.69422734943117</v>
      </c>
      <c r="C4349" s="12">
        <v>122.89018994297449</v>
      </c>
      <c r="D4349" s="12">
        <v>134.71870353907968</v>
      </c>
    </row>
    <row r="4350" spans="1:4">
      <c r="A4350">
        <v>4347</v>
      </c>
      <c r="B4350" s="12">
        <v>159.70026730264846</v>
      </c>
      <c r="C4350" s="12">
        <v>148.01830403832275</v>
      </c>
      <c r="D4350" s="12">
        <v>92.875071453027346</v>
      </c>
    </row>
    <row r="4351" spans="1:4">
      <c r="A4351">
        <v>4348</v>
      </c>
      <c r="B4351" s="12">
        <v>149.43957732619987</v>
      </c>
      <c r="C4351" s="12">
        <v>152.53453839501591</v>
      </c>
      <c r="D4351" s="12">
        <v>77.145847045162299</v>
      </c>
    </row>
    <row r="4352" spans="1:4">
      <c r="A4352">
        <v>4349</v>
      </c>
      <c r="B4352" s="12">
        <v>106.99629769905775</v>
      </c>
      <c r="C4352" s="12">
        <v>133.80380271811728</v>
      </c>
      <c r="D4352" s="12">
        <v>120.53500791651787</v>
      </c>
    </row>
    <row r="4353" spans="1:4">
      <c r="A4353">
        <v>4350</v>
      </c>
      <c r="B4353" s="12">
        <v>141.09395241512428</v>
      </c>
      <c r="C4353" s="12">
        <v>225.51462446815884</v>
      </c>
      <c r="D4353" s="12">
        <v>86.809961229587884</v>
      </c>
    </row>
    <row r="4354" spans="1:4">
      <c r="A4354">
        <v>4351</v>
      </c>
      <c r="B4354" s="12">
        <v>150.40823615615844</v>
      </c>
      <c r="C4354" s="12">
        <v>150.6033361879187</v>
      </c>
      <c r="D4354" s="12">
        <v>84.34505700529229</v>
      </c>
    </row>
    <row r="4355" spans="1:4">
      <c r="A4355">
        <v>4352</v>
      </c>
      <c r="B4355" s="12">
        <v>188.35223339001683</v>
      </c>
      <c r="C4355" s="12">
        <v>143.11211692952926</v>
      </c>
      <c r="D4355" s="12">
        <v>140.22041080699969</v>
      </c>
    </row>
    <row r="4356" spans="1:4">
      <c r="A4356">
        <v>4353</v>
      </c>
      <c r="B4356" s="12">
        <v>170.60068575727487</v>
      </c>
      <c r="C4356" s="12">
        <v>155.52909671290212</v>
      </c>
      <c r="D4356" s="12">
        <v>85.813658086206672</v>
      </c>
    </row>
    <row r="4357" spans="1:4">
      <c r="A4357">
        <v>4354</v>
      </c>
      <c r="B4357" s="12">
        <v>180.42532006365914</v>
      </c>
      <c r="C4357" s="12">
        <v>154.87721120003113</v>
      </c>
      <c r="D4357" s="12">
        <v>87.9682467376105</v>
      </c>
    </row>
    <row r="4358" spans="1:4">
      <c r="A4358">
        <v>4355</v>
      </c>
      <c r="B4358" s="12">
        <v>170.19752627945962</v>
      </c>
      <c r="C4358" s="12">
        <v>175.50970048316725</v>
      </c>
      <c r="D4358" s="12">
        <v>96.804442029398487</v>
      </c>
    </row>
    <row r="4359" spans="1:4">
      <c r="A4359">
        <v>4356</v>
      </c>
      <c r="B4359" s="12">
        <v>157.1557876215206</v>
      </c>
      <c r="C4359" s="12">
        <v>136.01102173513519</v>
      </c>
      <c r="D4359" s="12">
        <v>151.36412518678466</v>
      </c>
    </row>
    <row r="4360" spans="1:4">
      <c r="A4360">
        <v>4357</v>
      </c>
      <c r="B4360" s="12">
        <v>158.49119707152391</v>
      </c>
      <c r="C4360" s="12">
        <v>188.22957227241031</v>
      </c>
      <c r="D4360" s="12">
        <v>73.992496197658639</v>
      </c>
    </row>
    <row r="4361" spans="1:4">
      <c r="A4361">
        <v>4358</v>
      </c>
      <c r="B4361" s="12">
        <v>153.66561598215739</v>
      </c>
      <c r="C4361" s="12">
        <v>120.11145489643187</v>
      </c>
      <c r="D4361" s="12">
        <v>92.442448133156091</v>
      </c>
    </row>
    <row r="4362" spans="1:4">
      <c r="A4362">
        <v>4359</v>
      </c>
      <c r="B4362" s="12">
        <v>123.36306761409504</v>
      </c>
      <c r="C4362" s="12">
        <v>135.50271174019753</v>
      </c>
      <c r="D4362" s="12">
        <v>114.43515874122861</v>
      </c>
    </row>
    <row r="4363" spans="1:4">
      <c r="A4363">
        <v>4360</v>
      </c>
      <c r="B4363" s="12">
        <v>158.72677784303832</v>
      </c>
      <c r="C4363" s="12">
        <v>149.95913596873029</v>
      </c>
      <c r="D4363" s="12">
        <v>86.537431145087069</v>
      </c>
    </row>
    <row r="4364" spans="1:4">
      <c r="A4364">
        <v>4361</v>
      </c>
      <c r="B4364" s="12">
        <v>176.84346503056489</v>
      </c>
      <c r="C4364" s="12">
        <v>160.89666129661094</v>
      </c>
      <c r="D4364" s="12">
        <v>60.173077561764323</v>
      </c>
    </row>
    <row r="4365" spans="1:4">
      <c r="A4365">
        <v>4362</v>
      </c>
      <c r="B4365" s="12">
        <v>157.52206219545565</v>
      </c>
      <c r="C4365" s="12">
        <v>194.05969917271074</v>
      </c>
      <c r="D4365" s="12">
        <v>61.641634267032281</v>
      </c>
    </row>
    <row r="4366" spans="1:4">
      <c r="A4366">
        <v>4363</v>
      </c>
      <c r="B4366" s="12">
        <v>242.69245268949476</v>
      </c>
      <c r="C4366" s="12">
        <v>134.8711715180425</v>
      </c>
      <c r="D4366" s="12">
        <v>83.129451363742561</v>
      </c>
    </row>
    <row r="4367" spans="1:4">
      <c r="A4367">
        <v>4364</v>
      </c>
      <c r="B4367" s="12">
        <v>165.02845973137633</v>
      </c>
      <c r="C4367" s="12">
        <v>199.23013814242628</v>
      </c>
      <c r="D4367" s="12">
        <v>167.8651696878035</v>
      </c>
    </row>
    <row r="4368" spans="1:4">
      <c r="A4368">
        <v>4365</v>
      </c>
      <c r="B4368" s="12">
        <v>128.49544976702035</v>
      </c>
      <c r="C4368" s="12">
        <v>145.64302285343896</v>
      </c>
      <c r="D4368" s="12">
        <v>82.84170416957042</v>
      </c>
    </row>
    <row r="4369" spans="1:4">
      <c r="A4369">
        <v>4366</v>
      </c>
      <c r="B4369" s="12">
        <v>197.85403635729014</v>
      </c>
      <c r="C4369" s="12">
        <v>128.131762169973</v>
      </c>
      <c r="D4369" s="12">
        <v>98.0474285915531</v>
      </c>
    </row>
    <row r="4370" spans="1:4">
      <c r="A4370">
        <v>4367</v>
      </c>
      <c r="B4370" s="12">
        <v>207.0472448898584</v>
      </c>
      <c r="C4370" s="12">
        <v>138.07246517008224</v>
      </c>
      <c r="D4370" s="12">
        <v>72.724062278148438</v>
      </c>
    </row>
    <row r="4371" spans="1:4">
      <c r="A4371">
        <v>4368</v>
      </c>
      <c r="B4371" s="12">
        <v>222.00084780955785</v>
      </c>
      <c r="C4371" s="12">
        <v>156.68240309598713</v>
      </c>
      <c r="D4371" s="12">
        <v>115.0225207662431</v>
      </c>
    </row>
    <row r="4372" spans="1:4">
      <c r="A4372">
        <v>4369</v>
      </c>
      <c r="B4372" s="12">
        <v>183.7439527455428</v>
      </c>
      <c r="C4372" s="12">
        <v>166.75380839835361</v>
      </c>
      <c r="D4372" s="12">
        <v>122.38373574925917</v>
      </c>
    </row>
    <row r="4373" spans="1:4">
      <c r="A4373">
        <v>4370</v>
      </c>
      <c r="B4373" s="12">
        <v>160.6780570839488</v>
      </c>
      <c r="C4373" s="12">
        <v>146.05412037154076</v>
      </c>
      <c r="D4373" s="12">
        <v>99.204518319358996</v>
      </c>
    </row>
    <row r="4374" spans="1:4">
      <c r="A4374">
        <v>4371</v>
      </c>
      <c r="B4374" s="12">
        <v>116.34005130695262</v>
      </c>
      <c r="C4374" s="12">
        <v>144.30649684094632</v>
      </c>
      <c r="D4374" s="12">
        <v>87.255360496210628</v>
      </c>
    </row>
    <row r="4375" spans="1:4">
      <c r="A4375">
        <v>4372</v>
      </c>
      <c r="B4375" s="12">
        <v>173.44678967364194</v>
      </c>
      <c r="C4375" s="12">
        <v>167.54013711790776</v>
      </c>
      <c r="D4375" s="12">
        <v>119.03907665422335</v>
      </c>
    </row>
    <row r="4376" spans="1:4">
      <c r="A4376">
        <v>4373</v>
      </c>
      <c r="B4376" s="12">
        <v>169.79622003666105</v>
      </c>
      <c r="C4376" s="12">
        <v>121.89082598586975</v>
      </c>
      <c r="D4376" s="12">
        <v>90.349146303547528</v>
      </c>
    </row>
    <row r="4377" spans="1:4">
      <c r="A4377">
        <v>4374</v>
      </c>
      <c r="B4377" s="12">
        <v>135.02886770895978</v>
      </c>
      <c r="C4377" s="12">
        <v>190.70243583010745</v>
      </c>
      <c r="D4377" s="12">
        <v>103.89929813175182</v>
      </c>
    </row>
    <row r="4378" spans="1:4">
      <c r="A4378">
        <v>4375</v>
      </c>
      <c r="B4378" s="12">
        <v>171.93721077194527</v>
      </c>
      <c r="C4378" s="12">
        <v>244.30402553398125</v>
      </c>
      <c r="D4378" s="12">
        <v>103.14460366509387</v>
      </c>
    </row>
    <row r="4379" spans="1:4">
      <c r="A4379">
        <v>4376</v>
      </c>
      <c r="B4379" s="12">
        <v>175.26193622966409</v>
      </c>
      <c r="C4379" s="12">
        <v>189.99321789195301</v>
      </c>
      <c r="D4379" s="12">
        <v>70.790547511717506</v>
      </c>
    </row>
    <row r="4380" spans="1:4">
      <c r="A4380">
        <v>4377</v>
      </c>
      <c r="B4380" s="12">
        <v>162.40905348644819</v>
      </c>
      <c r="C4380" s="12">
        <v>173.56446646193788</v>
      </c>
      <c r="D4380" s="12">
        <v>101.10233890246245</v>
      </c>
    </row>
    <row r="4381" spans="1:4">
      <c r="A4381">
        <v>4378</v>
      </c>
      <c r="B4381" s="12">
        <v>139.39916640071988</v>
      </c>
      <c r="C4381" s="12">
        <v>174.89181249045828</v>
      </c>
      <c r="D4381" s="12">
        <v>80.195493589896586</v>
      </c>
    </row>
    <row r="4382" spans="1:4">
      <c r="A4382">
        <v>4379</v>
      </c>
      <c r="B4382" s="12">
        <v>131.96502179976233</v>
      </c>
      <c r="C4382" s="12">
        <v>170.31996461539012</v>
      </c>
      <c r="D4382" s="12">
        <v>91.217531049424878</v>
      </c>
    </row>
    <row r="4383" spans="1:4">
      <c r="A4383">
        <v>4380</v>
      </c>
      <c r="B4383" s="12">
        <v>182.93927728567056</v>
      </c>
      <c r="C4383" s="12">
        <v>151.00326348108194</v>
      </c>
      <c r="D4383" s="12">
        <v>100.64908708493269</v>
      </c>
    </row>
    <row r="4384" spans="1:4">
      <c r="A4384">
        <v>4381</v>
      </c>
      <c r="B4384" s="12">
        <v>94.359919525711732</v>
      </c>
      <c r="C4384" s="12">
        <v>156.02484649657387</v>
      </c>
      <c r="D4384" s="12">
        <v>117.99287313212454</v>
      </c>
    </row>
    <row r="4385" spans="1:4">
      <c r="A4385">
        <v>4382</v>
      </c>
      <c r="B4385" s="12">
        <v>173.02917725154339</v>
      </c>
      <c r="C4385" s="12">
        <v>206.56073071319676</v>
      </c>
      <c r="D4385" s="12">
        <v>143.1585330645718</v>
      </c>
    </row>
    <row r="4386" spans="1:4">
      <c r="A4386">
        <v>4383</v>
      </c>
      <c r="B4386" s="12">
        <v>148.09811764065907</v>
      </c>
      <c r="C4386" s="12">
        <v>173.92336247774529</v>
      </c>
      <c r="D4386" s="12">
        <v>82.552377368199984</v>
      </c>
    </row>
    <row r="4387" spans="1:4">
      <c r="A4387">
        <v>4384</v>
      </c>
      <c r="B4387" s="12">
        <v>118.99315048127525</v>
      </c>
      <c r="C4387" s="12">
        <v>109.30763956567176</v>
      </c>
      <c r="D4387" s="12">
        <v>82.366188231902328</v>
      </c>
    </row>
    <row r="4388" spans="1:4">
      <c r="A4388">
        <v>4385</v>
      </c>
      <c r="B4388" s="12">
        <v>168.09785397901149</v>
      </c>
      <c r="C4388" s="12">
        <v>182.32629897609118</v>
      </c>
      <c r="D4388" s="12">
        <v>84.063319535928585</v>
      </c>
    </row>
    <row r="4389" spans="1:4">
      <c r="A4389">
        <v>4386</v>
      </c>
      <c r="B4389" s="12">
        <v>103.08366735832651</v>
      </c>
      <c r="C4389" s="12">
        <v>136.31684666551064</v>
      </c>
      <c r="D4389" s="12">
        <v>111.71174727828983</v>
      </c>
    </row>
    <row r="4390" spans="1:4">
      <c r="A4390">
        <v>4387</v>
      </c>
      <c r="B4390" s="12">
        <v>167.70544154764838</v>
      </c>
      <c r="C4390" s="12">
        <v>129.63093128454983</v>
      </c>
      <c r="D4390" s="12">
        <v>76.592574148412083</v>
      </c>
    </row>
    <row r="4391" spans="1:4">
      <c r="A4391">
        <v>4388</v>
      </c>
      <c r="B4391" s="12">
        <v>194.45226538075113</v>
      </c>
      <c r="C4391" s="12">
        <v>134.01545429506749</v>
      </c>
      <c r="D4391" s="12">
        <v>85.360665314815535</v>
      </c>
    </row>
    <row r="4392" spans="1:4">
      <c r="A4392">
        <v>4389</v>
      </c>
      <c r="B4392" s="12">
        <v>156.1902116569002</v>
      </c>
      <c r="C4392" s="12">
        <v>138.36056097609108</v>
      </c>
      <c r="D4392" s="12">
        <v>130.96371702095402</v>
      </c>
    </row>
    <row r="4393" spans="1:4">
      <c r="A4393">
        <v>4390</v>
      </c>
      <c r="B4393" s="12">
        <v>99.102750174605447</v>
      </c>
      <c r="C4393" s="12">
        <v>114.39182340918485</v>
      </c>
      <c r="D4393" s="12">
        <v>197.04964803944128</v>
      </c>
    </row>
    <row r="4394" spans="1:4">
      <c r="A4394">
        <v>4391</v>
      </c>
      <c r="B4394" s="12">
        <v>119.43024544612641</v>
      </c>
      <c r="C4394" s="12">
        <v>157.34386951354421</v>
      </c>
      <c r="D4394" s="12">
        <v>112.2615554318501</v>
      </c>
    </row>
    <row r="4395" spans="1:4">
      <c r="A4395">
        <v>4392</v>
      </c>
      <c r="B4395" s="12">
        <v>197.18819592200788</v>
      </c>
      <c r="C4395" s="12">
        <v>148.42167972546713</v>
      </c>
      <c r="D4395" s="12">
        <v>109.9862908983372</v>
      </c>
    </row>
    <row r="4396" spans="1:4">
      <c r="A4396">
        <v>4393</v>
      </c>
      <c r="B4396" s="12">
        <v>174.13700038027346</v>
      </c>
      <c r="C4396" s="12">
        <v>196.46494793965775</v>
      </c>
      <c r="D4396" s="12">
        <v>49.606415387082848</v>
      </c>
    </row>
    <row r="4397" spans="1:4">
      <c r="A4397">
        <v>4394</v>
      </c>
      <c r="B4397" s="12">
        <v>113.31277734016595</v>
      </c>
      <c r="C4397" s="12">
        <v>189.30765522440737</v>
      </c>
      <c r="D4397" s="12">
        <v>91.914836620784627</v>
      </c>
    </row>
    <row r="4398" spans="1:4">
      <c r="A4398">
        <v>4395</v>
      </c>
      <c r="B4398" s="12">
        <v>179.20808341644118</v>
      </c>
      <c r="C4398" s="12">
        <v>156.8424829635558</v>
      </c>
      <c r="D4398" s="12">
        <v>81.294115750292363</v>
      </c>
    </row>
    <row r="4399" spans="1:4">
      <c r="A4399">
        <v>4396</v>
      </c>
      <c r="B4399" s="12">
        <v>210.29874315468243</v>
      </c>
      <c r="C4399" s="12">
        <v>193.22259404914504</v>
      </c>
      <c r="D4399" s="12">
        <v>87.698814164436314</v>
      </c>
    </row>
    <row r="4400" spans="1:4">
      <c r="A4400">
        <v>4397</v>
      </c>
      <c r="B4400" s="12">
        <v>207.91119625219824</v>
      </c>
      <c r="C4400" s="12">
        <v>201.19146914271872</v>
      </c>
      <c r="D4400" s="12">
        <v>80.995170576230791</v>
      </c>
    </row>
    <row r="4401" spans="1:4">
      <c r="A4401">
        <v>4398</v>
      </c>
      <c r="B4401" s="12">
        <v>128.17494940456842</v>
      </c>
      <c r="C4401" s="12">
        <v>179.1291071635217</v>
      </c>
      <c r="D4401" s="12">
        <v>68.316671827368438</v>
      </c>
    </row>
    <row r="4402" spans="1:4">
      <c r="A4402">
        <v>4399</v>
      </c>
      <c r="B4402" s="12">
        <v>168.49183922536955</v>
      </c>
      <c r="C4402" s="12">
        <v>159.52189579281344</v>
      </c>
      <c r="D4402" s="12">
        <v>70.058386686438268</v>
      </c>
    </row>
    <row r="4403" spans="1:4">
      <c r="A4403">
        <v>4400</v>
      </c>
      <c r="B4403" s="12">
        <v>139.79836904797068</v>
      </c>
      <c r="C4403" s="12">
        <v>155.12375970010882</v>
      </c>
      <c r="D4403" s="12">
        <v>62.447919847103151</v>
      </c>
    </row>
    <row r="4404" spans="1:4">
      <c r="A4404">
        <v>4401</v>
      </c>
      <c r="B4404" s="12">
        <v>154.62812808017941</v>
      </c>
      <c r="C4404" s="12">
        <v>112.19807302057177</v>
      </c>
      <c r="D4404" s="12">
        <v>98.759784832851196</v>
      </c>
    </row>
    <row r="4405" spans="1:4">
      <c r="A4405">
        <v>4402</v>
      </c>
      <c r="B4405" s="12">
        <v>200.83585903661228</v>
      </c>
      <c r="C4405" s="12">
        <v>144.46978866652773</v>
      </c>
      <c r="D4405" s="12">
        <v>129.44149438355743</v>
      </c>
    </row>
    <row r="4406" spans="1:4">
      <c r="A4406">
        <v>4403</v>
      </c>
      <c r="B4406" s="12">
        <v>110.77673048120667</v>
      </c>
      <c r="C4406" s="12">
        <v>195.51757456796543</v>
      </c>
      <c r="D4406" s="12">
        <v>85.53785589501075</v>
      </c>
    </row>
    <row r="4407" spans="1:4">
      <c r="A4407">
        <v>4404</v>
      </c>
      <c r="B4407" s="12">
        <v>241.01147228840316</v>
      </c>
      <c r="C4407" s="12">
        <v>148.91227818963381</v>
      </c>
      <c r="D4407" s="12">
        <v>68.813164471804996</v>
      </c>
    </row>
    <row r="4408" spans="1:4">
      <c r="A4408">
        <v>4405</v>
      </c>
      <c r="B4408" s="12">
        <v>142.89359067973592</v>
      </c>
      <c r="C4408" s="12">
        <v>149.31389866864555</v>
      </c>
      <c r="D4408" s="12">
        <v>88.676837290905155</v>
      </c>
    </row>
    <row r="4409" spans="1:4">
      <c r="A4409">
        <v>4406</v>
      </c>
      <c r="B4409" s="12">
        <v>167.0649483693966</v>
      </c>
      <c r="C4409" s="12">
        <v>186.60129005970171</v>
      </c>
      <c r="D4409" s="12">
        <v>76.809831985536917</v>
      </c>
    </row>
    <row r="4410" spans="1:4">
      <c r="A4410">
        <v>4407</v>
      </c>
      <c r="B4410" s="12">
        <v>144.90339679393642</v>
      </c>
      <c r="C4410" s="12">
        <v>145.39155393241563</v>
      </c>
      <c r="D4410" s="12">
        <v>101.37977616507979</v>
      </c>
    </row>
    <row r="4411" spans="1:4">
      <c r="A4411">
        <v>4408</v>
      </c>
      <c r="B4411" s="12">
        <v>254.93431948059302</v>
      </c>
      <c r="C4411" s="12">
        <v>186.0150917148342</v>
      </c>
      <c r="D4411" s="12">
        <v>96.101343214162881</v>
      </c>
    </row>
    <row r="4412" spans="1:4">
      <c r="A4412">
        <v>4409</v>
      </c>
      <c r="B4412" s="12">
        <v>160.07002168978204</v>
      </c>
      <c r="C4412" s="12">
        <v>127.41596550083017</v>
      </c>
      <c r="D4412" s="12">
        <v>81.5910619299312</v>
      </c>
    </row>
    <row r="4413" spans="1:4">
      <c r="A4413">
        <v>4410</v>
      </c>
      <c r="B4413" s="12">
        <v>171.26624912495132</v>
      </c>
      <c r="C4413" s="12">
        <v>172.63604489708305</v>
      </c>
      <c r="D4413" s="12">
        <v>103.32693107510715</v>
      </c>
    </row>
    <row r="4414" spans="1:4">
      <c r="A4414">
        <v>4411</v>
      </c>
      <c r="B4414" s="12">
        <v>128.99034034817885</v>
      </c>
      <c r="C4414" s="12">
        <v>122.50831220196562</v>
      </c>
      <c r="D4414" s="12">
        <v>67.990491013582542</v>
      </c>
    </row>
    <row r="4415" spans="1:4">
      <c r="A4415">
        <v>4412</v>
      </c>
      <c r="B4415" s="12">
        <v>110.1033007131244</v>
      </c>
      <c r="C4415" s="12">
        <v>131.02818907362709</v>
      </c>
      <c r="D4415" s="12">
        <v>132.57421853339434</v>
      </c>
    </row>
    <row r="4416" spans="1:4">
      <c r="A4416">
        <v>4413</v>
      </c>
      <c r="B4416" s="12">
        <v>263.09991837512581</v>
      </c>
      <c r="C4416" s="12">
        <v>129.23027173886277</v>
      </c>
      <c r="D4416" s="12">
        <v>95.931165136550064</v>
      </c>
    </row>
    <row r="4417" spans="1:4">
      <c r="A4417">
        <v>4414</v>
      </c>
      <c r="B4417" s="12">
        <v>238.57446585698835</v>
      </c>
      <c r="C4417" s="12">
        <v>198.13280208243847</v>
      </c>
      <c r="D4417" s="12">
        <v>83.31296769745363</v>
      </c>
    </row>
    <row r="4418" spans="1:4">
      <c r="A4418">
        <v>4415</v>
      </c>
      <c r="B4418" s="12">
        <v>112.7287939005184</v>
      </c>
      <c r="C4418" s="12">
        <v>127.85555142309161</v>
      </c>
      <c r="D4418" s="12">
        <v>155.25768408869791</v>
      </c>
    </row>
    <row r="4419" spans="1:4">
      <c r="A4419">
        <v>4416</v>
      </c>
      <c r="B4419" s="12">
        <v>155.59123247423167</v>
      </c>
      <c r="C4419" s="12">
        <v>220.39627754860632</v>
      </c>
      <c r="D4419" s="12">
        <v>105.43494641698598</v>
      </c>
    </row>
    <row r="4420" spans="1:4">
      <c r="A4420">
        <v>4417</v>
      </c>
      <c r="B4420" s="12">
        <v>165.65719151062223</v>
      </c>
      <c r="C4420" s="12">
        <v>135.18863355133107</v>
      </c>
      <c r="D4420" s="12">
        <v>166.07810449588152</v>
      </c>
    </row>
    <row r="4421" spans="1:4">
      <c r="A4421">
        <v>4418</v>
      </c>
      <c r="B4421" s="12">
        <v>149.80678812221231</v>
      </c>
      <c r="C4421" s="12">
        <v>134.34262138853558</v>
      </c>
      <c r="D4421" s="12">
        <v>46.2334261772098</v>
      </c>
    </row>
    <row r="4422" spans="1:4">
      <c r="A4422">
        <v>4419</v>
      </c>
      <c r="B4422" s="12">
        <v>140.84265063535014</v>
      </c>
      <c r="C4422" s="12">
        <v>153.17937940129278</v>
      </c>
      <c r="D4422" s="12">
        <v>74.365686485021826</v>
      </c>
    </row>
    <row r="4423" spans="1:4">
      <c r="A4423">
        <v>4420</v>
      </c>
      <c r="B4423" s="12">
        <v>125.41418267289782</v>
      </c>
      <c r="C4423" s="12">
        <v>187.20359187498144</v>
      </c>
      <c r="D4423" s="12">
        <v>138.58701973223441</v>
      </c>
    </row>
    <row r="4424" spans="1:4">
      <c r="A4424">
        <v>4421</v>
      </c>
      <c r="B4424" s="12">
        <v>153.89908611005654</v>
      </c>
      <c r="C4424" s="12">
        <v>159.78016016377686</v>
      </c>
      <c r="D4424" s="12">
        <v>127.46778676696438</v>
      </c>
    </row>
    <row r="4425" spans="1:4">
      <c r="A4425">
        <v>4422</v>
      </c>
      <c r="B4425" s="12">
        <v>149.07186103624062</v>
      </c>
      <c r="C4425" s="12">
        <v>171.1849817386458</v>
      </c>
      <c r="D4425" s="12">
        <v>89.115224480399689</v>
      </c>
    </row>
    <row r="4426" spans="1:4">
      <c r="A4426">
        <v>4423</v>
      </c>
      <c r="B4426" s="12">
        <v>196.11860588136773</v>
      </c>
      <c r="C4426" s="12">
        <v>131.26505035914889</v>
      </c>
      <c r="D4426" s="12">
        <v>91.745776414814941</v>
      </c>
    </row>
    <row r="4427" spans="1:4">
      <c r="A4427">
        <v>4424</v>
      </c>
      <c r="B4427" s="12">
        <v>127.66886377375361</v>
      </c>
      <c r="C4427" s="12">
        <v>126.67087734807801</v>
      </c>
      <c r="D4427" s="12">
        <v>174.7218156021199</v>
      </c>
    </row>
    <row r="4428" spans="1:4">
      <c r="A4428">
        <v>4425</v>
      </c>
      <c r="B4428" s="12">
        <v>146.88148485653576</v>
      </c>
      <c r="C4428" s="12">
        <v>141.28620271193543</v>
      </c>
      <c r="D4428" s="12">
        <v>116.35849464486435</v>
      </c>
    </row>
    <row r="4429" spans="1:4">
      <c r="A4429">
        <v>4426</v>
      </c>
      <c r="B4429" s="12">
        <v>152.93654215790775</v>
      </c>
      <c r="C4429" s="12">
        <v>161.86142856353464</v>
      </c>
      <c r="D4429" s="12">
        <v>116.97626152838836</v>
      </c>
    </row>
    <row r="4430" spans="1:4">
      <c r="A4430">
        <v>4427</v>
      </c>
      <c r="B4430" s="12">
        <v>176.40533274969735</v>
      </c>
      <c r="C4430" s="12">
        <v>185.085657137732</v>
      </c>
      <c r="D4430" s="12">
        <v>79.379390635652229</v>
      </c>
    </row>
    <row r="4431" spans="1:4">
      <c r="A4431">
        <v>4428</v>
      </c>
      <c r="B4431" s="12">
        <v>135.45662245290637</v>
      </c>
      <c r="C4431" s="12">
        <v>163.28983210301695</v>
      </c>
      <c r="D4431" s="12">
        <v>111.37994821723544</v>
      </c>
    </row>
    <row r="4432" spans="1:4">
      <c r="A4432">
        <v>4429</v>
      </c>
      <c r="B4432" s="12">
        <v>202.7947689395447</v>
      </c>
      <c r="C4432" s="12">
        <v>142.42247252972922</v>
      </c>
      <c r="D4432" s="12">
        <v>148.04439516986255</v>
      </c>
    </row>
    <row r="4433" spans="1:4">
      <c r="A4433">
        <v>4430</v>
      </c>
      <c r="B4433" s="12">
        <v>161.42195650764086</v>
      </c>
      <c r="C4433" s="12">
        <v>176.53269838822337</v>
      </c>
      <c r="D4433" s="12">
        <v>94.701796516823663</v>
      </c>
    </row>
    <row r="4434" spans="1:4">
      <c r="A4434">
        <v>4431</v>
      </c>
      <c r="B4434" s="12">
        <v>166.04210582909423</v>
      </c>
      <c r="C4434" s="12">
        <v>191.92260213459602</v>
      </c>
      <c r="D4434" s="12">
        <v>66.925909752978683</v>
      </c>
    </row>
    <row r="4435" spans="1:4">
      <c r="A4435">
        <v>4432</v>
      </c>
      <c r="B4435" s="12">
        <v>208.47574512395011</v>
      </c>
      <c r="C4435" s="12">
        <v>153.58065345327861</v>
      </c>
      <c r="D4435" s="12">
        <v>92.178682419181385</v>
      </c>
    </row>
    <row r="4436" spans="1:4">
      <c r="A4436">
        <v>4433</v>
      </c>
      <c r="B4436" s="12">
        <v>152.33822438971339</v>
      </c>
      <c r="C4436" s="12">
        <v>146.71236698807883</v>
      </c>
      <c r="D4436" s="12">
        <v>97.071442326645084</v>
      </c>
    </row>
    <row r="4437" spans="1:4">
      <c r="A4437">
        <v>4434</v>
      </c>
      <c r="B4437" s="12">
        <v>130.26732712278715</v>
      </c>
      <c r="C4437" s="12">
        <v>116.54668117928213</v>
      </c>
      <c r="D4437" s="12">
        <v>77.478171703700497</v>
      </c>
    </row>
    <row r="4438" spans="1:4">
      <c r="A4438">
        <v>4435</v>
      </c>
      <c r="B4438" s="12">
        <v>189.8029421945412</v>
      </c>
      <c r="C4438" s="12">
        <v>141.01718495206026</v>
      </c>
      <c r="D4438" s="12">
        <v>190.23556598002079</v>
      </c>
    </row>
    <row r="4439" spans="1:4">
      <c r="A4439">
        <v>4436</v>
      </c>
      <c r="B4439" s="12">
        <v>143.90301353654678</v>
      </c>
      <c r="C4439" s="12">
        <v>147.36690207392741</v>
      </c>
      <c r="D4439" s="12">
        <v>94.966264747651778</v>
      </c>
    </row>
    <row r="4440" spans="1:4">
      <c r="A4440">
        <v>4437</v>
      </c>
      <c r="B4440" s="12">
        <v>140.44878486580367</v>
      </c>
      <c r="C4440" s="12">
        <v>172.07245216969781</v>
      </c>
      <c r="D4440" s="12">
        <v>86.984108669885273</v>
      </c>
    </row>
    <row r="4441" spans="1:4">
      <c r="A4441">
        <v>4438</v>
      </c>
      <c r="B4441" s="12">
        <v>215.63441580515232</v>
      </c>
      <c r="C4441" s="12">
        <v>160.72842889340538</v>
      </c>
      <c r="D4441" s="12">
        <v>100.37391041214882</v>
      </c>
    </row>
    <row r="4442" spans="1:4">
      <c r="A4442">
        <v>4439</v>
      </c>
      <c r="B4442" s="12">
        <v>142.50870308240451</v>
      </c>
      <c r="C4442" s="12">
        <v>167.04984865915816</v>
      </c>
      <c r="D4442" s="12">
        <v>99.651057479833227</v>
      </c>
    </row>
    <row r="4443" spans="1:4">
      <c r="A4443">
        <v>4440</v>
      </c>
      <c r="B4443" s="12">
        <v>145.52087218350556</v>
      </c>
      <c r="C4443" s="12">
        <v>160.46664295312928</v>
      </c>
      <c r="D4443" s="12">
        <v>123.57876759952816</v>
      </c>
    </row>
    <row r="4444" spans="1:4">
      <c r="A4444">
        <v>4441</v>
      </c>
      <c r="B4444" s="12">
        <v>157.75687846128591</v>
      </c>
      <c r="C4444" s="12">
        <v>151.89056300472609</v>
      </c>
      <c r="D4444" s="12">
        <v>79.690516692179642</v>
      </c>
    </row>
    <row r="4445" spans="1:4">
      <c r="A4445">
        <v>4442</v>
      </c>
      <c r="B4445" s="12">
        <v>230.00198184724036</v>
      </c>
      <c r="C4445" s="12">
        <v>152.77861922477931</v>
      </c>
      <c r="D4445" s="12">
        <v>139.3903921091856</v>
      </c>
    </row>
    <row r="4446" spans="1:4">
      <c r="A4446">
        <v>4443</v>
      </c>
      <c r="B4446" s="12">
        <v>125.76143686126142</v>
      </c>
      <c r="C4446" s="12">
        <v>149.55841000935661</v>
      </c>
      <c r="D4446" s="12">
        <v>64.343118699424352</v>
      </c>
    </row>
    <row r="4447" spans="1:4">
      <c r="A4447">
        <v>4444</v>
      </c>
      <c r="B4447" s="12">
        <v>151.73946235326156</v>
      </c>
      <c r="C4447" s="12">
        <v>128.55510095677087</v>
      </c>
      <c r="D4447" s="12">
        <v>79.178714848564482</v>
      </c>
    </row>
    <row r="4448" spans="1:4">
      <c r="A4448">
        <v>4445</v>
      </c>
      <c r="B4448" s="12">
        <v>181.66834950134552</v>
      </c>
      <c r="C4448" s="12">
        <v>152.93504009909381</v>
      </c>
      <c r="D4448" s="12">
        <v>94.268335248632013</v>
      </c>
    </row>
    <row r="4449" spans="1:4">
      <c r="A4449">
        <v>4446</v>
      </c>
      <c r="B4449" s="12">
        <v>143.52186204595756</v>
      </c>
      <c r="C4449" s="12">
        <v>164.75790006852807</v>
      </c>
      <c r="D4449" s="12">
        <v>106.40872640017895</v>
      </c>
    </row>
    <row r="4450" spans="1:4">
      <c r="A4450">
        <v>4447</v>
      </c>
      <c r="B4450" s="12">
        <v>105.63675188511793</v>
      </c>
      <c r="C4450" s="12">
        <v>152.13437084968785</v>
      </c>
      <c r="D4450" s="12">
        <v>146.9024079906232</v>
      </c>
    </row>
    <row r="4451" spans="1:4">
      <c r="A4451">
        <v>4448</v>
      </c>
      <c r="B4451" s="12">
        <v>107.80723798742652</v>
      </c>
      <c r="C4451" s="12">
        <v>204.90686499943962</v>
      </c>
      <c r="D4451" s="12">
        <v>78.544761548118558</v>
      </c>
    </row>
    <row r="4452" spans="1:4">
      <c r="A4452">
        <v>4449</v>
      </c>
      <c r="B4452" s="12">
        <v>138.73948056258601</v>
      </c>
      <c r="C4452" s="12">
        <v>157.09287325264191</v>
      </c>
      <c r="D4452" s="12">
        <v>153.70206912453992</v>
      </c>
    </row>
    <row r="4453" spans="1:4">
      <c r="A4453">
        <v>4450</v>
      </c>
      <c r="B4453" s="12">
        <v>250.97801829679818</v>
      </c>
      <c r="C4453" s="12">
        <v>132.21654215492339</v>
      </c>
      <c r="D4453" s="12">
        <v>89.648023772555234</v>
      </c>
    </row>
    <row r="4454" spans="1:4">
      <c r="A4454">
        <v>4451</v>
      </c>
      <c r="B4454" s="12">
        <v>138.33429863779406</v>
      </c>
      <c r="C4454" s="12">
        <v>178.00713206368479</v>
      </c>
      <c r="D4454" s="12">
        <v>71.913193778316526</v>
      </c>
    </row>
    <row r="4455" spans="1:4">
      <c r="A4455">
        <v>4452</v>
      </c>
      <c r="B4455" s="12">
        <v>159.46375066250971</v>
      </c>
      <c r="C4455" s="12">
        <v>183.66522741947594</v>
      </c>
      <c r="D4455" s="12">
        <v>81.780258448449388</v>
      </c>
    </row>
    <row r="4456" spans="1:4">
      <c r="A4456">
        <v>4453</v>
      </c>
      <c r="B4456" s="12">
        <v>123.94052126594413</v>
      </c>
      <c r="C4456" s="12">
        <v>192.70474007322747</v>
      </c>
      <c r="D4456" s="12">
        <v>101.65812727634757</v>
      </c>
    </row>
    <row r="4457" spans="1:4">
      <c r="A4457">
        <v>4454</v>
      </c>
      <c r="B4457" s="12">
        <v>182.45453956419564</v>
      </c>
      <c r="C4457" s="12">
        <v>169.16076682045997</v>
      </c>
      <c r="D4457" s="12">
        <v>113.16153338029078</v>
      </c>
    </row>
    <row r="4458" spans="1:4">
      <c r="A4458">
        <v>4455</v>
      </c>
      <c r="B4458" s="12">
        <v>192.25550540124138</v>
      </c>
      <c r="C4458" s="12">
        <v>154.22788774021367</v>
      </c>
      <c r="D4458" s="12">
        <v>90.083900355146483</v>
      </c>
    </row>
    <row r="4459" spans="1:4">
      <c r="A4459">
        <v>4456</v>
      </c>
      <c r="B4459" s="12">
        <v>161.04962717678103</v>
      </c>
      <c r="C4459" s="12">
        <v>123.46704626013559</v>
      </c>
      <c r="D4459" s="12">
        <v>88.237063681284894</v>
      </c>
    </row>
    <row r="4460" spans="1:4">
      <c r="A4460">
        <v>4457</v>
      </c>
      <c r="B4460" s="12">
        <v>144.52553134853605</v>
      </c>
      <c r="C4460" s="12">
        <v>162.57106842156833</v>
      </c>
      <c r="D4460" s="12">
        <v>114.08132723197362</v>
      </c>
    </row>
    <row r="4461" spans="1:4">
      <c r="A4461">
        <v>4458</v>
      </c>
      <c r="B4461" s="12">
        <v>187.81409672071717</v>
      </c>
      <c r="C4461" s="12">
        <v>160.20586876711127</v>
      </c>
      <c r="D4461" s="12">
        <v>65.99211528811577</v>
      </c>
    </row>
    <row r="4462" spans="1:4">
      <c r="A4462">
        <v>4459</v>
      </c>
      <c r="B4462" s="12">
        <v>148.83603665619191</v>
      </c>
      <c r="C4462" s="12">
        <v>136.81236432747036</v>
      </c>
      <c r="D4462" s="12">
        <v>142.55645998585899</v>
      </c>
    </row>
    <row r="4463" spans="1:4">
      <c r="A4463">
        <v>4460</v>
      </c>
      <c r="B4463" s="12">
        <v>167.45488829020314</v>
      </c>
      <c r="C4463" s="12">
        <v>161.5949101015064</v>
      </c>
      <c r="D4463" s="12">
        <v>218.32280902851753</v>
      </c>
    </row>
    <row r="4464" spans="1:4">
      <c r="A4464">
        <v>4461</v>
      </c>
      <c r="B4464" s="12">
        <v>166.42833875866654</v>
      </c>
      <c r="C4464" s="12">
        <v>163.74132822158651</v>
      </c>
      <c r="D4464" s="12">
        <v>141.64538546826373</v>
      </c>
    </row>
    <row r="4465" spans="1:4">
      <c r="A4465">
        <v>4462</v>
      </c>
      <c r="B4465" s="12">
        <v>121.15522901275499</v>
      </c>
      <c r="C4465" s="12">
        <v>155.37070150098256</v>
      </c>
      <c r="D4465" s="12">
        <v>121.23129359718183</v>
      </c>
    </row>
    <row r="4466" spans="1:4">
      <c r="A4466">
        <v>4463</v>
      </c>
      <c r="B4466" s="12">
        <v>163.64448476499967</v>
      </c>
      <c r="C4466" s="12">
        <v>139.84797881881326</v>
      </c>
      <c r="D4466" s="12">
        <v>122.83106801786909</v>
      </c>
    </row>
    <row r="4467" spans="1:4">
      <c r="A4467">
        <v>4464</v>
      </c>
      <c r="B4467" s="12">
        <v>134.59767676475096</v>
      </c>
      <c r="C4467" s="12">
        <v>134.66597466679502</v>
      </c>
      <c r="D4467" s="12">
        <v>117.35793880977486</v>
      </c>
    </row>
    <row r="4468" spans="1:4">
      <c r="A4468">
        <v>4465</v>
      </c>
      <c r="B4468" s="12">
        <v>150.04175723588529</v>
      </c>
      <c r="C4468" s="12">
        <v>168.65002506288357</v>
      </c>
      <c r="D4468" s="12">
        <v>95.400632257858689</v>
      </c>
    </row>
    <row r="4469" spans="1:4">
      <c r="A4469">
        <v>4466</v>
      </c>
      <c r="B4469" s="12">
        <v>163.02545952107715</v>
      </c>
      <c r="C4469" s="12">
        <v>106.87972539602566</v>
      </c>
      <c r="D4469" s="12">
        <v>100.92509414015615</v>
      </c>
    </row>
    <row r="4470" spans="1:4">
      <c r="A4470">
        <v>4467</v>
      </c>
      <c r="B4470" s="12">
        <v>186.42084219277643</v>
      </c>
      <c r="C4470" s="12">
        <v>162.30128768637783</v>
      </c>
      <c r="D4470" s="12">
        <v>163.56240748846645</v>
      </c>
    </row>
    <row r="4471" spans="1:4">
      <c r="A4471">
        <v>4468</v>
      </c>
      <c r="B4471" s="12">
        <v>219.43933720420918</v>
      </c>
      <c r="C4471" s="12">
        <v>145.80374187273665</v>
      </c>
      <c r="D4471" s="12">
        <v>121.66298382538325</v>
      </c>
    </row>
    <row r="4472" spans="1:4">
      <c r="A4472">
        <v>4469</v>
      </c>
      <c r="B4472" s="12">
        <v>137.92667028030783</v>
      </c>
      <c r="C4472" s="12">
        <v>125.40010609694481</v>
      </c>
      <c r="D4472" s="12">
        <v>54.709621903623677</v>
      </c>
    </row>
    <row r="4473" spans="1:4">
      <c r="A4473">
        <v>4470</v>
      </c>
      <c r="B4473" s="12">
        <v>137.66423286658761</v>
      </c>
      <c r="C4473" s="12">
        <v>159.1001174112221</v>
      </c>
      <c r="D4473" s="12">
        <v>131.95313477655978</v>
      </c>
    </row>
    <row r="4474" spans="1:4">
      <c r="A4474">
        <v>4471</v>
      </c>
      <c r="B4474" s="12">
        <v>140.05296950140928</v>
      </c>
      <c r="C4474" s="12">
        <v>113.59342819652991</v>
      </c>
      <c r="D4474" s="12">
        <v>79.999107751101519</v>
      </c>
    </row>
    <row r="4475" spans="1:4">
      <c r="A4475">
        <v>4472</v>
      </c>
      <c r="B4475" s="12">
        <v>178.01471842991819</v>
      </c>
      <c r="C4475" s="12">
        <v>158.84413704239643</v>
      </c>
      <c r="D4475" s="12">
        <v>73.367159093475479</v>
      </c>
    </row>
    <row r="4476" spans="1:4">
      <c r="A4476">
        <v>4473</v>
      </c>
      <c r="B4476" s="12">
        <v>129.47886155359612</v>
      </c>
      <c r="C4476" s="12">
        <v>175.89284568023362</v>
      </c>
      <c r="D4476" s="12">
        <v>77.689183184724882</v>
      </c>
    </row>
    <row r="4477" spans="1:4">
      <c r="A4477">
        <v>4474</v>
      </c>
      <c r="B4477" s="12">
        <v>141.87391024951779</v>
      </c>
      <c r="C4477" s="12">
        <v>151.24698599481326</v>
      </c>
      <c r="D4477" s="12">
        <v>82.074111988954257</v>
      </c>
    </row>
    <row r="4478" spans="1:4">
      <c r="A4478">
        <v>4475</v>
      </c>
      <c r="B4478" s="12">
        <v>203.56362866540184</v>
      </c>
      <c r="C4478" s="12">
        <v>110.55261666636234</v>
      </c>
      <c r="D4478" s="12">
        <v>59.161566258432011</v>
      </c>
    </row>
    <row r="4479" spans="1:4">
      <c r="A4479">
        <v>4476</v>
      </c>
      <c r="B4479" s="12">
        <v>287.31266629273097</v>
      </c>
      <c r="C4479" s="12">
        <v>125.71728314254862</v>
      </c>
      <c r="D4479" s="12">
        <v>102.39775960064463</v>
      </c>
    </row>
    <row r="4480" spans="1:4">
      <c r="A4480">
        <v>4477</v>
      </c>
      <c r="B4480" s="12">
        <v>178.75343405033178</v>
      </c>
      <c r="C4480" s="12">
        <v>177.59419107302594</v>
      </c>
      <c r="D4480" s="12">
        <v>92.611372764978697</v>
      </c>
    </row>
    <row r="4481" spans="1:4">
      <c r="A4481">
        <v>4478</v>
      </c>
      <c r="B4481" s="12">
        <v>175.69270424742609</v>
      </c>
      <c r="C4481" s="12">
        <v>163.01650725213381</v>
      </c>
      <c r="D4481" s="12">
        <v>150.04952681442001</v>
      </c>
    </row>
    <row r="4482" spans="1:4">
      <c r="A4482">
        <v>4479</v>
      </c>
      <c r="B4482" s="12">
        <v>89.758773810554047</v>
      </c>
      <c r="C4482" s="12">
        <v>121.24452755519613</v>
      </c>
      <c r="D4482" s="12">
        <v>140.76702583756605</v>
      </c>
    </row>
    <row r="4483" spans="1:4">
      <c r="A4483">
        <v>4480</v>
      </c>
      <c r="B4483" s="12">
        <v>151.00864010271195</v>
      </c>
      <c r="C4483" s="12">
        <v>166.27256746446139</v>
      </c>
      <c r="D4483" s="12">
        <v>101.83691786785434</v>
      </c>
    </row>
    <row r="4484" spans="1:4">
      <c r="A4484">
        <v>4481</v>
      </c>
      <c r="B4484" s="12">
        <v>136.15131025403602</v>
      </c>
      <c r="C4484" s="12">
        <v>185.6475944111391</v>
      </c>
      <c r="D4484" s="12">
        <v>145.81366892385947</v>
      </c>
    </row>
    <row r="4485" spans="1:4">
      <c r="A4485">
        <v>4482</v>
      </c>
      <c r="B4485" s="12">
        <v>145.14483595401705</v>
      </c>
      <c r="C4485" s="12">
        <v>184.19289832135087</v>
      </c>
      <c r="D4485" s="12">
        <v>156.31506347312032</v>
      </c>
    </row>
    <row r="4486" spans="1:4">
      <c r="A4486">
        <v>4483</v>
      </c>
      <c r="B4486" s="12">
        <v>135.72887959366361</v>
      </c>
      <c r="C4486" s="12">
        <v>131.98924554582658</v>
      </c>
      <c r="D4486" s="12">
        <v>127.99666868855921</v>
      </c>
    </row>
    <row r="4487" spans="1:4">
      <c r="A4487">
        <v>4484</v>
      </c>
      <c r="B4487" s="12">
        <v>117.57407356498119</v>
      </c>
      <c r="C4487" s="12">
        <v>159.35693685186871</v>
      </c>
      <c r="D4487" s="12">
        <v>104.84901384551551</v>
      </c>
    </row>
    <row r="4488" spans="1:4">
      <c r="A4488">
        <v>4485</v>
      </c>
      <c r="B4488" s="12">
        <v>120.09743234648855</v>
      </c>
      <c r="C4488" s="12">
        <v>140.12377864198771</v>
      </c>
      <c r="D4488" s="12">
        <v>99.924189114627012</v>
      </c>
    </row>
    <row r="4489" spans="1:4">
      <c r="A4489">
        <v>4486</v>
      </c>
      <c r="B4489" s="12">
        <v>108.99545601212635</v>
      </c>
      <c r="C4489" s="12">
        <v>150.20319661346593</v>
      </c>
      <c r="D4489" s="12">
        <v>57.222732150781681</v>
      </c>
    </row>
    <row r="4490" spans="1:4">
      <c r="A4490">
        <v>4487</v>
      </c>
      <c r="B4490" s="12">
        <v>160.44043161036439</v>
      </c>
      <c r="C4490" s="12">
        <v>179.85112670811537</v>
      </c>
      <c r="D4490" s="12">
        <v>88.408946655220987</v>
      </c>
    </row>
    <row r="4491" spans="1:4">
      <c r="A4491">
        <v>4488</v>
      </c>
      <c r="B4491" s="12">
        <v>201.5660677126144</v>
      </c>
      <c r="C4491" s="12">
        <v>119.36840060489656</v>
      </c>
      <c r="D4491" s="12">
        <v>148.80661249307974</v>
      </c>
    </row>
    <row r="4492" spans="1:4">
      <c r="A4492">
        <v>4489</v>
      </c>
      <c r="B4492" s="12">
        <v>142.12227554273213</v>
      </c>
      <c r="C4492" s="12">
        <v>203.9279845884852</v>
      </c>
      <c r="D4492" s="12">
        <v>93.138768058152635</v>
      </c>
    </row>
    <row r="4493" spans="1:4">
      <c r="A4493">
        <v>4490</v>
      </c>
      <c r="B4493" s="12">
        <v>118.29439664199685</v>
      </c>
      <c r="C4493" s="12">
        <v>142.25395535968434</v>
      </c>
      <c r="D4493" s="12">
        <v>93.57144509517984</v>
      </c>
    </row>
    <row r="4494" spans="1:4">
      <c r="A4494">
        <v>4491</v>
      </c>
      <c r="B4494" s="12">
        <v>146.50896497351872</v>
      </c>
      <c r="C4494" s="12">
        <v>158.42592684615281</v>
      </c>
      <c r="D4494" s="12">
        <v>137.32194840477607</v>
      </c>
    </row>
    <row r="4495" spans="1:4">
      <c r="A4495">
        <v>4492</v>
      </c>
      <c r="B4495" s="12">
        <v>129.78858021651246</v>
      </c>
      <c r="C4495" s="12">
        <v>143.62944823252795</v>
      </c>
      <c r="D4495" s="12">
        <v>89.381834111835872</v>
      </c>
    </row>
    <row r="4496" spans="1:4">
      <c r="A4496">
        <v>4493</v>
      </c>
      <c r="B4496" s="12">
        <v>164.02317823252551</v>
      </c>
      <c r="C4496" s="12">
        <v>211.9732765037518</v>
      </c>
      <c r="D4496" s="12">
        <v>136.58046063642931</v>
      </c>
    </row>
    <row r="4497" spans="1:4">
      <c r="A4497">
        <v>4494</v>
      </c>
      <c r="B4497" s="12">
        <v>156.78986417503316</v>
      </c>
      <c r="C4497" s="12">
        <v>153.82555173037599</v>
      </c>
      <c r="D4497" s="12">
        <v>71.223284559144915</v>
      </c>
    </row>
    <row r="4498" spans="1:4">
      <c r="A4498">
        <v>4495</v>
      </c>
      <c r="B4498" s="12">
        <v>136.57067555669929</v>
      </c>
      <c r="C4498" s="12">
        <v>161.1601825100428</v>
      </c>
      <c r="D4498" s="12">
        <v>120.11754572917084</v>
      </c>
    </row>
    <row r="4499" spans="1:4">
      <c r="A4499">
        <v>4496</v>
      </c>
      <c r="B4499" s="12">
        <v>166.67645129978587</v>
      </c>
      <c r="C4499" s="12">
        <v>132.56716906122645</v>
      </c>
      <c r="D4499" s="12">
        <v>66.568438742181755</v>
      </c>
    </row>
    <row r="4500" spans="1:4">
      <c r="A4500">
        <v>4497</v>
      </c>
      <c r="B4500" s="12">
        <v>117.10039705407058</v>
      </c>
      <c r="C4500" s="12">
        <v>118.86797168315215</v>
      </c>
      <c r="D4500" s="12">
        <v>74.733244642277242</v>
      </c>
    </row>
    <row r="4501" spans="1:4">
      <c r="A4501">
        <v>4498</v>
      </c>
      <c r="B4501" s="12">
        <v>205.67308321933368</v>
      </c>
      <c r="C4501" s="12">
        <v>216.62806306584255</v>
      </c>
      <c r="D4501" s="12">
        <v>72.977387136388401</v>
      </c>
    </row>
    <row r="4502" spans="1:4">
      <c r="A4502">
        <v>4499</v>
      </c>
      <c r="B4502" s="12">
        <v>156.55564179416112</v>
      </c>
      <c r="C4502" s="12">
        <v>202.50506947866566</v>
      </c>
      <c r="D4502" s="12">
        <v>152.24819383700159</v>
      </c>
    </row>
    <row r="4503" spans="1:4">
      <c r="A4503">
        <v>4500</v>
      </c>
      <c r="B4503" s="12">
        <v>138.99777849543872</v>
      </c>
      <c r="C4503" s="12">
        <v>120.8136733905428</v>
      </c>
      <c r="D4503" s="12">
        <v>71.646642388464613</v>
      </c>
    </row>
    <row r="4504" spans="1:4">
      <c r="A4504">
        <v>4501</v>
      </c>
      <c r="B4504" s="12">
        <v>234.98238876196982</v>
      </c>
      <c r="C4504" s="12">
        <v>150.84713168050493</v>
      </c>
      <c r="D4504" s="12">
        <v>182.8667390650277</v>
      </c>
    </row>
    <row r="4505" spans="1:4">
      <c r="A4505">
        <v>4502</v>
      </c>
      <c r="B4505" s="12">
        <v>169.54011470674772</v>
      </c>
      <c r="C4505" s="12">
        <v>157.50497443030287</v>
      </c>
      <c r="D4505" s="12">
        <v>78.863169760925047</v>
      </c>
    </row>
    <row r="4506" spans="1:4">
      <c r="A4506">
        <v>4503</v>
      </c>
      <c r="B4506" s="12">
        <v>248.72245674616241</v>
      </c>
      <c r="C4506" s="12">
        <v>146.96065084859404</v>
      </c>
      <c r="D4506" s="12">
        <v>78.015833686086438</v>
      </c>
    </row>
    <row r="4507" spans="1:4">
      <c r="A4507">
        <v>4504</v>
      </c>
      <c r="B4507" s="12">
        <v>84.58273587173403</v>
      </c>
      <c r="C4507" s="12">
        <v>140.84409281075344</v>
      </c>
      <c r="D4507" s="12">
        <v>97.778676188047072</v>
      </c>
    </row>
    <row r="4508" spans="1:4">
      <c r="A4508">
        <v>4505</v>
      </c>
      <c r="B4508" s="12">
        <v>126.29624136109406</v>
      </c>
      <c r="C4508" s="12">
        <v>130.02394480971861</v>
      </c>
      <c r="D4508" s="12">
        <v>138.08555634358007</v>
      </c>
    </row>
    <row r="4509" spans="1:4">
      <c r="A4509">
        <v>4506</v>
      </c>
      <c r="B4509" s="12">
        <v>213.51375814242203</v>
      </c>
      <c r="C4509" s="12">
        <v>149.7149267052192</v>
      </c>
      <c r="D4509" s="12">
        <v>105.14128639582745</v>
      </c>
    </row>
    <row r="4510" spans="1:4">
      <c r="A4510">
        <v>4507</v>
      </c>
      <c r="B4510" s="12">
        <v>198.970551501979</v>
      </c>
      <c r="C4510" s="12">
        <v>146.46355111983686</v>
      </c>
      <c r="D4510" s="12">
        <v>118.38546198848991</v>
      </c>
    </row>
    <row r="4511" spans="1:4">
      <c r="A4511">
        <v>4508</v>
      </c>
      <c r="B4511" s="12">
        <v>147.11965405376566</v>
      </c>
      <c r="C4511" s="12">
        <v>176.92994341278037</v>
      </c>
      <c r="D4511" s="12">
        <v>74.965867387320785</v>
      </c>
    </row>
    <row r="4512" spans="1:4">
      <c r="A4512">
        <v>4509</v>
      </c>
      <c r="B4512" s="12">
        <v>150.77432722737126</v>
      </c>
      <c r="C4512" s="12">
        <v>131.62997283975398</v>
      </c>
      <c r="D4512" s="12">
        <v>70.508104688678287</v>
      </c>
    </row>
    <row r="4513" spans="1:4">
      <c r="A4513">
        <v>4510</v>
      </c>
      <c r="B4513" s="12">
        <v>259.59775154847853</v>
      </c>
      <c r="C4513" s="12">
        <v>144.97745108887386</v>
      </c>
      <c r="D4513" s="12">
        <v>85.083178548945597</v>
      </c>
    </row>
    <row r="4514" spans="1:4">
      <c r="A4514">
        <v>4511</v>
      </c>
      <c r="B4514" s="12">
        <v>184.24042093732319</v>
      </c>
      <c r="C4514" s="12">
        <v>149.06916724459734</v>
      </c>
      <c r="D4514" s="12">
        <v>107.50903862424339</v>
      </c>
    </row>
    <row r="4515" spans="1:4">
      <c r="A4515">
        <v>4512</v>
      </c>
      <c r="B4515" s="12">
        <v>185.06514252430546</v>
      </c>
      <c r="C4515" s="12">
        <v>164.47656249478692</v>
      </c>
      <c r="D4515" s="12">
        <v>135.40825905006599</v>
      </c>
    </row>
    <row r="4516" spans="1:4">
      <c r="A4516">
        <v>4513</v>
      </c>
      <c r="B4516" s="12">
        <v>133.44141630704976</v>
      </c>
      <c r="C4516" s="12">
        <v>137.11081847147855</v>
      </c>
      <c r="D4516" s="12">
        <v>109.14682267589636</v>
      </c>
    </row>
    <row r="4517" spans="1:4">
      <c r="A4517">
        <v>4514</v>
      </c>
      <c r="B4517" s="12">
        <v>177.56864197540855</v>
      </c>
      <c r="C4517" s="12">
        <v>181.05790548140124</v>
      </c>
      <c r="D4517" s="12">
        <v>86.264063582272613</v>
      </c>
    </row>
    <row r="4518" spans="1:4">
      <c r="A4518">
        <v>4515</v>
      </c>
      <c r="B4518" s="12">
        <v>225.73973538121248</v>
      </c>
      <c r="C4518" s="12">
        <v>154.71948126984441</v>
      </c>
      <c r="D4518" s="12">
        <v>124.82086175209045</v>
      </c>
    </row>
    <row r="4519" spans="1:4">
      <c r="A4519">
        <v>4516</v>
      </c>
      <c r="B4519" s="12">
        <v>154.86167592940828</v>
      </c>
      <c r="C4519" s="12">
        <v>157.75702577368023</v>
      </c>
      <c r="D4519" s="12">
        <v>144.12962968998889</v>
      </c>
    </row>
    <row r="4520" spans="1:4">
      <c r="A4520">
        <v>4517</v>
      </c>
      <c r="B4520" s="12">
        <v>115.55193661665182</v>
      </c>
      <c r="C4520" s="12">
        <v>184.53733635780205</v>
      </c>
      <c r="D4520" s="12">
        <v>98.219861296561689</v>
      </c>
    </row>
    <row r="4521" spans="1:4">
      <c r="A4521">
        <v>4518</v>
      </c>
      <c r="B4521" s="12">
        <v>151.37418853326264</v>
      </c>
      <c r="C4521" s="12">
        <v>148.66712579181927</v>
      </c>
      <c r="D4521" s="12">
        <v>90.783666185693292</v>
      </c>
    </row>
    <row r="4522" spans="1:4">
      <c r="A4522">
        <v>4519</v>
      </c>
      <c r="B4522" s="12">
        <v>158.12381177248886</v>
      </c>
      <c r="C4522" s="12">
        <v>133.46997974949144</v>
      </c>
      <c r="D4522" s="12">
        <v>61.092301825403183</v>
      </c>
    </row>
    <row r="4523" spans="1:4">
      <c r="A4523">
        <v>4520</v>
      </c>
      <c r="B4523" s="12">
        <v>130.74049511197978</v>
      </c>
      <c r="C4523" s="12">
        <v>172.9844626404352</v>
      </c>
      <c r="D4523" s="12">
        <v>84.804596626051634</v>
      </c>
    </row>
    <row r="4524" spans="1:4">
      <c r="A4524">
        <v>4521</v>
      </c>
      <c r="B4524" s="12">
        <v>278.90932244017222</v>
      </c>
      <c r="C4524" s="12">
        <v>142.94554200709103</v>
      </c>
      <c r="D4524" s="12">
        <v>91.481733890671563</v>
      </c>
    </row>
    <row r="4525" spans="1:4">
      <c r="A4525">
        <v>4522</v>
      </c>
      <c r="B4525" s="12">
        <v>155.22637986822133</v>
      </c>
      <c r="C4525" s="12">
        <v>140.57261175879222</v>
      </c>
      <c r="D4525" s="12">
        <v>119.44355313050767</v>
      </c>
    </row>
    <row r="4526" spans="1:4">
      <c r="A4526">
        <v>4523</v>
      </c>
      <c r="B4526" s="12">
        <v>144.1464722470335</v>
      </c>
      <c r="C4526" s="12">
        <v>188.88011565754908</v>
      </c>
      <c r="D4526" s="12">
        <v>106.21734383944661</v>
      </c>
    </row>
    <row r="4527" spans="1:4">
      <c r="A4527">
        <v>4524</v>
      </c>
      <c r="B4527" s="12">
        <v>162.64942627142636</v>
      </c>
      <c r="C4527" s="12">
        <v>141.9898571923201</v>
      </c>
      <c r="D4527" s="12">
        <v>113.50745505063281</v>
      </c>
    </row>
    <row r="4528" spans="1:4">
      <c r="A4528">
        <v>4525</v>
      </c>
      <c r="B4528" s="12">
        <v>161.66086624652962</v>
      </c>
      <c r="C4528" s="12">
        <v>144.05084867001901</v>
      </c>
      <c r="D4528" s="12">
        <v>105.91982106497611</v>
      </c>
    </row>
    <row r="4529" spans="1:4">
      <c r="A4529">
        <v>4526</v>
      </c>
      <c r="B4529" s="12">
        <v>193.83777262463488</v>
      </c>
      <c r="C4529" s="12">
        <v>152.29058172869401</v>
      </c>
      <c r="D4529" s="12">
        <v>96.367305252564748</v>
      </c>
    </row>
    <row r="4530" spans="1:4">
      <c r="A4530">
        <v>4527</v>
      </c>
      <c r="B4530" s="12">
        <v>133.88244034734385</v>
      </c>
      <c r="C4530" s="12">
        <v>197.46339035142006</v>
      </c>
      <c r="D4530" s="12">
        <v>97.338886722845942</v>
      </c>
    </row>
    <row r="4531" spans="1:4">
      <c r="A4531">
        <v>4528</v>
      </c>
      <c r="B4531" s="12">
        <v>214.55727533176608</v>
      </c>
      <c r="C4531" s="12">
        <v>130.27187826170265</v>
      </c>
      <c r="D4531" s="12">
        <v>93.835275289664523</v>
      </c>
    </row>
    <row r="4532" spans="1:4">
      <c r="A4532">
        <v>4529</v>
      </c>
      <c r="B4532" s="12">
        <v>111.77901507634425</v>
      </c>
      <c r="C4532" s="12">
        <v>148.26429382595487</v>
      </c>
      <c r="D4532" s="12">
        <v>72.322532368743055</v>
      </c>
    </row>
    <row r="4533" spans="1:4">
      <c r="A4533">
        <v>4530</v>
      </c>
      <c r="B4533" s="12">
        <v>133.15681303817365</v>
      </c>
      <c r="C4533" s="12">
        <v>167.84191876318567</v>
      </c>
      <c r="D4533" s="12">
        <v>97.510442324909917</v>
      </c>
    </row>
    <row r="4534" spans="1:4">
      <c r="A4534">
        <v>4531</v>
      </c>
      <c r="B4534" s="12">
        <v>154.26358409208191</v>
      </c>
      <c r="C4534" s="12">
        <v>142.68458126198817</v>
      </c>
      <c r="D4534" s="12">
        <v>110.84087975414859</v>
      </c>
    </row>
    <row r="4535" spans="1:4">
      <c r="A4535">
        <v>4532</v>
      </c>
      <c r="B4535" s="12">
        <v>170.85992606363394</v>
      </c>
      <c r="C4535" s="12">
        <v>115.52436573506118</v>
      </c>
      <c r="D4535" s="12">
        <v>96.633637601586415</v>
      </c>
    </row>
    <row r="4536" spans="1:4">
      <c r="A4536">
        <v>4533</v>
      </c>
      <c r="B4536" s="12">
        <v>224.27007774751027</v>
      </c>
      <c r="C4536" s="12">
        <v>117.15454640776994</v>
      </c>
      <c r="D4536" s="12">
        <v>161.31539104568805</v>
      </c>
    </row>
    <row r="4537" spans="1:4">
      <c r="A4537">
        <v>4534</v>
      </c>
      <c r="B4537" s="12">
        <v>132.25698168393387</v>
      </c>
      <c r="C4537" s="12">
        <v>139.39167813556827</v>
      </c>
      <c r="D4537" s="12">
        <v>102.11683854372876</v>
      </c>
    </row>
    <row r="4538" spans="1:4">
      <c r="A4538">
        <v>4535</v>
      </c>
      <c r="B4538" s="12">
        <v>232.99491191055279</v>
      </c>
      <c r="C4538" s="12">
        <v>209.70135161715686</v>
      </c>
      <c r="D4538" s="12">
        <v>75.903381887777314</v>
      </c>
    </row>
    <row r="4539" spans="1:4">
      <c r="A4539">
        <v>4536</v>
      </c>
      <c r="B4539" s="12">
        <v>147.86123006923199</v>
      </c>
      <c r="C4539" s="12">
        <v>139.11108174973023</v>
      </c>
      <c r="D4539" s="12">
        <v>126.62022039504254</v>
      </c>
    </row>
    <row r="4540" spans="1:4">
      <c r="A4540">
        <v>4537</v>
      </c>
      <c r="B4540" s="12">
        <v>122.77386726117135</v>
      </c>
      <c r="C4540" s="12">
        <v>153.42390963510638</v>
      </c>
      <c r="D4540" s="12">
        <v>133.62499917946045</v>
      </c>
    </row>
    <row r="4541" spans="1:4">
      <c r="A4541">
        <v>4538</v>
      </c>
      <c r="B4541" s="12">
        <v>136.83774567204878</v>
      </c>
      <c r="C4541" s="12">
        <v>128.9693899903464</v>
      </c>
      <c r="D4541" s="12">
        <v>145.14184717687462</v>
      </c>
    </row>
    <row r="4542" spans="1:4">
      <c r="A4542">
        <v>4539</v>
      </c>
      <c r="B4542" s="12">
        <v>164.40295610367306</v>
      </c>
      <c r="C4542" s="12">
        <v>168.34201622835076</v>
      </c>
      <c r="D4542" s="12">
        <v>115.98685682501998</v>
      </c>
    </row>
    <row r="4543" spans="1:4">
      <c r="A4543">
        <v>4540</v>
      </c>
      <c r="B4543" s="12">
        <v>179.96141342765247</v>
      </c>
      <c r="C4543" s="12">
        <v>174.52139031849393</v>
      </c>
      <c r="D4543" s="12">
        <v>98.933222303070423</v>
      </c>
    </row>
    <row r="4544" spans="1:4">
      <c r="A4544">
        <v>4541</v>
      </c>
      <c r="B4544" s="12">
        <v>148.46739134629834</v>
      </c>
      <c r="C4544" s="12">
        <v>154.4735219233151</v>
      </c>
      <c r="D4544" s="12">
        <v>67.467417504390937</v>
      </c>
    </row>
    <row r="4545" spans="1:4">
      <c r="A4545">
        <v>4542</v>
      </c>
      <c r="B4545" s="12">
        <v>145.89586959592447</v>
      </c>
      <c r="C4545" s="12">
        <v>143.37129583245837</v>
      </c>
      <c r="D4545" s="12">
        <v>108.32140360176797</v>
      </c>
    </row>
    <row r="4546" spans="1:4">
      <c r="A4546">
        <v>4543</v>
      </c>
      <c r="B4546" s="12">
        <v>181.19443769355456</v>
      </c>
      <c r="C4546" s="12">
        <v>171.73358921137316</v>
      </c>
      <c r="D4546" s="12">
        <v>105.6237957846635</v>
      </c>
    </row>
    <row r="4547" spans="1:4">
      <c r="A4547">
        <v>4544</v>
      </c>
      <c r="B4547" s="12">
        <v>114.19053333712787</v>
      </c>
      <c r="C4547" s="12">
        <v>146.30387967099452</v>
      </c>
      <c r="D4547" s="12">
        <v>80.500167282318046</v>
      </c>
    </row>
    <row r="4548" spans="1:4">
      <c r="A4548">
        <v>4545</v>
      </c>
      <c r="B4548" s="12">
        <v>218.66064535573173</v>
      </c>
      <c r="C4548" s="12">
        <v>158.68059748406921</v>
      </c>
      <c r="D4548" s="12">
        <v>107.20460173680137</v>
      </c>
    </row>
    <row r="4549" spans="1:4">
      <c r="A4549">
        <v>4546</v>
      </c>
      <c r="B4549" s="12">
        <v>313.26329869172412</v>
      </c>
      <c r="C4549" s="12">
        <v>158.00975797056867</v>
      </c>
      <c r="D4549" s="12">
        <v>109.66665659633848</v>
      </c>
    </row>
    <row r="4550" spans="1:4">
      <c r="A4550">
        <v>4547</v>
      </c>
      <c r="B4550" s="12">
        <v>217.48132621530402</v>
      </c>
      <c r="C4550" s="12">
        <v>126.96550822932153</v>
      </c>
      <c r="D4550" s="12">
        <v>100.19807028175985</v>
      </c>
    </row>
    <row r="4551" spans="1:4">
      <c r="A4551">
        <v>4548</v>
      </c>
      <c r="B4551" s="12">
        <v>190.7273365654647</v>
      </c>
      <c r="C4551" s="12">
        <v>156.18402417942391</v>
      </c>
      <c r="D4551" s="12">
        <v>83.598272610180771</v>
      </c>
    </row>
    <row r="4552" spans="1:4">
      <c r="A4552">
        <v>4549</v>
      </c>
      <c r="B4552" s="12">
        <v>192.84807213072096</v>
      </c>
      <c r="C4552" s="12">
        <v>136.51121489338414</v>
      </c>
      <c r="D4552" s="12">
        <v>78.339240285592311</v>
      </c>
    </row>
    <row r="4553" spans="1:4">
      <c r="A4553">
        <v>4550</v>
      </c>
      <c r="B4553" s="12">
        <v>185.57434259719938</v>
      </c>
      <c r="C4553" s="12">
        <v>147.11942223931578</v>
      </c>
      <c r="D4553" s="12">
        <v>115.38490221498643</v>
      </c>
    </row>
    <row r="4554" spans="1:4">
      <c r="A4554">
        <v>4551</v>
      </c>
      <c r="B4554" s="12">
        <v>155.82503171414822</v>
      </c>
      <c r="C4554" s="12">
        <v>155.77674031690287</v>
      </c>
      <c r="D4554" s="12">
        <v>52.635305785421444</v>
      </c>
    </row>
    <row r="4555" spans="1:4">
      <c r="A4555">
        <v>4552</v>
      </c>
      <c r="B4555" s="12">
        <v>163.40246589414801</v>
      </c>
      <c r="C4555" s="12">
        <v>170.85485473148518</v>
      </c>
      <c r="D4555" s="12">
        <v>108.01226851475319</v>
      </c>
    </row>
    <row r="4556" spans="1:4">
      <c r="A4556">
        <v>4553</v>
      </c>
      <c r="B4556" s="12">
        <v>245.54079113428122</v>
      </c>
      <c r="C4556" s="12">
        <v>191.17007275839649</v>
      </c>
      <c r="D4556" s="12">
        <v>89.818324762981447</v>
      </c>
    </row>
    <row r="4557" spans="1:4">
      <c r="A4557">
        <v>4554</v>
      </c>
      <c r="B4557" s="12">
        <v>191.30003444646579</v>
      </c>
      <c r="C4557" s="12">
        <v>138.82853309270888</v>
      </c>
      <c r="D4557" s="12">
        <v>69.295326607297227</v>
      </c>
    </row>
    <row r="4558" spans="1:4">
      <c r="A4558">
        <v>4555</v>
      </c>
      <c r="B4558" s="12">
        <v>97.487005965052077</v>
      </c>
      <c r="C4558" s="12">
        <v>138.64648647980886</v>
      </c>
      <c r="D4558" s="12">
        <v>104.37242877678841</v>
      </c>
    </row>
    <row r="4559" spans="1:4">
      <c r="A4559">
        <v>4556</v>
      </c>
      <c r="B4559" s="12">
        <v>204.86005790778691</v>
      </c>
      <c r="C4559" s="12">
        <v>140.29954823890429</v>
      </c>
      <c r="D4559" s="12">
        <v>58.452814233084041</v>
      </c>
    </row>
    <row r="4560" spans="1:4">
      <c r="A4560">
        <v>4557</v>
      </c>
      <c r="B4560" s="12">
        <v>134.31960486962438</v>
      </c>
      <c r="C4560" s="12">
        <v>165.50893407727358</v>
      </c>
      <c r="D4560" s="12">
        <v>104.08362942456051</v>
      </c>
    </row>
    <row r="4561" spans="1:4">
      <c r="A4561">
        <v>4558</v>
      </c>
      <c r="B4561" s="12">
        <v>124.86434250733215</v>
      </c>
      <c r="C4561" s="12">
        <v>132.9128731690993</v>
      </c>
      <c r="D4561" s="12">
        <v>124.04336181339959</v>
      </c>
    </row>
    <row r="4562" spans="1:4">
      <c r="A4562">
        <v>4559</v>
      </c>
      <c r="B4562" s="12">
        <v>131.04077095800983</v>
      </c>
      <c r="C4562" s="12">
        <v>141.55379638339537</v>
      </c>
      <c r="D4562" s="12">
        <v>95.665750295045783</v>
      </c>
    </row>
    <row r="4563" spans="1:4">
      <c r="A4563">
        <v>4560</v>
      </c>
      <c r="B4563" s="12">
        <v>137.25235819676294</v>
      </c>
      <c r="C4563" s="12">
        <v>181.53056663445676</v>
      </c>
      <c r="D4563" s="12">
        <v>55.786280223914474</v>
      </c>
    </row>
    <row r="4564" spans="1:4">
      <c r="A4564">
        <v>4561</v>
      </c>
      <c r="B4564" s="12">
        <v>104.13694870826923</v>
      </c>
      <c r="C4564" s="12">
        <v>230.17422113021507</v>
      </c>
      <c r="D4564" s="12">
        <v>69.597203308863968</v>
      </c>
    </row>
    <row r="4565" spans="1:4">
      <c r="A4565">
        <v>4562</v>
      </c>
      <c r="B4565" s="12">
        <v>165.41130950882697</v>
      </c>
      <c r="C4565" s="12">
        <v>165.98182472708456</v>
      </c>
      <c r="D4565" s="12">
        <v>126.11519113679302</v>
      </c>
    </row>
    <row r="4566" spans="1:4">
      <c r="A4566">
        <v>4563</v>
      </c>
      <c r="B4566" s="12">
        <v>151.97331056092389</v>
      </c>
      <c r="C4566" s="12">
        <v>164.01849812478159</v>
      </c>
      <c r="D4566" s="12">
        <v>108.83263064395324</v>
      </c>
    </row>
    <row r="4567" spans="1:4">
      <c r="A4567">
        <v>4564</v>
      </c>
      <c r="B4567" s="12">
        <v>228.31591878112096</v>
      </c>
      <c r="C4567" s="12">
        <v>103.26126230615851</v>
      </c>
      <c r="D4567" s="12">
        <v>65.391150214296914</v>
      </c>
    </row>
    <row r="4568" spans="1:4">
      <c r="A4568">
        <v>4565</v>
      </c>
      <c r="B4568" s="12">
        <v>216.34322954506251</v>
      </c>
      <c r="C4568" s="12">
        <v>147.77194441362712</v>
      </c>
      <c r="D4568" s="12">
        <v>112.60014971794686</v>
      </c>
    </row>
    <row r="4569" spans="1:4">
      <c r="A4569">
        <v>4566</v>
      </c>
      <c r="B4569" s="12">
        <v>164.64680930937993</v>
      </c>
      <c r="C4569" s="12">
        <v>137.59489406099661</v>
      </c>
      <c r="D4569" s="12">
        <v>136.11646770700446</v>
      </c>
    </row>
    <row r="4570" spans="1:4">
      <c r="A4570">
        <v>4567</v>
      </c>
      <c r="B4570" s="12">
        <v>222.86728085521517</v>
      </c>
      <c r="C4570" s="12">
        <v>143.79428646194961</v>
      </c>
      <c r="D4570" s="12">
        <v>134.28630057274833</v>
      </c>
    </row>
    <row r="4571" spans="1:4">
      <c r="A4571">
        <v>4568</v>
      </c>
      <c r="B4571" s="12">
        <v>236.33153228500871</v>
      </c>
      <c r="C4571" s="12">
        <v>137.30062575764765</v>
      </c>
      <c r="D4571" s="12">
        <v>75.678980628575772</v>
      </c>
    </row>
    <row r="4572" spans="1:4">
      <c r="A4572">
        <v>4569</v>
      </c>
      <c r="B4572" s="12">
        <v>199.66666858853054</v>
      </c>
      <c r="C4572" s="12">
        <v>124.36784731627453</v>
      </c>
      <c r="D4572" s="12">
        <v>104.66251153801703</v>
      </c>
    </row>
    <row r="4573" spans="1:4">
      <c r="A4573">
        <v>4570</v>
      </c>
      <c r="B4573" s="12">
        <v>168.74505306089438</v>
      </c>
      <c r="C4573" s="12">
        <v>126.20073072467612</v>
      </c>
      <c r="D4573" s="12">
        <v>83.882175489412589</v>
      </c>
    </row>
    <row r="4574" spans="1:4">
      <c r="A4574">
        <v>4571</v>
      </c>
      <c r="B4574" s="12">
        <v>162.03452740545319</v>
      </c>
      <c r="C4574" s="12">
        <v>118.04265006576274</v>
      </c>
      <c r="D4574" s="12">
        <v>94.532497939479782</v>
      </c>
    </row>
    <row r="4575" spans="1:4">
      <c r="A4575">
        <v>4572</v>
      </c>
      <c r="B4575" s="12">
        <v>101.25086742970149</v>
      </c>
      <c r="C4575" s="12">
        <v>154.07070782709394</v>
      </c>
      <c r="D4575" s="12">
        <v>128.88574253846843</v>
      </c>
    </row>
    <row r="4576" spans="1:4">
      <c r="A4576">
        <v>4573</v>
      </c>
      <c r="B4576" s="12">
        <v>146.13555118565264</v>
      </c>
      <c r="C4576" s="12">
        <v>180.30139505706731</v>
      </c>
      <c r="D4576" s="12">
        <v>63.659687946995696</v>
      </c>
    </row>
    <row r="4577" spans="1:4">
      <c r="A4577">
        <v>4574</v>
      </c>
      <c r="B4577" s="12">
        <v>226.71966799230702</v>
      </c>
      <c r="C4577" s="12">
        <v>141.7244790817042</v>
      </c>
      <c r="D4577" s="12">
        <v>159.99157864116637</v>
      </c>
    </row>
    <row r="4578" spans="1:4">
      <c r="A4578">
        <v>4575</v>
      </c>
      <c r="B4578" s="12">
        <v>152.70297320687962</v>
      </c>
      <c r="C4578" s="12">
        <v>124.89230297076526</v>
      </c>
      <c r="D4578" s="12">
        <v>86.088499167179961</v>
      </c>
    </row>
    <row r="4579" spans="1:4">
      <c r="A4579">
        <v>4576</v>
      </c>
      <c r="B4579" s="12">
        <v>153.30110824693921</v>
      </c>
      <c r="C4579" s="12">
        <v>144.72402455307702</v>
      </c>
      <c r="D4579" s="12">
        <v>103.61252229591665</v>
      </c>
    </row>
    <row r="4580" spans="1:4">
      <c r="A4580">
        <v>4577</v>
      </c>
      <c r="B4580" s="12">
        <v>211.86860782466883</v>
      </c>
      <c r="C4580" s="12">
        <v>133.13183675749966</v>
      </c>
      <c r="D4580" s="12">
        <v>87.52588957540712</v>
      </c>
    </row>
    <row r="4581" spans="1:4">
      <c r="A4581">
        <v>4578</v>
      </c>
      <c r="B4581" s="12">
        <v>147.49082081504412</v>
      </c>
      <c r="C4581" s="12">
        <v>156.43294696636801</v>
      </c>
      <c r="D4581" s="12">
        <v>171.00690969913666</v>
      </c>
    </row>
    <row r="4582" spans="1:4">
      <c r="A4582">
        <v>4579</v>
      </c>
      <c r="B4582" s="12">
        <v>210.90324506745719</v>
      </c>
      <c r="C4582" s="12">
        <v>151.64681233628042</v>
      </c>
      <c r="D4582" s="12">
        <v>98.489526061429004</v>
      </c>
    </row>
    <row r="4583" spans="1:4">
      <c r="A4583">
        <v>4580</v>
      </c>
      <c r="B4583" s="12">
        <v>121.77962438412999</v>
      </c>
      <c r="C4583" s="12">
        <v>137.88674625119364</v>
      </c>
      <c r="D4583" s="12">
        <v>106.70880030162891</v>
      </c>
    </row>
    <row r="4584" spans="1:4">
      <c r="A4584">
        <v>4581</v>
      </c>
      <c r="B4584" s="12">
        <v>189.24831550216393</v>
      </c>
      <c r="C4584" s="12">
        <v>158.17201461231255</v>
      </c>
      <c r="D4584" s="12">
        <v>76.250088030658461</v>
      </c>
    </row>
    <row r="4585" spans="1:4">
      <c r="A4585">
        <v>4582</v>
      </c>
      <c r="B4585" s="12">
        <v>115.03112378449018</v>
      </c>
      <c r="C4585" s="12">
        <v>124.02242636947375</v>
      </c>
      <c r="D4585" s="12">
        <v>63.20113782451471</v>
      </c>
    </row>
    <row r="4586" spans="1:4">
      <c r="A4586">
        <v>4583</v>
      </c>
      <c r="B4586" s="12">
        <v>126.82256421853366</v>
      </c>
      <c r="C4586" s="12">
        <v>182.82452476035277</v>
      </c>
      <c r="D4586" s="12">
        <v>177.51981933163205</v>
      </c>
    </row>
    <row r="4587" spans="1:4">
      <c r="A4587">
        <v>4584</v>
      </c>
      <c r="B4587" s="12">
        <v>124.30457943286093</v>
      </c>
      <c r="C4587" s="12">
        <v>151.49069813365304</v>
      </c>
      <c r="D4587" s="12">
        <v>158.07542071071788</v>
      </c>
    </row>
    <row r="4588" spans="1:4">
      <c r="A4588">
        <v>4585</v>
      </c>
      <c r="B4588" s="12">
        <v>231.13457135506269</v>
      </c>
      <c r="C4588" s="12">
        <v>139.5704214580625</v>
      </c>
      <c r="D4588" s="12">
        <v>64.991797547823154</v>
      </c>
    </row>
    <row r="4589" spans="1:4">
      <c r="A4589">
        <v>4586</v>
      </c>
      <c r="B4589" s="12">
        <v>122.38991212770749</v>
      </c>
      <c r="C4589" s="12">
        <v>200.39946003598297</v>
      </c>
      <c r="D4589" s="12">
        <v>95.230956183181874</v>
      </c>
    </row>
    <row r="4590" spans="1:4">
      <c r="A4590">
        <v>4587</v>
      </c>
      <c r="B4590" s="12">
        <v>269.76860597147419</v>
      </c>
      <c r="C4590" s="12">
        <v>160.03934787865896</v>
      </c>
      <c r="D4590" s="12">
        <v>102.57824240647635</v>
      </c>
    </row>
    <row r="4591" spans="1:4">
      <c r="A4591">
        <v>4588</v>
      </c>
      <c r="B4591" s="12">
        <v>132.70907083549648</v>
      </c>
      <c r="C4591" s="12">
        <v>208.40110133213753</v>
      </c>
      <c r="D4591" s="12">
        <v>91.0481995369054</v>
      </c>
    </row>
    <row r="4592" spans="1:4">
      <c r="A4592">
        <v>4589</v>
      </c>
      <c r="B4592" s="12">
        <v>131.50535313822465</v>
      </c>
      <c r="C4592" s="12">
        <v>99.120943368489023</v>
      </c>
      <c r="D4592" s="12">
        <v>84.625553059655275</v>
      </c>
    </row>
    <row r="4593" spans="1:4">
      <c r="A4593">
        <v>4590</v>
      </c>
      <c r="B4593" s="12">
        <v>159.09498760919939</v>
      </c>
      <c r="C4593" s="12">
        <v>130.65330332778962</v>
      </c>
      <c r="D4593" s="12">
        <v>73.750337376937139</v>
      </c>
    </row>
    <row r="4594" spans="1:4">
      <c r="A4594">
        <v>4591</v>
      </c>
      <c r="B4594" s="12">
        <v>212.86191709654022</v>
      </c>
      <c r="C4594" s="12">
        <v>187.59836636863648</v>
      </c>
      <c r="D4594" s="12">
        <v>94.004321684758835</v>
      </c>
    </row>
    <row r="4595" spans="1:4">
      <c r="A4595">
        <v>4592</v>
      </c>
      <c r="B4595" s="12">
        <v>169.14172922784866</v>
      </c>
      <c r="C4595" s="12">
        <v>178.69860392509014</v>
      </c>
      <c r="D4595" s="12">
        <v>90.518889525250529</v>
      </c>
    </row>
    <row r="4596" spans="1:4">
      <c r="A4596">
        <v>4593</v>
      </c>
      <c r="B4596" s="12">
        <v>186.94388800975176</v>
      </c>
      <c r="C4596" s="12">
        <v>145.13937363256122</v>
      </c>
      <c r="D4596" s="12">
        <v>125.30458690193031</v>
      </c>
    </row>
    <row r="4597" spans="1:4">
      <c r="A4597">
        <v>4594</v>
      </c>
      <c r="B4597" s="12">
        <v>127.15545764442676</v>
      </c>
      <c r="C4597" s="12">
        <v>147.61393281231975</v>
      </c>
      <c r="D4597" s="12">
        <v>75.324852194503308</v>
      </c>
    </row>
    <row r="4598" spans="1:4">
      <c r="A4598">
        <v>4595</v>
      </c>
      <c r="B4598" s="12">
        <v>120.74737075801984</v>
      </c>
      <c r="C4598" s="12">
        <v>214.63724316150441</v>
      </c>
      <c r="D4598" s="12">
        <v>88.944212904581462</v>
      </c>
    </row>
    <row r="4599" spans="1:4">
      <c r="A4599">
        <v>4596</v>
      </c>
      <c r="B4599" s="12">
        <v>141.48479911252497</v>
      </c>
      <c r="C4599" s="12">
        <v>169.4755369245853</v>
      </c>
      <c r="D4599" s="12">
        <v>93.307689072056633</v>
      </c>
    </row>
    <row r="4600" spans="1:4">
      <c r="A4600">
        <v>4597</v>
      </c>
      <c r="B4600" s="12">
        <v>172.34896050876813</v>
      </c>
      <c r="C4600" s="12">
        <v>169.99784337390852</v>
      </c>
      <c r="D4600" s="12">
        <v>110.51538779565611</v>
      </c>
    </row>
    <row r="4601" spans="1:4">
      <c r="A4601">
        <v>4598</v>
      </c>
      <c r="B4601" s="12">
        <v>209.37544828631528</v>
      </c>
      <c r="C4601" s="12">
        <v>135.70218193138012</v>
      </c>
      <c r="D4601" s="12">
        <v>80.802591440645514</v>
      </c>
    </row>
    <row r="4602" spans="1:4">
      <c r="A4602">
        <v>4599</v>
      </c>
      <c r="B4602" s="12">
        <v>174.56094107540682</v>
      </c>
      <c r="C4602" s="12">
        <v>165.22308157389872</v>
      </c>
      <c r="D4602" s="12">
        <v>130.37748502506497</v>
      </c>
    </row>
    <row r="4603" spans="1:4">
      <c r="A4603">
        <v>4600</v>
      </c>
      <c r="B4603" s="12">
        <v>143.13935049568934</v>
      </c>
      <c r="C4603" s="12">
        <v>194.93495781956634</v>
      </c>
      <c r="D4603" s="12">
        <v>99.476485210341977</v>
      </c>
    </row>
    <row r="4604" spans="1:4">
      <c r="A4604">
        <v>4601</v>
      </c>
      <c r="B4604" s="12">
        <v>195.47981617973304</v>
      </c>
      <c r="C4604" s="12">
        <v>150.35946184690795</v>
      </c>
      <c r="D4604" s="12">
        <v>102.86087780460394</v>
      </c>
    </row>
    <row r="4605" spans="1:4">
      <c r="A4605">
        <v>4602</v>
      </c>
      <c r="B4605" s="12">
        <v>220.69422734943117</v>
      </c>
      <c r="C4605" s="12">
        <v>122.89018994297449</v>
      </c>
      <c r="D4605" s="12">
        <v>134.71870353907968</v>
      </c>
    </row>
    <row r="4606" spans="1:4">
      <c r="A4606">
        <v>4603</v>
      </c>
      <c r="B4606" s="12">
        <v>159.70026730264846</v>
      </c>
      <c r="C4606" s="12">
        <v>148.01830403832275</v>
      </c>
      <c r="D4606" s="12">
        <v>92.875071453027346</v>
      </c>
    </row>
    <row r="4607" spans="1:4">
      <c r="A4607">
        <v>4604</v>
      </c>
      <c r="B4607" s="12">
        <v>149.43957732619987</v>
      </c>
      <c r="C4607" s="12">
        <v>152.53453839501591</v>
      </c>
      <c r="D4607" s="12">
        <v>77.145847045162299</v>
      </c>
    </row>
    <row r="4608" spans="1:4">
      <c r="A4608">
        <v>4605</v>
      </c>
      <c r="B4608" s="12">
        <v>106.99629769905775</v>
      </c>
      <c r="C4608" s="12">
        <v>133.80380271811728</v>
      </c>
      <c r="D4608" s="12">
        <v>120.53500791651787</v>
      </c>
    </row>
    <row r="4609" spans="1:4">
      <c r="A4609">
        <v>4606</v>
      </c>
      <c r="B4609" s="12">
        <v>141.09395241512428</v>
      </c>
      <c r="C4609" s="12">
        <v>225.51462446815884</v>
      </c>
      <c r="D4609" s="12">
        <v>86.809961229587884</v>
      </c>
    </row>
    <row r="4610" spans="1:4">
      <c r="A4610">
        <v>4607</v>
      </c>
      <c r="B4610" s="12">
        <v>150.40823615615844</v>
      </c>
      <c r="C4610" s="12">
        <v>150.6033361879187</v>
      </c>
      <c r="D4610" s="12">
        <v>84.34505700529229</v>
      </c>
    </row>
    <row r="4611" spans="1:4">
      <c r="A4611">
        <v>4608</v>
      </c>
      <c r="B4611" s="12">
        <v>188.35223339001683</v>
      </c>
      <c r="C4611" s="12">
        <v>143.11211692952926</v>
      </c>
      <c r="D4611" s="12">
        <v>140.22041080699969</v>
      </c>
    </row>
    <row r="4612" spans="1:4">
      <c r="A4612">
        <v>4609</v>
      </c>
      <c r="B4612" s="12">
        <v>170.60068575727487</v>
      </c>
      <c r="C4612" s="12">
        <v>155.52909671290212</v>
      </c>
      <c r="D4612" s="12">
        <v>85.813658086206672</v>
      </c>
    </row>
    <row r="4613" spans="1:4">
      <c r="A4613">
        <v>4610</v>
      </c>
      <c r="B4613" s="12">
        <v>180.42532006365914</v>
      </c>
      <c r="C4613" s="12">
        <v>154.87721120003113</v>
      </c>
      <c r="D4613" s="12">
        <v>87.9682467376105</v>
      </c>
    </row>
    <row r="4614" spans="1:4">
      <c r="A4614">
        <v>4611</v>
      </c>
      <c r="B4614" s="12">
        <v>170.19752627945962</v>
      </c>
      <c r="C4614" s="12">
        <v>175.50970048316725</v>
      </c>
      <c r="D4614" s="12">
        <v>96.804442029398487</v>
      </c>
    </row>
    <row r="4615" spans="1:4">
      <c r="A4615">
        <v>4612</v>
      </c>
      <c r="B4615" s="12">
        <v>157.1557876215206</v>
      </c>
      <c r="C4615" s="12">
        <v>136.01102173513519</v>
      </c>
      <c r="D4615" s="12">
        <v>151.36412518678466</v>
      </c>
    </row>
    <row r="4616" spans="1:4">
      <c r="A4616">
        <v>4613</v>
      </c>
      <c r="B4616" s="12">
        <v>158.49119707152391</v>
      </c>
      <c r="C4616" s="12">
        <v>188.22957227241031</v>
      </c>
      <c r="D4616" s="12">
        <v>73.992496197658639</v>
      </c>
    </row>
    <row r="4617" spans="1:4">
      <c r="A4617">
        <v>4614</v>
      </c>
      <c r="B4617" s="12">
        <v>153.66561598215739</v>
      </c>
      <c r="C4617" s="12">
        <v>120.11145489643187</v>
      </c>
      <c r="D4617" s="12">
        <v>92.442448133156091</v>
      </c>
    </row>
    <row r="4618" spans="1:4">
      <c r="A4618">
        <v>4615</v>
      </c>
      <c r="B4618" s="12">
        <v>123.36306761409504</v>
      </c>
      <c r="C4618" s="12">
        <v>135.50271174019753</v>
      </c>
      <c r="D4618" s="12">
        <v>114.43515874122861</v>
      </c>
    </row>
    <row r="4619" spans="1:4">
      <c r="A4619">
        <v>4616</v>
      </c>
      <c r="B4619" s="12">
        <v>158.72677784303832</v>
      </c>
      <c r="C4619" s="12">
        <v>149.95913596873029</v>
      </c>
      <c r="D4619" s="12">
        <v>86.537431145087069</v>
      </c>
    </row>
    <row r="4620" spans="1:4">
      <c r="A4620">
        <v>4617</v>
      </c>
      <c r="B4620" s="12">
        <v>176.84346503056489</v>
      </c>
      <c r="C4620" s="12">
        <v>160.89666129661094</v>
      </c>
      <c r="D4620" s="12">
        <v>60.173077561764323</v>
      </c>
    </row>
    <row r="4621" spans="1:4">
      <c r="A4621">
        <v>4618</v>
      </c>
      <c r="B4621" s="12">
        <v>157.52206219545565</v>
      </c>
      <c r="C4621" s="12">
        <v>194.05969917271074</v>
      </c>
      <c r="D4621" s="12">
        <v>61.641634267032281</v>
      </c>
    </row>
    <row r="4622" spans="1:4">
      <c r="A4622">
        <v>4619</v>
      </c>
      <c r="B4622" s="12">
        <v>242.69245268949476</v>
      </c>
      <c r="C4622" s="12">
        <v>134.8711715180425</v>
      </c>
      <c r="D4622" s="12">
        <v>83.129451363742561</v>
      </c>
    </row>
    <row r="4623" spans="1:4">
      <c r="A4623">
        <v>4620</v>
      </c>
      <c r="B4623" s="12">
        <v>165.02845973137633</v>
      </c>
      <c r="C4623" s="12">
        <v>199.23013814242628</v>
      </c>
      <c r="D4623" s="12">
        <v>167.8651696878035</v>
      </c>
    </row>
    <row r="4624" spans="1:4">
      <c r="A4624">
        <v>4621</v>
      </c>
      <c r="B4624" s="12">
        <v>128.49544976702035</v>
      </c>
      <c r="C4624" s="12">
        <v>145.64302285343896</v>
      </c>
      <c r="D4624" s="12">
        <v>82.84170416957042</v>
      </c>
    </row>
    <row r="4625" spans="1:4">
      <c r="A4625">
        <v>4622</v>
      </c>
      <c r="B4625" s="12">
        <v>197.85403635729014</v>
      </c>
      <c r="C4625" s="12">
        <v>128.131762169973</v>
      </c>
      <c r="D4625" s="12">
        <v>98.0474285915531</v>
      </c>
    </row>
    <row r="4626" spans="1:4">
      <c r="A4626">
        <v>4623</v>
      </c>
      <c r="B4626" s="12">
        <v>207.0472448898584</v>
      </c>
      <c r="C4626" s="12">
        <v>138.07246517008224</v>
      </c>
      <c r="D4626" s="12">
        <v>72.724062278148438</v>
      </c>
    </row>
    <row r="4627" spans="1:4">
      <c r="A4627">
        <v>4624</v>
      </c>
      <c r="B4627" s="12">
        <v>222.00084780955785</v>
      </c>
      <c r="C4627" s="12">
        <v>156.68240309598713</v>
      </c>
      <c r="D4627" s="12">
        <v>115.0225207662431</v>
      </c>
    </row>
    <row r="4628" spans="1:4">
      <c r="A4628">
        <v>4625</v>
      </c>
      <c r="B4628" s="12">
        <v>183.7439527455428</v>
      </c>
      <c r="C4628" s="12">
        <v>166.75380839835361</v>
      </c>
      <c r="D4628" s="12">
        <v>122.38373574925917</v>
      </c>
    </row>
    <row r="4629" spans="1:4">
      <c r="A4629">
        <v>4626</v>
      </c>
      <c r="B4629" s="12">
        <v>160.6780570839488</v>
      </c>
      <c r="C4629" s="12">
        <v>146.05412037154076</v>
      </c>
      <c r="D4629" s="12">
        <v>99.204518319358996</v>
      </c>
    </row>
    <row r="4630" spans="1:4">
      <c r="A4630">
        <v>4627</v>
      </c>
      <c r="B4630" s="12">
        <v>116.34005130695262</v>
      </c>
      <c r="C4630" s="12">
        <v>144.30649684094632</v>
      </c>
      <c r="D4630" s="12">
        <v>87.255360496210628</v>
      </c>
    </row>
    <row r="4631" spans="1:4">
      <c r="A4631">
        <v>4628</v>
      </c>
      <c r="B4631" s="12">
        <v>173.44678967364194</v>
      </c>
      <c r="C4631" s="12">
        <v>167.54013711790776</v>
      </c>
      <c r="D4631" s="12">
        <v>119.03907665422335</v>
      </c>
    </row>
    <row r="4632" spans="1:4">
      <c r="A4632">
        <v>4629</v>
      </c>
      <c r="B4632" s="12">
        <v>169.79622003666105</v>
      </c>
      <c r="C4632" s="12">
        <v>121.89082598586975</v>
      </c>
      <c r="D4632" s="12">
        <v>90.349146303547528</v>
      </c>
    </row>
    <row r="4633" spans="1:4">
      <c r="A4633">
        <v>4630</v>
      </c>
      <c r="B4633" s="12">
        <v>135.02886770895978</v>
      </c>
      <c r="C4633" s="12">
        <v>190.70243583010745</v>
      </c>
      <c r="D4633" s="12">
        <v>103.89929813175182</v>
      </c>
    </row>
    <row r="4634" spans="1:4">
      <c r="A4634">
        <v>4631</v>
      </c>
      <c r="B4634" s="12">
        <v>171.93721077194527</v>
      </c>
      <c r="C4634" s="12">
        <v>244.30402553398125</v>
      </c>
      <c r="D4634" s="12">
        <v>103.14460366509387</v>
      </c>
    </row>
    <row r="4635" spans="1:4">
      <c r="A4635">
        <v>4632</v>
      </c>
      <c r="B4635" s="12">
        <v>175.26193622966409</v>
      </c>
      <c r="C4635" s="12">
        <v>189.99321789195301</v>
      </c>
      <c r="D4635" s="12">
        <v>70.790547511717506</v>
      </c>
    </row>
    <row r="4636" spans="1:4">
      <c r="A4636">
        <v>4633</v>
      </c>
      <c r="B4636" s="12">
        <v>162.40905348644819</v>
      </c>
      <c r="C4636" s="12">
        <v>173.56446646193788</v>
      </c>
      <c r="D4636" s="12">
        <v>101.10233890246245</v>
      </c>
    </row>
    <row r="4637" spans="1:4">
      <c r="A4637">
        <v>4634</v>
      </c>
      <c r="B4637" s="12">
        <v>139.39916640071988</v>
      </c>
      <c r="C4637" s="12">
        <v>174.89181249045828</v>
      </c>
      <c r="D4637" s="12">
        <v>80.195493589896586</v>
      </c>
    </row>
    <row r="4638" spans="1:4">
      <c r="A4638">
        <v>4635</v>
      </c>
      <c r="B4638" s="12">
        <v>131.96502179976233</v>
      </c>
      <c r="C4638" s="12">
        <v>170.31996461539012</v>
      </c>
      <c r="D4638" s="12">
        <v>91.217531049424878</v>
      </c>
    </row>
    <row r="4639" spans="1:4">
      <c r="A4639">
        <v>4636</v>
      </c>
      <c r="B4639" s="12">
        <v>182.93927728567056</v>
      </c>
      <c r="C4639" s="12">
        <v>151.00326348108194</v>
      </c>
      <c r="D4639" s="12">
        <v>100.64908708493269</v>
      </c>
    </row>
    <row r="4640" spans="1:4">
      <c r="A4640">
        <v>4637</v>
      </c>
      <c r="B4640" s="12">
        <v>94.359919525711732</v>
      </c>
      <c r="C4640" s="12">
        <v>156.02484649657387</v>
      </c>
      <c r="D4640" s="12">
        <v>117.99287313212454</v>
      </c>
    </row>
    <row r="4641" spans="1:4">
      <c r="A4641">
        <v>4638</v>
      </c>
      <c r="B4641" s="12">
        <v>173.02917725154339</v>
      </c>
      <c r="C4641" s="12">
        <v>206.56073071319676</v>
      </c>
      <c r="D4641" s="12">
        <v>143.1585330645718</v>
      </c>
    </row>
    <row r="4642" spans="1:4">
      <c r="A4642">
        <v>4639</v>
      </c>
      <c r="B4642" s="12">
        <v>148.09811764065907</v>
      </c>
      <c r="C4642" s="12">
        <v>173.92336247774529</v>
      </c>
      <c r="D4642" s="12">
        <v>82.552377368199984</v>
      </c>
    </row>
    <row r="4643" spans="1:4">
      <c r="A4643">
        <v>4640</v>
      </c>
      <c r="B4643" s="12">
        <v>118.99315048127525</v>
      </c>
      <c r="C4643" s="12">
        <v>109.30763956567176</v>
      </c>
      <c r="D4643" s="12">
        <v>82.366188231902328</v>
      </c>
    </row>
    <row r="4644" spans="1:4">
      <c r="A4644">
        <v>4641</v>
      </c>
      <c r="B4644" s="12">
        <v>168.09785397901149</v>
      </c>
      <c r="C4644" s="12">
        <v>182.32629897609118</v>
      </c>
      <c r="D4644" s="12">
        <v>84.063319535928585</v>
      </c>
    </row>
    <row r="4645" spans="1:4">
      <c r="A4645">
        <v>4642</v>
      </c>
      <c r="B4645" s="12">
        <v>103.08366735832651</v>
      </c>
      <c r="C4645" s="12">
        <v>136.31684666551064</v>
      </c>
      <c r="D4645" s="12">
        <v>111.71174727828983</v>
      </c>
    </row>
    <row r="4646" spans="1:4">
      <c r="A4646">
        <v>4643</v>
      </c>
      <c r="B4646" s="12">
        <v>167.70544154764838</v>
      </c>
      <c r="C4646" s="12">
        <v>129.63093128454983</v>
      </c>
      <c r="D4646" s="12">
        <v>76.592574148412083</v>
      </c>
    </row>
    <row r="4647" spans="1:4">
      <c r="A4647">
        <v>4644</v>
      </c>
      <c r="B4647" s="12">
        <v>194.45226538075113</v>
      </c>
      <c r="C4647" s="12">
        <v>134.01545429506749</v>
      </c>
      <c r="D4647" s="12">
        <v>85.360665314815535</v>
      </c>
    </row>
    <row r="4648" spans="1:4">
      <c r="A4648">
        <v>4645</v>
      </c>
      <c r="B4648" s="12">
        <v>156.1902116569002</v>
      </c>
      <c r="C4648" s="12">
        <v>138.36056097609108</v>
      </c>
      <c r="D4648" s="12">
        <v>130.96371702095402</v>
      </c>
    </row>
    <row r="4649" spans="1:4">
      <c r="A4649">
        <v>4646</v>
      </c>
      <c r="B4649" s="12">
        <v>99.102750174605447</v>
      </c>
      <c r="C4649" s="12">
        <v>114.39182340918485</v>
      </c>
      <c r="D4649" s="12">
        <v>197.04964803944128</v>
      </c>
    </row>
    <row r="4650" spans="1:4">
      <c r="A4650">
        <v>4647</v>
      </c>
      <c r="B4650" s="12">
        <v>119.43024544612641</v>
      </c>
      <c r="C4650" s="12">
        <v>157.34386951354421</v>
      </c>
      <c r="D4650" s="12">
        <v>112.2615554318501</v>
      </c>
    </row>
    <row r="4651" spans="1:4">
      <c r="A4651">
        <v>4648</v>
      </c>
      <c r="B4651" s="12">
        <v>197.18819592200788</v>
      </c>
      <c r="C4651" s="12">
        <v>148.42167972546713</v>
      </c>
      <c r="D4651" s="12">
        <v>109.9862908983372</v>
      </c>
    </row>
    <row r="4652" spans="1:4">
      <c r="A4652">
        <v>4649</v>
      </c>
      <c r="B4652" s="12">
        <v>174.13700038027346</v>
      </c>
      <c r="C4652" s="12">
        <v>196.46494793965775</v>
      </c>
      <c r="D4652" s="12">
        <v>49.606415387082848</v>
      </c>
    </row>
    <row r="4653" spans="1:4">
      <c r="A4653">
        <v>4650</v>
      </c>
      <c r="B4653" s="12">
        <v>113.31277734016595</v>
      </c>
      <c r="C4653" s="12">
        <v>189.30765522440737</v>
      </c>
      <c r="D4653" s="12">
        <v>91.914836620784627</v>
      </c>
    </row>
    <row r="4654" spans="1:4">
      <c r="A4654">
        <v>4651</v>
      </c>
      <c r="B4654" s="12">
        <v>179.20808341644118</v>
      </c>
      <c r="C4654" s="12">
        <v>156.8424829635558</v>
      </c>
      <c r="D4654" s="12">
        <v>81.294115750292363</v>
      </c>
    </row>
    <row r="4655" spans="1:4">
      <c r="A4655">
        <v>4652</v>
      </c>
      <c r="B4655" s="12">
        <v>210.29874315468243</v>
      </c>
      <c r="C4655" s="12">
        <v>193.22259404914504</v>
      </c>
      <c r="D4655" s="12">
        <v>87.698814164436314</v>
      </c>
    </row>
    <row r="4656" spans="1:4">
      <c r="A4656">
        <v>4653</v>
      </c>
      <c r="B4656" s="12">
        <v>207.91119625219824</v>
      </c>
      <c r="C4656" s="12">
        <v>201.19146914271872</v>
      </c>
      <c r="D4656" s="12">
        <v>80.995170576230791</v>
      </c>
    </row>
    <row r="4657" spans="1:4">
      <c r="A4657">
        <v>4654</v>
      </c>
      <c r="B4657" s="12">
        <v>128.17494940456842</v>
      </c>
      <c r="C4657" s="12">
        <v>179.1291071635217</v>
      </c>
      <c r="D4657" s="12">
        <v>68.316671827368438</v>
      </c>
    </row>
    <row r="4658" spans="1:4">
      <c r="A4658">
        <v>4655</v>
      </c>
      <c r="B4658" s="12">
        <v>168.49183922536955</v>
      </c>
      <c r="C4658" s="12">
        <v>159.52189579281344</v>
      </c>
      <c r="D4658" s="12">
        <v>70.058386686438268</v>
      </c>
    </row>
    <row r="4659" spans="1:4">
      <c r="A4659">
        <v>4656</v>
      </c>
      <c r="B4659" s="12">
        <v>139.79836904797068</v>
      </c>
      <c r="C4659" s="12">
        <v>155.12375970010882</v>
      </c>
      <c r="D4659" s="12">
        <v>62.447919847103151</v>
      </c>
    </row>
    <row r="4660" spans="1:4">
      <c r="A4660">
        <v>4657</v>
      </c>
      <c r="B4660" s="12">
        <v>154.62812808017941</v>
      </c>
      <c r="C4660" s="12">
        <v>112.19807302057177</v>
      </c>
      <c r="D4660" s="12">
        <v>98.759784832851196</v>
      </c>
    </row>
    <row r="4661" spans="1:4">
      <c r="A4661">
        <v>4658</v>
      </c>
      <c r="B4661" s="12">
        <v>200.83585903661228</v>
      </c>
      <c r="C4661" s="12">
        <v>144.46978866652773</v>
      </c>
      <c r="D4661" s="12">
        <v>129.44149438355743</v>
      </c>
    </row>
    <row r="4662" spans="1:4">
      <c r="A4662">
        <v>4659</v>
      </c>
      <c r="B4662" s="12">
        <v>110.77673048120667</v>
      </c>
      <c r="C4662" s="12">
        <v>195.51757456796543</v>
      </c>
      <c r="D4662" s="12">
        <v>85.53785589501075</v>
      </c>
    </row>
    <row r="4663" spans="1:4">
      <c r="A4663">
        <v>4660</v>
      </c>
      <c r="B4663" s="12">
        <v>241.01147228840316</v>
      </c>
      <c r="C4663" s="12">
        <v>148.91227818963381</v>
      </c>
      <c r="D4663" s="12">
        <v>68.813164471804996</v>
      </c>
    </row>
    <row r="4664" spans="1:4">
      <c r="A4664">
        <v>4661</v>
      </c>
      <c r="B4664" s="12">
        <v>142.89359067973592</v>
      </c>
      <c r="C4664" s="12">
        <v>149.31389866864555</v>
      </c>
      <c r="D4664" s="12">
        <v>88.676837290905155</v>
      </c>
    </row>
    <row r="4665" spans="1:4">
      <c r="A4665">
        <v>4662</v>
      </c>
      <c r="B4665" s="12">
        <v>167.0649483693966</v>
      </c>
      <c r="C4665" s="12">
        <v>186.60129005970171</v>
      </c>
      <c r="D4665" s="12">
        <v>76.809831985536917</v>
      </c>
    </row>
    <row r="4666" spans="1:4">
      <c r="A4666">
        <v>4663</v>
      </c>
      <c r="B4666" s="12">
        <v>144.90339679393642</v>
      </c>
      <c r="C4666" s="12">
        <v>145.39155393241563</v>
      </c>
      <c r="D4666" s="12">
        <v>101.37977616507979</v>
      </c>
    </row>
    <row r="4667" spans="1:4">
      <c r="A4667">
        <v>4664</v>
      </c>
      <c r="B4667" s="12">
        <v>254.93431948059302</v>
      </c>
      <c r="C4667" s="12">
        <v>186.0150917148342</v>
      </c>
      <c r="D4667" s="12">
        <v>96.101343214162881</v>
      </c>
    </row>
    <row r="4668" spans="1:4">
      <c r="A4668">
        <v>4665</v>
      </c>
      <c r="B4668" s="12">
        <v>160.07002168978204</v>
      </c>
      <c r="C4668" s="12">
        <v>127.41596550083017</v>
      </c>
      <c r="D4668" s="12">
        <v>81.5910619299312</v>
      </c>
    </row>
    <row r="4669" spans="1:4">
      <c r="A4669">
        <v>4666</v>
      </c>
      <c r="B4669" s="12">
        <v>171.26624912495132</v>
      </c>
      <c r="C4669" s="12">
        <v>172.63604489708305</v>
      </c>
      <c r="D4669" s="12">
        <v>103.32693107510715</v>
      </c>
    </row>
    <row r="4670" spans="1:4">
      <c r="A4670">
        <v>4667</v>
      </c>
      <c r="B4670" s="12">
        <v>128.99034034817885</v>
      </c>
      <c r="C4670" s="12">
        <v>122.50831220196562</v>
      </c>
      <c r="D4670" s="12">
        <v>67.990491013582542</v>
      </c>
    </row>
    <row r="4671" spans="1:4">
      <c r="A4671">
        <v>4668</v>
      </c>
      <c r="B4671" s="12">
        <v>110.1033007131244</v>
      </c>
      <c r="C4671" s="12">
        <v>131.02818907362709</v>
      </c>
      <c r="D4671" s="12">
        <v>132.57421853339434</v>
      </c>
    </row>
    <row r="4672" spans="1:4">
      <c r="A4672">
        <v>4669</v>
      </c>
      <c r="B4672" s="12">
        <v>263.09991837512581</v>
      </c>
      <c r="C4672" s="12">
        <v>129.23027173886277</v>
      </c>
      <c r="D4672" s="12">
        <v>95.931165136550064</v>
      </c>
    </row>
    <row r="4673" spans="1:4">
      <c r="A4673">
        <v>4670</v>
      </c>
      <c r="B4673" s="12">
        <v>238.57446585698835</v>
      </c>
      <c r="C4673" s="12">
        <v>198.13280208243847</v>
      </c>
      <c r="D4673" s="12">
        <v>83.31296769745363</v>
      </c>
    </row>
    <row r="4674" spans="1:4">
      <c r="A4674">
        <v>4671</v>
      </c>
      <c r="B4674" s="12">
        <v>112.7287939005184</v>
      </c>
      <c r="C4674" s="12">
        <v>127.85555142309161</v>
      </c>
      <c r="D4674" s="12">
        <v>155.25768408869791</v>
      </c>
    </row>
    <row r="4675" spans="1:4">
      <c r="A4675">
        <v>4672</v>
      </c>
      <c r="B4675" s="12">
        <v>155.59123247423167</v>
      </c>
      <c r="C4675" s="12">
        <v>220.39627754860632</v>
      </c>
      <c r="D4675" s="12">
        <v>105.43494641698598</v>
      </c>
    </row>
    <row r="4676" spans="1:4">
      <c r="A4676">
        <v>4673</v>
      </c>
      <c r="B4676" s="12">
        <v>165.65719151062223</v>
      </c>
      <c r="C4676" s="12">
        <v>135.18863355133107</v>
      </c>
      <c r="D4676" s="12">
        <v>166.07810449588152</v>
      </c>
    </row>
    <row r="4677" spans="1:4">
      <c r="A4677">
        <v>4674</v>
      </c>
      <c r="B4677" s="12">
        <v>149.80678812221231</v>
      </c>
      <c r="C4677" s="12">
        <v>134.34262138853558</v>
      </c>
      <c r="D4677" s="12">
        <v>46.2334261772098</v>
      </c>
    </row>
    <row r="4678" spans="1:4">
      <c r="A4678">
        <v>4675</v>
      </c>
      <c r="B4678" s="12">
        <v>140.84265063535014</v>
      </c>
      <c r="C4678" s="12">
        <v>153.17937940129278</v>
      </c>
      <c r="D4678" s="12">
        <v>74.365686485021826</v>
      </c>
    </row>
    <row r="4679" spans="1:4">
      <c r="A4679">
        <v>4676</v>
      </c>
      <c r="B4679" s="12">
        <v>125.41418267289782</v>
      </c>
      <c r="C4679" s="12">
        <v>187.20359187498144</v>
      </c>
      <c r="D4679" s="12">
        <v>138.58701973223441</v>
      </c>
    </row>
    <row r="4680" spans="1:4">
      <c r="A4680">
        <v>4677</v>
      </c>
      <c r="B4680" s="12">
        <v>153.89908611005654</v>
      </c>
      <c r="C4680" s="12">
        <v>159.78016016377686</v>
      </c>
      <c r="D4680" s="12">
        <v>127.46778676696438</v>
      </c>
    </row>
    <row r="4681" spans="1:4">
      <c r="A4681">
        <v>4678</v>
      </c>
      <c r="B4681" s="12">
        <v>149.07186103624062</v>
      </c>
      <c r="C4681" s="12">
        <v>171.1849817386458</v>
      </c>
      <c r="D4681" s="12">
        <v>89.115224480399689</v>
      </c>
    </row>
    <row r="4682" spans="1:4">
      <c r="A4682">
        <v>4679</v>
      </c>
      <c r="B4682" s="12">
        <v>196.11860588136773</v>
      </c>
      <c r="C4682" s="12">
        <v>131.26505035914889</v>
      </c>
      <c r="D4682" s="12">
        <v>91.745776414814941</v>
      </c>
    </row>
    <row r="4683" spans="1:4">
      <c r="A4683">
        <v>4680</v>
      </c>
      <c r="B4683" s="12">
        <v>127.66886377375361</v>
      </c>
      <c r="C4683" s="12">
        <v>126.67087734807801</v>
      </c>
      <c r="D4683" s="12">
        <v>174.7218156021199</v>
      </c>
    </row>
    <row r="4684" spans="1:4">
      <c r="A4684">
        <v>4681</v>
      </c>
      <c r="B4684" s="12">
        <v>146.88148485653576</v>
      </c>
      <c r="C4684" s="12">
        <v>141.28620271193543</v>
      </c>
      <c r="D4684" s="12">
        <v>116.35849464486435</v>
      </c>
    </row>
    <row r="4685" spans="1:4">
      <c r="A4685">
        <v>4682</v>
      </c>
      <c r="B4685" s="12">
        <v>152.93654215790775</v>
      </c>
      <c r="C4685" s="12">
        <v>161.86142856353464</v>
      </c>
      <c r="D4685" s="12">
        <v>116.97626152838836</v>
      </c>
    </row>
    <row r="4686" spans="1:4">
      <c r="A4686">
        <v>4683</v>
      </c>
      <c r="B4686" s="12">
        <v>176.40533274969735</v>
      </c>
      <c r="C4686" s="12">
        <v>185.085657137732</v>
      </c>
      <c r="D4686" s="12">
        <v>79.379390635652229</v>
      </c>
    </row>
    <row r="4687" spans="1:4">
      <c r="A4687">
        <v>4684</v>
      </c>
      <c r="B4687" s="12">
        <v>135.45662245290637</v>
      </c>
      <c r="C4687" s="12">
        <v>163.28983210301695</v>
      </c>
      <c r="D4687" s="12">
        <v>111.37994821723544</v>
      </c>
    </row>
    <row r="4688" spans="1:4">
      <c r="A4688">
        <v>4685</v>
      </c>
      <c r="B4688" s="12">
        <v>202.7947689395447</v>
      </c>
      <c r="C4688" s="12">
        <v>142.42247252972922</v>
      </c>
      <c r="D4688" s="12">
        <v>148.04439516986255</v>
      </c>
    </row>
    <row r="4689" spans="1:4">
      <c r="A4689">
        <v>4686</v>
      </c>
      <c r="B4689" s="12">
        <v>161.42195650764086</v>
      </c>
      <c r="C4689" s="12">
        <v>176.53269838822337</v>
      </c>
      <c r="D4689" s="12">
        <v>94.701796516823663</v>
      </c>
    </row>
    <row r="4690" spans="1:4">
      <c r="A4690">
        <v>4687</v>
      </c>
      <c r="B4690" s="12">
        <v>166.04210582909423</v>
      </c>
      <c r="C4690" s="12">
        <v>191.92260213459602</v>
      </c>
      <c r="D4690" s="12">
        <v>66.925909752978683</v>
      </c>
    </row>
    <row r="4691" spans="1:4">
      <c r="A4691">
        <v>4688</v>
      </c>
      <c r="B4691" s="12">
        <v>208.47574512395011</v>
      </c>
      <c r="C4691" s="12">
        <v>153.58065345327861</v>
      </c>
      <c r="D4691" s="12">
        <v>92.178682419181385</v>
      </c>
    </row>
    <row r="4692" spans="1:4">
      <c r="A4692">
        <v>4689</v>
      </c>
      <c r="B4692" s="12">
        <v>152.33822438971339</v>
      </c>
      <c r="C4692" s="12">
        <v>146.71236698807883</v>
      </c>
      <c r="D4692" s="12">
        <v>97.071442326645084</v>
      </c>
    </row>
    <row r="4693" spans="1:4">
      <c r="A4693">
        <v>4690</v>
      </c>
      <c r="B4693" s="12">
        <v>130.26732712278715</v>
      </c>
      <c r="C4693" s="12">
        <v>116.54668117928213</v>
      </c>
      <c r="D4693" s="12">
        <v>77.478171703700497</v>
      </c>
    </row>
    <row r="4694" spans="1:4">
      <c r="A4694">
        <v>4691</v>
      </c>
      <c r="B4694" s="12">
        <v>189.8029421945412</v>
      </c>
      <c r="C4694" s="12">
        <v>141.01718495206026</v>
      </c>
      <c r="D4694" s="12">
        <v>190.23556598002079</v>
      </c>
    </row>
    <row r="4695" spans="1:4">
      <c r="A4695">
        <v>4692</v>
      </c>
      <c r="B4695" s="12">
        <v>143.90301353654678</v>
      </c>
      <c r="C4695" s="12">
        <v>147.36690207392741</v>
      </c>
      <c r="D4695" s="12">
        <v>94.966264747651778</v>
      </c>
    </row>
    <row r="4696" spans="1:4">
      <c r="A4696">
        <v>4693</v>
      </c>
      <c r="B4696" s="12">
        <v>140.44878486580367</v>
      </c>
      <c r="C4696" s="12">
        <v>172.07245216969781</v>
      </c>
      <c r="D4696" s="12">
        <v>86.984108669885273</v>
      </c>
    </row>
    <row r="4697" spans="1:4">
      <c r="A4697">
        <v>4694</v>
      </c>
      <c r="B4697" s="12">
        <v>215.63441580515232</v>
      </c>
      <c r="C4697" s="12">
        <v>160.72842889340538</v>
      </c>
      <c r="D4697" s="12">
        <v>100.37391041214882</v>
      </c>
    </row>
    <row r="4698" spans="1:4">
      <c r="A4698">
        <v>4695</v>
      </c>
      <c r="B4698" s="12">
        <v>142.50870308240451</v>
      </c>
      <c r="C4698" s="12">
        <v>167.04984865915816</v>
      </c>
      <c r="D4698" s="12">
        <v>99.651057479833227</v>
      </c>
    </row>
    <row r="4699" spans="1:4">
      <c r="A4699">
        <v>4696</v>
      </c>
      <c r="B4699" s="12">
        <v>145.52087218350556</v>
      </c>
      <c r="C4699" s="12">
        <v>160.46664295312928</v>
      </c>
      <c r="D4699" s="12">
        <v>123.57876759952816</v>
      </c>
    </row>
    <row r="4700" spans="1:4">
      <c r="A4700">
        <v>4697</v>
      </c>
      <c r="B4700" s="12">
        <v>157.75687846128591</v>
      </c>
      <c r="C4700" s="12">
        <v>151.89056300472609</v>
      </c>
      <c r="D4700" s="12">
        <v>79.690516692179642</v>
      </c>
    </row>
    <row r="4701" spans="1:4">
      <c r="A4701">
        <v>4698</v>
      </c>
      <c r="B4701" s="12">
        <v>230.00198184724036</v>
      </c>
      <c r="C4701" s="12">
        <v>152.77861922477931</v>
      </c>
      <c r="D4701" s="12">
        <v>139.3903921091856</v>
      </c>
    </row>
    <row r="4702" spans="1:4">
      <c r="A4702">
        <v>4699</v>
      </c>
      <c r="B4702" s="12">
        <v>125.76143686126142</v>
      </c>
      <c r="C4702" s="12">
        <v>149.55841000935661</v>
      </c>
      <c r="D4702" s="12">
        <v>64.343118699424352</v>
      </c>
    </row>
    <row r="4703" spans="1:4">
      <c r="A4703">
        <v>4700</v>
      </c>
      <c r="B4703" s="12">
        <v>151.73946235326156</v>
      </c>
      <c r="C4703" s="12">
        <v>128.55510095677087</v>
      </c>
      <c r="D4703" s="12">
        <v>79.178714848564482</v>
      </c>
    </row>
    <row r="4704" spans="1:4">
      <c r="A4704">
        <v>4701</v>
      </c>
      <c r="B4704" s="12">
        <v>181.66834950134552</v>
      </c>
      <c r="C4704" s="12">
        <v>152.93504009909381</v>
      </c>
      <c r="D4704" s="12">
        <v>94.268335248632013</v>
      </c>
    </row>
    <row r="4705" spans="1:4">
      <c r="A4705">
        <v>4702</v>
      </c>
      <c r="B4705" s="12">
        <v>143.52186204595756</v>
      </c>
      <c r="C4705" s="12">
        <v>164.75790006852807</v>
      </c>
      <c r="D4705" s="12">
        <v>106.40872640017895</v>
      </c>
    </row>
    <row r="4706" spans="1:4">
      <c r="A4706">
        <v>4703</v>
      </c>
      <c r="B4706" s="12">
        <v>105.63675188511793</v>
      </c>
      <c r="C4706" s="12">
        <v>152.13437084968785</v>
      </c>
      <c r="D4706" s="12">
        <v>146.9024079906232</v>
      </c>
    </row>
    <row r="4707" spans="1:4">
      <c r="A4707">
        <v>4704</v>
      </c>
      <c r="B4707" s="12">
        <v>107.80723798742652</v>
      </c>
      <c r="C4707" s="12">
        <v>204.90686499943962</v>
      </c>
      <c r="D4707" s="12">
        <v>78.544761548118558</v>
      </c>
    </row>
    <row r="4708" spans="1:4">
      <c r="A4708">
        <v>4705</v>
      </c>
      <c r="B4708" s="12">
        <v>138.73948056258601</v>
      </c>
      <c r="C4708" s="12">
        <v>157.09287325264191</v>
      </c>
      <c r="D4708" s="12">
        <v>153.70206912453992</v>
      </c>
    </row>
    <row r="4709" spans="1:4">
      <c r="A4709">
        <v>4706</v>
      </c>
      <c r="B4709" s="12">
        <v>250.97801829679818</v>
      </c>
      <c r="C4709" s="12">
        <v>132.21654215492339</v>
      </c>
      <c r="D4709" s="12">
        <v>89.648023772555234</v>
      </c>
    </row>
    <row r="4710" spans="1:4">
      <c r="A4710">
        <v>4707</v>
      </c>
      <c r="B4710" s="12">
        <v>138.33429863779406</v>
      </c>
      <c r="C4710" s="12">
        <v>178.00713206368479</v>
      </c>
      <c r="D4710" s="12">
        <v>71.913193778316526</v>
      </c>
    </row>
    <row r="4711" spans="1:4">
      <c r="A4711">
        <v>4708</v>
      </c>
      <c r="B4711" s="12">
        <v>159.46375066250971</v>
      </c>
      <c r="C4711" s="12">
        <v>183.66522741947594</v>
      </c>
      <c r="D4711" s="12">
        <v>81.780258448449388</v>
      </c>
    </row>
    <row r="4712" spans="1:4">
      <c r="A4712">
        <v>4709</v>
      </c>
      <c r="B4712" s="12">
        <v>123.94052126594413</v>
      </c>
      <c r="C4712" s="12">
        <v>192.70474007322747</v>
      </c>
      <c r="D4712" s="12">
        <v>101.65812727634757</v>
      </c>
    </row>
    <row r="4713" spans="1:4">
      <c r="A4713">
        <v>4710</v>
      </c>
      <c r="B4713" s="12">
        <v>182.45453956419564</v>
      </c>
      <c r="C4713" s="12">
        <v>169.16076682045997</v>
      </c>
      <c r="D4713" s="12">
        <v>113.16153338029078</v>
      </c>
    </row>
    <row r="4714" spans="1:4">
      <c r="A4714">
        <v>4711</v>
      </c>
      <c r="B4714" s="12">
        <v>192.25550540124138</v>
      </c>
      <c r="C4714" s="12">
        <v>154.22788774021367</v>
      </c>
      <c r="D4714" s="12">
        <v>90.083900355146483</v>
      </c>
    </row>
    <row r="4715" spans="1:4">
      <c r="A4715">
        <v>4712</v>
      </c>
      <c r="B4715" s="12">
        <v>161.04962717678103</v>
      </c>
      <c r="C4715" s="12">
        <v>123.46704626013559</v>
      </c>
      <c r="D4715" s="12">
        <v>88.237063681284894</v>
      </c>
    </row>
    <row r="4716" spans="1:4">
      <c r="A4716">
        <v>4713</v>
      </c>
      <c r="B4716" s="12">
        <v>144.52553134853605</v>
      </c>
      <c r="C4716" s="12">
        <v>162.57106842156833</v>
      </c>
      <c r="D4716" s="12">
        <v>114.08132723197362</v>
      </c>
    </row>
    <row r="4717" spans="1:4">
      <c r="A4717">
        <v>4714</v>
      </c>
      <c r="B4717" s="12">
        <v>187.81409672071717</v>
      </c>
      <c r="C4717" s="12">
        <v>160.20586876711127</v>
      </c>
      <c r="D4717" s="12">
        <v>65.99211528811577</v>
      </c>
    </row>
    <row r="4718" spans="1:4">
      <c r="A4718">
        <v>4715</v>
      </c>
      <c r="B4718" s="12">
        <v>148.83603665619191</v>
      </c>
      <c r="C4718" s="12">
        <v>136.81236432747036</v>
      </c>
      <c r="D4718" s="12">
        <v>142.55645998585899</v>
      </c>
    </row>
    <row r="4719" spans="1:4">
      <c r="A4719">
        <v>4716</v>
      </c>
      <c r="B4719" s="12">
        <v>167.45488829020314</v>
      </c>
      <c r="C4719" s="12">
        <v>161.5949101015064</v>
      </c>
      <c r="D4719" s="12">
        <v>218.32280902851753</v>
      </c>
    </row>
    <row r="4720" spans="1:4">
      <c r="A4720">
        <v>4717</v>
      </c>
      <c r="B4720" s="12">
        <v>166.42833875866654</v>
      </c>
      <c r="C4720" s="12">
        <v>163.74132822158651</v>
      </c>
      <c r="D4720" s="12">
        <v>141.64538546826373</v>
      </c>
    </row>
    <row r="4721" spans="1:4">
      <c r="A4721">
        <v>4718</v>
      </c>
      <c r="B4721" s="12">
        <v>121.15522901275499</v>
      </c>
      <c r="C4721" s="12">
        <v>155.37070150098256</v>
      </c>
      <c r="D4721" s="12">
        <v>121.23129359718183</v>
      </c>
    </row>
    <row r="4722" spans="1:4">
      <c r="A4722">
        <v>4719</v>
      </c>
      <c r="B4722" s="12">
        <v>163.64448476499967</v>
      </c>
      <c r="C4722" s="12">
        <v>139.84797881881326</v>
      </c>
      <c r="D4722" s="12">
        <v>122.83106801786909</v>
      </c>
    </row>
    <row r="4723" spans="1:4">
      <c r="A4723">
        <v>4720</v>
      </c>
      <c r="B4723" s="12">
        <v>134.59767676475096</v>
      </c>
      <c r="C4723" s="12">
        <v>134.66597466679502</v>
      </c>
      <c r="D4723" s="12">
        <v>117.35793880977486</v>
      </c>
    </row>
    <row r="4724" spans="1:4">
      <c r="A4724">
        <v>4721</v>
      </c>
      <c r="B4724" s="12">
        <v>150.04175723588529</v>
      </c>
      <c r="C4724" s="12">
        <v>168.65002506288357</v>
      </c>
      <c r="D4724" s="12">
        <v>95.400632257858689</v>
      </c>
    </row>
    <row r="4725" spans="1:4">
      <c r="A4725">
        <v>4722</v>
      </c>
      <c r="B4725" s="12">
        <v>163.02545952107715</v>
      </c>
      <c r="C4725" s="12">
        <v>106.87972539602566</v>
      </c>
      <c r="D4725" s="12">
        <v>100.92509414015615</v>
      </c>
    </row>
    <row r="4726" spans="1:4">
      <c r="A4726">
        <v>4723</v>
      </c>
      <c r="B4726" s="12">
        <v>186.42084219277643</v>
      </c>
      <c r="C4726" s="12">
        <v>162.30128768637783</v>
      </c>
      <c r="D4726" s="12">
        <v>163.56240748846645</v>
      </c>
    </row>
    <row r="4727" spans="1:4">
      <c r="A4727">
        <v>4724</v>
      </c>
      <c r="B4727" s="12">
        <v>219.43933720420918</v>
      </c>
      <c r="C4727" s="12">
        <v>145.80374187273665</v>
      </c>
      <c r="D4727" s="12">
        <v>121.66298382538325</v>
      </c>
    </row>
    <row r="4728" spans="1:4">
      <c r="A4728">
        <v>4725</v>
      </c>
      <c r="B4728" s="12">
        <v>137.92667028030783</v>
      </c>
      <c r="C4728" s="12">
        <v>125.40010609694481</v>
      </c>
      <c r="D4728" s="12">
        <v>54.709621903623677</v>
      </c>
    </row>
    <row r="4729" spans="1:4">
      <c r="A4729">
        <v>4726</v>
      </c>
      <c r="B4729" s="12">
        <v>137.66423286658761</v>
      </c>
      <c r="C4729" s="12">
        <v>159.1001174112221</v>
      </c>
      <c r="D4729" s="12">
        <v>131.95313477655978</v>
      </c>
    </row>
    <row r="4730" spans="1:4">
      <c r="A4730">
        <v>4727</v>
      </c>
      <c r="B4730" s="12">
        <v>140.05296950140928</v>
      </c>
      <c r="C4730" s="12">
        <v>113.59342819652991</v>
      </c>
      <c r="D4730" s="12">
        <v>79.999107751101519</v>
      </c>
    </row>
    <row r="4731" spans="1:4">
      <c r="A4731">
        <v>4728</v>
      </c>
      <c r="B4731" s="12">
        <v>178.01471842991819</v>
      </c>
      <c r="C4731" s="12">
        <v>158.84413704239643</v>
      </c>
      <c r="D4731" s="12">
        <v>73.367159093475479</v>
      </c>
    </row>
    <row r="4732" spans="1:4">
      <c r="A4732">
        <v>4729</v>
      </c>
      <c r="B4732" s="12">
        <v>129.47886155359612</v>
      </c>
      <c r="C4732" s="12">
        <v>175.89284568023362</v>
      </c>
      <c r="D4732" s="12">
        <v>77.689183184724882</v>
      </c>
    </row>
    <row r="4733" spans="1:4">
      <c r="A4733">
        <v>4730</v>
      </c>
      <c r="B4733" s="12">
        <v>141.87391024951779</v>
      </c>
      <c r="C4733" s="12">
        <v>151.24698599481326</v>
      </c>
      <c r="D4733" s="12">
        <v>82.074111988954257</v>
      </c>
    </row>
    <row r="4734" spans="1:4">
      <c r="A4734">
        <v>4731</v>
      </c>
      <c r="B4734" s="12">
        <v>203.56362866540184</v>
      </c>
      <c r="C4734" s="12">
        <v>110.55261666636234</v>
      </c>
      <c r="D4734" s="12">
        <v>59.161566258432011</v>
      </c>
    </row>
    <row r="4735" spans="1:4">
      <c r="A4735">
        <v>4732</v>
      </c>
      <c r="B4735" s="12">
        <v>287.31266629273097</v>
      </c>
      <c r="C4735" s="12">
        <v>125.71728314254862</v>
      </c>
      <c r="D4735" s="12">
        <v>102.39775960064463</v>
      </c>
    </row>
    <row r="4736" spans="1:4">
      <c r="A4736">
        <v>4733</v>
      </c>
      <c r="B4736" s="12">
        <v>178.75343405033178</v>
      </c>
      <c r="C4736" s="12">
        <v>177.59419107302594</v>
      </c>
      <c r="D4736" s="12">
        <v>92.611372764978697</v>
      </c>
    </row>
    <row r="4737" spans="1:4">
      <c r="A4737">
        <v>4734</v>
      </c>
      <c r="B4737" s="12">
        <v>175.69270424742609</v>
      </c>
      <c r="C4737" s="12">
        <v>163.01650725213381</v>
      </c>
      <c r="D4737" s="12">
        <v>150.04952681442001</v>
      </c>
    </row>
    <row r="4738" spans="1:4">
      <c r="A4738">
        <v>4735</v>
      </c>
      <c r="B4738" s="12">
        <v>89.758773810554047</v>
      </c>
      <c r="C4738" s="12">
        <v>121.24452755519613</v>
      </c>
      <c r="D4738" s="12">
        <v>140.76702583756605</v>
      </c>
    </row>
    <row r="4739" spans="1:4">
      <c r="A4739">
        <v>4736</v>
      </c>
      <c r="B4739" s="12">
        <v>151.00864010271195</v>
      </c>
      <c r="C4739" s="12">
        <v>166.27256746446139</v>
      </c>
      <c r="D4739" s="12">
        <v>101.83691786785434</v>
      </c>
    </row>
    <row r="4740" spans="1:4">
      <c r="A4740">
        <v>4737</v>
      </c>
      <c r="B4740" s="12">
        <v>136.15131025403602</v>
      </c>
      <c r="C4740" s="12">
        <v>185.6475944111391</v>
      </c>
      <c r="D4740" s="12">
        <v>145.81366892385947</v>
      </c>
    </row>
    <row r="4741" spans="1:4">
      <c r="A4741">
        <v>4738</v>
      </c>
      <c r="B4741" s="12">
        <v>145.14483595401705</v>
      </c>
      <c r="C4741" s="12">
        <v>184.19289832135087</v>
      </c>
      <c r="D4741" s="12">
        <v>156.31506347312032</v>
      </c>
    </row>
    <row r="4742" spans="1:4">
      <c r="A4742">
        <v>4739</v>
      </c>
      <c r="B4742" s="12">
        <v>135.72887959366361</v>
      </c>
      <c r="C4742" s="12">
        <v>131.98924554582658</v>
      </c>
      <c r="D4742" s="12">
        <v>127.99666868855921</v>
      </c>
    </row>
    <row r="4743" spans="1:4">
      <c r="A4743">
        <v>4740</v>
      </c>
      <c r="B4743" s="12">
        <v>117.57407356498119</v>
      </c>
      <c r="C4743" s="12">
        <v>159.35693685186871</v>
      </c>
      <c r="D4743" s="12">
        <v>104.84901384551551</v>
      </c>
    </row>
    <row r="4744" spans="1:4">
      <c r="A4744">
        <v>4741</v>
      </c>
      <c r="B4744" s="12">
        <v>120.09743234648855</v>
      </c>
      <c r="C4744" s="12">
        <v>140.12377864198771</v>
      </c>
      <c r="D4744" s="12">
        <v>99.924189114627012</v>
      </c>
    </row>
    <row r="4745" spans="1:4">
      <c r="A4745">
        <v>4742</v>
      </c>
      <c r="B4745" s="12">
        <v>108.99545601212635</v>
      </c>
      <c r="C4745" s="12">
        <v>150.20319661346593</v>
      </c>
      <c r="D4745" s="12">
        <v>57.222732150781681</v>
      </c>
    </row>
    <row r="4746" spans="1:4">
      <c r="A4746">
        <v>4743</v>
      </c>
      <c r="B4746" s="12">
        <v>160.44043161036439</v>
      </c>
      <c r="C4746" s="12">
        <v>179.85112670811537</v>
      </c>
      <c r="D4746" s="12">
        <v>88.408946655220987</v>
      </c>
    </row>
    <row r="4747" spans="1:4">
      <c r="A4747">
        <v>4744</v>
      </c>
      <c r="B4747" s="12">
        <v>201.5660677126144</v>
      </c>
      <c r="C4747" s="12">
        <v>119.36840060489656</v>
      </c>
      <c r="D4747" s="12">
        <v>148.80661249307974</v>
      </c>
    </row>
    <row r="4748" spans="1:4">
      <c r="A4748">
        <v>4745</v>
      </c>
      <c r="B4748" s="12">
        <v>142.12227554273213</v>
      </c>
      <c r="C4748" s="12">
        <v>203.9279845884852</v>
      </c>
      <c r="D4748" s="12">
        <v>93.138768058152635</v>
      </c>
    </row>
    <row r="4749" spans="1:4">
      <c r="A4749">
        <v>4746</v>
      </c>
      <c r="B4749" s="12">
        <v>118.29439664199685</v>
      </c>
      <c r="C4749" s="12">
        <v>142.25395535968434</v>
      </c>
      <c r="D4749" s="12">
        <v>93.57144509517984</v>
      </c>
    </row>
    <row r="4750" spans="1:4">
      <c r="A4750">
        <v>4747</v>
      </c>
      <c r="B4750" s="12">
        <v>146.50896497351872</v>
      </c>
      <c r="C4750" s="12">
        <v>158.42592684615281</v>
      </c>
      <c r="D4750" s="12">
        <v>137.32194840477607</v>
      </c>
    </row>
    <row r="4751" spans="1:4">
      <c r="A4751">
        <v>4748</v>
      </c>
      <c r="B4751" s="12">
        <v>129.78858021651246</v>
      </c>
      <c r="C4751" s="12">
        <v>143.62944823252795</v>
      </c>
      <c r="D4751" s="12">
        <v>89.381834111835872</v>
      </c>
    </row>
    <row r="4752" spans="1:4">
      <c r="A4752">
        <v>4749</v>
      </c>
      <c r="B4752" s="12">
        <v>164.02317823252551</v>
      </c>
      <c r="C4752" s="12">
        <v>211.9732765037518</v>
      </c>
      <c r="D4752" s="12">
        <v>136.58046063642931</v>
      </c>
    </row>
    <row r="4753" spans="1:4">
      <c r="A4753">
        <v>4750</v>
      </c>
      <c r="B4753" s="12">
        <v>156.78986417503316</v>
      </c>
      <c r="C4753" s="12">
        <v>153.82555173037599</v>
      </c>
      <c r="D4753" s="12">
        <v>71.223284559144915</v>
      </c>
    </row>
    <row r="4754" spans="1:4">
      <c r="A4754">
        <v>4751</v>
      </c>
      <c r="B4754" s="12">
        <v>136.57067555669929</v>
      </c>
      <c r="C4754" s="12">
        <v>161.1601825100428</v>
      </c>
      <c r="D4754" s="12">
        <v>120.11754572917084</v>
      </c>
    </row>
    <row r="4755" spans="1:4">
      <c r="A4755">
        <v>4752</v>
      </c>
      <c r="B4755" s="12">
        <v>166.67645129978587</v>
      </c>
      <c r="C4755" s="12">
        <v>132.56716906122645</v>
      </c>
      <c r="D4755" s="12">
        <v>66.568438742181755</v>
      </c>
    </row>
    <row r="4756" spans="1:4">
      <c r="A4756">
        <v>4753</v>
      </c>
      <c r="B4756" s="12">
        <v>117.10039705407058</v>
      </c>
      <c r="C4756" s="12">
        <v>118.86797168315215</v>
      </c>
      <c r="D4756" s="12">
        <v>74.733244642277242</v>
      </c>
    </row>
    <row r="4757" spans="1:4">
      <c r="A4757">
        <v>4754</v>
      </c>
      <c r="B4757" s="12">
        <v>205.67308321933368</v>
      </c>
      <c r="C4757" s="12">
        <v>216.62806306584255</v>
      </c>
      <c r="D4757" s="12">
        <v>72.977387136388401</v>
      </c>
    </row>
    <row r="4758" spans="1:4">
      <c r="A4758">
        <v>4755</v>
      </c>
      <c r="B4758" s="12">
        <v>156.55564179416112</v>
      </c>
      <c r="C4758" s="12">
        <v>202.50506947866566</v>
      </c>
      <c r="D4758" s="12">
        <v>152.24819383700159</v>
      </c>
    </row>
    <row r="4759" spans="1:4">
      <c r="A4759">
        <v>4756</v>
      </c>
      <c r="B4759" s="12">
        <v>138.99777849543872</v>
      </c>
      <c r="C4759" s="12">
        <v>120.8136733905428</v>
      </c>
      <c r="D4759" s="12">
        <v>71.646642388464613</v>
      </c>
    </row>
    <row r="4760" spans="1:4">
      <c r="A4760">
        <v>4757</v>
      </c>
      <c r="B4760" s="12">
        <v>234.98238876196982</v>
      </c>
      <c r="C4760" s="12">
        <v>150.84713168050493</v>
      </c>
      <c r="D4760" s="12">
        <v>182.8667390650277</v>
      </c>
    </row>
    <row r="4761" spans="1:4">
      <c r="A4761">
        <v>4758</v>
      </c>
      <c r="B4761" s="12">
        <v>169.54011470674772</v>
      </c>
      <c r="C4761" s="12">
        <v>157.50497443030287</v>
      </c>
      <c r="D4761" s="12">
        <v>78.863169760925047</v>
      </c>
    </row>
    <row r="4762" spans="1:4">
      <c r="A4762">
        <v>4759</v>
      </c>
      <c r="B4762" s="12">
        <v>248.72245674616241</v>
      </c>
      <c r="C4762" s="12">
        <v>146.96065084859404</v>
      </c>
      <c r="D4762" s="12">
        <v>78.015833686086438</v>
      </c>
    </row>
    <row r="4763" spans="1:4">
      <c r="A4763">
        <v>4760</v>
      </c>
      <c r="B4763" s="12">
        <v>84.58273587173403</v>
      </c>
      <c r="C4763" s="12">
        <v>140.84409281075344</v>
      </c>
      <c r="D4763" s="12">
        <v>97.778676188047072</v>
      </c>
    </row>
    <row r="4764" spans="1:4">
      <c r="A4764">
        <v>4761</v>
      </c>
      <c r="B4764" s="12">
        <v>126.29624136109406</v>
      </c>
      <c r="C4764" s="12">
        <v>130.02394480971861</v>
      </c>
      <c r="D4764" s="12">
        <v>138.08555634358007</v>
      </c>
    </row>
    <row r="4765" spans="1:4">
      <c r="A4765">
        <v>4762</v>
      </c>
      <c r="B4765" s="12">
        <v>213.51375814242203</v>
      </c>
      <c r="C4765" s="12">
        <v>149.7149267052192</v>
      </c>
      <c r="D4765" s="12">
        <v>105.14128639582745</v>
      </c>
    </row>
    <row r="4766" spans="1:4">
      <c r="A4766">
        <v>4763</v>
      </c>
      <c r="B4766" s="12">
        <v>198.970551501979</v>
      </c>
      <c r="C4766" s="12">
        <v>146.46355111983686</v>
      </c>
      <c r="D4766" s="12">
        <v>118.38546198848991</v>
      </c>
    </row>
    <row r="4767" spans="1:4">
      <c r="A4767">
        <v>4764</v>
      </c>
      <c r="B4767" s="12">
        <v>147.11965405376566</v>
      </c>
      <c r="C4767" s="12">
        <v>176.92994341278037</v>
      </c>
      <c r="D4767" s="12">
        <v>74.965867387320785</v>
      </c>
    </row>
    <row r="4768" spans="1:4">
      <c r="A4768">
        <v>4765</v>
      </c>
      <c r="B4768" s="12">
        <v>150.77432722737126</v>
      </c>
      <c r="C4768" s="12">
        <v>131.62997283975398</v>
      </c>
      <c r="D4768" s="12">
        <v>70.508104688678287</v>
      </c>
    </row>
    <row r="4769" spans="1:4">
      <c r="A4769">
        <v>4766</v>
      </c>
      <c r="B4769" s="12">
        <v>259.59775154847853</v>
      </c>
      <c r="C4769" s="12">
        <v>144.97745108887386</v>
      </c>
      <c r="D4769" s="12">
        <v>85.083178548945597</v>
      </c>
    </row>
    <row r="4770" spans="1:4">
      <c r="A4770">
        <v>4767</v>
      </c>
      <c r="B4770" s="12">
        <v>184.24042093732319</v>
      </c>
      <c r="C4770" s="12">
        <v>149.06916724459734</v>
      </c>
      <c r="D4770" s="12">
        <v>107.50903862424339</v>
      </c>
    </row>
    <row r="4771" spans="1:4">
      <c r="A4771">
        <v>4768</v>
      </c>
      <c r="B4771" s="12">
        <v>185.06514252430546</v>
      </c>
      <c r="C4771" s="12">
        <v>164.47656249478692</v>
      </c>
      <c r="D4771" s="12">
        <v>135.40825905006599</v>
      </c>
    </row>
    <row r="4772" spans="1:4">
      <c r="A4772">
        <v>4769</v>
      </c>
      <c r="B4772" s="12">
        <v>133.44141630704976</v>
      </c>
      <c r="C4772" s="12">
        <v>137.11081847147855</v>
      </c>
      <c r="D4772" s="12">
        <v>109.14682267589636</v>
      </c>
    </row>
    <row r="4773" spans="1:4">
      <c r="A4773">
        <v>4770</v>
      </c>
      <c r="B4773" s="12">
        <v>177.56864197540855</v>
      </c>
      <c r="C4773" s="12">
        <v>181.05790548140124</v>
      </c>
      <c r="D4773" s="12">
        <v>86.264063582272613</v>
      </c>
    </row>
    <row r="4774" spans="1:4">
      <c r="A4774">
        <v>4771</v>
      </c>
      <c r="B4774" s="12">
        <v>225.73973538121248</v>
      </c>
      <c r="C4774" s="12">
        <v>154.71948126984441</v>
      </c>
      <c r="D4774" s="12">
        <v>124.82086175209045</v>
      </c>
    </row>
    <row r="4775" spans="1:4">
      <c r="A4775">
        <v>4772</v>
      </c>
      <c r="B4775" s="12">
        <v>154.86167592940828</v>
      </c>
      <c r="C4775" s="12">
        <v>157.75702577368023</v>
      </c>
      <c r="D4775" s="12">
        <v>144.12962968998889</v>
      </c>
    </row>
    <row r="4776" spans="1:4">
      <c r="A4776">
        <v>4773</v>
      </c>
      <c r="B4776" s="12">
        <v>115.55193661665182</v>
      </c>
      <c r="C4776" s="12">
        <v>184.53733635780205</v>
      </c>
      <c r="D4776" s="12">
        <v>98.219861296561689</v>
      </c>
    </row>
    <row r="4777" spans="1:4">
      <c r="A4777">
        <v>4774</v>
      </c>
      <c r="B4777" s="12">
        <v>151.37418853326264</v>
      </c>
      <c r="C4777" s="12">
        <v>148.66712579181927</v>
      </c>
      <c r="D4777" s="12">
        <v>90.783666185693292</v>
      </c>
    </row>
    <row r="4778" spans="1:4">
      <c r="A4778">
        <v>4775</v>
      </c>
      <c r="B4778" s="12">
        <v>158.12381177248886</v>
      </c>
      <c r="C4778" s="12">
        <v>133.46997974949144</v>
      </c>
      <c r="D4778" s="12">
        <v>61.092301825403183</v>
      </c>
    </row>
    <row r="4779" spans="1:4">
      <c r="A4779">
        <v>4776</v>
      </c>
      <c r="B4779" s="12">
        <v>130.74049511197978</v>
      </c>
      <c r="C4779" s="12">
        <v>172.9844626404352</v>
      </c>
      <c r="D4779" s="12">
        <v>84.804596626051634</v>
      </c>
    </row>
    <row r="4780" spans="1:4">
      <c r="A4780">
        <v>4777</v>
      </c>
      <c r="B4780" s="12">
        <v>278.90932244017222</v>
      </c>
      <c r="C4780" s="12">
        <v>142.94554200709103</v>
      </c>
      <c r="D4780" s="12">
        <v>91.481733890671563</v>
      </c>
    </row>
    <row r="4781" spans="1:4">
      <c r="A4781">
        <v>4778</v>
      </c>
      <c r="B4781" s="12">
        <v>155.22637986822133</v>
      </c>
      <c r="C4781" s="12">
        <v>140.57261175879222</v>
      </c>
      <c r="D4781" s="12">
        <v>119.44355313050767</v>
      </c>
    </row>
    <row r="4782" spans="1:4">
      <c r="A4782">
        <v>4779</v>
      </c>
      <c r="B4782" s="12">
        <v>144.1464722470335</v>
      </c>
      <c r="C4782" s="12">
        <v>188.88011565754908</v>
      </c>
      <c r="D4782" s="12">
        <v>106.21734383944661</v>
      </c>
    </row>
    <row r="4783" spans="1:4">
      <c r="A4783">
        <v>4780</v>
      </c>
      <c r="B4783" s="12">
        <v>162.64942627142636</v>
      </c>
      <c r="C4783" s="12">
        <v>141.9898571923201</v>
      </c>
      <c r="D4783" s="12">
        <v>113.50745505063281</v>
      </c>
    </row>
    <row r="4784" spans="1:4">
      <c r="A4784">
        <v>4781</v>
      </c>
      <c r="B4784" s="12">
        <v>161.66086624652962</v>
      </c>
      <c r="C4784" s="12">
        <v>144.05084867001901</v>
      </c>
      <c r="D4784" s="12">
        <v>105.91982106497611</v>
      </c>
    </row>
    <row r="4785" spans="1:4">
      <c r="A4785">
        <v>4782</v>
      </c>
      <c r="B4785" s="12">
        <v>193.83777262463488</v>
      </c>
      <c r="C4785" s="12">
        <v>152.29058172869401</v>
      </c>
      <c r="D4785" s="12">
        <v>96.367305252564748</v>
      </c>
    </row>
    <row r="4786" spans="1:4">
      <c r="A4786">
        <v>4783</v>
      </c>
      <c r="B4786" s="12">
        <v>133.88244034734385</v>
      </c>
      <c r="C4786" s="12">
        <v>197.46339035142006</v>
      </c>
      <c r="D4786" s="12">
        <v>97.338886722845942</v>
      </c>
    </row>
    <row r="4787" spans="1:4">
      <c r="A4787">
        <v>4784</v>
      </c>
      <c r="B4787" s="12">
        <v>214.55727533176608</v>
      </c>
      <c r="C4787" s="12">
        <v>130.27187826170265</v>
      </c>
      <c r="D4787" s="12">
        <v>93.835275289664523</v>
      </c>
    </row>
    <row r="4788" spans="1:4">
      <c r="A4788">
        <v>4785</v>
      </c>
      <c r="B4788" s="12">
        <v>111.77901507634425</v>
      </c>
      <c r="C4788" s="12">
        <v>148.26429382595487</v>
      </c>
      <c r="D4788" s="12">
        <v>72.322532368743055</v>
      </c>
    </row>
    <row r="4789" spans="1:4">
      <c r="A4789">
        <v>4786</v>
      </c>
      <c r="B4789" s="12">
        <v>133.15681303817365</v>
      </c>
      <c r="C4789" s="12">
        <v>167.84191876318567</v>
      </c>
      <c r="D4789" s="12">
        <v>97.510442324909917</v>
      </c>
    </row>
    <row r="4790" spans="1:4">
      <c r="A4790">
        <v>4787</v>
      </c>
      <c r="B4790" s="12">
        <v>154.26358409208191</v>
      </c>
      <c r="C4790" s="12">
        <v>142.68458126198817</v>
      </c>
      <c r="D4790" s="12">
        <v>110.84087975414859</v>
      </c>
    </row>
    <row r="4791" spans="1:4">
      <c r="A4791">
        <v>4788</v>
      </c>
      <c r="B4791" s="12">
        <v>170.85992606363394</v>
      </c>
      <c r="C4791" s="12">
        <v>115.52436573506118</v>
      </c>
      <c r="D4791" s="12">
        <v>96.633637601586415</v>
      </c>
    </row>
    <row r="4792" spans="1:4">
      <c r="A4792">
        <v>4789</v>
      </c>
      <c r="B4792" s="12">
        <v>224.27007774751027</v>
      </c>
      <c r="C4792" s="12">
        <v>117.15454640776994</v>
      </c>
      <c r="D4792" s="12">
        <v>161.31539104568805</v>
      </c>
    </row>
    <row r="4793" spans="1:4">
      <c r="A4793">
        <v>4790</v>
      </c>
      <c r="B4793" s="12">
        <v>132.25698168393387</v>
      </c>
      <c r="C4793" s="12">
        <v>139.39167813556827</v>
      </c>
      <c r="D4793" s="12">
        <v>102.11683854372876</v>
      </c>
    </row>
    <row r="4794" spans="1:4">
      <c r="A4794">
        <v>4791</v>
      </c>
      <c r="B4794" s="12">
        <v>232.99491191055279</v>
      </c>
      <c r="C4794" s="12">
        <v>209.70135161715686</v>
      </c>
      <c r="D4794" s="12">
        <v>75.903381887777314</v>
      </c>
    </row>
    <row r="4795" spans="1:4">
      <c r="A4795">
        <v>4792</v>
      </c>
      <c r="B4795" s="12">
        <v>147.86123006923199</v>
      </c>
      <c r="C4795" s="12">
        <v>139.11108174973023</v>
      </c>
      <c r="D4795" s="12">
        <v>126.62022039504254</v>
      </c>
    </row>
    <row r="4796" spans="1:4">
      <c r="A4796">
        <v>4793</v>
      </c>
      <c r="B4796" s="12">
        <v>122.77386726117135</v>
      </c>
      <c r="C4796" s="12">
        <v>153.42390963510638</v>
      </c>
      <c r="D4796" s="12">
        <v>133.62499917946045</v>
      </c>
    </row>
    <row r="4797" spans="1:4">
      <c r="A4797">
        <v>4794</v>
      </c>
      <c r="B4797" s="12">
        <v>136.83774567204878</v>
      </c>
      <c r="C4797" s="12">
        <v>128.9693899903464</v>
      </c>
      <c r="D4797" s="12">
        <v>145.14184717687462</v>
      </c>
    </row>
    <row r="4798" spans="1:4">
      <c r="A4798">
        <v>4795</v>
      </c>
      <c r="B4798" s="12">
        <v>164.40295610367306</v>
      </c>
      <c r="C4798" s="12">
        <v>168.34201622835076</v>
      </c>
      <c r="D4798" s="12">
        <v>115.98685682501998</v>
      </c>
    </row>
    <row r="4799" spans="1:4">
      <c r="A4799">
        <v>4796</v>
      </c>
      <c r="B4799" s="12">
        <v>179.96141342765247</v>
      </c>
      <c r="C4799" s="12">
        <v>174.52139031849393</v>
      </c>
      <c r="D4799" s="12">
        <v>98.933222303070423</v>
      </c>
    </row>
    <row r="4800" spans="1:4">
      <c r="A4800">
        <v>4797</v>
      </c>
      <c r="B4800" s="12">
        <v>148.46739134629834</v>
      </c>
      <c r="C4800" s="12">
        <v>154.4735219233151</v>
      </c>
      <c r="D4800" s="12">
        <v>67.467417504390937</v>
      </c>
    </row>
    <row r="4801" spans="1:4">
      <c r="A4801">
        <v>4798</v>
      </c>
      <c r="B4801" s="12">
        <v>145.89586959592447</v>
      </c>
      <c r="C4801" s="12">
        <v>143.37129583245837</v>
      </c>
      <c r="D4801" s="12">
        <v>108.32140360176797</v>
      </c>
    </row>
    <row r="4802" spans="1:4">
      <c r="A4802">
        <v>4799</v>
      </c>
      <c r="B4802" s="12">
        <v>181.19443769355456</v>
      </c>
      <c r="C4802" s="12">
        <v>171.73358921137316</v>
      </c>
      <c r="D4802" s="12">
        <v>105.6237957846635</v>
      </c>
    </row>
    <row r="4803" spans="1:4">
      <c r="A4803">
        <v>4800</v>
      </c>
      <c r="B4803" s="12">
        <v>114.19053333712787</v>
      </c>
      <c r="C4803" s="12">
        <v>146.30387967099452</v>
      </c>
      <c r="D4803" s="12">
        <v>80.500167282318046</v>
      </c>
    </row>
    <row r="4804" spans="1:4">
      <c r="A4804">
        <v>4801</v>
      </c>
      <c r="B4804" s="12">
        <v>218.66064535573173</v>
      </c>
      <c r="C4804" s="12">
        <v>158.68059748406921</v>
      </c>
      <c r="D4804" s="12">
        <v>107.20460173680137</v>
      </c>
    </row>
    <row r="4805" spans="1:4">
      <c r="A4805">
        <v>4802</v>
      </c>
      <c r="B4805" s="12">
        <v>313.26329869172412</v>
      </c>
      <c r="C4805" s="12">
        <v>158.00975797056867</v>
      </c>
      <c r="D4805" s="12">
        <v>109.66665659633848</v>
      </c>
    </row>
    <row r="4806" spans="1:4">
      <c r="A4806">
        <v>4803</v>
      </c>
      <c r="B4806" s="12">
        <v>217.48132621530402</v>
      </c>
      <c r="C4806" s="12">
        <v>126.96550822932153</v>
      </c>
      <c r="D4806" s="12">
        <v>100.19807028175985</v>
      </c>
    </row>
    <row r="4807" spans="1:4">
      <c r="A4807">
        <v>4804</v>
      </c>
      <c r="B4807" s="12">
        <v>190.7273365654647</v>
      </c>
      <c r="C4807" s="12">
        <v>156.18402417942391</v>
      </c>
      <c r="D4807" s="12">
        <v>83.598272610180771</v>
      </c>
    </row>
    <row r="4808" spans="1:4">
      <c r="A4808">
        <v>4805</v>
      </c>
      <c r="B4808" s="12">
        <v>192.84807213072096</v>
      </c>
      <c r="C4808" s="12">
        <v>136.51121489338414</v>
      </c>
      <c r="D4808" s="12">
        <v>78.339240285592311</v>
      </c>
    </row>
    <row r="4809" spans="1:4">
      <c r="A4809">
        <v>4806</v>
      </c>
      <c r="B4809" s="12">
        <v>185.57434259719938</v>
      </c>
      <c r="C4809" s="12">
        <v>147.11942223931578</v>
      </c>
      <c r="D4809" s="12">
        <v>115.38490221498643</v>
      </c>
    </row>
    <row r="4810" spans="1:4">
      <c r="A4810">
        <v>4807</v>
      </c>
      <c r="B4810" s="12">
        <v>155.82503171414822</v>
      </c>
      <c r="C4810" s="12">
        <v>155.77674031690287</v>
      </c>
      <c r="D4810" s="12">
        <v>52.635305785421444</v>
      </c>
    </row>
    <row r="4811" spans="1:4">
      <c r="A4811">
        <v>4808</v>
      </c>
      <c r="B4811" s="12">
        <v>163.40246589414801</v>
      </c>
      <c r="C4811" s="12">
        <v>170.85485473148518</v>
      </c>
      <c r="D4811" s="12">
        <v>108.01226851475319</v>
      </c>
    </row>
    <row r="4812" spans="1:4">
      <c r="A4812">
        <v>4809</v>
      </c>
      <c r="B4812" s="12">
        <v>245.54079113428122</v>
      </c>
      <c r="C4812" s="12">
        <v>191.17007275839649</v>
      </c>
      <c r="D4812" s="12">
        <v>89.818324762981447</v>
      </c>
    </row>
    <row r="4813" spans="1:4">
      <c r="A4813">
        <v>4810</v>
      </c>
      <c r="B4813" s="12">
        <v>191.30003444646579</v>
      </c>
      <c r="C4813" s="12">
        <v>138.82853309270888</v>
      </c>
      <c r="D4813" s="12">
        <v>69.295326607297227</v>
      </c>
    </row>
    <row r="4814" spans="1:4">
      <c r="A4814">
        <v>4811</v>
      </c>
      <c r="B4814" s="12">
        <v>97.487005965052077</v>
      </c>
      <c r="C4814" s="12">
        <v>138.64648647980886</v>
      </c>
      <c r="D4814" s="12">
        <v>104.37242877678841</v>
      </c>
    </row>
    <row r="4815" spans="1:4">
      <c r="A4815">
        <v>4812</v>
      </c>
      <c r="B4815" s="12">
        <v>204.86005790778691</v>
      </c>
      <c r="C4815" s="12">
        <v>140.29954823890429</v>
      </c>
      <c r="D4815" s="12">
        <v>58.452814233084041</v>
      </c>
    </row>
    <row r="4816" spans="1:4">
      <c r="A4816">
        <v>4813</v>
      </c>
      <c r="B4816" s="12">
        <v>134.31960486962438</v>
      </c>
      <c r="C4816" s="12">
        <v>165.50893407727358</v>
      </c>
      <c r="D4816" s="12">
        <v>104.08362942456051</v>
      </c>
    </row>
    <row r="4817" spans="1:4">
      <c r="A4817">
        <v>4814</v>
      </c>
      <c r="B4817" s="12">
        <v>124.86434250733215</v>
      </c>
      <c r="C4817" s="12">
        <v>132.9128731690993</v>
      </c>
      <c r="D4817" s="12">
        <v>124.04336181339959</v>
      </c>
    </row>
    <row r="4818" spans="1:4">
      <c r="A4818">
        <v>4815</v>
      </c>
      <c r="B4818" s="12">
        <v>131.04077095800983</v>
      </c>
      <c r="C4818" s="12">
        <v>141.55379638339537</v>
      </c>
      <c r="D4818" s="12">
        <v>95.665750295045783</v>
      </c>
    </row>
    <row r="4819" spans="1:4">
      <c r="A4819">
        <v>4816</v>
      </c>
      <c r="B4819" s="12">
        <v>137.25235819676294</v>
      </c>
      <c r="C4819" s="12">
        <v>181.53056663445676</v>
      </c>
      <c r="D4819" s="12">
        <v>55.786280223914474</v>
      </c>
    </row>
    <row r="4820" spans="1:4">
      <c r="A4820">
        <v>4817</v>
      </c>
      <c r="B4820" s="12">
        <v>104.13694870826923</v>
      </c>
      <c r="C4820" s="12">
        <v>230.17422113021507</v>
      </c>
      <c r="D4820" s="12">
        <v>69.597203308863968</v>
      </c>
    </row>
    <row r="4821" spans="1:4">
      <c r="A4821">
        <v>4818</v>
      </c>
      <c r="B4821" s="12">
        <v>165.41130950882697</v>
      </c>
      <c r="C4821" s="12">
        <v>165.98182472708456</v>
      </c>
      <c r="D4821" s="12">
        <v>126.11519113679302</v>
      </c>
    </row>
    <row r="4822" spans="1:4">
      <c r="A4822">
        <v>4819</v>
      </c>
      <c r="B4822" s="12">
        <v>151.97331056092389</v>
      </c>
      <c r="C4822" s="12">
        <v>164.01849812478159</v>
      </c>
      <c r="D4822" s="12">
        <v>108.83263064395324</v>
      </c>
    </row>
    <row r="4823" spans="1:4">
      <c r="A4823">
        <v>4820</v>
      </c>
      <c r="B4823" s="12">
        <v>228.31591878112096</v>
      </c>
      <c r="C4823" s="12">
        <v>103.26126230615851</v>
      </c>
      <c r="D4823" s="12">
        <v>65.391150214296914</v>
      </c>
    </row>
    <row r="4824" spans="1:4">
      <c r="A4824">
        <v>4821</v>
      </c>
      <c r="B4824" s="12">
        <v>216.34322954506251</v>
      </c>
      <c r="C4824" s="12">
        <v>147.77194441362712</v>
      </c>
      <c r="D4824" s="12">
        <v>112.60014971794686</v>
      </c>
    </row>
    <row r="4825" spans="1:4">
      <c r="A4825">
        <v>4822</v>
      </c>
      <c r="B4825" s="12">
        <v>164.64680930937993</v>
      </c>
      <c r="C4825" s="12">
        <v>137.59489406099661</v>
      </c>
      <c r="D4825" s="12">
        <v>136.11646770700446</v>
      </c>
    </row>
    <row r="4826" spans="1:4">
      <c r="A4826">
        <v>4823</v>
      </c>
      <c r="B4826" s="12">
        <v>222.86728085521517</v>
      </c>
      <c r="C4826" s="12">
        <v>143.79428646194961</v>
      </c>
      <c r="D4826" s="12">
        <v>134.28630057274833</v>
      </c>
    </row>
    <row r="4827" spans="1:4">
      <c r="A4827">
        <v>4824</v>
      </c>
      <c r="B4827" s="12">
        <v>236.33153228500871</v>
      </c>
      <c r="C4827" s="12">
        <v>137.30062575764765</v>
      </c>
      <c r="D4827" s="12">
        <v>75.678980628575772</v>
      </c>
    </row>
    <row r="4828" spans="1:4">
      <c r="A4828">
        <v>4825</v>
      </c>
      <c r="B4828" s="12">
        <v>199.66666858853054</v>
      </c>
      <c r="C4828" s="12">
        <v>124.36784731627453</v>
      </c>
      <c r="D4828" s="12">
        <v>104.66251153801703</v>
      </c>
    </row>
    <row r="4829" spans="1:4">
      <c r="A4829">
        <v>4826</v>
      </c>
      <c r="B4829" s="12">
        <v>168.74505306089438</v>
      </c>
      <c r="C4829" s="12">
        <v>126.20073072467612</v>
      </c>
      <c r="D4829" s="12">
        <v>83.882175489412589</v>
      </c>
    </row>
    <row r="4830" spans="1:4">
      <c r="A4830">
        <v>4827</v>
      </c>
      <c r="B4830" s="12">
        <v>162.03452740545319</v>
      </c>
      <c r="C4830" s="12">
        <v>118.04265006576274</v>
      </c>
      <c r="D4830" s="12">
        <v>94.532497939479782</v>
      </c>
    </row>
    <row r="4831" spans="1:4">
      <c r="A4831">
        <v>4828</v>
      </c>
      <c r="B4831" s="12">
        <v>101.25086742970149</v>
      </c>
      <c r="C4831" s="12">
        <v>154.07070782709394</v>
      </c>
      <c r="D4831" s="12">
        <v>128.88574253846843</v>
      </c>
    </row>
    <row r="4832" spans="1:4">
      <c r="A4832">
        <v>4829</v>
      </c>
      <c r="B4832" s="12">
        <v>146.13555118565264</v>
      </c>
      <c r="C4832" s="12">
        <v>180.30139505706731</v>
      </c>
      <c r="D4832" s="12">
        <v>63.659687946995696</v>
      </c>
    </row>
    <row r="4833" spans="1:4">
      <c r="A4833">
        <v>4830</v>
      </c>
      <c r="B4833" s="12">
        <v>226.71966799230702</v>
      </c>
      <c r="C4833" s="12">
        <v>141.7244790817042</v>
      </c>
      <c r="D4833" s="12">
        <v>159.99157864116637</v>
      </c>
    </row>
    <row r="4834" spans="1:4">
      <c r="A4834">
        <v>4831</v>
      </c>
      <c r="B4834" s="12">
        <v>152.70297320687962</v>
      </c>
      <c r="C4834" s="12">
        <v>124.89230297076526</v>
      </c>
      <c r="D4834" s="12">
        <v>86.088499167179961</v>
      </c>
    </row>
    <row r="4835" spans="1:4">
      <c r="A4835">
        <v>4832</v>
      </c>
      <c r="B4835" s="12">
        <v>153.30110824693921</v>
      </c>
      <c r="C4835" s="12">
        <v>144.72402455307702</v>
      </c>
      <c r="D4835" s="12">
        <v>103.61252229591665</v>
      </c>
    </row>
    <row r="4836" spans="1:4">
      <c r="A4836">
        <v>4833</v>
      </c>
      <c r="B4836" s="12">
        <v>211.86860782466883</v>
      </c>
      <c r="C4836" s="12">
        <v>133.13183675749966</v>
      </c>
      <c r="D4836" s="12">
        <v>87.52588957540712</v>
      </c>
    </row>
    <row r="4837" spans="1:4">
      <c r="A4837">
        <v>4834</v>
      </c>
      <c r="B4837" s="12">
        <v>147.49082081504412</v>
      </c>
      <c r="C4837" s="12">
        <v>156.43294696636801</v>
      </c>
      <c r="D4837" s="12">
        <v>171.00690969913666</v>
      </c>
    </row>
    <row r="4838" spans="1:4">
      <c r="A4838">
        <v>4835</v>
      </c>
      <c r="B4838" s="12">
        <v>210.90324506745719</v>
      </c>
      <c r="C4838" s="12">
        <v>151.64681233628042</v>
      </c>
      <c r="D4838" s="12">
        <v>98.489526061429004</v>
      </c>
    </row>
    <row r="4839" spans="1:4">
      <c r="A4839">
        <v>4836</v>
      </c>
      <c r="B4839" s="12">
        <v>121.77962438412999</v>
      </c>
      <c r="C4839" s="12">
        <v>137.88674625119364</v>
      </c>
      <c r="D4839" s="12">
        <v>106.70880030162891</v>
      </c>
    </row>
    <row r="4840" spans="1:4">
      <c r="A4840">
        <v>4837</v>
      </c>
      <c r="B4840" s="12">
        <v>189.24831550216393</v>
      </c>
      <c r="C4840" s="12">
        <v>158.17201461231255</v>
      </c>
      <c r="D4840" s="12">
        <v>76.250088030658461</v>
      </c>
    </row>
    <row r="4841" spans="1:4">
      <c r="A4841">
        <v>4838</v>
      </c>
      <c r="B4841" s="12">
        <v>115.03112378449018</v>
      </c>
      <c r="C4841" s="12">
        <v>124.02242636947375</v>
      </c>
      <c r="D4841" s="12">
        <v>63.20113782451471</v>
      </c>
    </row>
    <row r="4842" spans="1:4">
      <c r="A4842">
        <v>4839</v>
      </c>
      <c r="B4842" s="12">
        <v>126.82256421853366</v>
      </c>
      <c r="C4842" s="12">
        <v>182.82452476035277</v>
      </c>
      <c r="D4842" s="12">
        <v>177.51981933163205</v>
      </c>
    </row>
    <row r="4843" spans="1:4">
      <c r="A4843">
        <v>4840</v>
      </c>
      <c r="B4843" s="12">
        <v>124.30457943286093</v>
      </c>
      <c r="C4843" s="12">
        <v>151.49069813365304</v>
      </c>
      <c r="D4843" s="12">
        <v>158.07542071071788</v>
      </c>
    </row>
    <row r="4844" spans="1:4">
      <c r="A4844">
        <v>4841</v>
      </c>
      <c r="B4844" s="12">
        <v>231.13457135506269</v>
      </c>
      <c r="C4844" s="12">
        <v>139.5704214580625</v>
      </c>
      <c r="D4844" s="12">
        <v>64.991797547823154</v>
      </c>
    </row>
    <row r="4845" spans="1:4">
      <c r="A4845">
        <v>4842</v>
      </c>
      <c r="B4845" s="12">
        <v>122.38991212770749</v>
      </c>
      <c r="C4845" s="12">
        <v>200.39946003598297</v>
      </c>
      <c r="D4845" s="12">
        <v>95.230956183181874</v>
      </c>
    </row>
    <row r="4846" spans="1:4">
      <c r="A4846">
        <v>4843</v>
      </c>
      <c r="B4846" s="12">
        <v>269.76860597147419</v>
      </c>
      <c r="C4846" s="12">
        <v>160.03934787865896</v>
      </c>
      <c r="D4846" s="12">
        <v>102.57824240647635</v>
      </c>
    </row>
    <row r="4847" spans="1:4">
      <c r="A4847">
        <v>4844</v>
      </c>
      <c r="B4847" s="12">
        <v>132.70907083549648</v>
      </c>
      <c r="C4847" s="12">
        <v>208.40110133213753</v>
      </c>
      <c r="D4847" s="12">
        <v>91.0481995369054</v>
      </c>
    </row>
    <row r="4848" spans="1:4">
      <c r="A4848">
        <v>4845</v>
      </c>
      <c r="B4848" s="12">
        <v>123.6172962064372</v>
      </c>
      <c r="C4848" s="12">
        <v>197.91827870212384</v>
      </c>
      <c r="D4848" s="12">
        <v>80.133450312172997</v>
      </c>
    </row>
    <row r="4849" spans="1:4">
      <c r="A4849">
        <v>4846</v>
      </c>
      <c r="B4849" s="12">
        <v>153.46070672890792</v>
      </c>
      <c r="C4849" s="12">
        <v>123.71272503606323</v>
      </c>
      <c r="D4849" s="12">
        <v>66.813718334288197</v>
      </c>
    </row>
    <row r="4850" spans="1:4">
      <c r="A4850">
        <v>4847</v>
      </c>
      <c r="B4850" s="12">
        <v>199.97532957512092</v>
      </c>
      <c r="C4850" s="12">
        <v>179.6014353418027</v>
      </c>
      <c r="D4850" s="12">
        <v>89.934645336024133</v>
      </c>
    </row>
    <row r="4851" spans="1:4">
      <c r="A4851">
        <v>4848</v>
      </c>
      <c r="B4851" s="12">
        <v>163.19040328271754</v>
      </c>
      <c r="C4851" s="12">
        <v>172.78812821011249</v>
      </c>
      <c r="D4851" s="12">
        <v>86.383858990313016</v>
      </c>
    </row>
    <row r="4852" spans="1:4">
      <c r="A4852">
        <v>4849</v>
      </c>
      <c r="B4852" s="12">
        <v>179.40821533058653</v>
      </c>
      <c r="C4852" s="12">
        <v>141.13514884591214</v>
      </c>
      <c r="D4852" s="12">
        <v>118.55872100613074</v>
      </c>
    </row>
    <row r="4853" spans="1:4">
      <c r="A4853">
        <v>4850</v>
      </c>
      <c r="B4853" s="12">
        <v>117.89223578869473</v>
      </c>
      <c r="C4853" s="12">
        <v>143.74216405391795</v>
      </c>
      <c r="D4853" s="12">
        <v>69.025960338875024</v>
      </c>
    </row>
    <row r="4854" spans="1:4">
      <c r="A4854">
        <v>4851</v>
      </c>
      <c r="B4854" s="12">
        <v>107.55515676594592</v>
      </c>
      <c r="C4854" s="12">
        <v>193.05722254152423</v>
      </c>
      <c r="D4854" s="12">
        <v>84.74798747821005</v>
      </c>
    </row>
    <row r="4855" spans="1:4">
      <c r="A4855">
        <v>4852</v>
      </c>
      <c r="B4855" s="12">
        <v>135.21656711580189</v>
      </c>
      <c r="C4855" s="12">
        <v>164.8816009521756</v>
      </c>
      <c r="D4855" s="12">
        <v>89.232009013023031</v>
      </c>
    </row>
    <row r="4856" spans="1:4">
      <c r="A4856">
        <v>4853</v>
      </c>
      <c r="B4856" s="12">
        <v>166.21104649730106</v>
      </c>
      <c r="C4856" s="12">
        <v>165.34801854130421</v>
      </c>
      <c r="D4856" s="12">
        <v>105.75322397974914</v>
      </c>
    </row>
    <row r="4857" spans="1:4">
      <c r="A4857">
        <v>4854</v>
      </c>
      <c r="B4857" s="12">
        <v>197.47839247994369</v>
      </c>
      <c r="C4857" s="12">
        <v>130.43970790034032</v>
      </c>
      <c r="D4857" s="12">
        <v>75.832567243790507</v>
      </c>
    </row>
    <row r="4858" spans="1:4">
      <c r="A4858">
        <v>4855</v>
      </c>
      <c r="B4858" s="12">
        <v>168.27015732859243</v>
      </c>
      <c r="C4858" s="12">
        <v>161.01190601895047</v>
      </c>
      <c r="D4858" s="12">
        <v>122.57882834294097</v>
      </c>
    </row>
    <row r="4859" spans="1:4">
      <c r="A4859">
        <v>4856</v>
      </c>
      <c r="B4859" s="12">
        <v>137.01962134581049</v>
      </c>
      <c r="C4859" s="12">
        <v>184.42777472600443</v>
      </c>
      <c r="D4859" s="12">
        <v>95.34692432592368</v>
      </c>
    </row>
    <row r="4860" spans="1:4">
      <c r="A4860">
        <v>4857</v>
      </c>
      <c r="B4860" s="12">
        <v>186.64917636103414</v>
      </c>
      <c r="C4860" s="12">
        <v>146.57255855168918</v>
      </c>
      <c r="D4860" s="12">
        <v>98.607779567889281</v>
      </c>
    </row>
    <row r="4861" spans="1:4">
      <c r="A4861">
        <v>4858</v>
      </c>
      <c r="B4861" s="12">
        <v>205.21382526115039</v>
      </c>
      <c r="C4861" s="12">
        <v>105.07507923889129</v>
      </c>
      <c r="D4861" s="12">
        <v>125.83496764181663</v>
      </c>
    </row>
    <row r="4862" spans="1:4">
      <c r="A4862">
        <v>4859</v>
      </c>
      <c r="B4862" s="12">
        <v>154.0586723427073</v>
      </c>
      <c r="C4862" s="12">
        <v>144.16289004676662</v>
      </c>
      <c r="D4862" s="12">
        <v>88.793964464689282</v>
      </c>
    </row>
    <row r="4863" spans="1:4">
      <c r="A4863">
        <v>4860</v>
      </c>
      <c r="B4863" s="12">
        <v>143.68890642249508</v>
      </c>
      <c r="C4863" s="12">
        <v>148.77449616691246</v>
      </c>
      <c r="D4863" s="12">
        <v>71.409759411916369</v>
      </c>
    </row>
    <row r="4864" spans="1:4">
      <c r="A4864">
        <v>4861</v>
      </c>
      <c r="B4864" s="12">
        <v>250.24339208540928</v>
      </c>
      <c r="C4864" s="12">
        <v>128.04478928804272</v>
      </c>
      <c r="D4864" s="12">
        <v>114.59106688291925</v>
      </c>
    </row>
    <row r="4865" spans="1:4">
      <c r="A4865">
        <v>4862</v>
      </c>
      <c r="B4865" s="12">
        <v>134.78689909963765</v>
      </c>
      <c r="C4865" s="12">
        <v>195.33124351254847</v>
      </c>
      <c r="D4865" s="12">
        <v>82.493529458944238</v>
      </c>
    </row>
    <row r="4866" spans="1:4">
      <c r="A4866">
        <v>4863</v>
      </c>
      <c r="B4866" s="12">
        <v>144.69111678268939</v>
      </c>
      <c r="C4866" s="12">
        <v>146.82113752888654</v>
      </c>
      <c r="D4866" s="12">
        <v>79.825933353357783</v>
      </c>
    </row>
    <row r="4867" spans="1:4">
      <c r="A4867">
        <v>4864</v>
      </c>
      <c r="B4867" s="12">
        <v>180.62959121870452</v>
      </c>
      <c r="C4867" s="12">
        <v>138.9524876092365</v>
      </c>
      <c r="D4867" s="12">
        <v>129.68827740792926</v>
      </c>
    </row>
    <row r="4868" spans="1:4">
      <c r="A4868">
        <v>4865</v>
      </c>
      <c r="B4868" s="12">
        <v>164.56958786115126</v>
      </c>
      <c r="C4868" s="12">
        <v>151.75352911000587</v>
      </c>
      <c r="D4868" s="12">
        <v>81.42436948336956</v>
      </c>
    </row>
    <row r="4869" spans="1:4">
      <c r="A4869">
        <v>4866</v>
      </c>
      <c r="B4869" s="12">
        <v>173.6303669125125</v>
      </c>
      <c r="C4869" s="12">
        <v>151.10997625956884</v>
      </c>
      <c r="D4869" s="12">
        <v>83.722743560928308</v>
      </c>
    </row>
    <row r="4870" spans="1:4">
      <c r="A4870">
        <v>4867</v>
      </c>
      <c r="B4870" s="12">
        <v>164.18932167772641</v>
      </c>
      <c r="C4870" s="12">
        <v>170.1385217261209</v>
      </c>
      <c r="D4870" s="12">
        <v>92.726830980743998</v>
      </c>
    </row>
    <row r="4871" spans="1:4">
      <c r="A4871">
        <v>4868</v>
      </c>
      <c r="B4871" s="12">
        <v>151.53414891657627</v>
      </c>
      <c r="C4871" s="12">
        <v>130.8182237488069</v>
      </c>
      <c r="D4871" s="12">
        <v>136.43272198867106</v>
      </c>
    </row>
    <row r="4872" spans="1:4">
      <c r="A4872">
        <v>4869</v>
      </c>
      <c r="B4872" s="12">
        <v>152.86263089868609</v>
      </c>
      <c r="C4872" s="12">
        <v>180.04729152239082</v>
      </c>
      <c r="D4872" s="12">
        <v>67.165391508667241</v>
      </c>
    </row>
    <row r="4873" spans="1:4">
      <c r="A4873">
        <v>4870</v>
      </c>
      <c r="B4873" s="12">
        <v>148.02318191305346</v>
      </c>
      <c r="C4873" s="12">
        <v>222.4144999182187</v>
      </c>
      <c r="D4873" s="12">
        <v>88.354576892290311</v>
      </c>
    </row>
    <row r="4874" spans="1:4">
      <c r="A4874">
        <v>4871</v>
      </c>
      <c r="B4874" s="12">
        <v>112.2008875767754</v>
      </c>
      <c r="C4874" s="12">
        <v>130.19372879601039</v>
      </c>
      <c r="D4874" s="12">
        <v>109.2850171122649</v>
      </c>
    </row>
    <row r="4875" spans="1:4">
      <c r="A4875">
        <v>4872</v>
      </c>
      <c r="B4875" s="12">
        <v>153.09617110251702</v>
      </c>
      <c r="C4875" s="12">
        <v>146.16354753670575</v>
      </c>
      <c r="D4875" s="12">
        <v>82.20220679921043</v>
      </c>
    </row>
    <row r="4876" spans="1:4">
      <c r="A4876">
        <v>4873</v>
      </c>
      <c r="B4876" s="12">
        <v>170.37381156929106</v>
      </c>
      <c r="C4876" s="12">
        <v>156.95203939943158</v>
      </c>
      <c r="D4876" s="12">
        <v>164.62689653033624</v>
      </c>
    </row>
    <row r="4877" spans="1:4">
      <c r="A4877">
        <v>4874</v>
      </c>
      <c r="B4877" s="12">
        <v>151.89931571944487</v>
      </c>
      <c r="C4877" s="12">
        <v>183.89478496802838</v>
      </c>
      <c r="D4877" s="12">
        <v>169.18204650876604</v>
      </c>
    </row>
    <row r="4878" spans="1:4">
      <c r="A4878">
        <v>4875</v>
      </c>
      <c r="B4878" s="12">
        <v>216.83666399068886</v>
      </c>
      <c r="C4878" s="12">
        <v>129.40666528579206</v>
      </c>
      <c r="D4878" s="12">
        <v>78.479856399387515</v>
      </c>
    </row>
    <row r="4879" spans="1:4">
      <c r="A4879">
        <v>4876</v>
      </c>
      <c r="B4879" s="12">
        <v>159.25637401827461</v>
      </c>
      <c r="C4879" s="12">
        <v>186.86295250148612</v>
      </c>
      <c r="D4879" s="12">
        <v>143.57888798646584</v>
      </c>
    </row>
    <row r="4880" spans="1:4">
      <c r="A4880">
        <v>4877</v>
      </c>
      <c r="B4880" s="12">
        <v>119.72457481353909</v>
      </c>
      <c r="C4880" s="12">
        <v>141.67052400139883</v>
      </c>
      <c r="D4880" s="12">
        <v>78.157821986800684</v>
      </c>
    </row>
    <row r="4881" spans="1:4">
      <c r="A4881">
        <v>4878</v>
      </c>
      <c r="B4881" s="12">
        <v>188.5897464324137</v>
      </c>
      <c r="C4881" s="12">
        <v>119.69915182026287</v>
      </c>
      <c r="D4881" s="12">
        <v>93.950819601392496</v>
      </c>
    </row>
    <row r="4882" spans="1:4">
      <c r="A4882">
        <v>4879</v>
      </c>
      <c r="B4882" s="12">
        <v>195.75830739912672</v>
      </c>
      <c r="C4882" s="12">
        <v>133.28043218570551</v>
      </c>
      <c r="D4882" s="12">
        <v>65.266048842651685</v>
      </c>
    </row>
    <row r="4883" spans="1:4">
      <c r="A4883">
        <v>4880</v>
      </c>
      <c r="B4883" s="12">
        <v>206.03478849370805</v>
      </c>
      <c r="C4883" s="12">
        <v>152.88553151145524</v>
      </c>
      <c r="D4883" s="12">
        <v>109.80634023901465</v>
      </c>
    </row>
    <row r="4884" spans="1:4">
      <c r="A4884">
        <v>4881</v>
      </c>
      <c r="B4884" s="12">
        <v>176.59680551948048</v>
      </c>
      <c r="C4884" s="12">
        <v>162.41924832877069</v>
      </c>
      <c r="D4884" s="12">
        <v>116.14912354400806</v>
      </c>
    </row>
    <row r="4885" spans="1:4">
      <c r="A4885">
        <v>4882</v>
      </c>
      <c r="B4885" s="12">
        <v>155.02133966757182</v>
      </c>
      <c r="C4885" s="12">
        <v>142.10564263917377</v>
      </c>
      <c r="D4885" s="12">
        <v>95.082126376138177</v>
      </c>
    </row>
    <row r="4886" spans="1:4">
      <c r="A4886">
        <v>4883</v>
      </c>
      <c r="B4886" s="12">
        <v>95.844413081460118</v>
      </c>
      <c r="C4886" s="12">
        <v>140.24399740018498</v>
      </c>
      <c r="D4886" s="12">
        <v>82.967879734580492</v>
      </c>
    </row>
    <row r="4887" spans="1:4">
      <c r="A4887">
        <v>4884</v>
      </c>
      <c r="B4887" s="12">
        <v>167.23549667212095</v>
      </c>
      <c r="C4887" s="12">
        <v>163.13600607199515</v>
      </c>
      <c r="D4887" s="12">
        <v>113.31263499068102</v>
      </c>
    </row>
    <row r="4888" spans="1:4">
      <c r="A4888">
        <v>4885</v>
      </c>
      <c r="B4888" s="12">
        <v>163.81015868792579</v>
      </c>
      <c r="C4888" s="12">
        <v>275.90494324878699</v>
      </c>
      <c r="D4888" s="12">
        <v>86.208543559749032</v>
      </c>
    </row>
    <row r="4889" spans="1:4">
      <c r="A4889">
        <v>4886</v>
      </c>
      <c r="B4889" s="12">
        <v>127.8913226928813</v>
      </c>
      <c r="C4889" s="12">
        <v>181.74040474355999</v>
      </c>
      <c r="D4889" s="12">
        <v>99.595780111438117</v>
      </c>
    </row>
    <row r="4890" spans="1:4">
      <c r="A4890">
        <v>4887</v>
      </c>
      <c r="B4890" s="12">
        <v>165.82556051376099</v>
      </c>
      <c r="C4890" s="12">
        <v>196.89544884055624</v>
      </c>
      <c r="D4890" s="12">
        <v>98.878307507251037</v>
      </c>
    </row>
    <row r="4891" spans="1:4">
      <c r="A4891">
        <v>4888</v>
      </c>
      <c r="B4891" s="12">
        <v>168.91852415520702</v>
      </c>
      <c r="C4891" s="12">
        <v>181.26374075553048</v>
      </c>
      <c r="D4891" s="12">
        <v>62.001820581955712</v>
      </c>
    </row>
    <row r="4892" spans="1:4">
      <c r="A4892">
        <v>4889</v>
      </c>
      <c r="B4892" s="12">
        <v>156.71572784810886</v>
      </c>
      <c r="C4892" s="12">
        <v>168.47657070464246</v>
      </c>
      <c r="D4892" s="12">
        <v>96.921290813479303</v>
      </c>
    </row>
    <row r="4893" spans="1:4">
      <c r="A4893">
        <v>4890</v>
      </c>
      <c r="B4893" s="12">
        <v>132.90563065088091</v>
      </c>
      <c r="C4893" s="12">
        <v>169.6142020940004</v>
      </c>
      <c r="D4893" s="12">
        <v>75.123657736748427</v>
      </c>
    </row>
    <row r="4894" spans="1:4">
      <c r="A4894">
        <v>4891</v>
      </c>
      <c r="B4894" s="12">
        <v>124.18984510453777</v>
      </c>
      <c r="C4894" s="12">
        <v>165.63465514028621</v>
      </c>
      <c r="D4894" s="12">
        <v>87.102963416956911</v>
      </c>
    </row>
    <row r="4895" spans="1:4">
      <c r="A4895">
        <v>4892</v>
      </c>
      <c r="B4895" s="12">
        <v>175.8821615249135</v>
      </c>
      <c r="C4895" s="12">
        <v>147.22783441055702</v>
      </c>
      <c r="D4895" s="12">
        <v>96.483867227266416</v>
      </c>
    </row>
    <row r="4896" spans="1:4">
      <c r="A4896">
        <v>4893</v>
      </c>
      <c r="B4896" s="12">
        <v>233.84834518905822</v>
      </c>
      <c r="C4896" s="12">
        <v>152.24114256255541</v>
      </c>
      <c r="D4896" s="12">
        <v>112.40947477142831</v>
      </c>
    </row>
    <row r="4897" spans="1:4">
      <c r="A4897">
        <v>4894</v>
      </c>
      <c r="B4897" s="12">
        <v>166.84637378974219</v>
      </c>
      <c r="C4897" s="12">
        <v>190.30071244387594</v>
      </c>
      <c r="D4897" s="12">
        <v>131.61007533923947</v>
      </c>
    </row>
    <row r="4898" spans="1:4">
      <c r="A4898">
        <v>4895</v>
      </c>
      <c r="B4898" s="12">
        <v>142.29166050147975</v>
      </c>
      <c r="C4898" s="12">
        <v>168.78566230222629</v>
      </c>
      <c r="D4898" s="12">
        <v>77.832610958176517</v>
      </c>
    </row>
    <row r="4899" spans="1:4">
      <c r="A4899">
        <v>4896</v>
      </c>
      <c r="B4899" s="12">
        <v>103.8123475012468</v>
      </c>
      <c r="C4899" s="12">
        <v>200.93692139602328</v>
      </c>
      <c r="D4899" s="12">
        <v>77.622558802907321</v>
      </c>
    </row>
    <row r="4900" spans="1:4">
      <c r="A4900">
        <v>4897</v>
      </c>
      <c r="B4900" s="12">
        <v>162.19839859144105</v>
      </c>
      <c r="C4900" s="12">
        <v>175.67683123790019</v>
      </c>
      <c r="D4900" s="12">
        <v>79.515931448779469</v>
      </c>
    </row>
    <row r="4901" spans="1:4">
      <c r="A4901">
        <v>4898</v>
      </c>
      <c r="B4901" s="12">
        <v>242.14936887344464</v>
      </c>
      <c r="C4901" s="12">
        <v>131.19036107439857</v>
      </c>
      <c r="D4901" s="12">
        <v>106.84068808600483</v>
      </c>
    </row>
    <row r="4902" spans="1:4">
      <c r="A4902">
        <v>4899</v>
      </c>
      <c r="B4902" s="12">
        <v>161.82436371978733</v>
      </c>
      <c r="C4902" s="12">
        <v>122.16452755314234</v>
      </c>
      <c r="D4902" s="12">
        <v>70.701621966525579</v>
      </c>
    </row>
    <row r="4903" spans="1:4">
      <c r="A4903">
        <v>4900</v>
      </c>
      <c r="B4903" s="12">
        <v>185.79888487749096</v>
      </c>
      <c r="C4903" s="12">
        <v>128.31826681550385</v>
      </c>
      <c r="D4903" s="12">
        <v>80.934320153520403</v>
      </c>
    </row>
    <row r="4904" spans="1:4">
      <c r="A4904">
        <v>4901</v>
      </c>
      <c r="B4904" s="12">
        <v>150.56856820646067</v>
      </c>
      <c r="C4904" s="12">
        <v>133.6166580343079</v>
      </c>
      <c r="D4904" s="12">
        <v>123.02890470998979</v>
      </c>
    </row>
    <row r="4905" spans="1:4">
      <c r="A4905">
        <v>4902</v>
      </c>
      <c r="B4905" s="12">
        <v>237.29181607656696</v>
      </c>
      <c r="C4905" s="12">
        <v>205.61067182345903</v>
      </c>
      <c r="D4905" s="12">
        <v>149.34252328658368</v>
      </c>
    </row>
    <row r="4906" spans="1:4">
      <c r="A4906">
        <v>4903</v>
      </c>
      <c r="B4906" s="12">
        <v>104.81320362787439</v>
      </c>
      <c r="C4906" s="12">
        <v>153.53103970195019</v>
      </c>
      <c r="D4906" s="12">
        <v>107.33768350766162</v>
      </c>
    </row>
    <row r="4907" spans="1:4">
      <c r="A4907">
        <v>4904</v>
      </c>
      <c r="B4907" s="12">
        <v>188.04897680169088</v>
      </c>
      <c r="C4907" s="12">
        <v>144.58120369211397</v>
      </c>
      <c r="D4907" s="12">
        <v>105.26968740813319</v>
      </c>
    </row>
    <row r="4908" spans="1:4">
      <c r="A4908">
        <v>4905</v>
      </c>
      <c r="B4908" s="12">
        <v>167.8770624666995</v>
      </c>
      <c r="C4908" s="12">
        <v>185.3299668357225</v>
      </c>
      <c r="D4908" s="12">
        <v>152.8731441933011</v>
      </c>
    </row>
    <row r="4909" spans="1:4">
      <c r="A4909">
        <v>4906</v>
      </c>
      <c r="B4909" s="12">
        <v>295.43598604795864</v>
      </c>
      <c r="C4909" s="12">
        <v>180.796092181761</v>
      </c>
      <c r="D4909" s="12">
        <v>87.816859026911033</v>
      </c>
    </row>
    <row r="4910" spans="1:4">
      <c r="A4910">
        <v>4907</v>
      </c>
      <c r="B4910" s="12">
        <v>172.52991678302038</v>
      </c>
      <c r="C4910" s="12">
        <v>153.04199812386847</v>
      </c>
      <c r="D4910" s="12">
        <v>76.400546412678992</v>
      </c>
    </row>
    <row r="4911" spans="1:4">
      <c r="A4911">
        <v>4908</v>
      </c>
      <c r="B4911" s="12">
        <v>198.14901582801804</v>
      </c>
      <c r="C4911" s="12">
        <v>183.37375072120611</v>
      </c>
      <c r="D4911" s="12">
        <v>83.438060369972163</v>
      </c>
    </row>
    <row r="4912" spans="1:4">
      <c r="A4912">
        <v>4909</v>
      </c>
      <c r="B4912" s="12">
        <v>196.40138052281844</v>
      </c>
      <c r="C4912" s="12">
        <v>187.8724381041051</v>
      </c>
      <c r="D4912" s="12">
        <v>76.055714930800931</v>
      </c>
    </row>
    <row r="4913" spans="1:4">
      <c r="A4913">
        <v>4910</v>
      </c>
      <c r="B4913" s="12">
        <v>119.29277042135701</v>
      </c>
      <c r="C4913" s="12">
        <v>173.13821643146696</v>
      </c>
      <c r="D4913" s="12">
        <v>56.446077845549063</v>
      </c>
    </row>
    <row r="4914" spans="1:4">
      <c r="A4914">
        <v>4911</v>
      </c>
      <c r="B4914" s="12">
        <v>162.57331613738785</v>
      </c>
      <c r="C4914" s="12">
        <v>155.63746811631316</v>
      </c>
      <c r="D4914" s="12">
        <v>60.585627929655637</v>
      </c>
    </row>
    <row r="4915" spans="1:4">
      <c r="A4915">
        <v>4912</v>
      </c>
      <c r="B4915" s="12">
        <v>133.35153100013105</v>
      </c>
      <c r="C4915" s="12">
        <v>151.35369106352022</v>
      </c>
      <c r="D4915" s="12">
        <v>172.55046216724858</v>
      </c>
    </row>
    <row r="4916" spans="1:4">
      <c r="A4916">
        <v>4913</v>
      </c>
      <c r="B4916" s="12">
        <v>148.99725618873717</v>
      </c>
      <c r="C4916" s="12">
        <v>203.11344640607902</v>
      </c>
      <c r="D4916" s="12">
        <v>94.648211323161604</v>
      </c>
    </row>
    <row r="4917" spans="1:4">
      <c r="A4917">
        <v>4914</v>
      </c>
      <c r="B4917" s="12">
        <v>190.97720120004945</v>
      </c>
      <c r="C4917" s="12">
        <v>140.41930336945759</v>
      </c>
      <c r="D4917" s="12">
        <v>121.85378891111574</v>
      </c>
    </row>
    <row r="4918" spans="1:4">
      <c r="A4918">
        <v>4915</v>
      </c>
      <c r="B4918" s="12">
        <v>265.80521928589053</v>
      </c>
      <c r="C4918" s="12">
        <v>184.77578626492024</v>
      </c>
      <c r="D4918" s="12">
        <v>81.12631050845664</v>
      </c>
    </row>
    <row r="4919" spans="1:4">
      <c r="A4919">
        <v>4916</v>
      </c>
      <c r="B4919" s="12">
        <v>216.11726391732867</v>
      </c>
      <c r="C4919" s="12">
        <v>145.08816464122879</v>
      </c>
      <c r="D4919" s="12">
        <v>57.782360753062598</v>
      </c>
    </row>
    <row r="4920" spans="1:4">
      <c r="A4920">
        <v>4917</v>
      </c>
      <c r="B4920" s="12">
        <v>136.75335594513436</v>
      </c>
      <c r="C4920" s="12">
        <v>145.50174085202303</v>
      </c>
      <c r="D4920" s="12">
        <v>84.468016912930409</v>
      </c>
    </row>
    <row r="4921" spans="1:4">
      <c r="A4921">
        <v>4918</v>
      </c>
      <c r="B4921" s="12">
        <v>161.21254960916991</v>
      </c>
      <c r="C4921" s="12">
        <v>178.88622652610036</v>
      </c>
      <c r="D4921" s="12">
        <v>70.981212721627998</v>
      </c>
    </row>
    <row r="4922" spans="1:4">
      <c r="A4922">
        <v>4919</v>
      </c>
      <c r="B4922" s="12">
        <v>138.91613896731701</v>
      </c>
      <c r="C4922" s="12">
        <v>141.40353605491549</v>
      </c>
      <c r="D4922" s="12">
        <v>97.188482100967775</v>
      </c>
    </row>
    <row r="4923" spans="1:4">
      <c r="A4923">
        <v>4920</v>
      </c>
      <c r="B4923" s="12">
        <v>221.25966105823298</v>
      </c>
      <c r="C4923" s="12">
        <v>178.45963426099115</v>
      </c>
      <c r="D4923" s="12">
        <v>92.030368894570088</v>
      </c>
    </row>
    <row r="4924" spans="1:4">
      <c r="A4924">
        <v>4921</v>
      </c>
      <c r="B4924" s="12">
        <v>154.42318564738147</v>
      </c>
      <c r="C4924" s="12">
        <v>118.41107299272994</v>
      </c>
      <c r="D4924" s="12">
        <v>76.741252340891009</v>
      </c>
    </row>
    <row r="4925" spans="1:4">
      <c r="A4925">
        <v>4922</v>
      </c>
      <c r="B4925" s="12">
        <v>165.1959339233419</v>
      </c>
      <c r="C4925" s="12">
        <v>167.67198881783099</v>
      </c>
      <c r="D4925" s="12">
        <v>99.051924074540366</v>
      </c>
    </row>
    <row r="4926" spans="1:4">
      <c r="A4926">
        <v>4923</v>
      </c>
      <c r="B4926" s="12">
        <v>120.38403947643219</v>
      </c>
      <c r="C4926" s="12">
        <v>102.22039222897322</v>
      </c>
      <c r="D4926" s="12">
        <v>55.461396608631567</v>
      </c>
    </row>
    <row r="4927" spans="1:4">
      <c r="A4927">
        <v>4924</v>
      </c>
      <c r="B4927" s="12">
        <v>261.93884356344188</v>
      </c>
      <c r="C4927" s="12">
        <v>124.25936573457616</v>
      </c>
      <c r="D4927" s="12">
        <v>124.24896689081061</v>
      </c>
    </row>
    <row r="4928" spans="1:4">
      <c r="A4928">
        <v>4925</v>
      </c>
      <c r="B4928" s="12">
        <v>223.47367838926152</v>
      </c>
      <c r="C4928" s="12">
        <v>121.53127242468153</v>
      </c>
      <c r="D4928" s="12">
        <v>91.861340443492736</v>
      </c>
    </row>
    <row r="4929" spans="1:4">
      <c r="A4929">
        <v>4926</v>
      </c>
      <c r="B4929" s="12">
        <v>215.02459825912754</v>
      </c>
      <c r="C4929" s="12">
        <v>186.2698344905366</v>
      </c>
      <c r="D4929" s="12">
        <v>78.684532272918645</v>
      </c>
    </row>
    <row r="4930" spans="1:4">
      <c r="A4930">
        <v>4927</v>
      </c>
      <c r="B4930" s="12">
        <v>284.32319331205258</v>
      </c>
      <c r="C4930" s="12">
        <v>119.21223131569096</v>
      </c>
      <c r="D4930" s="12">
        <v>138.42724726518182</v>
      </c>
    </row>
    <row r="4931" spans="1:4">
      <c r="A4931">
        <v>4928</v>
      </c>
      <c r="B4931" s="12">
        <v>149.96741772085377</v>
      </c>
      <c r="C4931" s="12">
        <v>194.43798666620327</v>
      </c>
      <c r="D4931" s="12">
        <v>101.04620860359491</v>
      </c>
    </row>
    <row r="4932" spans="1:4">
      <c r="A4932">
        <v>4929</v>
      </c>
      <c r="B4932" s="12">
        <v>159.86207993500577</v>
      </c>
      <c r="C4932" s="12">
        <v>129.80391930046864</v>
      </c>
      <c r="D4932" s="12">
        <v>142.96637225329448</v>
      </c>
    </row>
    <row r="4933" spans="1:4">
      <c r="A4933">
        <v>4930</v>
      </c>
      <c r="B4933" s="12">
        <v>144.06948284395983</v>
      </c>
      <c r="C4933" s="12">
        <v>128.73756917595091</v>
      </c>
      <c r="D4933" s="12">
        <v>151.96464551367538</v>
      </c>
    </row>
    <row r="4934" spans="1:4">
      <c r="A4934">
        <v>4931</v>
      </c>
      <c r="B4934" s="12">
        <v>134.50983831483137</v>
      </c>
      <c r="C4934" s="12">
        <v>149.42097936354125</v>
      </c>
      <c r="D4934" s="12">
        <v>67.698596375082744</v>
      </c>
    </row>
    <row r="4935" spans="1:4">
      <c r="A4935">
        <v>4932</v>
      </c>
      <c r="B4935" s="12">
        <v>115.38852774836489</v>
      </c>
      <c r="C4935" s="12">
        <v>179.31984451612496</v>
      </c>
      <c r="D4935" s="12">
        <v>128.57798828646258</v>
      </c>
    </row>
    <row r="4936" spans="1:4">
      <c r="A4936">
        <v>4933</v>
      </c>
      <c r="B4936" s="12">
        <v>148.25987839157619</v>
      </c>
      <c r="C4936" s="12">
        <v>155.88531099131953</v>
      </c>
      <c r="D4936" s="12">
        <v>120.29969212607794</v>
      </c>
    </row>
    <row r="4937" spans="1:4">
      <c r="A4937">
        <v>4934</v>
      </c>
      <c r="B4937" s="12">
        <v>143.3069984099763</v>
      </c>
      <c r="C4937" s="12">
        <v>166.40047664992647</v>
      </c>
      <c r="D4937" s="12">
        <v>84.92670727777832</v>
      </c>
    </row>
    <row r="4938" spans="1:4">
      <c r="A4938">
        <v>4935</v>
      </c>
      <c r="B4938" s="12">
        <v>187.17463447598172</v>
      </c>
      <c r="C4938" s="12">
        <v>124.59961898475169</v>
      </c>
      <c r="D4938" s="12">
        <v>87.644119366576291</v>
      </c>
    </row>
    <row r="4939" spans="1:4">
      <c r="A4939">
        <v>4936</v>
      </c>
      <c r="B4939" s="12">
        <v>118.6028765428355</v>
      </c>
      <c r="C4939" s="12">
        <v>116.96574398920859</v>
      </c>
      <c r="D4939" s="12">
        <v>145.59898811335265</v>
      </c>
    </row>
    <row r="4940" spans="1:4">
      <c r="A4940">
        <v>4937</v>
      </c>
      <c r="B4940" s="12">
        <v>141.01450599254045</v>
      </c>
      <c r="C4940" s="12">
        <v>136.94336259620633</v>
      </c>
      <c r="D4940" s="12">
        <v>110.98412169781452</v>
      </c>
    </row>
    <row r="4941" spans="1:4">
      <c r="A4941">
        <v>4938</v>
      </c>
      <c r="B4941" s="12">
        <v>147.28225970165332</v>
      </c>
      <c r="C4941" s="12">
        <v>157.86759487068787</v>
      </c>
      <c r="D4941" s="12">
        <v>111.52491609487404</v>
      </c>
    </row>
    <row r="4942" spans="1:4">
      <c r="A4942">
        <v>4939</v>
      </c>
      <c r="B4942" s="12">
        <v>169.97170081098727</v>
      </c>
      <c r="C4942" s="12">
        <v>177.77421843898267</v>
      </c>
      <c r="D4942" s="12">
        <v>74.156605587616625</v>
      </c>
    </row>
    <row r="4943" spans="1:4">
      <c r="A4943">
        <v>4940</v>
      </c>
      <c r="B4943" s="12">
        <v>128.39432502026182</v>
      </c>
      <c r="C4943" s="12">
        <v>159.21245642814816</v>
      </c>
      <c r="D4943" s="12">
        <v>106.53991302006337</v>
      </c>
    </row>
    <row r="4944" spans="1:4">
      <c r="A4944">
        <v>4941</v>
      </c>
      <c r="B4944" s="12">
        <v>192.51397992368925</v>
      </c>
      <c r="C4944" s="12">
        <v>138.19887586778461</v>
      </c>
      <c r="D4944" s="12">
        <v>134.58109816438477</v>
      </c>
    </row>
    <row r="4945" spans="1:4">
      <c r="A4945">
        <v>4942</v>
      </c>
      <c r="B4945" s="12">
        <v>155.75103378467605</v>
      </c>
      <c r="C4945" s="12">
        <v>170.99900612526261</v>
      </c>
      <c r="D4945" s="12">
        <v>90.634849584790274</v>
      </c>
    </row>
    <row r="4946" spans="1:4">
      <c r="A4946">
        <v>4943</v>
      </c>
      <c r="B4946" s="12">
        <v>160.232116541793</v>
      </c>
      <c r="C4946" s="12">
        <v>182.54316473625764</v>
      </c>
      <c r="D4946" s="12">
        <v>51.115300642613157</v>
      </c>
    </row>
    <row r="4947" spans="1:4">
      <c r="A4947">
        <v>4944</v>
      </c>
      <c r="B4947" s="12">
        <v>196.81856383629372</v>
      </c>
      <c r="C4947" s="12">
        <v>149.82186967638728</v>
      </c>
      <c r="D4947" s="12">
        <v>88.086017221929268</v>
      </c>
    </row>
    <row r="4948" spans="1:4">
      <c r="A4948">
        <v>4945</v>
      </c>
      <c r="B4948" s="12">
        <v>146.67217349382332</v>
      </c>
      <c r="C4948" s="12">
        <v>142.79897705152737</v>
      </c>
      <c r="D4948" s="12">
        <v>92.990525165156413</v>
      </c>
    </row>
    <row r="4949" spans="1:4">
      <c r="A4949">
        <v>4946</v>
      </c>
      <c r="B4949" s="12">
        <v>122.04850533200194</v>
      </c>
      <c r="C4949" s="12">
        <v>209.27826660769983</v>
      </c>
      <c r="D4949" s="12">
        <v>71.829217702136233</v>
      </c>
    </row>
    <row r="4950" spans="1:4">
      <c r="A4950">
        <v>4947</v>
      </c>
      <c r="B4950" s="12">
        <v>181.87709558467282</v>
      </c>
      <c r="C4950" s="12">
        <v>136.64340715557921</v>
      </c>
      <c r="D4950" s="12">
        <v>148.56266370183255</v>
      </c>
    </row>
    <row r="4951" spans="1:4">
      <c r="A4951">
        <v>4948</v>
      </c>
      <c r="B4951" s="12">
        <v>137.84373296586426</v>
      </c>
      <c r="C4951" s="12">
        <v>143.48444729946345</v>
      </c>
      <c r="D4951" s="12">
        <v>90.899515774060703</v>
      </c>
    </row>
    <row r="4952" spans="1:4">
      <c r="A4952">
        <v>4949</v>
      </c>
      <c r="B4952" s="12">
        <v>134.07431048543694</v>
      </c>
      <c r="C4952" s="12">
        <v>167.18012842922928</v>
      </c>
      <c r="D4952" s="12">
        <v>82.679253262685677</v>
      </c>
    </row>
    <row r="4953" spans="1:4">
      <c r="A4953">
        <v>4950</v>
      </c>
      <c r="B4953" s="12">
        <v>201.89016131790009</v>
      </c>
      <c r="C4953" s="12">
        <v>156.79179815773725</v>
      </c>
      <c r="D4953" s="12">
        <v>96.217746483948375</v>
      </c>
    </row>
    <row r="4954" spans="1:4">
      <c r="A4954">
        <v>4951</v>
      </c>
      <c r="B4954" s="12">
        <v>136.33529189831833</v>
      </c>
      <c r="C4954" s="12">
        <v>162.68959674513277</v>
      </c>
      <c r="D4954" s="12">
        <v>95.516675040156215</v>
      </c>
    </row>
    <row r="4955" spans="1:4">
      <c r="A4955">
        <v>4952</v>
      </c>
      <c r="B4955" s="12">
        <v>139.57421406933051</v>
      </c>
      <c r="C4955" s="12">
        <v>156.54209994706284</v>
      </c>
      <c r="D4955" s="12">
        <v>117.14288542607153</v>
      </c>
    </row>
    <row r="4956" spans="1:4">
      <c r="A4956">
        <v>4953</v>
      </c>
      <c r="B4956" s="12">
        <v>152.13310494793348</v>
      </c>
      <c r="C4956" s="12">
        <v>148.12605036179428</v>
      </c>
      <c r="D4956" s="12">
        <v>74.527289823477972</v>
      </c>
    </row>
    <row r="4957" spans="1:4">
      <c r="A4957">
        <v>4954</v>
      </c>
      <c r="B4957" s="12">
        <v>210.71080229020538</v>
      </c>
      <c r="C4957" s="12">
        <v>149.01952886696117</v>
      </c>
      <c r="D4957" s="12">
        <v>129.12773937412666</v>
      </c>
    </row>
    <row r="4958" spans="1:4">
      <c r="A4958">
        <v>4955</v>
      </c>
      <c r="B4958" s="12">
        <v>115.90060289085129</v>
      </c>
      <c r="C4958" s="12">
        <v>145.75290954324285</v>
      </c>
      <c r="D4958" s="12">
        <v>185.75778746042499</v>
      </c>
    </row>
    <row r="4959" spans="1:4">
      <c r="A4959">
        <v>4956</v>
      </c>
      <c r="B4959" s="12">
        <v>146.05974335994989</v>
      </c>
      <c r="C4959" s="12">
        <v>120.42359428497357</v>
      </c>
      <c r="D4959" s="12">
        <v>73.916131030482731</v>
      </c>
    </row>
    <row r="4960" spans="1:4">
      <c r="A4960">
        <v>4957</v>
      </c>
      <c r="B4960" s="12">
        <v>174.74734693133911</v>
      </c>
      <c r="C4960" s="12">
        <v>149.17634767676168</v>
      </c>
      <c r="D4960" s="12">
        <v>90.200072486296506</v>
      </c>
    </row>
    <row r="4961" spans="1:4">
      <c r="A4961">
        <v>4958</v>
      </c>
      <c r="B4961" s="12">
        <v>137.433020761151</v>
      </c>
      <c r="C4961" s="12">
        <v>160.58113503162505</v>
      </c>
      <c r="D4961" s="12">
        <v>101.959355504773</v>
      </c>
    </row>
    <row r="4962" spans="1:4">
      <c r="A4962">
        <v>4959</v>
      </c>
      <c r="B4962" s="12">
        <v>246.88800543107027</v>
      </c>
      <c r="C4962" s="12">
        <v>148.37188743263795</v>
      </c>
      <c r="D4962" s="12">
        <v>133.91252318447422</v>
      </c>
    </row>
    <row r="4963" spans="1:4">
      <c r="A4963">
        <v>4960</v>
      </c>
      <c r="B4963" s="12">
        <v>252.63772126533462</v>
      </c>
      <c r="C4963" s="12">
        <v>189.60502593058581</v>
      </c>
      <c r="D4963" s="12">
        <v>73.148880177487925</v>
      </c>
    </row>
    <row r="4964" spans="1:4">
      <c r="A4964">
        <v>4961</v>
      </c>
      <c r="B4964" s="12">
        <v>132.16479150586352</v>
      </c>
      <c r="C4964" s="12">
        <v>153.28641791034912</v>
      </c>
      <c r="D4964" s="12">
        <v>137.65347035954204</v>
      </c>
    </row>
    <row r="4965" spans="1:4">
      <c r="A4965">
        <v>4962</v>
      </c>
      <c r="B4965" s="12">
        <v>219.98269976901634</v>
      </c>
      <c r="C4965" s="12">
        <v>125.9306592211212</v>
      </c>
      <c r="D4965" s="12">
        <v>85.481826950687434</v>
      </c>
    </row>
    <row r="4966" spans="1:4">
      <c r="A4966">
        <v>4963</v>
      </c>
      <c r="B4966" s="12">
        <v>131.70720253289957</v>
      </c>
      <c r="C4966" s="12">
        <v>172.22191757308474</v>
      </c>
      <c r="D4966" s="12">
        <v>63.963521779221047</v>
      </c>
    </row>
    <row r="4967" spans="1:4">
      <c r="A4967">
        <v>4964</v>
      </c>
      <c r="B4967" s="12">
        <v>153.82520144793503</v>
      </c>
      <c r="C4967" s="12">
        <v>176.70593366905101</v>
      </c>
      <c r="D4967" s="12">
        <v>76.957416632288584</v>
      </c>
    </row>
    <row r="4968" spans="1:4">
      <c r="A4968">
        <v>4965</v>
      </c>
      <c r="B4968" s="12">
        <v>113.12989866206138</v>
      </c>
      <c r="C4968" s="12">
        <v>183.04598252119868</v>
      </c>
      <c r="D4968" s="12">
        <v>97.456129775565074</v>
      </c>
    </row>
    <row r="4969" spans="1:4">
      <c r="A4969">
        <v>4966</v>
      </c>
      <c r="B4969" s="12">
        <v>175.45021064708769</v>
      </c>
      <c r="C4969" s="12">
        <v>164.59953947443938</v>
      </c>
      <c r="D4969" s="12">
        <v>108.14739117368607</v>
      </c>
    </row>
    <row r="4970" spans="1:4">
      <c r="A4970">
        <v>4967</v>
      </c>
      <c r="B4970" s="12">
        <v>183.96075422124628</v>
      </c>
      <c r="C4970" s="12">
        <v>150.46624955465089</v>
      </c>
      <c r="D4970" s="12">
        <v>85.934108104445443</v>
      </c>
    </row>
    <row r="4971" spans="1:4">
      <c r="A4971">
        <v>4968</v>
      </c>
      <c r="B4971" s="12">
        <v>155.38610394348152</v>
      </c>
      <c r="C4971" s="12">
        <v>108.03537786848067</v>
      </c>
      <c r="D4971" s="12">
        <v>84.006052447480627</v>
      </c>
    </row>
    <row r="4972" spans="1:4">
      <c r="A4972">
        <v>4969</v>
      </c>
      <c r="B4972" s="12">
        <v>138.51199576109158</v>
      </c>
      <c r="C4972" s="12">
        <v>158.53733504847253</v>
      </c>
      <c r="D4972" s="12">
        <v>108.96995009812369</v>
      </c>
    </row>
    <row r="4973" spans="1:4">
      <c r="A4973">
        <v>4970</v>
      </c>
      <c r="B4973" s="12">
        <v>180.16407916480853</v>
      </c>
      <c r="C4973" s="12">
        <v>156.29294698284647</v>
      </c>
      <c r="D4973" s="12">
        <v>269.15728020056503</v>
      </c>
    </row>
    <row r="4974" spans="1:4">
      <c r="A4974">
        <v>4971</v>
      </c>
      <c r="B4974" s="12">
        <v>143.06164053803238</v>
      </c>
      <c r="C4974" s="12">
        <v>131.78795199250402</v>
      </c>
      <c r="D4974" s="12">
        <v>131.22432797000971</v>
      </c>
    </row>
    <row r="4975" spans="1:4">
      <c r="A4975">
        <v>4972</v>
      </c>
      <c r="B4975" s="12">
        <v>161.58522385776016</v>
      </c>
      <c r="C4975" s="12">
        <v>157.61524897473902</v>
      </c>
      <c r="D4975" s="12">
        <v>150.61575642164192</v>
      </c>
    </row>
    <row r="4976" spans="1:4">
      <c r="A4976">
        <v>4973</v>
      </c>
      <c r="B4976" s="12">
        <v>160.60282576278507</v>
      </c>
      <c r="C4976" s="12">
        <v>159.6348610086809</v>
      </c>
      <c r="D4976" s="12">
        <v>130.63264290646467</v>
      </c>
    </row>
    <row r="4977" spans="1:4">
      <c r="A4977">
        <v>4974</v>
      </c>
      <c r="B4977" s="12">
        <v>108.33834106419738</v>
      </c>
      <c r="C4977" s="12">
        <v>151.59740674739112</v>
      </c>
      <c r="D4977" s="12">
        <v>115.18076933110748</v>
      </c>
    </row>
    <row r="4978" spans="1:4">
      <c r="A4978">
        <v>4975</v>
      </c>
      <c r="B4978" s="12">
        <v>157.91748093765923</v>
      </c>
      <c r="C4978" s="12">
        <v>135.32655509039986</v>
      </c>
      <c r="D4978" s="12">
        <v>116.52236964070393</v>
      </c>
    </row>
    <row r="4979" spans="1:4">
      <c r="A4979">
        <v>4976</v>
      </c>
      <c r="B4979" s="12">
        <v>127.38117056318761</v>
      </c>
      <c r="C4979" s="12">
        <v>129.1480795323337</v>
      </c>
      <c r="D4979" s="12">
        <v>111.85780701425305</v>
      </c>
    </row>
    <row r="4980" spans="1:4">
      <c r="A4980">
        <v>4977</v>
      </c>
      <c r="B4980" s="12">
        <v>144.31258778001455</v>
      </c>
      <c r="C4980" s="12">
        <v>164.14033404962001</v>
      </c>
      <c r="D4980" s="12">
        <v>91.333229583574095</v>
      </c>
    </row>
    <row r="4981" spans="1:4">
      <c r="A4981">
        <v>4978</v>
      </c>
      <c r="B4981" s="12">
        <v>157.31610939112679</v>
      </c>
      <c r="C4981" s="12">
        <v>199.7326298253279</v>
      </c>
      <c r="D4981" s="12">
        <v>96.750370486688979</v>
      </c>
    </row>
    <row r="4982" spans="1:4">
      <c r="A4982">
        <v>4979</v>
      </c>
      <c r="B4982" s="12">
        <v>178.95207993156981</v>
      </c>
      <c r="C4982" s="12">
        <v>158.28309444222765</v>
      </c>
      <c r="D4982" s="12">
        <v>142.04009822053797</v>
      </c>
    </row>
    <row r="4983" spans="1:4">
      <c r="A4983">
        <v>4980</v>
      </c>
      <c r="B4983" s="12">
        <v>204.41072169409728</v>
      </c>
      <c r="C4983" s="12">
        <v>141.84083135424783</v>
      </c>
      <c r="D4983" s="12">
        <v>115.54463481741818</v>
      </c>
    </row>
    <row r="4984" spans="1:4">
      <c r="A4984">
        <v>4981</v>
      </c>
      <c r="B4984" s="12">
        <v>131.24480022234528</v>
      </c>
      <c r="C4984" s="12">
        <v>114.1460421301523</v>
      </c>
      <c r="D4984" s="12">
        <v>155.97489925224539</v>
      </c>
    </row>
    <row r="4985" spans="1:4">
      <c r="A4985">
        <v>4982</v>
      </c>
      <c r="B4985" s="12">
        <v>130.94597621328055</v>
      </c>
      <c r="C4985" s="12">
        <v>155.23182912576902</v>
      </c>
      <c r="D4985" s="12">
        <v>123.78133721921422</v>
      </c>
    </row>
    <row r="4986" spans="1:4">
      <c r="A4986">
        <v>4983</v>
      </c>
      <c r="B4986" s="12">
        <v>133.63499741418582</v>
      </c>
      <c r="C4986" s="12">
        <v>204.59084386294549</v>
      </c>
      <c r="D4986" s="12">
        <v>74.892481949628362</v>
      </c>
    </row>
    <row r="4987" spans="1:4">
      <c r="A4987">
        <v>4984</v>
      </c>
      <c r="B4987" s="12">
        <v>171.44477869619524</v>
      </c>
      <c r="C4987" s="12">
        <v>154.98511162449023</v>
      </c>
      <c r="D4987" s="12">
        <v>66.247312395802055</v>
      </c>
    </row>
    <row r="4988" spans="1:4">
      <c r="A4988">
        <v>4985</v>
      </c>
      <c r="B4988" s="12">
        <v>121.02684463804022</v>
      </c>
      <c r="C4988" s="12">
        <v>170.46192325904806</v>
      </c>
      <c r="D4988" s="12">
        <v>72.093410613896737</v>
      </c>
    </row>
    <row r="4989" spans="1:4">
      <c r="A4989">
        <v>4986</v>
      </c>
      <c r="B4989" s="12">
        <v>135.64286377849524</v>
      </c>
      <c r="C4989" s="12">
        <v>147.47511384005975</v>
      </c>
      <c r="D4989" s="12">
        <v>77.29179329230665</v>
      </c>
    </row>
    <row r="4990" spans="1:4">
      <c r="A4990">
        <v>4987</v>
      </c>
      <c r="B4990" s="12">
        <v>193.11003228287336</v>
      </c>
      <c r="C4990" s="12">
        <v>201.75434319175241</v>
      </c>
      <c r="D4990" s="12">
        <v>162.27002320425541</v>
      </c>
    </row>
    <row r="4991" spans="1:4">
      <c r="A4991">
        <v>4988</v>
      </c>
      <c r="B4991" s="12">
        <v>227.40818274569995</v>
      </c>
      <c r="C4991" s="12">
        <v>114.9031057166564</v>
      </c>
      <c r="D4991" s="12">
        <v>98.165267851248188</v>
      </c>
    </row>
    <row r="4992" spans="1:4">
      <c r="A4992">
        <v>4989</v>
      </c>
      <c r="B4992" s="12">
        <v>172.11722584742023</v>
      </c>
      <c r="C4992" s="12">
        <v>171.88152954481345</v>
      </c>
      <c r="D4992" s="12">
        <v>88.526303877371106</v>
      </c>
    </row>
    <row r="4993" spans="1:4">
      <c r="A4993">
        <v>4990</v>
      </c>
      <c r="B4993" s="12">
        <v>169.31594219135582</v>
      </c>
      <c r="C4993" s="12">
        <v>158.95611252400738</v>
      </c>
      <c r="D4993" s="12">
        <v>135.7159720316408</v>
      </c>
    </row>
    <row r="4994" spans="1:4">
      <c r="A4994">
        <v>4991</v>
      </c>
      <c r="B4994" s="12">
        <v>231.93458058060878</v>
      </c>
      <c r="C4994" s="12">
        <v>234.63841189062782</v>
      </c>
      <c r="D4994" s="12">
        <v>130.05323755597453</v>
      </c>
    </row>
    <row r="4995" spans="1:4">
      <c r="A4995">
        <v>4992</v>
      </c>
      <c r="B4995" s="12">
        <v>145.30960865517935</v>
      </c>
      <c r="C4995" s="12">
        <v>161.97849576386346</v>
      </c>
      <c r="D4995" s="12">
        <v>97.627822063848583</v>
      </c>
    </row>
    <row r="4996" spans="1:4">
      <c r="A4996">
        <v>4993</v>
      </c>
      <c r="B4996" s="12">
        <v>129.2049959551571</v>
      </c>
      <c r="C4996" s="12">
        <v>178.1899342608711</v>
      </c>
      <c r="D4996" s="12">
        <v>133.26029367715222</v>
      </c>
    </row>
    <row r="4997" spans="1:4">
      <c r="A4997">
        <v>4994</v>
      </c>
      <c r="B4997" s="12">
        <v>139.17379449657835</v>
      </c>
      <c r="C4997" s="12">
        <v>177.10566432171765</v>
      </c>
      <c r="D4997" s="12">
        <v>138.93560780435774</v>
      </c>
    </row>
    <row r="4998" spans="1:4">
      <c r="A4998">
        <v>4995</v>
      </c>
      <c r="B4998" s="12">
        <v>128.71293441530426</v>
      </c>
      <c r="C4998" s="12">
        <v>125.6175636596102</v>
      </c>
      <c r="D4998" s="12">
        <v>120.71942333037447</v>
      </c>
    </row>
    <row r="4999" spans="1:4">
      <c r="A4999">
        <v>4996</v>
      </c>
      <c r="B4999" s="12">
        <v>100.09049494239235</v>
      </c>
      <c r="C4999" s="12">
        <v>155.47895132640258</v>
      </c>
      <c r="D4999" s="12">
        <v>100.49429173974816</v>
      </c>
    </row>
    <row r="5000" spans="1:4">
      <c r="A5000">
        <v>4997</v>
      </c>
      <c r="B5000" s="12">
        <v>106.24731892340718</v>
      </c>
      <c r="C5000" s="12">
        <v>135.63919823115333</v>
      </c>
      <c r="D5000" s="12">
        <v>95.78191960306134</v>
      </c>
    </row>
    <row r="5001" spans="1:4">
      <c r="A5001">
        <v>4998</v>
      </c>
      <c r="B5001" s="12">
        <v>256.87389300635141</v>
      </c>
      <c r="C5001" s="12">
        <v>146.41304633642488</v>
      </c>
      <c r="D5001" s="12">
        <v>158.89350341112947</v>
      </c>
    </row>
    <row r="5002" spans="1:4">
      <c r="A5002">
        <v>4999</v>
      </c>
      <c r="B5002" s="12">
        <v>154.78776208249863</v>
      </c>
      <c r="C5002" s="12">
        <v>173.72109179109771</v>
      </c>
      <c r="D5002" s="12">
        <v>84.186830114435523</v>
      </c>
    </row>
    <row r="5003" spans="1:4">
      <c r="A5003">
        <v>5000</v>
      </c>
      <c r="B5003" s="12">
        <v>191.55306285659799</v>
      </c>
      <c r="C5003" s="12">
        <v>218.16026296606807</v>
      </c>
      <c r="D5003" s="12">
        <v>135.01839141528484</v>
      </c>
    </row>
    <row r="5004" spans="1:4">
      <c r="B5004" s="12"/>
      <c r="C5004" s="12"/>
    </row>
    <row r="5005" spans="1:4">
      <c r="B5005" s="12"/>
      <c r="C5005" s="12"/>
    </row>
    <row r="5006" spans="1:4">
      <c r="B5006" s="12"/>
      <c r="C5006" s="12"/>
    </row>
    <row r="5007" spans="1:4">
      <c r="B5007" s="12"/>
      <c r="C5007" s="12"/>
    </row>
    <row r="5008" spans="1:4">
      <c r="B5008" s="12"/>
      <c r="C5008" s="12"/>
    </row>
    <row r="5009" spans="2:3">
      <c r="B5009" s="12"/>
      <c r="C5009" s="12"/>
    </row>
    <row r="5010" spans="2:3">
      <c r="B5010" s="12"/>
      <c r="C5010" s="12"/>
    </row>
    <row r="5011" spans="2:3">
      <c r="B5011" s="12"/>
      <c r="C5011" s="12"/>
    </row>
    <row r="5012" spans="2:3">
      <c r="B5012" s="12"/>
      <c r="C5012" s="12"/>
    </row>
    <row r="5013" spans="2:3">
      <c r="B5013" s="12"/>
      <c r="C5013" s="12"/>
    </row>
    <row r="5014" spans="2:3">
      <c r="B5014" s="12"/>
      <c r="C5014" s="12"/>
    </row>
    <row r="5015" spans="2:3">
      <c r="B5015" s="12"/>
      <c r="C5015" s="12"/>
    </row>
    <row r="5016" spans="2:3">
      <c r="B5016" s="12"/>
      <c r="C5016" s="12"/>
    </row>
    <row r="5017" spans="2:3">
      <c r="B5017" s="12"/>
      <c r="C5017" s="12"/>
    </row>
    <row r="5018" spans="2:3">
      <c r="B5018" s="12"/>
      <c r="C5018" s="12"/>
    </row>
    <row r="5019" spans="2:3">
      <c r="B5019" s="12"/>
      <c r="C5019" s="12"/>
    </row>
    <row r="5020" spans="2:3">
      <c r="B5020" s="12"/>
      <c r="C5020" s="12"/>
    </row>
    <row r="5021" spans="2:3">
      <c r="B5021" s="12"/>
      <c r="C5021" s="12"/>
    </row>
    <row r="5022" spans="2:3">
      <c r="B5022" s="12"/>
      <c r="C5022" s="12"/>
    </row>
    <row r="5023" spans="2:3">
      <c r="B5023" s="12"/>
      <c r="C5023" s="12"/>
    </row>
    <row r="5024" spans="2:3">
      <c r="B5024" s="12"/>
      <c r="C5024" s="12"/>
    </row>
    <row r="5025" spans="2:3">
      <c r="B5025" s="12"/>
      <c r="C5025" s="12"/>
    </row>
    <row r="5026" spans="2:3">
      <c r="B5026" s="12"/>
      <c r="C5026" s="12"/>
    </row>
    <row r="5027" spans="2:3">
      <c r="B5027" s="12"/>
      <c r="C5027" s="12"/>
    </row>
    <row r="5028" spans="2:3">
      <c r="B5028" s="12"/>
      <c r="C5028" s="12"/>
    </row>
    <row r="5029" spans="2:3">
      <c r="B5029" s="12"/>
      <c r="C5029" s="12"/>
    </row>
    <row r="5030" spans="2:3">
      <c r="B5030" s="12"/>
      <c r="C5030" s="12"/>
    </row>
    <row r="5031" spans="2:3">
      <c r="B5031" s="12"/>
      <c r="C5031" s="12"/>
    </row>
    <row r="5032" spans="2:3">
      <c r="B5032" s="12"/>
      <c r="C5032" s="12"/>
    </row>
    <row r="5033" spans="2:3">
      <c r="B5033" s="12"/>
      <c r="C5033" s="12"/>
    </row>
    <row r="5034" spans="2:3">
      <c r="B5034" s="12"/>
      <c r="C5034" s="12"/>
    </row>
    <row r="5035" spans="2:3">
      <c r="B5035" s="12"/>
      <c r="C5035" s="12"/>
    </row>
    <row r="5036" spans="2:3">
      <c r="B5036" s="12"/>
      <c r="C5036" s="12"/>
    </row>
    <row r="5037" spans="2:3">
      <c r="B5037" s="12"/>
      <c r="C5037" s="12"/>
    </row>
    <row r="5038" spans="2:3">
      <c r="B5038" s="12"/>
      <c r="C5038" s="12"/>
    </row>
    <row r="5039" spans="2:3">
      <c r="B5039" s="12"/>
      <c r="C5039" s="12"/>
    </row>
    <row r="5040" spans="2:3">
      <c r="B5040" s="12"/>
      <c r="C5040" s="12"/>
    </row>
    <row r="5041" spans="2:3">
      <c r="B5041" s="12"/>
      <c r="C5041" s="12"/>
    </row>
    <row r="5042" spans="2:3">
      <c r="B5042" s="12"/>
      <c r="C5042" s="12"/>
    </row>
    <row r="5043" spans="2:3">
      <c r="B5043" s="12"/>
      <c r="C5043" s="12"/>
    </row>
    <row r="5044" spans="2:3">
      <c r="B5044" s="12"/>
      <c r="C5044" s="12"/>
    </row>
    <row r="5045" spans="2:3">
      <c r="B5045" s="12"/>
      <c r="C5045" s="12"/>
    </row>
    <row r="5046" spans="2:3">
      <c r="B5046" s="12"/>
      <c r="C5046" s="12"/>
    </row>
    <row r="5047" spans="2:3">
      <c r="B5047" s="12"/>
      <c r="C5047" s="12"/>
    </row>
    <row r="5048" spans="2:3">
      <c r="B5048" s="12"/>
      <c r="C5048" s="12"/>
    </row>
    <row r="5049" spans="2:3">
      <c r="B5049" s="12"/>
      <c r="C5049" s="12"/>
    </row>
    <row r="5050" spans="2:3">
      <c r="B5050" s="12"/>
      <c r="C5050" s="12"/>
    </row>
    <row r="5051" spans="2:3">
      <c r="B5051" s="12"/>
      <c r="C5051" s="12"/>
    </row>
    <row r="5052" spans="2:3">
      <c r="B5052" s="12"/>
      <c r="C5052" s="12"/>
    </row>
    <row r="5053" spans="2:3">
      <c r="B5053" s="12"/>
      <c r="C5053" s="12"/>
    </row>
    <row r="5054" spans="2:3">
      <c r="B5054" s="12"/>
      <c r="C5054" s="12"/>
    </row>
    <row r="5055" spans="2:3">
      <c r="B5055" s="12"/>
      <c r="C5055" s="12"/>
    </row>
    <row r="5056" spans="2:3">
      <c r="B5056" s="12"/>
      <c r="C5056" s="12"/>
    </row>
    <row r="5057" spans="2:3">
      <c r="B5057" s="12"/>
      <c r="C5057" s="12"/>
    </row>
    <row r="5058" spans="2:3">
      <c r="B5058" s="12"/>
      <c r="C5058" s="12"/>
    </row>
    <row r="5059" spans="2:3">
      <c r="B5059" s="12"/>
      <c r="C5059" s="12"/>
    </row>
    <row r="5060" spans="2:3">
      <c r="B5060" s="12"/>
      <c r="C5060" s="12"/>
    </row>
    <row r="5061" spans="2:3">
      <c r="B5061" s="12"/>
      <c r="C5061" s="12"/>
    </row>
    <row r="5062" spans="2:3">
      <c r="B5062" s="12"/>
      <c r="C5062" s="12"/>
    </row>
    <row r="5063" spans="2:3">
      <c r="B5063" s="12"/>
      <c r="C5063" s="12"/>
    </row>
    <row r="5064" spans="2:3">
      <c r="B5064" s="12"/>
      <c r="C5064" s="12"/>
    </row>
    <row r="5065" spans="2:3">
      <c r="B5065" s="12"/>
      <c r="C5065" s="12"/>
    </row>
    <row r="5066" spans="2:3">
      <c r="B5066" s="12"/>
      <c r="C5066" s="12"/>
    </row>
    <row r="5067" spans="2:3">
      <c r="B5067" s="12"/>
      <c r="C5067" s="12"/>
    </row>
    <row r="5068" spans="2:3">
      <c r="B5068" s="12"/>
      <c r="C5068" s="12"/>
    </row>
    <row r="5069" spans="2:3">
      <c r="B5069" s="12"/>
      <c r="C5069" s="12"/>
    </row>
    <row r="5070" spans="2:3">
      <c r="B5070" s="12"/>
      <c r="C5070" s="12"/>
    </row>
    <row r="5071" spans="2:3">
      <c r="B5071" s="12"/>
      <c r="C5071" s="12"/>
    </row>
    <row r="5072" spans="2:3">
      <c r="B5072" s="12"/>
      <c r="C5072" s="12"/>
    </row>
    <row r="5073" spans="2:3">
      <c r="B5073" s="12"/>
      <c r="C5073" s="12"/>
    </row>
    <row r="5074" spans="2:3">
      <c r="B5074" s="12"/>
      <c r="C5074" s="12"/>
    </row>
    <row r="5075" spans="2:3">
      <c r="B5075" s="12"/>
      <c r="C5075" s="12"/>
    </row>
    <row r="5076" spans="2:3">
      <c r="B5076" s="12"/>
      <c r="C5076" s="12"/>
    </row>
    <row r="5077" spans="2:3">
      <c r="B5077" s="12"/>
      <c r="C5077" s="12"/>
    </row>
    <row r="5078" spans="2:3">
      <c r="B5078" s="12"/>
      <c r="C5078" s="12"/>
    </row>
    <row r="5079" spans="2:3">
      <c r="B5079" s="12"/>
      <c r="C5079" s="12"/>
    </row>
    <row r="5080" spans="2:3">
      <c r="B5080" s="12"/>
      <c r="C5080" s="12"/>
    </row>
    <row r="5081" spans="2:3">
      <c r="B5081" s="12"/>
      <c r="C5081" s="12"/>
    </row>
    <row r="5082" spans="2:3">
      <c r="B5082" s="12"/>
      <c r="C5082" s="12"/>
    </row>
    <row r="5083" spans="2:3">
      <c r="B5083" s="12"/>
      <c r="C5083" s="12"/>
    </row>
    <row r="5084" spans="2:3">
      <c r="B5084" s="12"/>
      <c r="C5084" s="12"/>
    </row>
    <row r="5085" spans="2:3">
      <c r="B5085" s="12"/>
      <c r="C5085" s="12"/>
    </row>
    <row r="5086" spans="2:3">
      <c r="B5086" s="12"/>
      <c r="C5086" s="12"/>
    </row>
    <row r="5087" spans="2:3">
      <c r="B5087" s="12"/>
      <c r="C5087" s="12"/>
    </row>
    <row r="5088" spans="2:3">
      <c r="B5088" s="12"/>
      <c r="C5088" s="12"/>
    </row>
    <row r="5089" spans="2:3">
      <c r="B5089" s="12"/>
      <c r="C5089" s="12"/>
    </row>
    <row r="5090" spans="2:3">
      <c r="B5090" s="12"/>
      <c r="C5090" s="12"/>
    </row>
    <row r="5091" spans="2:3">
      <c r="B5091" s="12"/>
      <c r="C5091" s="12"/>
    </row>
    <row r="5092" spans="2:3">
      <c r="B5092" s="12"/>
      <c r="C5092" s="12"/>
    </row>
    <row r="5093" spans="2:3">
      <c r="B5093" s="12"/>
      <c r="C5093" s="12"/>
    </row>
    <row r="5094" spans="2:3">
      <c r="B5094" s="12"/>
      <c r="C5094" s="12"/>
    </row>
    <row r="5095" spans="2:3">
      <c r="B5095" s="12"/>
      <c r="C5095" s="12"/>
    </row>
    <row r="5096" spans="2:3">
      <c r="B5096" s="12"/>
      <c r="C5096" s="12"/>
    </row>
    <row r="5097" spans="2:3">
      <c r="B5097" s="12"/>
      <c r="C5097" s="12"/>
    </row>
    <row r="5098" spans="2:3">
      <c r="B5098" s="12"/>
      <c r="C5098" s="12"/>
    </row>
    <row r="5099" spans="2:3">
      <c r="B5099" s="12"/>
      <c r="C5099" s="12"/>
    </row>
    <row r="5100" spans="2:3">
      <c r="B5100" s="12"/>
      <c r="C5100" s="12"/>
    </row>
    <row r="5101" spans="2:3">
      <c r="B5101" s="12"/>
      <c r="C5101" s="12"/>
    </row>
    <row r="5102" spans="2:3">
      <c r="B5102" s="12"/>
      <c r="C5102" s="12"/>
    </row>
    <row r="5103" spans="2:3">
      <c r="B5103" s="12"/>
      <c r="C5103" s="12"/>
    </row>
    <row r="5104" spans="2:3">
      <c r="B5104" s="12"/>
      <c r="C5104" s="12"/>
    </row>
    <row r="5105" spans="2:3">
      <c r="B5105" s="12"/>
      <c r="C5105" s="12"/>
    </row>
    <row r="5106" spans="2:3">
      <c r="B5106" s="12"/>
      <c r="C5106" s="12"/>
    </row>
    <row r="5107" spans="2:3">
      <c r="B5107" s="12"/>
      <c r="C5107" s="12"/>
    </row>
    <row r="5108" spans="2:3">
      <c r="B5108" s="12"/>
      <c r="C5108" s="12"/>
    </row>
    <row r="5109" spans="2:3">
      <c r="B5109" s="12"/>
      <c r="C5109" s="12"/>
    </row>
    <row r="5110" spans="2:3">
      <c r="B5110" s="12"/>
      <c r="C5110" s="12"/>
    </row>
    <row r="5111" spans="2:3">
      <c r="B5111" s="12"/>
      <c r="C5111" s="12"/>
    </row>
    <row r="5112" spans="2:3">
      <c r="B5112" s="12"/>
      <c r="C5112" s="12"/>
    </row>
    <row r="5113" spans="2:3">
      <c r="B5113" s="12"/>
      <c r="C5113" s="12"/>
    </row>
    <row r="5114" spans="2:3">
      <c r="B5114" s="12"/>
      <c r="C5114" s="12"/>
    </row>
    <row r="5115" spans="2:3">
      <c r="B5115" s="12"/>
      <c r="C5115" s="12"/>
    </row>
    <row r="5116" spans="2:3">
      <c r="B5116" s="12"/>
      <c r="C5116" s="12"/>
    </row>
    <row r="5117" spans="2:3">
      <c r="B5117" s="12"/>
      <c r="C5117" s="12"/>
    </row>
    <row r="5118" spans="2:3">
      <c r="B5118" s="12"/>
      <c r="C5118" s="12"/>
    </row>
    <row r="5119" spans="2:3">
      <c r="B5119" s="12"/>
      <c r="C5119" s="12"/>
    </row>
    <row r="5120" spans="2:3">
      <c r="B5120" s="12"/>
      <c r="C5120" s="12"/>
    </row>
    <row r="5121" spans="2:3">
      <c r="B5121" s="12"/>
      <c r="C5121" s="12"/>
    </row>
    <row r="5122" spans="2:3">
      <c r="B5122" s="12"/>
      <c r="C5122" s="12"/>
    </row>
    <row r="5123" spans="2:3">
      <c r="B5123" s="12"/>
      <c r="C5123" s="12"/>
    </row>
    <row r="5124" spans="2:3">
      <c r="B5124" s="12"/>
      <c r="C5124" s="12"/>
    </row>
    <row r="5125" spans="2:3">
      <c r="B5125" s="12"/>
      <c r="C5125" s="12"/>
    </row>
    <row r="5126" spans="2:3">
      <c r="B5126" s="12"/>
      <c r="C5126" s="12"/>
    </row>
    <row r="5127" spans="2:3">
      <c r="B5127" s="12"/>
      <c r="C5127" s="12"/>
    </row>
    <row r="5128" spans="2:3">
      <c r="B5128" s="12"/>
      <c r="C5128" s="12"/>
    </row>
    <row r="5129" spans="2:3">
      <c r="B5129" s="12"/>
      <c r="C5129" s="12"/>
    </row>
    <row r="5130" spans="2:3">
      <c r="B5130" s="12"/>
      <c r="C5130" s="12"/>
    </row>
    <row r="5131" spans="2:3">
      <c r="B5131" s="12"/>
      <c r="C5131" s="12"/>
    </row>
    <row r="5132" spans="2:3">
      <c r="B5132" s="12"/>
      <c r="C5132" s="12"/>
    </row>
    <row r="5133" spans="2:3">
      <c r="B5133" s="12"/>
      <c r="C5133" s="12"/>
    </row>
    <row r="5134" spans="2:3">
      <c r="B5134" s="12"/>
      <c r="C5134" s="12"/>
    </row>
    <row r="5135" spans="2:3">
      <c r="B5135" s="12"/>
      <c r="C5135" s="12"/>
    </row>
    <row r="5136" spans="2:3">
      <c r="B5136" s="12"/>
      <c r="C5136" s="12"/>
    </row>
    <row r="5137" spans="2:3">
      <c r="B5137" s="12"/>
      <c r="C5137" s="12"/>
    </row>
    <row r="5138" spans="2:3">
      <c r="B5138" s="12"/>
      <c r="C5138" s="12"/>
    </row>
    <row r="5139" spans="2:3">
      <c r="B5139" s="12"/>
      <c r="C5139" s="12"/>
    </row>
    <row r="5140" spans="2:3">
      <c r="B5140" s="12"/>
      <c r="C5140" s="12"/>
    </row>
    <row r="5141" spans="2:3">
      <c r="B5141" s="12"/>
      <c r="C5141" s="12"/>
    </row>
    <row r="5142" spans="2:3">
      <c r="B5142" s="12"/>
      <c r="C5142" s="12"/>
    </row>
    <row r="5143" spans="2:3">
      <c r="B5143" s="12"/>
      <c r="C5143" s="12"/>
    </row>
    <row r="5144" spans="2:3">
      <c r="B5144" s="12"/>
      <c r="C5144" s="12"/>
    </row>
    <row r="5145" spans="2:3">
      <c r="B5145" s="12"/>
      <c r="C5145" s="12"/>
    </row>
    <row r="5146" spans="2:3">
      <c r="B5146" s="12"/>
      <c r="C5146" s="12"/>
    </row>
    <row r="5147" spans="2:3">
      <c r="B5147" s="12"/>
      <c r="C5147" s="12"/>
    </row>
    <row r="5148" spans="2:3">
      <c r="B5148" s="12"/>
      <c r="C5148" s="12"/>
    </row>
    <row r="5149" spans="2:3">
      <c r="B5149" s="12"/>
      <c r="C5149" s="12"/>
    </row>
    <row r="5150" spans="2:3">
      <c r="B5150" s="12"/>
      <c r="C5150" s="12"/>
    </row>
    <row r="5151" spans="2:3">
      <c r="B5151" s="12"/>
      <c r="C5151" s="12"/>
    </row>
    <row r="5152" spans="2:3">
      <c r="B5152" s="12"/>
      <c r="C5152" s="12"/>
    </row>
    <row r="5153" spans="2:3">
      <c r="B5153" s="12"/>
      <c r="C5153" s="12"/>
    </row>
    <row r="5154" spans="2:3">
      <c r="B5154" s="12"/>
      <c r="C5154" s="12"/>
    </row>
    <row r="5155" spans="2:3">
      <c r="B5155" s="12"/>
      <c r="C5155" s="12"/>
    </row>
    <row r="5156" spans="2:3">
      <c r="B5156" s="12"/>
      <c r="C5156" s="12"/>
    </row>
    <row r="5157" spans="2:3">
      <c r="B5157" s="12"/>
      <c r="C5157" s="12"/>
    </row>
    <row r="5158" spans="2:3">
      <c r="B5158" s="12"/>
      <c r="C5158" s="12"/>
    </row>
    <row r="5159" spans="2:3">
      <c r="B5159" s="12"/>
      <c r="C5159" s="12"/>
    </row>
    <row r="5160" spans="2:3">
      <c r="B5160" s="12"/>
      <c r="C5160" s="12"/>
    </row>
    <row r="5161" spans="2:3">
      <c r="B5161" s="12"/>
      <c r="C5161" s="12"/>
    </row>
    <row r="5162" spans="2:3">
      <c r="B5162" s="12"/>
      <c r="C5162" s="12"/>
    </row>
    <row r="5163" spans="2:3">
      <c r="B5163" s="12"/>
      <c r="C5163" s="12"/>
    </row>
    <row r="5164" spans="2:3">
      <c r="B5164" s="12"/>
      <c r="C5164" s="12"/>
    </row>
    <row r="5165" spans="2:3">
      <c r="B5165" s="12"/>
      <c r="C5165" s="12"/>
    </row>
    <row r="5166" spans="2:3">
      <c r="B5166" s="12"/>
      <c r="C5166" s="12"/>
    </row>
    <row r="5167" spans="2:3">
      <c r="B5167" s="12"/>
      <c r="C5167" s="12"/>
    </row>
    <row r="5168" spans="2:3">
      <c r="B5168" s="12"/>
      <c r="C5168" s="12"/>
    </row>
    <row r="5169" spans="2:3">
      <c r="B5169" s="12"/>
      <c r="C5169" s="12"/>
    </row>
    <row r="5170" spans="2:3">
      <c r="B5170" s="12"/>
      <c r="C5170" s="12"/>
    </row>
    <row r="5171" spans="2:3">
      <c r="B5171" s="12"/>
      <c r="C5171" s="12"/>
    </row>
    <row r="5172" spans="2:3">
      <c r="B5172" s="12"/>
      <c r="C5172" s="12"/>
    </row>
    <row r="5173" spans="2:3">
      <c r="B5173" s="12"/>
      <c r="C5173" s="12"/>
    </row>
    <row r="5174" spans="2:3">
      <c r="B5174" s="12"/>
      <c r="C5174" s="12"/>
    </row>
    <row r="5175" spans="2:3">
      <c r="B5175" s="12"/>
      <c r="C5175" s="12"/>
    </row>
    <row r="5176" spans="2:3">
      <c r="B5176" s="12"/>
      <c r="C5176" s="12"/>
    </row>
    <row r="5177" spans="2:3">
      <c r="B5177" s="12"/>
      <c r="C5177" s="12"/>
    </row>
    <row r="5178" spans="2:3">
      <c r="B5178" s="12"/>
      <c r="C5178" s="12"/>
    </row>
    <row r="5179" spans="2:3">
      <c r="B5179" s="12"/>
      <c r="C5179" s="12"/>
    </row>
    <row r="5180" spans="2:3">
      <c r="B5180" s="12"/>
      <c r="C5180" s="12"/>
    </row>
    <row r="5181" spans="2:3">
      <c r="B5181" s="12"/>
      <c r="C5181" s="12"/>
    </row>
    <row r="5182" spans="2:3">
      <c r="B5182" s="12"/>
      <c r="C5182" s="12"/>
    </row>
    <row r="5183" spans="2:3">
      <c r="B5183" s="12"/>
      <c r="C5183" s="12"/>
    </row>
    <row r="5184" spans="2:3">
      <c r="B5184" s="12"/>
      <c r="C5184" s="12"/>
    </row>
    <row r="5185" spans="2:3">
      <c r="B5185" s="12"/>
      <c r="C5185" s="12"/>
    </row>
    <row r="5186" spans="2:3">
      <c r="B5186" s="12"/>
      <c r="C5186" s="12"/>
    </row>
    <row r="5187" spans="2:3">
      <c r="B5187" s="12"/>
      <c r="C5187" s="12"/>
    </row>
    <row r="5188" spans="2:3">
      <c r="B5188" s="12"/>
      <c r="C5188" s="12"/>
    </row>
    <row r="5189" spans="2:3">
      <c r="B5189" s="12"/>
      <c r="C5189" s="12"/>
    </row>
    <row r="5190" spans="2:3">
      <c r="B5190" s="12"/>
      <c r="C5190" s="12"/>
    </row>
    <row r="5191" spans="2:3">
      <c r="B5191" s="12"/>
      <c r="C5191" s="12"/>
    </row>
    <row r="5192" spans="2:3">
      <c r="B5192" s="12"/>
      <c r="C5192" s="12"/>
    </row>
    <row r="5193" spans="2:3">
      <c r="B5193" s="12"/>
      <c r="C5193" s="12"/>
    </row>
    <row r="5194" spans="2:3">
      <c r="B5194" s="12"/>
      <c r="C5194" s="12"/>
    </row>
    <row r="5195" spans="2:3">
      <c r="B5195" s="12"/>
      <c r="C5195" s="12"/>
    </row>
    <row r="5196" spans="2:3">
      <c r="B5196" s="12"/>
      <c r="C5196" s="12"/>
    </row>
    <row r="5197" spans="2:3">
      <c r="B5197" s="12"/>
      <c r="C5197" s="12"/>
    </row>
    <row r="5198" spans="2:3">
      <c r="B5198" s="12"/>
      <c r="C5198" s="12"/>
    </row>
    <row r="5199" spans="2:3">
      <c r="B5199" s="12"/>
      <c r="C5199" s="12"/>
    </row>
    <row r="5200" spans="2:3">
      <c r="B5200" s="12"/>
      <c r="C5200" s="12"/>
    </row>
    <row r="5201" spans="2:3">
      <c r="B5201" s="12"/>
      <c r="C5201" s="12"/>
    </row>
    <row r="5202" spans="2:3">
      <c r="B5202" s="12"/>
      <c r="C5202" s="12"/>
    </row>
    <row r="5203" spans="2:3">
      <c r="B5203" s="12"/>
      <c r="C5203" s="12"/>
    </row>
    <row r="5204" spans="2:3">
      <c r="B5204" s="12"/>
      <c r="C5204" s="12"/>
    </row>
    <row r="5205" spans="2:3">
      <c r="B5205" s="12"/>
      <c r="C5205" s="12"/>
    </row>
    <row r="5206" spans="2:3">
      <c r="B5206" s="12"/>
      <c r="C5206" s="12"/>
    </row>
    <row r="5207" spans="2:3">
      <c r="B5207" s="12"/>
      <c r="C5207" s="12"/>
    </row>
    <row r="5208" spans="2:3">
      <c r="B5208" s="12"/>
      <c r="C5208" s="12"/>
    </row>
    <row r="5209" spans="2:3">
      <c r="B5209" s="12"/>
      <c r="C5209" s="12"/>
    </row>
    <row r="5210" spans="2:3">
      <c r="B5210" s="12"/>
      <c r="C5210" s="12"/>
    </row>
    <row r="5211" spans="2:3">
      <c r="B5211" s="12"/>
      <c r="C5211" s="12"/>
    </row>
    <row r="5212" spans="2:3">
      <c r="B5212" s="12"/>
      <c r="C5212" s="12"/>
    </row>
    <row r="5213" spans="2:3">
      <c r="B5213" s="12"/>
      <c r="C5213" s="12"/>
    </row>
    <row r="5214" spans="2:3">
      <c r="B5214" s="12"/>
      <c r="C5214" s="12"/>
    </row>
    <row r="5215" spans="2:3">
      <c r="B5215" s="12"/>
      <c r="C5215" s="12"/>
    </row>
    <row r="5216" spans="2:3">
      <c r="B5216" s="12"/>
      <c r="C5216" s="12"/>
    </row>
    <row r="5217" spans="2:3">
      <c r="B5217" s="12"/>
      <c r="C5217" s="12"/>
    </row>
    <row r="5218" spans="2:3">
      <c r="B5218" s="12"/>
      <c r="C5218" s="12"/>
    </row>
    <row r="5219" spans="2:3">
      <c r="B5219" s="12"/>
      <c r="C5219" s="12"/>
    </row>
    <row r="5220" spans="2:3">
      <c r="B5220" s="12"/>
      <c r="C5220" s="12"/>
    </row>
    <row r="5221" spans="2:3">
      <c r="B5221" s="12"/>
      <c r="C5221" s="12"/>
    </row>
    <row r="5222" spans="2:3">
      <c r="B5222" s="12"/>
      <c r="C5222" s="12"/>
    </row>
    <row r="5223" spans="2:3">
      <c r="B5223" s="12"/>
      <c r="C5223" s="12"/>
    </row>
    <row r="5224" spans="2:3">
      <c r="B5224" s="12"/>
      <c r="C5224" s="12"/>
    </row>
    <row r="5225" spans="2:3">
      <c r="B5225" s="12"/>
      <c r="C5225" s="12"/>
    </row>
    <row r="5226" spans="2:3">
      <c r="B5226" s="12"/>
      <c r="C5226" s="12"/>
    </row>
    <row r="5227" spans="2:3">
      <c r="B5227" s="12"/>
      <c r="C5227" s="12"/>
    </row>
    <row r="5228" spans="2:3">
      <c r="B5228" s="12"/>
      <c r="C5228" s="12"/>
    </row>
    <row r="5229" spans="2:3">
      <c r="B5229" s="12"/>
      <c r="C5229" s="12"/>
    </row>
    <row r="5230" spans="2:3">
      <c r="B5230" s="12"/>
      <c r="C5230" s="12"/>
    </row>
    <row r="5231" spans="2:3">
      <c r="B5231" s="12"/>
      <c r="C5231" s="12"/>
    </row>
    <row r="5232" spans="2:3">
      <c r="B5232" s="12"/>
      <c r="C5232" s="12"/>
    </row>
    <row r="5233" spans="2:3">
      <c r="B5233" s="12"/>
      <c r="C5233" s="12"/>
    </row>
    <row r="5234" spans="2:3">
      <c r="B5234" s="12"/>
      <c r="C5234" s="12"/>
    </row>
    <row r="5235" spans="2:3">
      <c r="B5235" s="12"/>
      <c r="C5235" s="12"/>
    </row>
    <row r="5236" spans="2:3">
      <c r="B5236" s="12"/>
      <c r="C5236" s="12"/>
    </row>
    <row r="5237" spans="2:3">
      <c r="B5237" s="12"/>
      <c r="C5237" s="12"/>
    </row>
    <row r="5238" spans="2:3">
      <c r="B5238" s="12"/>
      <c r="C5238" s="12"/>
    </row>
    <row r="5239" spans="2:3">
      <c r="B5239" s="12"/>
      <c r="C5239" s="12"/>
    </row>
    <row r="5240" spans="2:3">
      <c r="B5240" s="12"/>
      <c r="C5240" s="12"/>
    </row>
    <row r="5241" spans="2:3">
      <c r="B5241" s="12"/>
      <c r="C5241" s="12"/>
    </row>
    <row r="5242" spans="2:3">
      <c r="B5242" s="12"/>
      <c r="C5242" s="12"/>
    </row>
    <row r="5243" spans="2:3">
      <c r="B5243" s="12"/>
      <c r="C5243" s="12"/>
    </row>
    <row r="5244" spans="2:3">
      <c r="B5244" s="12"/>
      <c r="C5244" s="12"/>
    </row>
    <row r="5245" spans="2:3">
      <c r="B5245" s="12"/>
      <c r="C5245" s="12"/>
    </row>
    <row r="5246" spans="2:3">
      <c r="B5246" s="12"/>
      <c r="C5246" s="12"/>
    </row>
    <row r="5247" spans="2:3">
      <c r="B5247" s="12"/>
      <c r="C5247" s="12"/>
    </row>
    <row r="5248" spans="2:3">
      <c r="B5248" s="12"/>
      <c r="C5248" s="12"/>
    </row>
    <row r="5249" spans="2:3">
      <c r="B5249" s="12"/>
      <c r="C5249" s="12"/>
    </row>
    <row r="5250" spans="2:3">
      <c r="B5250" s="12"/>
      <c r="C5250" s="12"/>
    </row>
    <row r="5251" spans="2:3">
      <c r="B5251" s="12"/>
      <c r="C5251" s="12"/>
    </row>
    <row r="5252" spans="2:3">
      <c r="B5252" s="12"/>
      <c r="C5252" s="12"/>
    </row>
    <row r="5253" spans="2:3">
      <c r="B5253" s="12"/>
      <c r="C5253" s="12"/>
    </row>
    <row r="5254" spans="2:3">
      <c r="B5254" s="12"/>
      <c r="C5254" s="12"/>
    </row>
    <row r="5255" spans="2:3">
      <c r="B5255" s="12"/>
      <c r="C5255" s="12"/>
    </row>
    <row r="5256" spans="2:3">
      <c r="B5256" s="12"/>
      <c r="C5256" s="12"/>
    </row>
    <row r="5257" spans="2:3">
      <c r="B5257" s="12"/>
      <c r="C5257" s="12"/>
    </row>
    <row r="5258" spans="2:3">
      <c r="B5258" s="12"/>
      <c r="C5258" s="12"/>
    </row>
    <row r="5259" spans="2:3">
      <c r="B5259" s="12"/>
      <c r="C5259" s="12"/>
    </row>
    <row r="5260" spans="2:3">
      <c r="B5260" s="12"/>
      <c r="C5260" s="12"/>
    </row>
    <row r="5261" spans="2:3">
      <c r="B5261" s="12"/>
      <c r="C5261" s="12"/>
    </row>
    <row r="5262" spans="2:3">
      <c r="B5262" s="12"/>
      <c r="C5262" s="12"/>
    </row>
    <row r="5263" spans="2:3">
      <c r="B5263" s="12"/>
      <c r="C5263" s="12"/>
    </row>
    <row r="5264" spans="2:3">
      <c r="B5264" s="12"/>
      <c r="C5264" s="12"/>
    </row>
    <row r="5265" spans="2:3">
      <c r="B5265" s="12"/>
      <c r="C5265" s="12"/>
    </row>
    <row r="5266" spans="2:3">
      <c r="B5266" s="12"/>
      <c r="C5266" s="12"/>
    </row>
    <row r="5267" spans="2:3">
      <c r="B5267" s="12"/>
      <c r="C5267" s="12"/>
    </row>
    <row r="5268" spans="2:3">
      <c r="B5268" s="12"/>
      <c r="C5268" s="12"/>
    </row>
    <row r="5269" spans="2:3">
      <c r="B5269" s="12"/>
      <c r="C5269" s="12"/>
    </row>
    <row r="5270" spans="2:3">
      <c r="B5270" s="12"/>
      <c r="C5270" s="12"/>
    </row>
    <row r="5271" spans="2:3">
      <c r="B5271" s="12"/>
      <c r="C5271" s="12"/>
    </row>
    <row r="5272" spans="2:3">
      <c r="B5272" s="12"/>
      <c r="C5272" s="12"/>
    </row>
    <row r="5273" spans="2:3">
      <c r="B5273" s="12"/>
      <c r="C5273" s="12"/>
    </row>
    <row r="5274" spans="2:3">
      <c r="B5274" s="12"/>
      <c r="C5274" s="12"/>
    </row>
    <row r="5275" spans="2:3">
      <c r="B5275" s="12"/>
      <c r="C5275" s="12"/>
    </row>
    <row r="5276" spans="2:3">
      <c r="B5276" s="12"/>
      <c r="C5276" s="12"/>
    </row>
    <row r="5277" spans="2:3">
      <c r="B5277" s="12"/>
      <c r="C5277" s="12"/>
    </row>
    <row r="5278" spans="2:3">
      <c r="B5278" s="12"/>
      <c r="C5278" s="12"/>
    </row>
    <row r="5279" spans="2:3">
      <c r="B5279" s="12"/>
      <c r="C5279" s="12"/>
    </row>
    <row r="5280" spans="2:3">
      <c r="B5280" s="12"/>
      <c r="C5280" s="12"/>
    </row>
    <row r="5281" spans="2:3">
      <c r="B5281" s="12"/>
      <c r="C5281" s="12"/>
    </row>
    <row r="5282" spans="2:3">
      <c r="B5282" s="12"/>
      <c r="C5282" s="12"/>
    </row>
    <row r="5283" spans="2:3">
      <c r="B5283" s="12"/>
      <c r="C5283" s="12"/>
    </row>
    <row r="5284" spans="2:3">
      <c r="B5284" s="12"/>
      <c r="C5284" s="12"/>
    </row>
    <row r="5285" spans="2:3">
      <c r="B5285" s="12"/>
      <c r="C5285" s="12"/>
    </row>
    <row r="5286" spans="2:3">
      <c r="B5286" s="12"/>
      <c r="C5286" s="12"/>
    </row>
    <row r="5287" spans="2:3">
      <c r="B5287" s="12"/>
      <c r="C5287" s="12"/>
    </row>
    <row r="5288" spans="2:3">
      <c r="B5288" s="12"/>
      <c r="C5288" s="12"/>
    </row>
    <row r="5289" spans="2:3">
      <c r="B5289" s="12"/>
      <c r="C5289" s="12"/>
    </row>
    <row r="5290" spans="2:3">
      <c r="B5290" s="12"/>
      <c r="C5290" s="12"/>
    </row>
    <row r="5291" spans="2:3">
      <c r="B5291" s="12"/>
      <c r="C5291" s="12"/>
    </row>
    <row r="5292" spans="2:3">
      <c r="B5292" s="12"/>
      <c r="C5292" s="12"/>
    </row>
    <row r="5293" spans="2:3">
      <c r="B5293" s="12"/>
      <c r="C5293" s="12"/>
    </row>
    <row r="5294" spans="2:3">
      <c r="B5294" s="12"/>
      <c r="C5294" s="12"/>
    </row>
    <row r="5295" spans="2:3">
      <c r="B5295" s="12"/>
      <c r="C5295" s="12"/>
    </row>
    <row r="5296" spans="2:3">
      <c r="B5296" s="12"/>
      <c r="C5296" s="12"/>
    </row>
    <row r="5297" spans="2:3">
      <c r="B5297" s="12"/>
      <c r="C5297" s="12"/>
    </row>
    <row r="5298" spans="2:3">
      <c r="B5298" s="12"/>
      <c r="C5298" s="12"/>
    </row>
    <row r="5299" spans="2:3">
      <c r="B5299" s="12"/>
      <c r="C5299" s="12"/>
    </row>
    <row r="5300" spans="2:3">
      <c r="B5300" s="12"/>
      <c r="C5300" s="12"/>
    </row>
    <row r="5301" spans="2:3">
      <c r="B5301" s="12"/>
      <c r="C5301" s="12"/>
    </row>
    <row r="5302" spans="2:3">
      <c r="B5302" s="12"/>
      <c r="C5302" s="12"/>
    </row>
    <row r="5303" spans="2:3">
      <c r="B5303" s="12"/>
      <c r="C5303" s="12"/>
    </row>
    <row r="5304" spans="2:3">
      <c r="B5304" s="12"/>
      <c r="C5304" s="12"/>
    </row>
    <row r="5305" spans="2:3">
      <c r="B5305" s="12"/>
      <c r="C5305" s="12"/>
    </row>
    <row r="5306" spans="2:3">
      <c r="B5306" s="12"/>
      <c r="C5306" s="12"/>
    </row>
    <row r="5307" spans="2:3">
      <c r="B5307" s="12"/>
      <c r="C5307" s="12"/>
    </row>
    <row r="5308" spans="2:3">
      <c r="B5308" s="12"/>
      <c r="C5308" s="12"/>
    </row>
    <row r="5309" spans="2:3">
      <c r="B5309" s="12"/>
      <c r="C5309" s="12"/>
    </row>
    <row r="5310" spans="2:3">
      <c r="B5310" s="12"/>
      <c r="C5310" s="12"/>
    </row>
    <row r="5311" spans="2:3">
      <c r="B5311" s="12"/>
      <c r="C5311" s="12"/>
    </row>
    <row r="5312" spans="2:3">
      <c r="B5312" s="12"/>
      <c r="C5312" s="12"/>
    </row>
    <row r="5313" spans="2:3">
      <c r="B5313" s="12"/>
      <c r="C5313" s="12"/>
    </row>
    <row r="5314" spans="2:3">
      <c r="B5314" s="12"/>
      <c r="C5314" s="12"/>
    </row>
    <row r="5315" spans="2:3">
      <c r="B5315" s="12"/>
      <c r="C5315" s="12"/>
    </row>
    <row r="5316" spans="2:3">
      <c r="B5316" s="12"/>
      <c r="C5316" s="12"/>
    </row>
    <row r="5317" spans="2:3">
      <c r="B5317" s="12"/>
      <c r="C5317" s="12"/>
    </row>
    <row r="5318" spans="2:3">
      <c r="B5318" s="12"/>
      <c r="C5318" s="12"/>
    </row>
    <row r="5319" spans="2:3">
      <c r="B5319" s="12"/>
      <c r="C5319" s="12"/>
    </row>
    <row r="5320" spans="2:3">
      <c r="B5320" s="12"/>
      <c r="C5320" s="12"/>
    </row>
    <row r="5321" spans="2:3">
      <c r="B5321" s="12"/>
      <c r="C5321" s="12"/>
    </row>
    <row r="5322" spans="2:3">
      <c r="B5322" s="12"/>
      <c r="C5322" s="12"/>
    </row>
    <row r="5323" spans="2:3">
      <c r="B5323" s="12"/>
      <c r="C5323" s="12"/>
    </row>
    <row r="5324" spans="2:3">
      <c r="B5324" s="12"/>
      <c r="C5324" s="12"/>
    </row>
    <row r="5325" spans="2:3">
      <c r="B5325" s="12"/>
      <c r="C5325" s="12"/>
    </row>
    <row r="5326" spans="2:3">
      <c r="B5326" s="12"/>
      <c r="C5326" s="12"/>
    </row>
    <row r="5327" spans="2:3">
      <c r="B5327" s="12"/>
      <c r="C5327" s="12"/>
    </row>
    <row r="5328" spans="2:3">
      <c r="B5328" s="12"/>
      <c r="C5328" s="12"/>
    </row>
    <row r="5329" spans="2:3">
      <c r="B5329" s="12"/>
      <c r="C5329" s="12"/>
    </row>
    <row r="5330" spans="2:3">
      <c r="B5330" s="12"/>
      <c r="C5330" s="12"/>
    </row>
    <row r="5331" spans="2:3">
      <c r="B5331" s="12"/>
      <c r="C5331" s="12"/>
    </row>
    <row r="5332" spans="2:3">
      <c r="B5332" s="12"/>
      <c r="C5332" s="12"/>
    </row>
    <row r="5333" spans="2:3">
      <c r="B5333" s="12"/>
      <c r="C5333" s="12"/>
    </row>
    <row r="5334" spans="2:3">
      <c r="B5334" s="12"/>
      <c r="C5334" s="12"/>
    </row>
    <row r="5335" spans="2:3">
      <c r="B5335" s="12"/>
      <c r="C5335" s="12"/>
    </row>
    <row r="5336" spans="2:3">
      <c r="B5336" s="12"/>
      <c r="C5336" s="12"/>
    </row>
    <row r="5337" spans="2:3">
      <c r="B5337" s="12"/>
      <c r="C5337" s="12"/>
    </row>
    <row r="5338" spans="2:3">
      <c r="B5338" s="12"/>
      <c r="C5338" s="12"/>
    </row>
    <row r="5339" spans="2:3">
      <c r="B5339" s="12"/>
      <c r="C5339" s="12"/>
    </row>
    <row r="5340" spans="2:3">
      <c r="B5340" s="12"/>
      <c r="C5340" s="12"/>
    </row>
    <row r="5341" spans="2:3">
      <c r="B5341" s="12"/>
      <c r="C5341" s="12"/>
    </row>
    <row r="5342" spans="2:3">
      <c r="B5342" s="12"/>
      <c r="C5342" s="12"/>
    </row>
    <row r="5343" spans="2:3">
      <c r="B5343" s="12"/>
      <c r="C5343" s="12"/>
    </row>
    <row r="5344" spans="2:3">
      <c r="B5344" s="12"/>
      <c r="C5344" s="12"/>
    </row>
    <row r="5345" spans="2:3">
      <c r="B5345" s="12"/>
      <c r="C5345" s="12"/>
    </row>
    <row r="5346" spans="2:3">
      <c r="B5346" s="12"/>
      <c r="C5346" s="12"/>
    </row>
    <row r="5347" spans="2:3">
      <c r="B5347" s="12"/>
      <c r="C5347" s="12"/>
    </row>
    <row r="5348" spans="2:3">
      <c r="B5348" s="12"/>
      <c r="C5348" s="12"/>
    </row>
    <row r="5349" spans="2:3">
      <c r="B5349" s="12"/>
      <c r="C5349" s="12"/>
    </row>
    <row r="5350" spans="2:3">
      <c r="B5350" s="12"/>
      <c r="C5350" s="12"/>
    </row>
    <row r="5351" spans="2:3">
      <c r="B5351" s="12"/>
      <c r="C5351" s="12"/>
    </row>
    <row r="5352" spans="2:3">
      <c r="B5352" s="12"/>
      <c r="C5352" s="12"/>
    </row>
    <row r="5353" spans="2:3">
      <c r="B5353" s="12"/>
      <c r="C5353" s="12"/>
    </row>
    <row r="5354" spans="2:3">
      <c r="B5354" s="12"/>
      <c r="C5354" s="12"/>
    </row>
    <row r="5355" spans="2:3">
      <c r="B5355" s="12"/>
      <c r="C5355" s="12"/>
    </row>
    <row r="5356" spans="2:3">
      <c r="B5356" s="12"/>
      <c r="C5356" s="12"/>
    </row>
    <row r="5357" spans="2:3">
      <c r="B5357" s="12"/>
      <c r="C5357" s="12"/>
    </row>
    <row r="5358" spans="2:3">
      <c r="B5358" s="12"/>
      <c r="C5358" s="12"/>
    </row>
    <row r="5359" spans="2:3">
      <c r="B5359" s="12"/>
      <c r="C5359" s="12"/>
    </row>
    <row r="5360" spans="2:3">
      <c r="B5360" s="12"/>
      <c r="C5360" s="12"/>
    </row>
    <row r="5361" spans="2:3">
      <c r="B5361" s="12"/>
      <c r="C5361" s="12"/>
    </row>
    <row r="5362" spans="2:3">
      <c r="B5362" s="12"/>
      <c r="C5362" s="12"/>
    </row>
    <row r="5363" spans="2:3">
      <c r="B5363" s="12"/>
      <c r="C5363" s="12"/>
    </row>
    <row r="5364" spans="2:3">
      <c r="B5364" s="12"/>
      <c r="C5364" s="12"/>
    </row>
    <row r="5365" spans="2:3">
      <c r="B5365" s="12"/>
      <c r="C5365" s="12"/>
    </row>
    <row r="5366" spans="2:3">
      <c r="B5366" s="12"/>
      <c r="C5366" s="12"/>
    </row>
    <row r="5367" spans="2:3">
      <c r="B5367" s="12"/>
      <c r="C5367" s="12"/>
    </row>
    <row r="5368" spans="2:3">
      <c r="B5368" s="12"/>
      <c r="C5368" s="12"/>
    </row>
    <row r="5369" spans="2:3">
      <c r="B5369" s="12"/>
      <c r="C5369" s="12"/>
    </row>
    <row r="5370" spans="2:3">
      <c r="B5370" s="12"/>
      <c r="C5370" s="12"/>
    </row>
    <row r="5371" spans="2:3">
      <c r="B5371" s="12"/>
      <c r="C5371" s="12"/>
    </row>
    <row r="5372" spans="2:3">
      <c r="B5372" s="12"/>
      <c r="C5372" s="12"/>
    </row>
    <row r="5373" spans="2:3">
      <c r="B5373" s="12"/>
      <c r="C5373" s="12"/>
    </row>
    <row r="5374" spans="2:3">
      <c r="B5374" s="12"/>
      <c r="C5374" s="12"/>
    </row>
    <row r="5375" spans="2:3">
      <c r="B5375" s="12"/>
      <c r="C5375" s="12"/>
    </row>
    <row r="5376" spans="2:3">
      <c r="B5376" s="12"/>
      <c r="C5376" s="12"/>
    </row>
    <row r="5377" spans="2:3">
      <c r="B5377" s="12"/>
      <c r="C5377" s="12"/>
    </row>
    <row r="5378" spans="2:3">
      <c r="B5378" s="12"/>
      <c r="C5378" s="12"/>
    </row>
    <row r="5379" spans="2:3">
      <c r="B5379" s="12"/>
      <c r="C5379" s="12"/>
    </row>
    <row r="5380" spans="2:3">
      <c r="B5380" s="12"/>
      <c r="C5380" s="12"/>
    </row>
    <row r="5381" spans="2:3">
      <c r="B5381" s="12"/>
      <c r="C5381" s="12"/>
    </row>
    <row r="5382" spans="2:3">
      <c r="B5382" s="12"/>
      <c r="C5382" s="12"/>
    </row>
    <row r="5383" spans="2:3">
      <c r="B5383" s="12"/>
      <c r="C5383" s="12"/>
    </row>
    <row r="5384" spans="2:3">
      <c r="B5384" s="12"/>
      <c r="C5384" s="12"/>
    </row>
    <row r="5385" spans="2:3">
      <c r="B5385" s="12"/>
      <c r="C5385" s="12"/>
    </row>
    <row r="5386" spans="2:3">
      <c r="B5386" s="12"/>
      <c r="C5386" s="12"/>
    </row>
    <row r="5387" spans="2:3">
      <c r="B5387" s="12"/>
      <c r="C5387" s="12"/>
    </row>
    <row r="5388" spans="2:3">
      <c r="B5388" s="12"/>
      <c r="C5388" s="12"/>
    </row>
    <row r="5389" spans="2:3">
      <c r="B5389" s="12"/>
      <c r="C5389" s="12"/>
    </row>
    <row r="5390" spans="2:3">
      <c r="B5390" s="12"/>
      <c r="C5390" s="12"/>
    </row>
    <row r="5391" spans="2:3">
      <c r="B5391" s="12"/>
      <c r="C5391" s="12"/>
    </row>
    <row r="5392" spans="2:3">
      <c r="B5392" s="12"/>
      <c r="C5392" s="12"/>
    </row>
    <row r="5393" spans="2:3">
      <c r="B5393" s="12"/>
      <c r="C5393" s="12"/>
    </row>
    <row r="5394" spans="2:3">
      <c r="B5394" s="12"/>
      <c r="C5394" s="12"/>
    </row>
    <row r="5395" spans="2:3">
      <c r="B5395" s="12"/>
      <c r="C5395" s="12"/>
    </row>
    <row r="5396" spans="2:3">
      <c r="B5396" s="12"/>
      <c r="C5396" s="12"/>
    </row>
    <row r="5397" spans="2:3">
      <c r="B5397" s="12"/>
      <c r="C5397" s="12"/>
    </row>
    <row r="5398" spans="2:3">
      <c r="B5398" s="12"/>
      <c r="C5398" s="12"/>
    </row>
    <row r="5399" spans="2:3">
      <c r="B5399" s="12"/>
      <c r="C5399" s="12"/>
    </row>
    <row r="5400" spans="2:3">
      <c r="B5400" s="12"/>
      <c r="C5400" s="12"/>
    </row>
    <row r="5401" spans="2:3">
      <c r="B5401" s="12"/>
      <c r="C5401" s="12"/>
    </row>
    <row r="5402" spans="2:3">
      <c r="B5402" s="12"/>
      <c r="C5402" s="12"/>
    </row>
    <row r="5403" spans="2:3">
      <c r="B5403" s="12"/>
      <c r="C5403" s="12"/>
    </row>
    <row r="5404" spans="2:3">
      <c r="B5404" s="12"/>
      <c r="C5404" s="12"/>
    </row>
    <row r="5405" spans="2:3">
      <c r="B5405" s="12"/>
      <c r="C5405" s="12"/>
    </row>
    <row r="5406" spans="2:3">
      <c r="B5406" s="12"/>
      <c r="C5406" s="12"/>
    </row>
    <row r="5407" spans="2:3">
      <c r="B5407" s="12"/>
      <c r="C5407" s="12"/>
    </row>
    <row r="5408" spans="2:3">
      <c r="B5408" s="12"/>
      <c r="C5408" s="12"/>
    </row>
    <row r="5409" spans="2:3">
      <c r="B5409" s="12"/>
      <c r="C5409" s="12"/>
    </row>
    <row r="5410" spans="2:3">
      <c r="B5410" s="12"/>
      <c r="C5410" s="12"/>
    </row>
    <row r="5411" spans="2:3">
      <c r="B5411" s="12"/>
      <c r="C5411" s="12"/>
    </row>
    <row r="5412" spans="2:3">
      <c r="B5412" s="12"/>
      <c r="C5412" s="12"/>
    </row>
    <row r="5413" spans="2:3">
      <c r="B5413" s="12"/>
      <c r="C5413" s="12"/>
    </row>
    <row r="5414" spans="2:3">
      <c r="B5414" s="12"/>
      <c r="C5414" s="12"/>
    </row>
    <row r="5415" spans="2:3">
      <c r="B5415" s="12"/>
      <c r="C5415" s="12"/>
    </row>
    <row r="5416" spans="2:3">
      <c r="B5416" s="12"/>
      <c r="C5416" s="12"/>
    </row>
    <row r="5417" spans="2:3">
      <c r="B5417" s="12"/>
      <c r="C5417" s="12"/>
    </row>
    <row r="5418" spans="2:3">
      <c r="B5418" s="12"/>
      <c r="C5418" s="12"/>
    </row>
    <row r="5419" spans="2:3">
      <c r="B5419" s="12"/>
      <c r="C5419" s="12"/>
    </row>
    <row r="5420" spans="2:3">
      <c r="B5420" s="12"/>
      <c r="C5420" s="12"/>
    </row>
    <row r="5421" spans="2:3">
      <c r="B5421" s="12"/>
      <c r="C5421" s="12"/>
    </row>
    <row r="5422" spans="2:3">
      <c r="B5422" s="12"/>
      <c r="C5422" s="12"/>
    </row>
    <row r="5423" spans="2:3">
      <c r="B5423" s="12"/>
      <c r="C5423" s="12"/>
    </row>
    <row r="5424" spans="2:3">
      <c r="B5424" s="12"/>
      <c r="C5424" s="12"/>
    </row>
    <row r="5425" spans="2:3">
      <c r="B5425" s="12"/>
      <c r="C5425" s="12"/>
    </row>
    <row r="5426" spans="2:3">
      <c r="B5426" s="12"/>
      <c r="C5426" s="12"/>
    </row>
    <row r="5427" spans="2:3">
      <c r="B5427" s="12"/>
      <c r="C5427" s="12"/>
    </row>
    <row r="5428" spans="2:3">
      <c r="B5428" s="12"/>
      <c r="C5428" s="12"/>
    </row>
    <row r="5429" spans="2:3">
      <c r="B5429" s="12"/>
      <c r="C5429" s="12"/>
    </row>
    <row r="5430" spans="2:3">
      <c r="B5430" s="12"/>
      <c r="C5430" s="12"/>
    </row>
    <row r="5431" spans="2:3">
      <c r="B5431" s="12"/>
      <c r="C5431" s="12"/>
    </row>
    <row r="5432" spans="2:3">
      <c r="B5432" s="12"/>
      <c r="C5432" s="12"/>
    </row>
    <row r="5433" spans="2:3">
      <c r="B5433" s="12"/>
      <c r="C5433" s="12"/>
    </row>
    <row r="5434" spans="2:3">
      <c r="B5434" s="12"/>
      <c r="C5434" s="12"/>
    </row>
    <row r="5435" spans="2:3">
      <c r="B5435" s="12"/>
      <c r="C5435" s="12"/>
    </row>
    <row r="5436" spans="2:3">
      <c r="B5436" s="12"/>
      <c r="C5436" s="12"/>
    </row>
    <row r="5437" spans="2:3">
      <c r="B5437" s="12"/>
      <c r="C5437" s="12"/>
    </row>
    <row r="5438" spans="2:3">
      <c r="B5438" s="12"/>
      <c r="C5438" s="12"/>
    </row>
    <row r="5439" spans="2:3">
      <c r="B5439" s="12"/>
      <c r="C5439" s="12"/>
    </row>
    <row r="5440" spans="2:3">
      <c r="B5440" s="12"/>
      <c r="C5440" s="12"/>
    </row>
    <row r="5441" spans="2:3">
      <c r="B5441" s="12"/>
      <c r="C5441" s="12"/>
    </row>
    <row r="5442" spans="2:3">
      <c r="B5442" s="12"/>
      <c r="C5442" s="12"/>
    </row>
    <row r="5443" spans="2:3">
      <c r="B5443" s="12"/>
      <c r="C5443" s="12"/>
    </row>
    <row r="5444" spans="2:3">
      <c r="B5444" s="12"/>
      <c r="C5444" s="12"/>
    </row>
    <row r="5445" spans="2:3">
      <c r="B5445" s="12"/>
      <c r="C5445" s="12"/>
    </row>
    <row r="5446" spans="2:3">
      <c r="B5446" s="12"/>
      <c r="C5446" s="12"/>
    </row>
    <row r="5447" spans="2:3">
      <c r="B5447" s="12"/>
      <c r="C5447" s="12"/>
    </row>
    <row r="5448" spans="2:3">
      <c r="B5448" s="12"/>
      <c r="C5448" s="12"/>
    </row>
    <row r="5449" spans="2:3">
      <c r="B5449" s="12"/>
      <c r="C5449" s="12"/>
    </row>
    <row r="5450" spans="2:3">
      <c r="B5450" s="12"/>
      <c r="C5450" s="12"/>
    </row>
    <row r="5451" spans="2:3">
      <c r="B5451" s="12"/>
      <c r="C5451" s="12"/>
    </row>
    <row r="5452" spans="2:3">
      <c r="B5452" s="12"/>
      <c r="C5452" s="12"/>
    </row>
    <row r="5453" spans="2:3">
      <c r="B5453" s="12"/>
      <c r="C5453" s="12"/>
    </row>
    <row r="5454" spans="2:3">
      <c r="B5454" s="12"/>
      <c r="C5454" s="12"/>
    </row>
    <row r="5455" spans="2:3">
      <c r="B5455" s="12"/>
      <c r="C5455" s="12"/>
    </row>
    <row r="5456" spans="2:3">
      <c r="B5456" s="12"/>
      <c r="C5456" s="12"/>
    </row>
    <row r="5457" spans="2:3">
      <c r="B5457" s="12"/>
      <c r="C5457" s="12"/>
    </row>
    <row r="5458" spans="2:3">
      <c r="B5458" s="12"/>
      <c r="C5458" s="12"/>
    </row>
    <row r="5459" spans="2:3">
      <c r="B5459" s="12"/>
      <c r="C5459" s="12"/>
    </row>
    <row r="5460" spans="2:3">
      <c r="B5460" s="12"/>
      <c r="C5460" s="12"/>
    </row>
    <row r="5461" spans="2:3">
      <c r="B5461" s="12"/>
      <c r="C5461" s="12"/>
    </row>
    <row r="5462" spans="2:3">
      <c r="B5462" s="12"/>
      <c r="C5462" s="12"/>
    </row>
    <row r="5463" spans="2:3">
      <c r="B5463" s="12"/>
      <c r="C5463" s="12"/>
    </row>
    <row r="5464" spans="2:3">
      <c r="B5464" s="12"/>
      <c r="C5464" s="12"/>
    </row>
    <row r="5465" spans="2:3">
      <c r="B5465" s="12"/>
      <c r="C5465" s="12"/>
    </row>
    <row r="5466" spans="2:3">
      <c r="B5466" s="12"/>
      <c r="C5466" s="12"/>
    </row>
    <row r="5467" spans="2:3">
      <c r="B5467" s="12"/>
      <c r="C5467" s="12"/>
    </row>
    <row r="5468" spans="2:3">
      <c r="B5468" s="12"/>
      <c r="C5468" s="12"/>
    </row>
    <row r="5469" spans="2:3">
      <c r="B5469" s="12"/>
      <c r="C5469" s="12"/>
    </row>
    <row r="5470" spans="2:3">
      <c r="B5470" s="12"/>
      <c r="C5470" s="12"/>
    </row>
    <row r="5471" spans="2:3">
      <c r="B5471" s="12"/>
      <c r="C5471" s="12"/>
    </row>
    <row r="5472" spans="2:3">
      <c r="B5472" s="12"/>
      <c r="C5472" s="12"/>
    </row>
    <row r="5473" spans="2:3">
      <c r="B5473" s="12"/>
      <c r="C5473" s="12"/>
    </row>
    <row r="5474" spans="2:3">
      <c r="B5474" s="12"/>
      <c r="C5474" s="12"/>
    </row>
    <row r="5475" spans="2:3">
      <c r="B5475" s="12"/>
      <c r="C5475" s="12"/>
    </row>
    <row r="5476" spans="2:3">
      <c r="B5476" s="12"/>
      <c r="C5476" s="12"/>
    </row>
    <row r="5477" spans="2:3">
      <c r="B5477" s="12"/>
      <c r="C5477" s="12"/>
    </row>
    <row r="5478" spans="2:3">
      <c r="B5478" s="12"/>
      <c r="C5478" s="12"/>
    </row>
    <row r="5479" spans="2:3">
      <c r="B5479" s="12"/>
      <c r="C5479" s="12"/>
    </row>
    <row r="5480" spans="2:3">
      <c r="B5480" s="12"/>
      <c r="C5480" s="12"/>
    </row>
    <row r="5481" spans="2:3">
      <c r="B5481" s="12"/>
      <c r="C5481" s="12"/>
    </row>
    <row r="5482" spans="2:3">
      <c r="B5482" s="12"/>
      <c r="C5482" s="12"/>
    </row>
    <row r="5483" spans="2:3">
      <c r="B5483" s="12"/>
      <c r="C5483" s="12"/>
    </row>
    <row r="5484" spans="2:3">
      <c r="B5484" s="12"/>
      <c r="C5484" s="12"/>
    </row>
    <row r="5485" spans="2:3">
      <c r="B5485" s="12"/>
      <c r="C5485" s="12"/>
    </row>
    <row r="5486" spans="2:3">
      <c r="B5486" s="12"/>
      <c r="C5486" s="12"/>
    </row>
    <row r="5487" spans="2:3">
      <c r="B5487" s="12"/>
      <c r="C5487" s="12"/>
    </row>
    <row r="5488" spans="2:3">
      <c r="B5488" s="12"/>
      <c r="C5488" s="12"/>
    </row>
    <row r="5489" spans="2:3">
      <c r="B5489" s="12"/>
      <c r="C5489" s="12"/>
    </row>
    <row r="5490" spans="2:3">
      <c r="B5490" s="12"/>
      <c r="C5490" s="12"/>
    </row>
    <row r="5491" spans="2:3">
      <c r="B5491" s="12"/>
      <c r="C5491" s="12"/>
    </row>
    <row r="5492" spans="2:3">
      <c r="B5492" s="12"/>
      <c r="C5492" s="12"/>
    </row>
    <row r="5493" spans="2:3">
      <c r="B5493" s="12"/>
      <c r="C5493" s="12"/>
    </row>
    <row r="5494" spans="2:3">
      <c r="B5494" s="12"/>
      <c r="C5494" s="12"/>
    </row>
    <row r="5495" spans="2:3">
      <c r="B5495" s="12"/>
      <c r="C5495" s="12"/>
    </row>
    <row r="5496" spans="2:3">
      <c r="B5496" s="12"/>
      <c r="C5496" s="12"/>
    </row>
    <row r="5497" spans="2:3">
      <c r="B5497" s="12"/>
      <c r="C5497" s="12"/>
    </row>
    <row r="5498" spans="2:3">
      <c r="B5498" s="12"/>
      <c r="C5498" s="12"/>
    </row>
    <row r="5499" spans="2:3">
      <c r="B5499" s="12"/>
      <c r="C5499" s="12"/>
    </row>
    <row r="5500" spans="2:3">
      <c r="B5500" s="12"/>
      <c r="C5500" s="12"/>
    </row>
    <row r="5501" spans="2:3">
      <c r="B5501" s="12"/>
      <c r="C5501" s="12"/>
    </row>
    <row r="5502" spans="2:3">
      <c r="B5502" s="12"/>
      <c r="C5502" s="12"/>
    </row>
    <row r="5503" spans="2:3">
      <c r="B5503" s="12"/>
      <c r="C5503" s="12"/>
    </row>
    <row r="5504" spans="2:3">
      <c r="B5504" s="12"/>
      <c r="C5504" s="12"/>
    </row>
    <row r="5505" spans="2:3">
      <c r="B5505" s="12"/>
      <c r="C5505" s="12"/>
    </row>
    <row r="5506" spans="2:3">
      <c r="B5506" s="12"/>
      <c r="C5506" s="12"/>
    </row>
    <row r="5507" spans="2:3">
      <c r="B5507" s="12"/>
      <c r="C5507" s="12"/>
    </row>
    <row r="5508" spans="2:3">
      <c r="B5508" s="12"/>
      <c r="C5508" s="12"/>
    </row>
    <row r="5509" spans="2:3">
      <c r="B5509" s="12"/>
      <c r="C5509" s="12"/>
    </row>
    <row r="5510" spans="2:3">
      <c r="B5510" s="12"/>
      <c r="C5510" s="12"/>
    </row>
    <row r="5511" spans="2:3">
      <c r="B5511" s="12"/>
      <c r="C5511" s="12"/>
    </row>
    <row r="5512" spans="2:3">
      <c r="B5512" s="12"/>
      <c r="C5512" s="12"/>
    </row>
    <row r="5513" spans="2:3">
      <c r="B5513" s="12"/>
      <c r="C5513" s="12"/>
    </row>
    <row r="5514" spans="2:3">
      <c r="B5514" s="12"/>
      <c r="C5514" s="12"/>
    </row>
    <row r="5515" spans="2:3">
      <c r="B5515" s="12"/>
      <c r="C5515" s="12"/>
    </row>
    <row r="5516" spans="2:3">
      <c r="B5516" s="12"/>
      <c r="C5516" s="12"/>
    </row>
    <row r="5517" spans="2:3">
      <c r="B5517" s="12"/>
      <c r="C5517" s="12"/>
    </row>
    <row r="5518" spans="2:3">
      <c r="B5518" s="12"/>
      <c r="C5518" s="12"/>
    </row>
    <row r="5519" spans="2:3">
      <c r="B5519" s="12"/>
      <c r="C5519" s="12"/>
    </row>
    <row r="5520" spans="2:3">
      <c r="B5520" s="12"/>
      <c r="C5520" s="12"/>
    </row>
    <row r="5521" spans="2:3">
      <c r="B5521" s="12"/>
      <c r="C5521" s="12"/>
    </row>
    <row r="5522" spans="2:3">
      <c r="B5522" s="12"/>
      <c r="C5522" s="12"/>
    </row>
    <row r="5523" spans="2:3">
      <c r="B5523" s="12"/>
      <c r="C5523" s="12"/>
    </row>
    <row r="5524" spans="2:3">
      <c r="B5524" s="12"/>
      <c r="C5524" s="12"/>
    </row>
    <row r="5525" spans="2:3">
      <c r="B5525" s="12"/>
      <c r="C5525" s="12"/>
    </row>
    <row r="5526" spans="2:3">
      <c r="B5526" s="12"/>
      <c r="C5526" s="12"/>
    </row>
    <row r="5527" spans="2:3">
      <c r="B5527" s="12"/>
      <c r="C5527" s="12"/>
    </row>
    <row r="5528" spans="2:3">
      <c r="B5528" s="12"/>
      <c r="C5528" s="12"/>
    </row>
    <row r="5529" spans="2:3">
      <c r="B5529" s="12"/>
      <c r="C5529" s="12"/>
    </row>
    <row r="5530" spans="2:3">
      <c r="B5530" s="12"/>
      <c r="C5530" s="12"/>
    </row>
    <row r="5531" spans="2:3">
      <c r="B5531" s="12"/>
      <c r="C5531" s="12"/>
    </row>
    <row r="5532" spans="2:3">
      <c r="B5532" s="12"/>
      <c r="C5532" s="12"/>
    </row>
    <row r="5533" spans="2:3">
      <c r="B5533" s="12"/>
      <c r="C5533" s="12"/>
    </row>
    <row r="5534" spans="2:3">
      <c r="B5534" s="12"/>
      <c r="C5534" s="12"/>
    </row>
    <row r="5535" spans="2:3">
      <c r="B5535" s="12"/>
      <c r="C5535" s="12"/>
    </row>
    <row r="5536" spans="2:3">
      <c r="B5536" s="12"/>
      <c r="C5536" s="12"/>
    </row>
    <row r="5537" spans="2:3">
      <c r="B5537" s="12"/>
      <c r="C5537" s="12"/>
    </row>
    <row r="5538" spans="2:3">
      <c r="B5538" s="12"/>
      <c r="C5538" s="12"/>
    </row>
    <row r="5539" spans="2:3">
      <c r="B5539" s="12"/>
      <c r="C5539" s="12"/>
    </row>
    <row r="5540" spans="2:3">
      <c r="B5540" s="12"/>
      <c r="C5540" s="12"/>
    </row>
    <row r="5541" spans="2:3">
      <c r="B5541" s="12"/>
      <c r="C5541" s="12"/>
    </row>
    <row r="5542" spans="2:3">
      <c r="B5542" s="12"/>
      <c r="C5542" s="12"/>
    </row>
    <row r="5543" spans="2:3">
      <c r="B5543" s="12"/>
      <c r="C5543" s="12"/>
    </row>
    <row r="5544" spans="2:3">
      <c r="B5544" s="12"/>
      <c r="C5544" s="12"/>
    </row>
    <row r="5545" spans="2:3">
      <c r="B5545" s="12"/>
      <c r="C5545" s="12"/>
    </row>
    <row r="5546" spans="2:3">
      <c r="B5546" s="12"/>
      <c r="C5546" s="12"/>
    </row>
    <row r="5547" spans="2:3">
      <c r="B5547" s="12"/>
      <c r="C5547" s="12"/>
    </row>
    <row r="5548" spans="2:3">
      <c r="B5548" s="12"/>
      <c r="C5548" s="12"/>
    </row>
    <row r="5549" spans="2:3">
      <c r="B5549" s="12"/>
      <c r="C5549" s="12"/>
    </row>
    <row r="5550" spans="2:3">
      <c r="B5550" s="12"/>
      <c r="C5550" s="12"/>
    </row>
    <row r="5551" spans="2:3">
      <c r="B5551" s="12"/>
      <c r="C5551" s="12"/>
    </row>
    <row r="5552" spans="2:3">
      <c r="B5552" s="12"/>
      <c r="C5552" s="12"/>
    </row>
    <row r="5553" spans="2:3">
      <c r="B5553" s="12"/>
      <c r="C5553" s="12"/>
    </row>
    <row r="5554" spans="2:3">
      <c r="B5554" s="12"/>
      <c r="C5554" s="12"/>
    </row>
    <row r="5555" spans="2:3">
      <c r="B5555" s="12"/>
      <c r="C5555" s="12"/>
    </row>
    <row r="5556" spans="2:3">
      <c r="B5556" s="12"/>
      <c r="C5556" s="12"/>
    </row>
    <row r="5557" spans="2:3">
      <c r="B5557" s="12"/>
      <c r="C5557" s="12"/>
    </row>
    <row r="5558" spans="2:3">
      <c r="B5558" s="12"/>
      <c r="C5558" s="12"/>
    </row>
    <row r="5559" spans="2:3">
      <c r="B5559" s="12"/>
      <c r="C5559" s="12"/>
    </row>
    <row r="5560" spans="2:3">
      <c r="B5560" s="12"/>
      <c r="C5560" s="12"/>
    </row>
    <row r="5561" spans="2:3">
      <c r="B5561" s="12"/>
      <c r="C5561" s="12"/>
    </row>
    <row r="5562" spans="2:3">
      <c r="B5562" s="12"/>
      <c r="C5562" s="12"/>
    </row>
    <row r="5563" spans="2:3">
      <c r="B5563" s="12"/>
      <c r="C5563" s="12"/>
    </row>
    <row r="5564" spans="2:3">
      <c r="B5564" s="12"/>
      <c r="C5564" s="12"/>
    </row>
    <row r="5565" spans="2:3">
      <c r="B5565" s="12"/>
      <c r="C5565" s="12"/>
    </row>
    <row r="5566" spans="2:3">
      <c r="B5566" s="12"/>
      <c r="C5566" s="12"/>
    </row>
    <row r="5567" spans="2:3">
      <c r="B5567" s="12"/>
      <c r="C5567" s="12"/>
    </row>
    <row r="5568" spans="2:3">
      <c r="B5568" s="12"/>
      <c r="C5568" s="12"/>
    </row>
    <row r="5569" spans="2:3">
      <c r="B5569" s="12"/>
      <c r="C5569" s="12"/>
    </row>
    <row r="5570" spans="2:3">
      <c r="B5570" s="12"/>
      <c r="C5570" s="12"/>
    </row>
    <row r="5571" spans="2:3">
      <c r="B5571" s="12"/>
      <c r="C5571" s="12"/>
    </row>
    <row r="5572" spans="2:3">
      <c r="B5572" s="12"/>
      <c r="C5572" s="12"/>
    </row>
    <row r="5573" spans="2:3">
      <c r="B5573" s="12"/>
      <c r="C5573" s="12"/>
    </row>
    <row r="5574" spans="2:3">
      <c r="B5574" s="12"/>
      <c r="C5574" s="12"/>
    </row>
    <row r="5575" spans="2:3">
      <c r="B5575" s="12"/>
      <c r="C5575" s="12"/>
    </row>
    <row r="5576" spans="2:3">
      <c r="B5576" s="12"/>
      <c r="C5576" s="12"/>
    </row>
    <row r="5577" spans="2:3">
      <c r="B5577" s="12"/>
      <c r="C5577" s="12"/>
    </row>
    <row r="5578" spans="2:3">
      <c r="B5578" s="12"/>
      <c r="C5578" s="12"/>
    </row>
    <row r="5579" spans="2:3">
      <c r="B5579" s="12"/>
      <c r="C5579" s="12"/>
    </row>
    <row r="5580" spans="2:3">
      <c r="B5580" s="12"/>
      <c r="C5580" s="12"/>
    </row>
    <row r="5581" spans="2:3">
      <c r="B5581" s="12"/>
      <c r="C5581" s="12"/>
    </row>
    <row r="5582" spans="2:3">
      <c r="B5582" s="12"/>
      <c r="C5582" s="12"/>
    </row>
    <row r="5583" spans="2:3">
      <c r="B5583" s="12"/>
      <c r="C5583" s="12"/>
    </row>
    <row r="5584" spans="2:3">
      <c r="B5584" s="12"/>
      <c r="C5584" s="12"/>
    </row>
    <row r="5585" spans="2:3">
      <c r="B5585" s="12"/>
      <c r="C5585" s="12"/>
    </row>
    <row r="5586" spans="2:3">
      <c r="B5586" s="12"/>
      <c r="C5586" s="12"/>
    </row>
    <row r="5587" spans="2:3">
      <c r="B5587" s="12"/>
      <c r="C5587" s="12"/>
    </row>
    <row r="5588" spans="2:3">
      <c r="B5588" s="12"/>
      <c r="C5588" s="12"/>
    </row>
    <row r="5589" spans="2:3">
      <c r="B5589" s="12"/>
      <c r="C5589" s="12"/>
    </row>
    <row r="5590" spans="2:3">
      <c r="B5590" s="12"/>
      <c r="C5590" s="12"/>
    </row>
    <row r="5591" spans="2:3">
      <c r="B5591" s="12"/>
      <c r="C5591" s="12"/>
    </row>
    <row r="5592" spans="2:3">
      <c r="B5592" s="12"/>
      <c r="C5592" s="12"/>
    </row>
    <row r="5593" spans="2:3">
      <c r="B5593" s="12"/>
      <c r="C5593" s="12"/>
    </row>
    <row r="5594" spans="2:3">
      <c r="B5594" s="12"/>
      <c r="C5594" s="12"/>
    </row>
    <row r="5595" spans="2:3">
      <c r="B5595" s="12"/>
      <c r="C5595" s="12"/>
    </row>
    <row r="5596" spans="2:3">
      <c r="B5596" s="12"/>
      <c r="C5596" s="12"/>
    </row>
    <row r="5597" spans="2:3">
      <c r="B5597" s="12"/>
      <c r="C5597" s="12"/>
    </row>
    <row r="5598" spans="2:3">
      <c r="B5598" s="12"/>
      <c r="C5598" s="12"/>
    </row>
    <row r="5599" spans="2:3">
      <c r="B5599" s="12"/>
      <c r="C5599" s="12"/>
    </row>
    <row r="5600" spans="2:3">
      <c r="B5600" s="12"/>
      <c r="C5600" s="12"/>
    </row>
    <row r="5601" spans="2:3">
      <c r="B5601" s="12"/>
      <c r="C5601" s="12"/>
    </row>
    <row r="5602" spans="2:3">
      <c r="B5602" s="12"/>
      <c r="C5602" s="12"/>
    </row>
    <row r="5603" spans="2:3">
      <c r="B5603" s="12"/>
      <c r="C5603" s="12"/>
    </row>
    <row r="5604" spans="2:3">
      <c r="B5604" s="12"/>
      <c r="C5604" s="12"/>
    </row>
    <row r="5605" spans="2:3">
      <c r="B5605" s="12"/>
      <c r="C5605" s="12"/>
    </row>
    <row r="5606" spans="2:3">
      <c r="B5606" s="12"/>
      <c r="C5606" s="12"/>
    </row>
    <row r="5607" spans="2:3">
      <c r="B5607" s="12"/>
      <c r="C5607" s="12"/>
    </row>
    <row r="5608" spans="2:3">
      <c r="B5608" s="12"/>
      <c r="C5608" s="12"/>
    </row>
    <row r="5609" spans="2:3">
      <c r="B5609" s="12"/>
      <c r="C5609" s="12"/>
    </row>
    <row r="5610" spans="2:3">
      <c r="B5610" s="12"/>
      <c r="C5610" s="12"/>
    </row>
    <row r="5611" spans="2:3">
      <c r="B5611" s="12"/>
      <c r="C5611" s="12"/>
    </row>
    <row r="5612" spans="2:3">
      <c r="B5612" s="12"/>
      <c r="C5612" s="12"/>
    </row>
    <row r="5613" spans="2:3">
      <c r="B5613" s="12"/>
      <c r="C5613" s="12"/>
    </row>
    <row r="5614" spans="2:3">
      <c r="B5614" s="12"/>
      <c r="C5614" s="12"/>
    </row>
    <row r="5615" spans="2:3">
      <c r="B5615" s="12"/>
      <c r="C5615" s="12"/>
    </row>
    <row r="5616" spans="2:3">
      <c r="B5616" s="12"/>
      <c r="C5616" s="12"/>
    </row>
    <row r="5617" spans="2:3">
      <c r="B5617" s="12"/>
      <c r="C5617" s="12"/>
    </row>
    <row r="5618" spans="2:3">
      <c r="B5618" s="12"/>
      <c r="C5618" s="12"/>
    </row>
    <row r="5619" spans="2:3">
      <c r="B5619" s="12"/>
      <c r="C5619" s="12"/>
    </row>
    <row r="5620" spans="2:3">
      <c r="B5620" s="12"/>
      <c r="C5620" s="12"/>
    </row>
    <row r="5621" spans="2:3">
      <c r="B5621" s="12"/>
      <c r="C5621" s="12"/>
    </row>
    <row r="5622" spans="2:3">
      <c r="B5622" s="12"/>
      <c r="C5622" s="12"/>
    </row>
    <row r="5623" spans="2:3">
      <c r="B5623" s="12"/>
      <c r="C5623" s="12"/>
    </row>
    <row r="5624" spans="2:3">
      <c r="B5624" s="12"/>
      <c r="C5624" s="12"/>
    </row>
    <row r="5625" spans="2:3">
      <c r="B5625" s="12"/>
      <c r="C5625" s="12"/>
    </row>
    <row r="5626" spans="2:3">
      <c r="B5626" s="12"/>
      <c r="C5626" s="12"/>
    </row>
    <row r="5627" spans="2:3">
      <c r="B5627" s="12"/>
      <c r="C5627" s="12"/>
    </row>
    <row r="5628" spans="2:3">
      <c r="B5628" s="12"/>
      <c r="C5628" s="12"/>
    </row>
    <row r="5629" spans="2:3">
      <c r="B5629" s="12"/>
      <c r="C5629" s="12"/>
    </row>
    <row r="5630" spans="2:3">
      <c r="B5630" s="12"/>
      <c r="C5630" s="12"/>
    </row>
    <row r="5631" spans="2:3">
      <c r="B5631" s="12"/>
      <c r="C5631" s="12"/>
    </row>
    <row r="5632" spans="2:3">
      <c r="B5632" s="12"/>
      <c r="C5632" s="12"/>
    </row>
    <row r="5633" spans="2:3">
      <c r="B5633" s="12"/>
      <c r="C5633" s="12"/>
    </row>
    <row r="5634" spans="2:3">
      <c r="B5634" s="12"/>
      <c r="C5634" s="12"/>
    </row>
    <row r="5635" spans="2:3">
      <c r="B5635" s="12"/>
      <c r="C5635" s="12"/>
    </row>
    <row r="5636" spans="2:3">
      <c r="B5636" s="12"/>
      <c r="C5636" s="12"/>
    </row>
    <row r="5637" spans="2:3">
      <c r="B5637" s="12"/>
      <c r="C5637" s="12"/>
    </row>
    <row r="5638" spans="2:3">
      <c r="B5638" s="12"/>
      <c r="C5638" s="12"/>
    </row>
    <row r="5639" spans="2:3">
      <c r="B5639" s="12"/>
      <c r="C5639" s="12"/>
    </row>
    <row r="5640" spans="2:3">
      <c r="B5640" s="12"/>
      <c r="C5640" s="12"/>
    </row>
    <row r="5641" spans="2:3">
      <c r="B5641" s="12"/>
      <c r="C5641" s="12"/>
    </row>
    <row r="5642" spans="2:3">
      <c r="B5642" s="12"/>
      <c r="C5642" s="12"/>
    </row>
    <row r="5643" spans="2:3">
      <c r="B5643" s="12"/>
      <c r="C5643" s="12"/>
    </row>
    <row r="5644" spans="2:3">
      <c r="B5644" s="12"/>
      <c r="C5644" s="12"/>
    </row>
    <row r="5645" spans="2:3">
      <c r="B5645" s="12"/>
      <c r="C5645" s="12"/>
    </row>
    <row r="5646" spans="2:3">
      <c r="B5646" s="12"/>
      <c r="C5646" s="12"/>
    </row>
    <row r="5647" spans="2:3">
      <c r="B5647" s="12"/>
      <c r="C5647" s="12"/>
    </row>
    <row r="5648" spans="2:3">
      <c r="B5648" s="12"/>
      <c r="C5648" s="12"/>
    </row>
    <row r="5649" spans="2:3">
      <c r="B5649" s="12"/>
      <c r="C5649" s="12"/>
    </row>
    <row r="5650" spans="2:3">
      <c r="B5650" s="12"/>
      <c r="C5650" s="12"/>
    </row>
    <row r="5651" spans="2:3">
      <c r="B5651" s="12"/>
      <c r="C5651" s="12"/>
    </row>
    <row r="5652" spans="2:3">
      <c r="B5652" s="12"/>
      <c r="C5652" s="12"/>
    </row>
    <row r="5653" spans="2:3">
      <c r="B5653" s="12"/>
      <c r="C5653" s="12"/>
    </row>
    <row r="5654" spans="2:3">
      <c r="B5654" s="12"/>
      <c r="C5654" s="12"/>
    </row>
    <row r="5655" spans="2:3">
      <c r="B5655" s="12"/>
      <c r="C5655" s="12"/>
    </row>
    <row r="5656" spans="2:3">
      <c r="B5656" s="12"/>
      <c r="C5656" s="12"/>
    </row>
    <row r="5657" spans="2:3">
      <c r="B5657" s="12"/>
      <c r="C5657" s="12"/>
    </row>
    <row r="5658" spans="2:3">
      <c r="B5658" s="12"/>
      <c r="C5658" s="12"/>
    </row>
    <row r="5659" spans="2:3">
      <c r="B5659" s="12"/>
      <c r="C5659" s="12"/>
    </row>
    <row r="5660" spans="2:3">
      <c r="B5660" s="12"/>
      <c r="C5660" s="12"/>
    </row>
    <row r="5661" spans="2:3">
      <c r="B5661" s="12"/>
      <c r="C5661" s="12"/>
    </row>
    <row r="5662" spans="2:3">
      <c r="B5662" s="12"/>
      <c r="C5662" s="12"/>
    </row>
    <row r="5663" spans="2:3">
      <c r="B5663" s="12"/>
      <c r="C5663" s="12"/>
    </row>
    <row r="5664" spans="2:3">
      <c r="B5664" s="12"/>
      <c r="C5664" s="12"/>
    </row>
    <row r="5665" spans="2:3">
      <c r="B5665" s="12"/>
      <c r="C5665" s="12"/>
    </row>
    <row r="5666" spans="2:3">
      <c r="B5666" s="12"/>
      <c r="C5666" s="12"/>
    </row>
    <row r="5667" spans="2:3">
      <c r="B5667" s="12"/>
      <c r="C5667" s="12"/>
    </row>
    <row r="5668" spans="2:3">
      <c r="B5668" s="12"/>
      <c r="C5668" s="12"/>
    </row>
    <row r="5669" spans="2:3">
      <c r="B5669" s="12"/>
      <c r="C5669" s="12"/>
    </row>
    <row r="5670" spans="2:3">
      <c r="B5670" s="12"/>
      <c r="C5670" s="12"/>
    </row>
    <row r="5671" spans="2:3">
      <c r="B5671" s="12"/>
      <c r="C5671" s="12"/>
    </row>
    <row r="5672" spans="2:3">
      <c r="B5672" s="12"/>
      <c r="C5672" s="12"/>
    </row>
    <row r="5673" spans="2:3">
      <c r="B5673" s="12"/>
      <c r="C5673" s="12"/>
    </row>
    <row r="5674" spans="2:3">
      <c r="B5674" s="12"/>
      <c r="C5674" s="12"/>
    </row>
    <row r="5675" spans="2:3">
      <c r="B5675" s="12"/>
      <c r="C5675" s="12"/>
    </row>
    <row r="5676" spans="2:3">
      <c r="B5676" s="12"/>
      <c r="C5676" s="12"/>
    </row>
    <row r="5677" spans="2:3">
      <c r="B5677" s="12"/>
      <c r="C5677" s="12"/>
    </row>
    <row r="5678" spans="2:3">
      <c r="B5678" s="12"/>
      <c r="C5678" s="12"/>
    </row>
    <row r="5679" spans="2:3">
      <c r="B5679" s="12"/>
      <c r="C5679" s="12"/>
    </row>
    <row r="5680" spans="2:3">
      <c r="B5680" s="12"/>
      <c r="C5680" s="12"/>
    </row>
    <row r="5681" spans="2:3">
      <c r="B5681" s="12"/>
      <c r="C5681" s="12"/>
    </row>
    <row r="5682" spans="2:3">
      <c r="B5682" s="12"/>
      <c r="C5682" s="12"/>
    </row>
    <row r="5683" spans="2:3">
      <c r="B5683" s="12"/>
      <c r="C5683" s="12"/>
    </row>
    <row r="5684" spans="2:3">
      <c r="B5684" s="12"/>
      <c r="C5684" s="12"/>
    </row>
    <row r="5685" spans="2:3">
      <c r="B5685" s="12"/>
      <c r="C5685" s="12"/>
    </row>
    <row r="5686" spans="2:3">
      <c r="B5686" s="12"/>
      <c r="C5686" s="12"/>
    </row>
    <row r="5687" spans="2:3">
      <c r="B5687" s="12"/>
      <c r="C5687" s="12"/>
    </row>
    <row r="5688" spans="2:3">
      <c r="B5688" s="12"/>
      <c r="C5688" s="12"/>
    </row>
    <row r="5689" spans="2:3">
      <c r="B5689" s="12"/>
      <c r="C5689" s="12"/>
    </row>
    <row r="5690" spans="2:3">
      <c r="B5690" s="12"/>
      <c r="C5690" s="12"/>
    </row>
    <row r="5691" spans="2:3">
      <c r="B5691" s="12"/>
      <c r="C5691" s="12"/>
    </row>
    <row r="5692" spans="2:3">
      <c r="B5692" s="12"/>
      <c r="C5692" s="12"/>
    </row>
    <row r="5693" spans="2:3">
      <c r="B5693" s="12"/>
      <c r="C5693" s="12"/>
    </row>
    <row r="5694" spans="2:3">
      <c r="B5694" s="12"/>
      <c r="C5694" s="12"/>
    </row>
    <row r="5695" spans="2:3">
      <c r="B5695" s="12"/>
      <c r="C5695" s="12"/>
    </row>
    <row r="5696" spans="2:3">
      <c r="B5696" s="12"/>
      <c r="C5696" s="12"/>
    </row>
    <row r="5697" spans="2:3">
      <c r="B5697" s="12"/>
      <c r="C5697" s="12"/>
    </row>
    <row r="5698" spans="2:3">
      <c r="B5698" s="12"/>
      <c r="C5698" s="12"/>
    </row>
    <row r="5699" spans="2:3">
      <c r="B5699" s="12"/>
      <c r="C5699" s="12"/>
    </row>
    <row r="5700" spans="2:3">
      <c r="B5700" s="12"/>
      <c r="C5700" s="12"/>
    </row>
    <row r="5701" spans="2:3">
      <c r="B5701" s="12"/>
      <c r="C5701" s="12"/>
    </row>
    <row r="5702" spans="2:3">
      <c r="B5702" s="12"/>
      <c r="C5702" s="12"/>
    </row>
    <row r="5703" spans="2:3">
      <c r="B5703" s="12"/>
      <c r="C5703" s="12"/>
    </row>
    <row r="5704" spans="2:3">
      <c r="B5704" s="12"/>
      <c r="C5704" s="12"/>
    </row>
    <row r="5705" spans="2:3">
      <c r="B5705" s="12"/>
      <c r="C5705" s="12"/>
    </row>
    <row r="5706" spans="2:3">
      <c r="B5706" s="12"/>
      <c r="C5706" s="12"/>
    </row>
    <row r="5707" spans="2:3">
      <c r="B5707" s="12"/>
      <c r="C5707" s="12"/>
    </row>
    <row r="5708" spans="2:3">
      <c r="B5708" s="12"/>
      <c r="C5708" s="12"/>
    </row>
    <row r="5709" spans="2:3">
      <c r="B5709" s="12"/>
      <c r="C5709" s="12"/>
    </row>
    <row r="5710" spans="2:3">
      <c r="B5710" s="12"/>
      <c r="C5710" s="12"/>
    </row>
    <row r="5711" spans="2:3">
      <c r="B5711" s="12"/>
      <c r="C5711" s="12"/>
    </row>
    <row r="5712" spans="2:3">
      <c r="B5712" s="12"/>
      <c r="C5712" s="12"/>
    </row>
    <row r="5713" spans="2:3">
      <c r="B5713" s="12"/>
      <c r="C5713" s="12"/>
    </row>
    <row r="5714" spans="2:3">
      <c r="B5714" s="12"/>
      <c r="C5714" s="12"/>
    </row>
    <row r="5715" spans="2:3">
      <c r="B5715" s="12"/>
      <c r="C5715" s="12"/>
    </row>
    <row r="5716" spans="2:3">
      <c r="B5716" s="12"/>
      <c r="C5716" s="12"/>
    </row>
    <row r="5717" spans="2:3">
      <c r="B5717" s="12"/>
      <c r="C5717" s="12"/>
    </row>
    <row r="5718" spans="2:3">
      <c r="B5718" s="12"/>
      <c r="C5718" s="12"/>
    </row>
    <row r="5719" spans="2:3">
      <c r="B5719" s="12"/>
      <c r="C5719" s="12"/>
    </row>
    <row r="5720" spans="2:3">
      <c r="B5720" s="12"/>
      <c r="C5720" s="12"/>
    </row>
    <row r="5721" spans="2:3">
      <c r="B5721" s="12"/>
      <c r="C5721" s="12"/>
    </row>
    <row r="5722" spans="2:3">
      <c r="B5722" s="12"/>
      <c r="C5722" s="12"/>
    </row>
    <row r="5723" spans="2:3">
      <c r="B5723" s="12"/>
      <c r="C5723" s="12"/>
    </row>
    <row r="5724" spans="2:3">
      <c r="B5724" s="12"/>
      <c r="C5724" s="12"/>
    </row>
    <row r="5725" spans="2:3">
      <c r="B5725" s="12"/>
      <c r="C5725" s="12"/>
    </row>
    <row r="5726" spans="2:3">
      <c r="B5726" s="12"/>
      <c r="C5726" s="12"/>
    </row>
    <row r="5727" spans="2:3">
      <c r="B5727" s="12"/>
      <c r="C5727" s="12"/>
    </row>
    <row r="5728" spans="2:3">
      <c r="B5728" s="12"/>
      <c r="C5728" s="12"/>
    </row>
    <row r="5729" spans="2:3">
      <c r="B5729" s="12"/>
      <c r="C5729" s="12"/>
    </row>
    <row r="5730" spans="2:3">
      <c r="B5730" s="12"/>
      <c r="C5730" s="12"/>
    </row>
    <row r="5731" spans="2:3">
      <c r="B5731" s="12"/>
      <c r="C5731" s="12"/>
    </row>
    <row r="5732" spans="2:3">
      <c r="B5732" s="12"/>
      <c r="C5732" s="12"/>
    </row>
    <row r="5733" spans="2:3">
      <c r="B5733" s="12"/>
      <c r="C5733" s="12"/>
    </row>
    <row r="5734" spans="2:3">
      <c r="B5734" s="12"/>
      <c r="C5734" s="12"/>
    </row>
    <row r="5735" spans="2:3">
      <c r="B5735" s="12"/>
      <c r="C5735" s="12"/>
    </row>
    <row r="5736" spans="2:3">
      <c r="B5736" s="12"/>
      <c r="C5736" s="12"/>
    </row>
    <row r="5737" spans="2:3">
      <c r="B5737" s="12"/>
      <c r="C5737" s="12"/>
    </row>
    <row r="5738" spans="2:3">
      <c r="B5738" s="12"/>
      <c r="C5738" s="12"/>
    </row>
    <row r="5739" spans="2:3">
      <c r="B5739" s="12"/>
      <c r="C5739" s="12"/>
    </row>
    <row r="5740" spans="2:3">
      <c r="B5740" s="12"/>
      <c r="C5740" s="12"/>
    </row>
    <row r="5741" spans="2:3">
      <c r="B5741" s="12"/>
      <c r="C5741" s="12"/>
    </row>
    <row r="5742" spans="2:3">
      <c r="B5742" s="12"/>
      <c r="C5742" s="12"/>
    </row>
    <row r="5743" spans="2:3">
      <c r="B5743" s="12"/>
      <c r="C5743" s="12"/>
    </row>
    <row r="5744" spans="2:3">
      <c r="B5744" s="12"/>
      <c r="C5744" s="12"/>
    </row>
    <row r="5745" spans="2:3">
      <c r="B5745" s="12"/>
      <c r="C5745" s="12"/>
    </row>
    <row r="5746" spans="2:3">
      <c r="B5746" s="12"/>
      <c r="C5746" s="12"/>
    </row>
    <row r="5747" spans="2:3">
      <c r="B5747" s="12"/>
      <c r="C5747" s="12"/>
    </row>
    <row r="5748" spans="2:3">
      <c r="B5748" s="12"/>
      <c r="C5748" s="12"/>
    </row>
    <row r="5749" spans="2:3">
      <c r="B5749" s="12"/>
      <c r="C5749" s="12"/>
    </row>
    <row r="5750" spans="2:3">
      <c r="B5750" s="12"/>
      <c r="C5750" s="12"/>
    </row>
    <row r="5751" spans="2:3">
      <c r="B5751" s="12"/>
      <c r="C5751" s="12"/>
    </row>
    <row r="5752" spans="2:3">
      <c r="B5752" s="12"/>
      <c r="C5752" s="12"/>
    </row>
    <row r="5753" spans="2:3">
      <c r="B5753" s="12"/>
      <c r="C5753" s="12"/>
    </row>
    <row r="5754" spans="2:3">
      <c r="B5754" s="12"/>
      <c r="C5754" s="12"/>
    </row>
    <row r="5755" spans="2:3">
      <c r="B5755" s="12"/>
      <c r="C5755" s="12"/>
    </row>
    <row r="5756" spans="2:3">
      <c r="B5756" s="12"/>
      <c r="C5756" s="12"/>
    </row>
    <row r="5757" spans="2:3">
      <c r="B5757" s="12"/>
      <c r="C5757" s="12"/>
    </row>
    <row r="5758" spans="2:3">
      <c r="B5758" s="12"/>
      <c r="C5758" s="12"/>
    </row>
    <row r="5759" spans="2:3">
      <c r="B5759" s="12"/>
      <c r="C5759" s="12"/>
    </row>
    <row r="5760" spans="2:3">
      <c r="B5760" s="12"/>
      <c r="C5760" s="12"/>
    </row>
    <row r="5761" spans="2:3">
      <c r="B5761" s="12"/>
      <c r="C5761" s="12"/>
    </row>
    <row r="5762" spans="2:3">
      <c r="B5762" s="12"/>
      <c r="C5762" s="12"/>
    </row>
    <row r="5763" spans="2:3">
      <c r="B5763" s="12"/>
      <c r="C5763" s="12"/>
    </row>
    <row r="5764" spans="2:3">
      <c r="B5764" s="12"/>
      <c r="C5764" s="12"/>
    </row>
    <row r="5765" spans="2:3">
      <c r="B5765" s="12"/>
      <c r="C5765" s="12"/>
    </row>
    <row r="5766" spans="2:3">
      <c r="B5766" s="12"/>
      <c r="C5766" s="12"/>
    </row>
    <row r="5767" spans="2:3">
      <c r="B5767" s="12"/>
      <c r="C5767" s="12"/>
    </row>
    <row r="5768" spans="2:3">
      <c r="B5768" s="12"/>
      <c r="C5768" s="12"/>
    </row>
    <row r="5769" spans="2:3">
      <c r="B5769" s="12"/>
      <c r="C5769" s="12"/>
    </row>
    <row r="5770" spans="2:3">
      <c r="B5770" s="12"/>
      <c r="C5770" s="12"/>
    </row>
    <row r="5771" spans="2:3">
      <c r="B5771" s="12"/>
      <c r="C5771" s="12"/>
    </row>
    <row r="5772" spans="2:3">
      <c r="B5772" s="12"/>
      <c r="C5772" s="12"/>
    </row>
    <row r="5773" spans="2:3">
      <c r="B5773" s="12"/>
      <c r="C5773" s="12"/>
    </row>
    <row r="5774" spans="2:3">
      <c r="B5774" s="12"/>
      <c r="C5774" s="12"/>
    </row>
    <row r="5775" spans="2:3">
      <c r="B5775" s="12"/>
      <c r="C5775" s="12"/>
    </row>
    <row r="5776" spans="2:3">
      <c r="B5776" s="12"/>
      <c r="C5776" s="12"/>
    </row>
    <row r="5777" spans="2:3">
      <c r="B5777" s="12"/>
      <c r="C5777" s="12"/>
    </row>
    <row r="5778" spans="2:3">
      <c r="B5778" s="12"/>
      <c r="C5778" s="12"/>
    </row>
    <row r="5779" spans="2:3">
      <c r="B5779" s="12"/>
      <c r="C5779" s="12"/>
    </row>
    <row r="5780" spans="2:3">
      <c r="B5780" s="12"/>
      <c r="C5780" s="12"/>
    </row>
    <row r="5781" spans="2:3">
      <c r="B5781" s="12"/>
      <c r="C5781" s="12"/>
    </row>
    <row r="5782" spans="2:3">
      <c r="B5782" s="12"/>
      <c r="C5782" s="12"/>
    </row>
    <row r="5783" spans="2:3">
      <c r="B5783" s="12"/>
      <c r="C5783" s="12"/>
    </row>
    <row r="5784" spans="2:3">
      <c r="B5784" s="12"/>
      <c r="C5784" s="12"/>
    </row>
    <row r="5785" spans="2:3">
      <c r="B5785" s="12"/>
      <c r="C5785" s="12"/>
    </row>
    <row r="5786" spans="2:3">
      <c r="B5786" s="12"/>
      <c r="C5786" s="12"/>
    </row>
    <row r="5787" spans="2:3">
      <c r="B5787" s="12"/>
      <c r="C5787" s="12"/>
    </row>
    <row r="5788" spans="2:3">
      <c r="B5788" s="12"/>
      <c r="C5788" s="12"/>
    </row>
    <row r="5789" spans="2:3">
      <c r="B5789" s="12"/>
      <c r="C5789" s="12"/>
    </row>
    <row r="5790" spans="2:3">
      <c r="B5790" s="12"/>
      <c r="C5790" s="12"/>
    </row>
    <row r="5791" spans="2:3">
      <c r="B5791" s="12"/>
      <c r="C5791" s="12"/>
    </row>
    <row r="5792" spans="2:3">
      <c r="B5792" s="12"/>
      <c r="C5792" s="12"/>
    </row>
    <row r="5793" spans="2:3">
      <c r="B5793" s="12"/>
      <c r="C5793" s="12"/>
    </row>
    <row r="5794" spans="2:3">
      <c r="B5794" s="12"/>
      <c r="C5794" s="12"/>
    </row>
    <row r="5795" spans="2:3">
      <c r="B5795" s="12"/>
      <c r="C5795" s="12"/>
    </row>
    <row r="5796" spans="2:3">
      <c r="B5796" s="12"/>
      <c r="C5796" s="12"/>
    </row>
    <row r="5797" spans="2:3">
      <c r="B5797" s="12"/>
      <c r="C5797" s="12"/>
    </row>
    <row r="5798" spans="2:3">
      <c r="B5798" s="12"/>
      <c r="C5798" s="12"/>
    </row>
    <row r="5799" spans="2:3">
      <c r="B5799" s="12"/>
      <c r="C5799" s="12"/>
    </row>
    <row r="5800" spans="2:3">
      <c r="B5800" s="12"/>
      <c r="C5800" s="12"/>
    </row>
    <row r="5801" spans="2:3">
      <c r="B5801" s="12"/>
      <c r="C5801" s="12"/>
    </row>
    <row r="5802" spans="2:3">
      <c r="B5802" s="12"/>
      <c r="C5802" s="12"/>
    </row>
    <row r="5803" spans="2:3">
      <c r="B5803" s="12"/>
      <c r="C5803" s="12"/>
    </row>
    <row r="5804" spans="2:3">
      <c r="B5804" s="12"/>
      <c r="C5804" s="12"/>
    </row>
    <row r="5805" spans="2:3">
      <c r="B5805" s="12"/>
      <c r="C5805" s="12"/>
    </row>
    <row r="5806" spans="2:3">
      <c r="B5806" s="12"/>
      <c r="C5806" s="12"/>
    </row>
    <row r="5807" spans="2:3">
      <c r="B5807" s="12"/>
      <c r="C5807" s="12"/>
    </row>
    <row r="5808" spans="2:3">
      <c r="B5808" s="12"/>
      <c r="C5808" s="12"/>
    </row>
    <row r="5809" spans="2:3">
      <c r="B5809" s="12"/>
      <c r="C5809" s="12"/>
    </row>
    <row r="5810" spans="2:3">
      <c r="B5810" s="12"/>
      <c r="C5810" s="12"/>
    </row>
    <row r="5811" spans="2:3">
      <c r="B5811" s="12"/>
      <c r="C5811" s="12"/>
    </row>
    <row r="5812" spans="2:3">
      <c r="B5812" s="12"/>
      <c r="C5812" s="12"/>
    </row>
    <row r="5813" spans="2:3">
      <c r="B5813" s="12"/>
      <c r="C5813" s="12"/>
    </row>
    <row r="5814" spans="2:3">
      <c r="B5814" s="12"/>
      <c r="C5814" s="12"/>
    </row>
    <row r="5815" spans="2:3">
      <c r="B5815" s="12"/>
      <c r="C5815" s="12"/>
    </row>
    <row r="5816" spans="2:3">
      <c r="B5816" s="12"/>
      <c r="C5816" s="12"/>
    </row>
    <row r="5817" spans="2:3">
      <c r="B5817" s="12"/>
      <c r="C5817" s="12"/>
    </row>
    <row r="5818" spans="2:3">
      <c r="B5818" s="12"/>
      <c r="C5818" s="12"/>
    </row>
    <row r="5819" spans="2:3">
      <c r="B5819" s="12"/>
      <c r="C5819" s="12"/>
    </row>
    <row r="5820" spans="2:3">
      <c r="B5820" s="12"/>
      <c r="C5820" s="12"/>
    </row>
    <row r="5821" spans="2:3">
      <c r="B5821" s="12"/>
      <c r="C5821" s="12"/>
    </row>
    <row r="5822" spans="2:3">
      <c r="B5822" s="12"/>
      <c r="C5822" s="12"/>
    </row>
    <row r="5823" spans="2:3">
      <c r="B5823" s="12"/>
      <c r="C5823" s="12"/>
    </row>
    <row r="5824" spans="2:3">
      <c r="B5824" s="12"/>
      <c r="C5824" s="12"/>
    </row>
    <row r="5825" spans="2:3">
      <c r="B5825" s="12"/>
      <c r="C5825" s="12"/>
    </row>
    <row r="5826" spans="2:3">
      <c r="B5826" s="12"/>
      <c r="C5826" s="12"/>
    </row>
    <row r="5827" spans="2:3">
      <c r="B5827" s="12"/>
      <c r="C5827" s="12"/>
    </row>
    <row r="5828" spans="2:3">
      <c r="B5828" s="12"/>
      <c r="C5828" s="12"/>
    </row>
    <row r="5829" spans="2:3">
      <c r="B5829" s="12"/>
      <c r="C5829" s="12"/>
    </row>
    <row r="5830" spans="2:3">
      <c r="B5830" s="12"/>
      <c r="C5830" s="12"/>
    </row>
    <row r="5831" spans="2:3">
      <c r="B5831" s="12"/>
      <c r="C5831" s="12"/>
    </row>
    <row r="5832" spans="2:3">
      <c r="B5832" s="12"/>
      <c r="C5832" s="12"/>
    </row>
    <row r="5833" spans="2:3">
      <c r="B5833" s="12"/>
      <c r="C5833" s="12"/>
    </row>
    <row r="5834" spans="2:3">
      <c r="B5834" s="12"/>
      <c r="C5834" s="12"/>
    </row>
    <row r="5835" spans="2:3">
      <c r="B5835" s="12"/>
      <c r="C5835" s="12"/>
    </row>
    <row r="5836" spans="2:3">
      <c r="B5836" s="12"/>
      <c r="C5836" s="12"/>
    </row>
    <row r="5837" spans="2:3">
      <c r="B5837" s="12"/>
      <c r="C5837" s="12"/>
    </row>
    <row r="5838" spans="2:3">
      <c r="B5838" s="12"/>
      <c r="C5838" s="12"/>
    </row>
    <row r="5839" spans="2:3">
      <c r="B5839" s="12"/>
      <c r="C5839" s="12"/>
    </row>
    <row r="5840" spans="2:3">
      <c r="B5840" s="12"/>
      <c r="C5840" s="12"/>
    </row>
    <row r="5841" spans="2:3">
      <c r="B5841" s="12"/>
      <c r="C5841" s="12"/>
    </row>
    <row r="5842" spans="2:3">
      <c r="B5842" s="12"/>
      <c r="C5842" s="12"/>
    </row>
    <row r="5843" spans="2:3">
      <c r="B5843" s="12"/>
      <c r="C5843" s="12"/>
    </row>
    <row r="5844" spans="2:3">
      <c r="B5844" s="12"/>
      <c r="C5844" s="12"/>
    </row>
    <row r="5845" spans="2:3">
      <c r="B5845" s="12"/>
      <c r="C5845" s="12"/>
    </row>
    <row r="5846" spans="2:3">
      <c r="B5846" s="12"/>
      <c r="C5846" s="12"/>
    </row>
    <row r="5847" spans="2:3">
      <c r="B5847" s="12"/>
      <c r="C5847" s="12"/>
    </row>
    <row r="5848" spans="2:3">
      <c r="B5848" s="12"/>
      <c r="C5848" s="12"/>
    </row>
    <row r="5849" spans="2:3">
      <c r="B5849" s="12"/>
      <c r="C5849" s="12"/>
    </row>
    <row r="5850" spans="2:3">
      <c r="B5850" s="12"/>
      <c r="C5850" s="12"/>
    </row>
    <row r="5851" spans="2:3">
      <c r="B5851" s="12"/>
      <c r="C5851" s="12"/>
    </row>
    <row r="5852" spans="2:3">
      <c r="B5852" s="12"/>
      <c r="C5852" s="12"/>
    </row>
    <row r="5853" spans="2:3">
      <c r="B5853" s="12"/>
      <c r="C5853" s="12"/>
    </row>
    <row r="5854" spans="2:3">
      <c r="B5854" s="12"/>
      <c r="C5854" s="12"/>
    </row>
    <row r="5855" spans="2:3">
      <c r="B5855" s="12"/>
      <c r="C5855" s="12"/>
    </row>
    <row r="5856" spans="2:3">
      <c r="B5856" s="12"/>
      <c r="C5856" s="12"/>
    </row>
    <row r="5857" spans="2:3">
      <c r="B5857" s="12"/>
      <c r="C5857" s="12"/>
    </row>
    <row r="5858" spans="2:3">
      <c r="B5858" s="12"/>
      <c r="C5858" s="12"/>
    </row>
    <row r="5859" spans="2:3">
      <c r="B5859" s="12"/>
      <c r="C5859" s="12"/>
    </row>
    <row r="5860" spans="2:3">
      <c r="B5860" s="12"/>
      <c r="C5860" s="12"/>
    </row>
    <row r="5861" spans="2:3">
      <c r="B5861" s="12"/>
      <c r="C5861" s="12"/>
    </row>
    <row r="5862" spans="2:3">
      <c r="B5862" s="12"/>
      <c r="C5862" s="12"/>
    </row>
    <row r="5863" spans="2:3">
      <c r="B5863" s="12"/>
      <c r="C5863" s="12"/>
    </row>
    <row r="5864" spans="2:3">
      <c r="B5864" s="12"/>
      <c r="C5864" s="12"/>
    </row>
    <row r="5865" spans="2:3">
      <c r="B5865" s="12"/>
      <c r="C5865" s="12"/>
    </row>
    <row r="5866" spans="2:3">
      <c r="B5866" s="12"/>
      <c r="C5866" s="12"/>
    </row>
    <row r="5867" spans="2:3">
      <c r="B5867" s="12"/>
      <c r="C5867" s="12"/>
    </row>
    <row r="5868" spans="2:3">
      <c r="B5868" s="12"/>
      <c r="C5868" s="12"/>
    </row>
    <row r="5869" spans="2:3">
      <c r="B5869" s="12"/>
      <c r="C5869" s="12"/>
    </row>
    <row r="5870" spans="2:3">
      <c r="B5870" s="12"/>
      <c r="C5870" s="12"/>
    </row>
    <row r="5871" spans="2:3">
      <c r="B5871" s="12"/>
      <c r="C5871" s="12"/>
    </row>
    <row r="5872" spans="2:3">
      <c r="B5872" s="12"/>
      <c r="C5872" s="12"/>
    </row>
    <row r="5873" spans="2:3">
      <c r="B5873" s="12"/>
      <c r="C5873" s="12"/>
    </row>
    <row r="5874" spans="2:3">
      <c r="B5874" s="12"/>
      <c r="C5874" s="12"/>
    </row>
    <row r="5875" spans="2:3">
      <c r="B5875" s="12"/>
      <c r="C5875" s="12"/>
    </row>
    <row r="5876" spans="2:3">
      <c r="B5876" s="12"/>
      <c r="C5876" s="12"/>
    </row>
    <row r="5877" spans="2:3">
      <c r="B5877" s="12"/>
      <c r="C5877" s="12"/>
    </row>
    <row r="5878" spans="2:3">
      <c r="B5878" s="12"/>
      <c r="C5878" s="12"/>
    </row>
    <row r="5879" spans="2:3">
      <c r="B5879" s="12"/>
      <c r="C5879" s="12"/>
    </row>
    <row r="5880" spans="2:3">
      <c r="B5880" s="12"/>
      <c r="C5880" s="12"/>
    </row>
    <row r="5881" spans="2:3">
      <c r="B5881" s="12"/>
      <c r="C5881" s="12"/>
    </row>
    <row r="5882" spans="2:3">
      <c r="B5882" s="12"/>
      <c r="C5882" s="12"/>
    </row>
    <row r="5883" spans="2:3">
      <c r="B5883" s="12"/>
      <c r="C5883" s="12"/>
    </row>
    <row r="5884" spans="2:3">
      <c r="B5884" s="12"/>
      <c r="C5884" s="12"/>
    </row>
    <row r="5885" spans="2:3">
      <c r="B5885" s="12"/>
      <c r="C5885" s="12"/>
    </row>
    <row r="5886" spans="2:3">
      <c r="B5886" s="12"/>
      <c r="C5886" s="12"/>
    </row>
    <row r="5887" spans="2:3">
      <c r="B5887" s="12"/>
      <c r="C5887" s="12"/>
    </row>
    <row r="5888" spans="2:3">
      <c r="B5888" s="12"/>
      <c r="C5888" s="12"/>
    </row>
    <row r="5889" spans="2:3">
      <c r="B5889" s="12"/>
      <c r="C5889" s="12"/>
    </row>
    <row r="5890" spans="2:3">
      <c r="B5890" s="12"/>
      <c r="C5890" s="12"/>
    </row>
    <row r="5891" spans="2:3">
      <c r="B5891" s="12"/>
      <c r="C5891" s="12"/>
    </row>
    <row r="5892" spans="2:3">
      <c r="B5892" s="12"/>
      <c r="C5892" s="12"/>
    </row>
    <row r="5893" spans="2:3">
      <c r="B5893" s="12"/>
      <c r="C5893" s="12"/>
    </row>
    <row r="5894" spans="2:3">
      <c r="B5894" s="12"/>
      <c r="C5894" s="12"/>
    </row>
    <row r="5895" spans="2:3">
      <c r="B5895" s="12"/>
      <c r="C5895" s="12"/>
    </row>
    <row r="5896" spans="2:3">
      <c r="B5896" s="12"/>
      <c r="C5896" s="12"/>
    </row>
    <row r="5897" spans="2:3">
      <c r="B5897" s="12"/>
      <c r="C5897" s="12"/>
    </row>
    <row r="5898" spans="2:3">
      <c r="B5898" s="12"/>
      <c r="C5898" s="12"/>
    </row>
    <row r="5899" spans="2:3">
      <c r="B5899" s="12"/>
      <c r="C5899" s="12"/>
    </row>
    <row r="5900" spans="2:3">
      <c r="B5900" s="12"/>
      <c r="C5900" s="12"/>
    </row>
    <row r="5901" spans="2:3">
      <c r="B5901" s="12"/>
      <c r="C5901" s="12"/>
    </row>
    <row r="5902" spans="2:3">
      <c r="B5902" s="12"/>
      <c r="C5902" s="12"/>
    </row>
    <row r="5903" spans="2:3">
      <c r="B5903" s="12"/>
      <c r="C5903" s="12"/>
    </row>
    <row r="5904" spans="2:3">
      <c r="B5904" s="12"/>
      <c r="C5904" s="12"/>
    </row>
    <row r="5905" spans="2:3">
      <c r="B5905" s="12"/>
      <c r="C5905" s="12"/>
    </row>
    <row r="5906" spans="2:3">
      <c r="B5906" s="12"/>
      <c r="C5906" s="12"/>
    </row>
    <row r="5907" spans="2:3">
      <c r="B5907" s="12"/>
      <c r="C5907" s="12"/>
    </row>
    <row r="5908" spans="2:3">
      <c r="B5908" s="12"/>
      <c r="C5908" s="12"/>
    </row>
    <row r="5909" spans="2:3">
      <c r="B5909" s="12"/>
      <c r="C5909" s="12"/>
    </row>
    <row r="5910" spans="2:3">
      <c r="B5910" s="12"/>
      <c r="C5910" s="12"/>
    </row>
    <row r="5911" spans="2:3">
      <c r="B5911" s="12"/>
      <c r="C5911" s="12"/>
    </row>
    <row r="5912" spans="2:3">
      <c r="B5912" s="12"/>
      <c r="C5912" s="12"/>
    </row>
    <row r="5913" spans="2:3">
      <c r="B5913" s="12"/>
      <c r="C5913" s="12"/>
    </row>
    <row r="5914" spans="2:3">
      <c r="B5914" s="12"/>
      <c r="C5914" s="12"/>
    </row>
    <row r="5915" spans="2:3">
      <c r="B5915" s="12"/>
      <c r="C5915" s="12"/>
    </row>
    <row r="5916" spans="2:3">
      <c r="B5916" s="12"/>
      <c r="C5916" s="12"/>
    </row>
    <row r="5917" spans="2:3">
      <c r="B5917" s="12"/>
      <c r="C5917" s="12"/>
    </row>
    <row r="5918" spans="2:3">
      <c r="B5918" s="12"/>
      <c r="C5918" s="12"/>
    </row>
    <row r="5919" spans="2:3">
      <c r="B5919" s="12"/>
      <c r="C5919" s="12"/>
    </row>
    <row r="5920" spans="2:3">
      <c r="B5920" s="12"/>
      <c r="C5920" s="12"/>
    </row>
    <row r="5921" spans="2:3">
      <c r="B5921" s="12"/>
      <c r="C5921" s="12"/>
    </row>
    <row r="5922" spans="2:3">
      <c r="B5922" s="12"/>
      <c r="C5922" s="12"/>
    </row>
    <row r="5923" spans="2:3">
      <c r="B5923" s="12"/>
      <c r="C5923" s="12"/>
    </row>
    <row r="5924" spans="2:3">
      <c r="B5924" s="12"/>
      <c r="C5924" s="12"/>
    </row>
    <row r="5925" spans="2:3">
      <c r="B5925" s="12"/>
      <c r="C5925" s="12"/>
    </row>
    <row r="5926" spans="2:3">
      <c r="B5926" s="12"/>
      <c r="C5926" s="12"/>
    </row>
    <row r="5927" spans="2:3">
      <c r="B5927" s="12"/>
      <c r="C5927" s="12"/>
    </row>
    <row r="5928" spans="2:3">
      <c r="B5928" s="12"/>
      <c r="C5928" s="12"/>
    </row>
    <row r="5929" spans="2:3">
      <c r="B5929" s="12"/>
      <c r="C5929" s="12"/>
    </row>
    <row r="5930" spans="2:3">
      <c r="B5930" s="12"/>
      <c r="C5930" s="12"/>
    </row>
    <row r="5931" spans="2:3">
      <c r="B5931" s="12"/>
      <c r="C5931" s="12"/>
    </row>
    <row r="5932" spans="2:3">
      <c r="B5932" s="12"/>
      <c r="C5932" s="12"/>
    </row>
    <row r="5933" spans="2:3">
      <c r="B5933" s="12"/>
      <c r="C5933" s="12"/>
    </row>
    <row r="5934" spans="2:3">
      <c r="B5934" s="12"/>
      <c r="C5934" s="12"/>
    </row>
    <row r="5935" spans="2:3">
      <c r="B5935" s="12"/>
      <c r="C5935" s="12"/>
    </row>
    <row r="5936" spans="2:3">
      <c r="B5936" s="12"/>
      <c r="C5936" s="12"/>
    </row>
    <row r="5937" spans="2:3">
      <c r="B5937" s="12"/>
      <c r="C5937" s="12"/>
    </row>
    <row r="5938" spans="2:3">
      <c r="B5938" s="12"/>
      <c r="C5938" s="12"/>
    </row>
    <row r="5939" spans="2:3">
      <c r="B5939" s="12"/>
      <c r="C5939" s="12"/>
    </row>
    <row r="5940" spans="2:3">
      <c r="B5940" s="12"/>
      <c r="C5940" s="12"/>
    </row>
    <row r="5941" spans="2:3">
      <c r="B5941" s="12"/>
      <c r="C5941" s="12"/>
    </row>
    <row r="5942" spans="2:3">
      <c r="B5942" s="12"/>
      <c r="C5942" s="12"/>
    </row>
    <row r="5943" spans="2:3">
      <c r="B5943" s="12"/>
      <c r="C5943" s="12"/>
    </row>
    <row r="5944" spans="2:3">
      <c r="B5944" s="12"/>
      <c r="C5944" s="12"/>
    </row>
    <row r="5945" spans="2:3">
      <c r="B5945" s="12"/>
      <c r="C5945" s="12"/>
    </row>
    <row r="5946" spans="2:3">
      <c r="B5946" s="12"/>
      <c r="C5946" s="12"/>
    </row>
    <row r="5947" spans="2:3">
      <c r="B5947" s="12"/>
      <c r="C5947" s="12"/>
    </row>
    <row r="5948" spans="2:3">
      <c r="B5948" s="12"/>
      <c r="C5948" s="12"/>
    </row>
    <row r="5949" spans="2:3">
      <c r="B5949" s="12"/>
      <c r="C5949" s="12"/>
    </row>
    <row r="5950" spans="2:3">
      <c r="B5950" s="12"/>
      <c r="C5950" s="12"/>
    </row>
    <row r="5951" spans="2:3">
      <c r="B5951" s="12"/>
      <c r="C5951" s="12"/>
    </row>
    <row r="5952" spans="2:3">
      <c r="B5952" s="12"/>
      <c r="C5952" s="12"/>
    </row>
    <row r="5953" spans="2:3">
      <c r="B5953" s="12"/>
      <c r="C5953" s="12"/>
    </row>
    <row r="5954" spans="2:3">
      <c r="B5954" s="12"/>
      <c r="C5954" s="12"/>
    </row>
    <row r="5955" spans="2:3">
      <c r="B5955" s="12"/>
      <c r="C5955" s="12"/>
    </row>
    <row r="5956" spans="2:3">
      <c r="B5956" s="12"/>
      <c r="C5956" s="12"/>
    </row>
    <row r="5957" spans="2:3">
      <c r="B5957" s="12"/>
      <c r="C5957" s="12"/>
    </row>
    <row r="5958" spans="2:3">
      <c r="B5958" s="12"/>
      <c r="C5958" s="12"/>
    </row>
    <row r="5959" spans="2:3">
      <c r="B5959" s="12"/>
      <c r="C5959" s="12"/>
    </row>
    <row r="5960" spans="2:3">
      <c r="B5960" s="12"/>
      <c r="C5960" s="12"/>
    </row>
    <row r="5961" spans="2:3">
      <c r="B5961" s="12"/>
      <c r="C5961" s="12"/>
    </row>
    <row r="5962" spans="2:3">
      <c r="B5962" s="12"/>
      <c r="C5962" s="12"/>
    </row>
    <row r="5963" spans="2:3">
      <c r="B5963" s="12"/>
      <c r="C5963" s="12"/>
    </row>
    <row r="5964" spans="2:3">
      <c r="B5964" s="12"/>
      <c r="C5964" s="12"/>
    </row>
    <row r="5965" spans="2:3">
      <c r="B5965" s="12"/>
      <c r="C5965" s="12"/>
    </row>
    <row r="5966" spans="2:3">
      <c r="B5966" s="12"/>
      <c r="C5966" s="12"/>
    </row>
    <row r="5967" spans="2:3">
      <c r="B5967" s="12"/>
      <c r="C5967" s="12"/>
    </row>
    <row r="5968" spans="2:3">
      <c r="B5968" s="12"/>
      <c r="C5968" s="12"/>
    </row>
    <row r="5969" spans="2:3">
      <c r="B5969" s="12"/>
      <c r="C5969" s="12"/>
    </row>
    <row r="5970" spans="2:3">
      <c r="B5970" s="12"/>
      <c r="C5970" s="12"/>
    </row>
    <row r="5971" spans="2:3">
      <c r="B5971" s="12"/>
      <c r="C5971" s="12"/>
    </row>
    <row r="5972" spans="2:3">
      <c r="B5972" s="12"/>
      <c r="C5972" s="12"/>
    </row>
    <row r="5973" spans="2:3">
      <c r="B5973" s="12"/>
      <c r="C5973" s="12"/>
    </row>
    <row r="5974" spans="2:3">
      <c r="B5974" s="12"/>
      <c r="C5974" s="12"/>
    </row>
    <row r="5975" spans="2:3">
      <c r="B5975" s="12"/>
      <c r="C5975" s="12"/>
    </row>
    <row r="5976" spans="2:3">
      <c r="B5976" s="12"/>
      <c r="C5976" s="12"/>
    </row>
    <row r="5977" spans="2:3">
      <c r="B5977" s="12"/>
      <c r="C5977" s="12"/>
    </row>
    <row r="5978" spans="2:3">
      <c r="B5978" s="12"/>
      <c r="C5978" s="12"/>
    </row>
    <row r="5979" spans="2:3">
      <c r="B5979" s="12"/>
      <c r="C5979" s="12"/>
    </row>
    <row r="5980" spans="2:3">
      <c r="B5980" s="12"/>
      <c r="C5980" s="12"/>
    </row>
    <row r="5981" spans="2:3">
      <c r="B5981" s="12"/>
      <c r="C5981" s="12"/>
    </row>
    <row r="5982" spans="2:3">
      <c r="B5982" s="12"/>
      <c r="C5982" s="12"/>
    </row>
    <row r="5983" spans="2:3">
      <c r="B5983" s="12"/>
      <c r="C5983" s="12"/>
    </row>
    <row r="5984" spans="2:3">
      <c r="B5984" s="12"/>
      <c r="C5984" s="12"/>
    </row>
    <row r="5985" spans="2:3">
      <c r="B5985" s="12"/>
      <c r="C5985" s="12"/>
    </row>
    <row r="5986" spans="2:3">
      <c r="B5986" s="12"/>
      <c r="C5986" s="12"/>
    </row>
    <row r="5987" spans="2:3">
      <c r="B5987" s="12"/>
      <c r="C5987" s="12"/>
    </row>
    <row r="5988" spans="2:3">
      <c r="B5988" s="12"/>
      <c r="C5988" s="12"/>
    </row>
    <row r="5989" spans="2:3">
      <c r="B5989" s="12"/>
      <c r="C5989" s="12"/>
    </row>
    <row r="5990" spans="2:3">
      <c r="B5990" s="12"/>
      <c r="C5990" s="12"/>
    </row>
    <row r="5991" spans="2:3">
      <c r="B5991" s="12"/>
      <c r="C5991" s="12"/>
    </row>
    <row r="5992" spans="2:3">
      <c r="B5992" s="12"/>
      <c r="C5992" s="12"/>
    </row>
    <row r="5993" spans="2:3">
      <c r="B5993" s="12"/>
      <c r="C5993" s="12"/>
    </row>
    <row r="5994" spans="2:3">
      <c r="B5994" s="12"/>
      <c r="C5994" s="12"/>
    </row>
    <row r="5995" spans="2:3">
      <c r="B5995" s="12"/>
      <c r="C5995" s="12"/>
    </row>
    <row r="5996" spans="2:3">
      <c r="B5996" s="12"/>
      <c r="C5996" s="12"/>
    </row>
    <row r="5997" spans="2:3">
      <c r="B5997" s="12"/>
      <c r="C5997" s="12"/>
    </row>
    <row r="5998" spans="2:3">
      <c r="B5998" s="12"/>
      <c r="C5998" s="12"/>
    </row>
    <row r="5999" spans="2:3">
      <c r="B5999" s="12"/>
      <c r="C5999" s="12"/>
    </row>
    <row r="6000" spans="2:3">
      <c r="B6000" s="12"/>
      <c r="C6000" s="12"/>
    </row>
    <row r="6001" spans="2:3">
      <c r="B6001" s="12"/>
      <c r="C6001" s="12"/>
    </row>
    <row r="6002" spans="2:3">
      <c r="B6002" s="12"/>
      <c r="C6002" s="12"/>
    </row>
    <row r="6003" spans="2:3">
      <c r="B6003" s="12"/>
      <c r="C6003" s="12"/>
    </row>
    <row r="6004" spans="2:3">
      <c r="B6004" s="12"/>
      <c r="C6004" s="12"/>
    </row>
    <row r="6005" spans="2:3">
      <c r="B6005" s="12"/>
      <c r="C6005" s="12"/>
    </row>
    <row r="6006" spans="2:3">
      <c r="B6006" s="12"/>
      <c r="C6006" s="12"/>
    </row>
    <row r="6007" spans="2:3">
      <c r="B6007" s="12"/>
      <c r="C6007" s="12"/>
    </row>
    <row r="6008" spans="2:3">
      <c r="B6008" s="12"/>
      <c r="C6008" s="12"/>
    </row>
    <row r="6009" spans="2:3">
      <c r="B6009" s="12"/>
      <c r="C6009" s="12"/>
    </row>
    <row r="6010" spans="2:3">
      <c r="B6010" s="12"/>
      <c r="C6010" s="12"/>
    </row>
    <row r="6011" spans="2:3">
      <c r="B6011" s="12"/>
      <c r="C6011" s="12"/>
    </row>
    <row r="6012" spans="2:3">
      <c r="B6012" s="12"/>
      <c r="C6012" s="12"/>
    </row>
    <row r="6013" spans="2:3">
      <c r="B6013" s="12"/>
      <c r="C6013" s="12"/>
    </row>
    <row r="6014" spans="2:3">
      <c r="B6014" s="12"/>
      <c r="C6014" s="12"/>
    </row>
    <row r="6015" spans="2:3">
      <c r="B6015" s="12"/>
      <c r="C6015" s="12"/>
    </row>
    <row r="6016" spans="2:3">
      <c r="B6016" s="12"/>
      <c r="C6016" s="12"/>
    </row>
    <row r="6017" spans="2:3">
      <c r="B6017" s="12"/>
      <c r="C6017" s="12"/>
    </row>
    <row r="6018" spans="2:3">
      <c r="B6018" s="12"/>
      <c r="C6018" s="12"/>
    </row>
    <row r="6019" spans="2:3">
      <c r="B6019" s="12"/>
      <c r="C6019" s="12"/>
    </row>
    <row r="6020" spans="2:3">
      <c r="B6020" s="12"/>
      <c r="C6020" s="12"/>
    </row>
    <row r="6021" spans="2:3">
      <c r="B6021" s="12"/>
      <c r="C6021" s="12"/>
    </row>
    <row r="6022" spans="2:3">
      <c r="B6022" s="12"/>
      <c r="C6022" s="12"/>
    </row>
    <row r="6023" spans="2:3">
      <c r="B6023" s="12"/>
      <c r="C6023" s="12"/>
    </row>
    <row r="6024" spans="2:3">
      <c r="B6024" s="12"/>
      <c r="C6024" s="12"/>
    </row>
    <row r="6025" spans="2:3">
      <c r="B6025" s="12"/>
      <c r="C6025" s="12"/>
    </row>
    <row r="6026" spans="2:3">
      <c r="B6026" s="12"/>
      <c r="C6026" s="12"/>
    </row>
    <row r="6027" spans="2:3">
      <c r="B6027" s="12"/>
      <c r="C6027" s="12"/>
    </row>
    <row r="6028" spans="2:3">
      <c r="B6028" s="12"/>
      <c r="C6028" s="12"/>
    </row>
    <row r="6029" spans="2:3">
      <c r="B6029" s="12"/>
      <c r="C6029" s="12"/>
    </row>
    <row r="6030" spans="2:3">
      <c r="B6030" s="12"/>
      <c r="C6030" s="12"/>
    </row>
    <row r="6031" spans="2:3">
      <c r="B6031" s="12"/>
      <c r="C6031" s="12"/>
    </row>
    <row r="6032" spans="2:3">
      <c r="B6032" s="12"/>
      <c r="C6032" s="12"/>
    </row>
    <row r="6033" spans="2:3">
      <c r="B6033" s="12"/>
      <c r="C6033" s="12"/>
    </row>
    <row r="6034" spans="2:3">
      <c r="B6034" s="12"/>
      <c r="C6034" s="12"/>
    </row>
    <row r="6035" spans="2:3">
      <c r="B6035" s="12"/>
      <c r="C6035" s="12"/>
    </row>
    <row r="6036" spans="2:3">
      <c r="B6036" s="12"/>
      <c r="C6036" s="12"/>
    </row>
    <row r="6037" spans="2:3">
      <c r="B6037" s="12"/>
      <c r="C6037" s="12"/>
    </row>
    <row r="6038" spans="2:3">
      <c r="B6038" s="12"/>
      <c r="C6038" s="12"/>
    </row>
    <row r="6039" spans="2:3">
      <c r="B6039" s="12"/>
      <c r="C6039" s="12"/>
    </row>
    <row r="6040" spans="2:3">
      <c r="B6040" s="12"/>
      <c r="C6040" s="12"/>
    </row>
    <row r="6041" spans="2:3">
      <c r="B6041" s="12"/>
      <c r="C6041" s="12"/>
    </row>
    <row r="6042" spans="2:3">
      <c r="B6042" s="12"/>
      <c r="C6042" s="12"/>
    </row>
    <row r="6043" spans="2:3">
      <c r="B6043" s="12"/>
      <c r="C6043" s="12"/>
    </row>
    <row r="6044" spans="2:3">
      <c r="B6044" s="12"/>
      <c r="C6044" s="12"/>
    </row>
    <row r="6045" spans="2:3">
      <c r="B6045" s="12"/>
      <c r="C6045" s="12"/>
    </row>
    <row r="6046" spans="2:3">
      <c r="B6046" s="12"/>
      <c r="C6046" s="12"/>
    </row>
    <row r="6047" spans="2:3">
      <c r="B6047" s="12"/>
      <c r="C6047" s="12"/>
    </row>
    <row r="6048" spans="2:3">
      <c r="B6048" s="12"/>
      <c r="C6048" s="12"/>
    </row>
    <row r="6049" spans="2:3">
      <c r="B6049" s="12"/>
      <c r="C6049" s="12"/>
    </row>
    <row r="6050" spans="2:3">
      <c r="B6050" s="12"/>
      <c r="C6050" s="12"/>
    </row>
    <row r="6051" spans="2:3">
      <c r="B6051" s="12"/>
      <c r="C6051" s="12"/>
    </row>
    <row r="6052" spans="2:3">
      <c r="B6052" s="12"/>
      <c r="C6052" s="12"/>
    </row>
    <row r="6053" spans="2:3">
      <c r="B6053" s="12"/>
      <c r="C6053" s="12"/>
    </row>
    <row r="6054" spans="2:3">
      <c r="B6054" s="12"/>
      <c r="C6054" s="12"/>
    </row>
    <row r="6055" spans="2:3">
      <c r="B6055" s="12"/>
      <c r="C6055" s="12"/>
    </row>
    <row r="6056" spans="2:3">
      <c r="B6056" s="12"/>
      <c r="C6056" s="12"/>
    </row>
    <row r="6057" spans="2:3">
      <c r="B6057" s="12"/>
      <c r="C6057" s="12"/>
    </row>
    <row r="6058" spans="2:3">
      <c r="B6058" s="12"/>
      <c r="C6058" s="12"/>
    </row>
    <row r="6059" spans="2:3">
      <c r="B6059" s="12"/>
      <c r="C6059" s="12"/>
    </row>
    <row r="6060" spans="2:3">
      <c r="B6060" s="12"/>
      <c r="C6060" s="12"/>
    </row>
    <row r="6061" spans="2:3">
      <c r="B6061" s="12"/>
      <c r="C6061" s="12"/>
    </row>
    <row r="6062" spans="2:3">
      <c r="B6062" s="12"/>
      <c r="C6062" s="12"/>
    </row>
    <row r="6063" spans="2:3">
      <c r="B6063" s="12"/>
      <c r="C6063" s="12"/>
    </row>
    <row r="6064" spans="2:3">
      <c r="B6064" s="12"/>
      <c r="C6064" s="12"/>
    </row>
    <row r="6065" spans="2:3">
      <c r="B6065" s="12"/>
      <c r="C6065" s="12"/>
    </row>
    <row r="6066" spans="2:3">
      <c r="B6066" s="12"/>
      <c r="C6066" s="12"/>
    </row>
    <row r="6067" spans="2:3">
      <c r="B6067" s="12"/>
      <c r="C6067" s="12"/>
    </row>
    <row r="6068" spans="2:3">
      <c r="B6068" s="12"/>
      <c r="C6068" s="12"/>
    </row>
    <row r="6069" spans="2:3">
      <c r="B6069" s="12"/>
      <c r="C6069" s="12"/>
    </row>
    <row r="6070" spans="2:3">
      <c r="B6070" s="12"/>
      <c r="C6070" s="12"/>
    </row>
    <row r="6071" spans="2:3">
      <c r="B6071" s="12"/>
      <c r="C6071" s="12"/>
    </row>
    <row r="6072" spans="2:3">
      <c r="B6072" s="12"/>
      <c r="C6072" s="12"/>
    </row>
    <row r="6073" spans="2:3">
      <c r="B6073" s="12"/>
      <c r="C6073" s="12"/>
    </row>
    <row r="6074" spans="2:3">
      <c r="B6074" s="12"/>
      <c r="C6074" s="12"/>
    </row>
    <row r="6075" spans="2:3">
      <c r="B6075" s="12"/>
      <c r="C6075" s="12"/>
    </row>
    <row r="6076" spans="2:3">
      <c r="B6076" s="12"/>
      <c r="C6076" s="12"/>
    </row>
    <row r="6077" spans="2:3">
      <c r="B6077" s="12"/>
      <c r="C6077" s="12"/>
    </row>
    <row r="6078" spans="2:3">
      <c r="B6078" s="12"/>
      <c r="C6078" s="12"/>
    </row>
    <row r="6079" spans="2:3">
      <c r="B6079" s="12"/>
      <c r="C6079" s="12"/>
    </row>
    <row r="6080" spans="2:3">
      <c r="B6080" s="12"/>
      <c r="C6080" s="12"/>
    </row>
    <row r="6081" spans="2:3">
      <c r="B6081" s="12"/>
      <c r="C6081" s="12"/>
    </row>
    <row r="6082" spans="2:3">
      <c r="B6082" s="12"/>
      <c r="C6082" s="12"/>
    </row>
    <row r="6083" spans="2:3">
      <c r="B6083" s="12"/>
      <c r="C6083" s="12"/>
    </row>
    <row r="6084" spans="2:3">
      <c r="B6084" s="12"/>
      <c r="C6084" s="12"/>
    </row>
    <row r="6085" spans="2:3">
      <c r="B6085" s="12"/>
      <c r="C6085" s="12"/>
    </row>
    <row r="6086" spans="2:3">
      <c r="B6086" s="12"/>
      <c r="C6086" s="12"/>
    </row>
    <row r="6087" spans="2:3">
      <c r="B6087" s="12"/>
      <c r="C6087" s="12"/>
    </row>
    <row r="6088" spans="2:3">
      <c r="B6088" s="12"/>
      <c r="C6088" s="12"/>
    </row>
    <row r="6089" spans="2:3">
      <c r="B6089" s="12"/>
      <c r="C6089" s="12"/>
    </row>
    <row r="6090" spans="2:3">
      <c r="B6090" s="12"/>
      <c r="C6090" s="12"/>
    </row>
    <row r="6091" spans="2:3">
      <c r="B6091" s="12"/>
      <c r="C6091" s="12"/>
    </row>
    <row r="6092" spans="2:3">
      <c r="B6092" s="12"/>
      <c r="C6092" s="12"/>
    </row>
    <row r="6093" spans="2:3">
      <c r="B6093" s="12"/>
      <c r="C6093" s="12"/>
    </row>
    <row r="6094" spans="2:3">
      <c r="B6094" s="12"/>
      <c r="C6094" s="12"/>
    </row>
    <row r="6095" spans="2:3">
      <c r="B6095" s="12"/>
      <c r="C6095" s="12"/>
    </row>
    <row r="6096" spans="2:3">
      <c r="B6096" s="12"/>
      <c r="C6096" s="12"/>
    </row>
    <row r="6097" spans="2:3">
      <c r="B6097" s="12"/>
      <c r="C6097" s="12"/>
    </row>
    <row r="6098" spans="2:3">
      <c r="B6098" s="12"/>
      <c r="C6098" s="12"/>
    </row>
    <row r="6099" spans="2:3">
      <c r="B6099" s="12"/>
      <c r="C6099" s="12"/>
    </row>
    <row r="6100" spans="2:3">
      <c r="B6100" s="12"/>
      <c r="C6100" s="12"/>
    </row>
    <row r="6101" spans="2:3">
      <c r="B6101" s="12"/>
      <c r="C6101" s="12"/>
    </row>
    <row r="6102" spans="2:3">
      <c r="B6102" s="12"/>
      <c r="C6102" s="12"/>
    </row>
    <row r="6103" spans="2:3">
      <c r="B6103" s="12"/>
      <c r="C6103" s="12"/>
    </row>
    <row r="6104" spans="2:3">
      <c r="B6104" s="12"/>
      <c r="C6104" s="12"/>
    </row>
    <row r="6105" spans="2:3">
      <c r="B6105" s="12"/>
      <c r="C6105" s="12"/>
    </row>
    <row r="6106" spans="2:3">
      <c r="B6106" s="12"/>
      <c r="C6106" s="12"/>
    </row>
    <row r="6107" spans="2:3">
      <c r="B6107" s="12"/>
      <c r="C6107" s="12"/>
    </row>
    <row r="6108" spans="2:3">
      <c r="B6108" s="12"/>
      <c r="C6108" s="12"/>
    </row>
    <row r="6109" spans="2:3">
      <c r="B6109" s="12"/>
      <c r="C6109" s="12"/>
    </row>
    <row r="6110" spans="2:3">
      <c r="B6110" s="12"/>
      <c r="C6110" s="12"/>
    </row>
    <row r="6111" spans="2:3">
      <c r="B6111" s="12"/>
      <c r="C6111" s="12"/>
    </row>
    <row r="6112" spans="2:3">
      <c r="B6112" s="12"/>
      <c r="C6112" s="12"/>
    </row>
    <row r="6113" spans="2:3">
      <c r="B6113" s="12"/>
      <c r="C6113" s="12"/>
    </row>
    <row r="6114" spans="2:3">
      <c r="B6114" s="12"/>
      <c r="C6114" s="12"/>
    </row>
    <row r="6115" spans="2:3">
      <c r="B6115" s="12"/>
      <c r="C6115" s="12"/>
    </row>
    <row r="6116" spans="2:3">
      <c r="B6116" s="12"/>
      <c r="C6116" s="12"/>
    </row>
    <row r="6117" spans="2:3">
      <c r="B6117" s="12"/>
      <c r="C6117" s="12"/>
    </row>
    <row r="6118" spans="2:3">
      <c r="B6118" s="12"/>
      <c r="C6118" s="12"/>
    </row>
    <row r="6119" spans="2:3">
      <c r="B6119" s="12"/>
      <c r="C6119" s="12"/>
    </row>
    <row r="6120" spans="2:3">
      <c r="B6120" s="12"/>
      <c r="C6120" s="12"/>
    </row>
    <row r="6121" spans="2:3">
      <c r="B6121" s="12"/>
      <c r="C6121" s="12"/>
    </row>
    <row r="6122" spans="2:3">
      <c r="B6122" s="12"/>
      <c r="C6122" s="12"/>
    </row>
    <row r="6123" spans="2:3">
      <c r="B6123" s="12"/>
      <c r="C6123" s="12"/>
    </row>
    <row r="6124" spans="2:3">
      <c r="B6124" s="12"/>
      <c r="C6124" s="12"/>
    </row>
    <row r="6125" spans="2:3">
      <c r="B6125" s="12"/>
      <c r="C6125" s="12"/>
    </row>
    <row r="6126" spans="2:3">
      <c r="B6126" s="12"/>
      <c r="C6126" s="12"/>
    </row>
    <row r="6127" spans="2:3">
      <c r="B6127" s="12"/>
      <c r="C6127" s="12"/>
    </row>
    <row r="6128" spans="2:3">
      <c r="B6128" s="12"/>
      <c r="C6128" s="12"/>
    </row>
    <row r="6129" spans="2:3">
      <c r="B6129" s="12"/>
      <c r="C6129" s="12"/>
    </row>
    <row r="6130" spans="2:3">
      <c r="B6130" s="12"/>
      <c r="C6130" s="12"/>
    </row>
    <row r="6131" spans="2:3">
      <c r="B6131" s="12"/>
      <c r="C6131" s="12"/>
    </row>
    <row r="6132" spans="2:3">
      <c r="B6132" s="12"/>
      <c r="C6132" s="12"/>
    </row>
    <row r="6133" spans="2:3">
      <c r="B6133" s="12"/>
      <c r="C6133" s="12"/>
    </row>
    <row r="6134" spans="2:3">
      <c r="B6134" s="12"/>
      <c r="C6134" s="12"/>
    </row>
    <row r="6135" spans="2:3">
      <c r="B6135" s="12"/>
      <c r="C6135" s="12"/>
    </row>
    <row r="6136" spans="2:3">
      <c r="B6136" s="12"/>
      <c r="C6136" s="12"/>
    </row>
    <row r="6137" spans="2:3">
      <c r="B6137" s="12"/>
      <c r="C6137" s="12"/>
    </row>
    <row r="6138" spans="2:3">
      <c r="B6138" s="12"/>
      <c r="C6138" s="12"/>
    </row>
    <row r="6139" spans="2:3">
      <c r="B6139" s="12"/>
      <c r="C6139" s="12"/>
    </row>
    <row r="6140" spans="2:3">
      <c r="B6140" s="12"/>
      <c r="C6140" s="12"/>
    </row>
    <row r="6141" spans="2:3">
      <c r="B6141" s="12"/>
      <c r="C6141" s="12"/>
    </row>
    <row r="6142" spans="2:3">
      <c r="B6142" s="12"/>
      <c r="C6142" s="12"/>
    </row>
    <row r="6143" spans="2:3">
      <c r="B6143" s="12"/>
      <c r="C6143" s="12"/>
    </row>
    <row r="6144" spans="2:3">
      <c r="B6144" s="12"/>
      <c r="C6144" s="12"/>
    </row>
    <row r="6145" spans="2:3">
      <c r="B6145" s="12"/>
      <c r="C6145" s="12"/>
    </row>
    <row r="6146" spans="2:3">
      <c r="B6146" s="12"/>
      <c r="C6146" s="12"/>
    </row>
    <row r="6147" spans="2:3">
      <c r="B6147" s="12"/>
      <c r="C6147" s="12"/>
    </row>
    <row r="6148" spans="2:3">
      <c r="B6148" s="12"/>
      <c r="C6148" s="12"/>
    </row>
    <row r="6149" spans="2:3">
      <c r="B6149" s="12"/>
      <c r="C6149" s="12"/>
    </row>
    <row r="6150" spans="2:3">
      <c r="B6150" s="12"/>
      <c r="C6150" s="12"/>
    </row>
    <row r="6151" spans="2:3">
      <c r="B6151" s="12"/>
      <c r="C6151" s="12"/>
    </row>
    <row r="6152" spans="2:3">
      <c r="B6152" s="12"/>
      <c r="C6152" s="12"/>
    </row>
    <row r="6153" spans="2:3">
      <c r="B6153" s="12"/>
      <c r="C6153" s="12"/>
    </row>
    <row r="6154" spans="2:3">
      <c r="B6154" s="12"/>
      <c r="C6154" s="12"/>
    </row>
    <row r="6155" spans="2:3">
      <c r="B6155" s="12"/>
      <c r="C6155" s="12"/>
    </row>
    <row r="6156" spans="2:3">
      <c r="B6156" s="12"/>
      <c r="C6156" s="12"/>
    </row>
    <row r="6157" spans="2:3">
      <c r="B6157" s="12"/>
      <c r="C6157" s="12"/>
    </row>
    <row r="6158" spans="2:3">
      <c r="B6158" s="12"/>
      <c r="C6158" s="12"/>
    </row>
    <row r="6159" spans="2:3">
      <c r="B6159" s="12"/>
      <c r="C6159" s="12"/>
    </row>
    <row r="6160" spans="2:3">
      <c r="B6160" s="12"/>
      <c r="C6160" s="12"/>
    </row>
    <row r="6161" spans="2:3">
      <c r="B6161" s="12"/>
      <c r="C6161" s="12"/>
    </row>
    <row r="6162" spans="2:3">
      <c r="B6162" s="12"/>
      <c r="C6162" s="12"/>
    </row>
    <row r="6163" spans="2:3">
      <c r="B6163" s="12"/>
      <c r="C6163" s="12"/>
    </row>
    <row r="6164" spans="2:3">
      <c r="B6164" s="12"/>
      <c r="C6164" s="12"/>
    </row>
    <row r="6165" spans="2:3">
      <c r="B6165" s="12"/>
      <c r="C6165" s="12"/>
    </row>
    <row r="6166" spans="2:3">
      <c r="B6166" s="12"/>
      <c r="C6166" s="12"/>
    </row>
    <row r="6167" spans="2:3">
      <c r="B6167" s="12"/>
      <c r="C6167" s="12"/>
    </row>
    <row r="6168" spans="2:3">
      <c r="B6168" s="12"/>
      <c r="C6168" s="12"/>
    </row>
    <row r="6169" spans="2:3">
      <c r="B6169" s="12"/>
      <c r="C6169" s="12"/>
    </row>
    <row r="6170" spans="2:3">
      <c r="B6170" s="12"/>
      <c r="C6170" s="12"/>
    </row>
    <row r="6171" spans="2:3">
      <c r="B6171" s="12"/>
      <c r="C6171" s="12"/>
    </row>
    <row r="6172" spans="2:3">
      <c r="B6172" s="12"/>
      <c r="C6172" s="12"/>
    </row>
    <row r="6173" spans="2:3">
      <c r="B6173" s="12"/>
      <c r="C6173" s="12"/>
    </row>
    <row r="6174" spans="2:3">
      <c r="B6174" s="12"/>
      <c r="C6174" s="12"/>
    </row>
    <row r="6175" spans="2:3">
      <c r="B6175" s="12"/>
      <c r="C6175" s="12"/>
    </row>
    <row r="6176" spans="2:3">
      <c r="B6176" s="12"/>
      <c r="C6176" s="12"/>
    </row>
    <row r="6177" spans="2:3">
      <c r="B6177" s="12"/>
      <c r="C6177" s="12"/>
    </row>
    <row r="6178" spans="2:3">
      <c r="B6178" s="12"/>
      <c r="C6178" s="12"/>
    </row>
    <row r="6179" spans="2:3">
      <c r="B6179" s="12"/>
      <c r="C6179" s="12"/>
    </row>
    <row r="6180" spans="2:3">
      <c r="B6180" s="12"/>
      <c r="C6180" s="12"/>
    </row>
    <row r="6181" spans="2:3">
      <c r="B6181" s="12"/>
      <c r="C6181" s="12"/>
    </row>
    <row r="6182" spans="2:3">
      <c r="B6182" s="12"/>
      <c r="C6182" s="12"/>
    </row>
    <row r="6183" spans="2:3">
      <c r="B6183" s="12"/>
      <c r="C6183" s="12"/>
    </row>
    <row r="6184" spans="2:3">
      <c r="B6184" s="12"/>
      <c r="C6184" s="12"/>
    </row>
    <row r="6185" spans="2:3">
      <c r="B6185" s="12"/>
      <c r="C6185" s="12"/>
    </row>
    <row r="6186" spans="2:3">
      <c r="B6186" s="12"/>
      <c r="C6186" s="12"/>
    </row>
    <row r="6187" spans="2:3">
      <c r="B6187" s="12"/>
      <c r="C6187" s="12"/>
    </row>
    <row r="6188" spans="2:3">
      <c r="B6188" s="12"/>
      <c r="C6188" s="12"/>
    </row>
    <row r="6189" spans="2:3">
      <c r="B6189" s="12"/>
      <c r="C6189" s="12"/>
    </row>
    <row r="6190" spans="2:3">
      <c r="B6190" s="12"/>
      <c r="C6190" s="12"/>
    </row>
    <row r="6191" spans="2:3">
      <c r="B6191" s="12"/>
      <c r="C6191" s="12"/>
    </row>
    <row r="6192" spans="2:3">
      <c r="B6192" s="12"/>
      <c r="C6192" s="12"/>
    </row>
    <row r="6193" spans="2:3">
      <c r="B6193" s="12"/>
      <c r="C6193" s="12"/>
    </row>
    <row r="6194" spans="2:3">
      <c r="B6194" s="12"/>
      <c r="C6194" s="12"/>
    </row>
    <row r="6195" spans="2:3">
      <c r="B6195" s="12"/>
      <c r="C6195" s="12"/>
    </row>
    <row r="6196" spans="2:3">
      <c r="B6196" s="12"/>
      <c r="C6196" s="12"/>
    </row>
    <row r="6197" spans="2:3">
      <c r="B6197" s="12"/>
      <c r="C6197" s="12"/>
    </row>
    <row r="6198" spans="2:3">
      <c r="B6198" s="12"/>
      <c r="C6198" s="12"/>
    </row>
    <row r="6199" spans="2:3">
      <c r="B6199" s="12"/>
      <c r="C6199" s="12"/>
    </row>
    <row r="6200" spans="2:3">
      <c r="B6200" s="12"/>
      <c r="C6200" s="12"/>
    </row>
    <row r="6201" spans="2:3">
      <c r="B6201" s="12"/>
      <c r="C6201" s="12"/>
    </row>
    <row r="6202" spans="2:3">
      <c r="B6202" s="12"/>
      <c r="C6202" s="12"/>
    </row>
    <row r="6203" spans="2:3">
      <c r="B6203" s="12"/>
      <c r="C6203" s="12"/>
    </row>
    <row r="6204" spans="2:3">
      <c r="B6204" s="12"/>
      <c r="C6204" s="12"/>
    </row>
    <row r="6205" spans="2:3">
      <c r="B6205" s="12"/>
      <c r="C6205" s="12"/>
    </row>
    <row r="6206" spans="2:3">
      <c r="B6206" s="12"/>
      <c r="C6206" s="12"/>
    </row>
    <row r="6207" spans="2:3">
      <c r="B6207" s="12"/>
      <c r="C6207" s="12"/>
    </row>
    <row r="6208" spans="2:3">
      <c r="B6208" s="12"/>
      <c r="C6208" s="12"/>
    </row>
    <row r="6209" spans="2:3">
      <c r="B6209" s="12"/>
      <c r="C6209" s="12"/>
    </row>
    <row r="6210" spans="2:3">
      <c r="B6210" s="12"/>
      <c r="C6210" s="12"/>
    </row>
    <row r="6211" spans="2:3">
      <c r="B6211" s="12"/>
      <c r="C6211" s="12"/>
    </row>
    <row r="6212" spans="2:3">
      <c r="B6212" s="12"/>
      <c r="C6212" s="12"/>
    </row>
    <row r="6213" spans="2:3">
      <c r="B6213" s="12"/>
      <c r="C6213" s="12"/>
    </row>
    <row r="6214" spans="2:3">
      <c r="B6214" s="12"/>
      <c r="C6214" s="12"/>
    </row>
    <row r="6215" spans="2:3">
      <c r="B6215" s="12"/>
      <c r="C6215" s="12"/>
    </row>
    <row r="6216" spans="2:3">
      <c r="B6216" s="12"/>
      <c r="C6216" s="12"/>
    </row>
    <row r="6217" spans="2:3">
      <c r="B6217" s="12"/>
      <c r="C6217" s="12"/>
    </row>
    <row r="6218" spans="2:3">
      <c r="B6218" s="12"/>
      <c r="C6218" s="12"/>
    </row>
    <row r="6219" spans="2:3">
      <c r="B6219" s="12"/>
      <c r="C6219" s="12"/>
    </row>
    <row r="6220" spans="2:3">
      <c r="B6220" s="12"/>
      <c r="C6220" s="12"/>
    </row>
    <row r="6221" spans="2:3">
      <c r="B6221" s="12"/>
      <c r="C6221" s="12"/>
    </row>
    <row r="6222" spans="2:3">
      <c r="B6222" s="12"/>
      <c r="C6222" s="12"/>
    </row>
    <row r="6223" spans="2:3">
      <c r="B6223" s="12"/>
      <c r="C6223" s="12"/>
    </row>
    <row r="6224" spans="2:3">
      <c r="B6224" s="12"/>
      <c r="C6224" s="12"/>
    </row>
    <row r="6225" spans="2:3">
      <c r="B6225" s="12"/>
      <c r="C6225" s="12"/>
    </row>
    <row r="6226" spans="2:3">
      <c r="B6226" s="12"/>
      <c r="C6226" s="12"/>
    </row>
    <row r="6227" spans="2:3">
      <c r="B6227" s="12"/>
      <c r="C6227" s="12"/>
    </row>
    <row r="6228" spans="2:3">
      <c r="B6228" s="12"/>
      <c r="C6228" s="12"/>
    </row>
    <row r="6229" spans="2:3">
      <c r="B6229" s="12"/>
      <c r="C6229" s="12"/>
    </row>
    <row r="6230" spans="2:3">
      <c r="B6230" s="12"/>
      <c r="C6230" s="12"/>
    </row>
    <row r="6231" spans="2:3">
      <c r="B6231" s="12"/>
      <c r="C6231" s="12"/>
    </row>
    <row r="6232" spans="2:3">
      <c r="B6232" s="12"/>
      <c r="C6232" s="12"/>
    </row>
    <row r="6233" spans="2:3">
      <c r="B6233" s="12"/>
      <c r="C6233" s="12"/>
    </row>
    <row r="6234" spans="2:3">
      <c r="B6234" s="12"/>
      <c r="C6234" s="12"/>
    </row>
    <row r="6235" spans="2:3">
      <c r="B6235" s="12"/>
      <c r="C6235" s="12"/>
    </row>
    <row r="6236" spans="2:3">
      <c r="B6236" s="12"/>
      <c r="C6236" s="12"/>
    </row>
    <row r="6237" spans="2:3">
      <c r="B6237" s="12"/>
      <c r="C6237" s="12"/>
    </row>
    <row r="6238" spans="2:3">
      <c r="B6238" s="12"/>
      <c r="C6238" s="12"/>
    </row>
    <row r="6239" spans="2:3">
      <c r="B6239" s="12"/>
      <c r="C6239" s="12"/>
    </row>
    <row r="6240" spans="2:3">
      <c r="B6240" s="12"/>
      <c r="C6240" s="12"/>
    </row>
    <row r="6241" spans="2:3">
      <c r="B6241" s="12"/>
      <c r="C6241" s="12"/>
    </row>
    <row r="6242" spans="2:3">
      <c r="B6242" s="12"/>
      <c r="C6242" s="12"/>
    </row>
    <row r="6243" spans="2:3">
      <c r="B6243" s="12"/>
      <c r="C6243" s="12"/>
    </row>
    <row r="6244" spans="2:3">
      <c r="B6244" s="12"/>
      <c r="C6244" s="12"/>
    </row>
    <row r="6245" spans="2:3">
      <c r="B6245" s="12"/>
      <c r="C6245" s="12"/>
    </row>
    <row r="6246" spans="2:3">
      <c r="B6246" s="12"/>
      <c r="C6246" s="12"/>
    </row>
    <row r="6247" spans="2:3">
      <c r="B6247" s="12"/>
      <c r="C6247" s="12"/>
    </row>
    <row r="6248" spans="2:3">
      <c r="B6248" s="12"/>
      <c r="C6248" s="12"/>
    </row>
    <row r="6249" spans="2:3">
      <c r="B6249" s="12"/>
      <c r="C6249" s="12"/>
    </row>
    <row r="6250" spans="2:3">
      <c r="B6250" s="12"/>
      <c r="C6250" s="12"/>
    </row>
    <row r="6251" spans="2:3">
      <c r="B6251" s="12"/>
      <c r="C6251" s="12"/>
    </row>
    <row r="6252" spans="2:3">
      <c r="B6252" s="12"/>
      <c r="C6252" s="12"/>
    </row>
    <row r="6253" spans="2:3">
      <c r="B6253" s="12"/>
      <c r="C6253" s="12"/>
    </row>
    <row r="6254" spans="2:3">
      <c r="B6254" s="12"/>
      <c r="C6254" s="12"/>
    </row>
    <row r="6255" spans="2:3">
      <c r="B6255" s="12"/>
      <c r="C6255" s="12"/>
    </row>
    <row r="6256" spans="2:3">
      <c r="B6256" s="12"/>
      <c r="C6256" s="12"/>
    </row>
    <row r="6257" spans="2:3">
      <c r="B6257" s="12"/>
      <c r="C6257" s="12"/>
    </row>
    <row r="6258" spans="2:3">
      <c r="B6258" s="12"/>
      <c r="C6258" s="12"/>
    </row>
    <row r="6259" spans="2:3">
      <c r="B6259" s="12"/>
      <c r="C6259" s="12"/>
    </row>
    <row r="6260" spans="2:3">
      <c r="B6260" s="12"/>
      <c r="C6260" s="12"/>
    </row>
    <row r="6261" spans="2:3">
      <c r="B6261" s="12"/>
      <c r="C6261" s="12"/>
    </row>
    <row r="6262" spans="2:3">
      <c r="B6262" s="12"/>
      <c r="C6262" s="12"/>
    </row>
    <row r="6263" spans="2:3">
      <c r="B6263" s="12"/>
      <c r="C6263" s="12"/>
    </row>
    <row r="6264" spans="2:3">
      <c r="B6264" s="12"/>
      <c r="C6264" s="12"/>
    </row>
    <row r="6265" spans="2:3">
      <c r="B6265" s="12"/>
      <c r="C6265" s="12"/>
    </row>
    <row r="6266" spans="2:3">
      <c r="B6266" s="12"/>
      <c r="C6266" s="12"/>
    </row>
    <row r="6267" spans="2:3">
      <c r="B6267" s="12"/>
      <c r="C6267" s="12"/>
    </row>
    <row r="6268" spans="2:3">
      <c r="B6268" s="12"/>
      <c r="C6268" s="12"/>
    </row>
    <row r="6269" spans="2:3">
      <c r="B6269" s="12"/>
      <c r="C6269" s="12"/>
    </row>
    <row r="6270" spans="2:3">
      <c r="B6270" s="12"/>
      <c r="C6270" s="12"/>
    </row>
    <row r="6271" spans="2:3">
      <c r="B6271" s="12"/>
      <c r="C6271" s="12"/>
    </row>
    <row r="6272" spans="2:3">
      <c r="B6272" s="12"/>
      <c r="C6272" s="12"/>
    </row>
    <row r="6273" spans="2:3">
      <c r="B6273" s="12"/>
      <c r="C6273" s="12"/>
    </row>
    <row r="6274" spans="2:3">
      <c r="B6274" s="12"/>
      <c r="C6274" s="12"/>
    </row>
    <row r="6275" spans="2:3">
      <c r="B6275" s="12"/>
      <c r="C6275" s="12"/>
    </row>
    <row r="6276" spans="2:3">
      <c r="B6276" s="12"/>
      <c r="C6276" s="12"/>
    </row>
    <row r="6277" spans="2:3">
      <c r="B6277" s="12"/>
      <c r="C6277" s="12"/>
    </row>
    <row r="6278" spans="2:3">
      <c r="B6278" s="12"/>
      <c r="C6278" s="12"/>
    </row>
    <row r="6279" spans="2:3">
      <c r="B6279" s="12"/>
      <c r="C6279" s="12"/>
    </row>
    <row r="6280" spans="2:3">
      <c r="B6280" s="12"/>
      <c r="C6280" s="12"/>
    </row>
    <row r="6281" spans="2:3">
      <c r="B6281" s="12"/>
      <c r="C6281" s="12"/>
    </row>
    <row r="6282" spans="2:3">
      <c r="B6282" s="12"/>
      <c r="C6282" s="12"/>
    </row>
    <row r="6283" spans="2:3">
      <c r="B6283" s="12"/>
      <c r="C6283" s="12"/>
    </row>
    <row r="6284" spans="2:3">
      <c r="B6284" s="12"/>
      <c r="C6284" s="12"/>
    </row>
    <row r="6285" spans="2:3">
      <c r="B6285" s="12"/>
      <c r="C6285" s="12"/>
    </row>
    <row r="6286" spans="2:3">
      <c r="B6286" s="12"/>
      <c r="C6286" s="12"/>
    </row>
    <row r="6287" spans="2:3">
      <c r="B6287" s="12"/>
      <c r="C6287" s="12"/>
    </row>
    <row r="6288" spans="2:3">
      <c r="B6288" s="12"/>
      <c r="C6288" s="12"/>
    </row>
    <row r="6289" spans="2:3">
      <c r="B6289" s="12"/>
      <c r="C6289" s="12"/>
    </row>
    <row r="6290" spans="2:3">
      <c r="B6290" s="12"/>
      <c r="C6290" s="12"/>
    </row>
    <row r="6291" spans="2:3">
      <c r="B6291" s="12"/>
      <c r="C6291" s="12"/>
    </row>
    <row r="6292" spans="2:3">
      <c r="B6292" s="12"/>
      <c r="C6292" s="12"/>
    </row>
    <row r="6293" spans="2:3">
      <c r="B6293" s="12"/>
      <c r="C6293" s="12"/>
    </row>
    <row r="6294" spans="2:3">
      <c r="B6294" s="12"/>
      <c r="C6294" s="12"/>
    </row>
    <row r="6295" spans="2:3">
      <c r="B6295" s="12"/>
      <c r="C6295" s="12"/>
    </row>
    <row r="6296" spans="2:3">
      <c r="B6296" s="12"/>
      <c r="C6296" s="12"/>
    </row>
    <row r="6297" spans="2:3">
      <c r="B6297" s="12"/>
      <c r="C6297" s="12"/>
    </row>
    <row r="6298" spans="2:3">
      <c r="B6298" s="12"/>
      <c r="C6298" s="12"/>
    </row>
    <row r="6299" spans="2:3">
      <c r="B6299" s="12"/>
      <c r="C6299" s="12"/>
    </row>
    <row r="6300" spans="2:3">
      <c r="B6300" s="12"/>
      <c r="C6300" s="12"/>
    </row>
    <row r="6301" spans="2:3">
      <c r="B6301" s="12"/>
      <c r="C6301" s="12"/>
    </row>
    <row r="6302" spans="2:3">
      <c r="B6302" s="12"/>
      <c r="C6302" s="12"/>
    </row>
    <row r="6303" spans="2:3">
      <c r="B6303" s="12"/>
      <c r="C6303" s="12"/>
    </row>
    <row r="6304" spans="2:3">
      <c r="B6304" s="12"/>
      <c r="C6304" s="12"/>
    </row>
    <row r="6305" spans="2:3">
      <c r="B6305" s="12"/>
      <c r="C6305" s="12"/>
    </row>
    <row r="6306" spans="2:3">
      <c r="B6306" s="12"/>
      <c r="C6306" s="12"/>
    </row>
    <row r="6307" spans="2:3">
      <c r="B6307" s="12"/>
      <c r="C6307" s="12"/>
    </row>
    <row r="6308" spans="2:3">
      <c r="B6308" s="12"/>
      <c r="C6308" s="12"/>
    </row>
    <row r="6309" spans="2:3">
      <c r="B6309" s="12"/>
      <c r="C6309" s="12"/>
    </row>
    <row r="6310" spans="2:3">
      <c r="B6310" s="12"/>
      <c r="C6310" s="12"/>
    </row>
    <row r="6311" spans="2:3">
      <c r="B6311" s="12"/>
      <c r="C6311" s="12"/>
    </row>
    <row r="6312" spans="2:3">
      <c r="B6312" s="12"/>
      <c r="C6312" s="12"/>
    </row>
    <row r="6313" spans="2:3">
      <c r="B6313" s="12"/>
      <c r="C6313" s="12"/>
    </row>
    <row r="6314" spans="2:3">
      <c r="B6314" s="12"/>
      <c r="C6314" s="12"/>
    </row>
    <row r="6315" spans="2:3">
      <c r="B6315" s="12"/>
      <c r="C6315" s="12"/>
    </row>
    <row r="6316" spans="2:3">
      <c r="B6316" s="12"/>
      <c r="C6316" s="12"/>
    </row>
    <row r="6317" spans="2:3">
      <c r="B6317" s="12"/>
      <c r="C6317" s="12"/>
    </row>
    <row r="6318" spans="2:3">
      <c r="B6318" s="12"/>
      <c r="C6318" s="12"/>
    </row>
    <row r="6319" spans="2:3">
      <c r="B6319" s="12"/>
      <c r="C6319" s="12"/>
    </row>
    <row r="6320" spans="2:3">
      <c r="B6320" s="12"/>
      <c r="C6320" s="12"/>
    </row>
    <row r="6321" spans="2:3">
      <c r="B6321" s="12"/>
      <c r="C6321" s="12"/>
    </row>
    <row r="6322" spans="2:3">
      <c r="B6322" s="12"/>
      <c r="C6322" s="12"/>
    </row>
    <row r="6323" spans="2:3">
      <c r="B6323" s="12"/>
      <c r="C6323" s="12"/>
    </row>
    <row r="6324" spans="2:3">
      <c r="B6324" s="12"/>
      <c r="C6324" s="12"/>
    </row>
    <row r="6325" spans="2:3">
      <c r="B6325" s="12"/>
      <c r="C6325" s="12"/>
    </row>
    <row r="6326" spans="2:3">
      <c r="B6326" s="12"/>
      <c r="C6326" s="12"/>
    </row>
    <row r="6327" spans="2:3">
      <c r="B6327" s="12"/>
      <c r="C6327" s="12"/>
    </row>
    <row r="6328" spans="2:3">
      <c r="B6328" s="12"/>
      <c r="C6328" s="12"/>
    </row>
    <row r="6329" spans="2:3">
      <c r="B6329" s="12"/>
      <c r="C6329" s="12"/>
    </row>
    <row r="6330" spans="2:3">
      <c r="B6330" s="12"/>
      <c r="C6330" s="12"/>
    </row>
    <row r="6331" spans="2:3">
      <c r="B6331" s="12"/>
      <c r="C6331" s="12"/>
    </row>
    <row r="6332" spans="2:3">
      <c r="B6332" s="12"/>
      <c r="C6332" s="12"/>
    </row>
    <row r="6333" spans="2:3">
      <c r="B6333" s="12"/>
      <c r="C6333" s="12"/>
    </row>
    <row r="6334" spans="2:3">
      <c r="B6334" s="12"/>
      <c r="C6334" s="12"/>
    </row>
    <row r="6335" spans="2:3">
      <c r="B6335" s="12"/>
      <c r="C6335" s="12"/>
    </row>
    <row r="6336" spans="2:3">
      <c r="B6336" s="12"/>
      <c r="C6336" s="12"/>
    </row>
    <row r="6337" spans="2:3">
      <c r="B6337" s="12"/>
      <c r="C6337" s="12"/>
    </row>
    <row r="6338" spans="2:3">
      <c r="B6338" s="12"/>
      <c r="C6338" s="12"/>
    </row>
    <row r="6339" spans="2:3">
      <c r="B6339" s="12"/>
      <c r="C6339" s="12"/>
    </row>
    <row r="6340" spans="2:3">
      <c r="B6340" s="12"/>
      <c r="C6340" s="12"/>
    </row>
    <row r="6341" spans="2:3">
      <c r="B6341" s="12"/>
      <c r="C6341" s="12"/>
    </row>
    <row r="6342" spans="2:3">
      <c r="B6342" s="12"/>
      <c r="C6342" s="12"/>
    </row>
    <row r="6343" spans="2:3">
      <c r="B6343" s="12"/>
      <c r="C6343" s="12"/>
    </row>
    <row r="6344" spans="2:3">
      <c r="B6344" s="12"/>
      <c r="C6344" s="12"/>
    </row>
    <row r="6345" spans="2:3">
      <c r="B6345" s="12"/>
      <c r="C6345" s="12"/>
    </row>
    <row r="6346" spans="2:3">
      <c r="B6346" s="12"/>
      <c r="C6346" s="12"/>
    </row>
    <row r="6347" spans="2:3">
      <c r="B6347" s="12"/>
      <c r="C6347" s="12"/>
    </row>
    <row r="6348" spans="2:3">
      <c r="B6348" s="12"/>
      <c r="C6348" s="12"/>
    </row>
    <row r="6349" spans="2:3">
      <c r="B6349" s="12"/>
      <c r="C6349" s="12"/>
    </row>
    <row r="6350" spans="2:3">
      <c r="B6350" s="12"/>
      <c r="C6350" s="12"/>
    </row>
    <row r="6351" spans="2:3">
      <c r="B6351" s="12"/>
      <c r="C6351" s="12"/>
    </row>
    <row r="6352" spans="2:3">
      <c r="B6352" s="12"/>
      <c r="C6352" s="12"/>
    </row>
    <row r="6353" spans="2:3">
      <c r="B6353" s="12"/>
      <c r="C6353" s="12"/>
    </row>
    <row r="6354" spans="2:3">
      <c r="B6354" s="12"/>
      <c r="C6354" s="12"/>
    </row>
    <row r="6355" spans="2:3">
      <c r="B6355" s="12"/>
      <c r="C6355" s="12"/>
    </row>
    <row r="6356" spans="2:3">
      <c r="B6356" s="12"/>
      <c r="C6356" s="12"/>
    </row>
    <row r="6357" spans="2:3">
      <c r="B6357" s="12"/>
      <c r="C6357" s="12"/>
    </row>
    <row r="6358" spans="2:3">
      <c r="B6358" s="12"/>
      <c r="C6358" s="12"/>
    </row>
    <row r="6359" spans="2:3">
      <c r="B6359" s="12"/>
      <c r="C6359" s="12"/>
    </row>
    <row r="6360" spans="2:3">
      <c r="B6360" s="12"/>
      <c r="C6360" s="12"/>
    </row>
    <row r="6361" spans="2:3">
      <c r="B6361" s="12"/>
      <c r="C6361" s="12"/>
    </row>
    <row r="6362" spans="2:3">
      <c r="B6362" s="12"/>
      <c r="C6362" s="12"/>
    </row>
    <row r="6363" spans="2:3">
      <c r="B6363" s="12"/>
      <c r="C6363" s="12"/>
    </row>
    <row r="6364" spans="2:3">
      <c r="B6364" s="12"/>
      <c r="C6364" s="12"/>
    </row>
    <row r="6365" spans="2:3">
      <c r="B6365" s="12"/>
      <c r="C6365" s="12"/>
    </row>
    <row r="6366" spans="2:3">
      <c r="B6366" s="12"/>
      <c r="C6366" s="12"/>
    </row>
    <row r="6367" spans="2:3">
      <c r="B6367" s="12"/>
      <c r="C6367" s="12"/>
    </row>
    <row r="6368" spans="2:3">
      <c r="B6368" s="12"/>
      <c r="C6368" s="12"/>
    </row>
    <row r="6369" spans="2:3">
      <c r="B6369" s="12"/>
      <c r="C6369" s="12"/>
    </row>
    <row r="6370" spans="2:3">
      <c r="B6370" s="12"/>
      <c r="C6370" s="12"/>
    </row>
    <row r="6371" spans="2:3">
      <c r="B6371" s="12"/>
      <c r="C6371" s="12"/>
    </row>
    <row r="6372" spans="2:3">
      <c r="B6372" s="12"/>
      <c r="C6372" s="12"/>
    </row>
    <row r="6373" spans="2:3">
      <c r="B6373" s="12"/>
      <c r="C6373" s="12"/>
    </row>
    <row r="6374" spans="2:3">
      <c r="B6374" s="12"/>
      <c r="C6374" s="12"/>
    </row>
    <row r="6375" spans="2:3">
      <c r="B6375" s="12"/>
      <c r="C6375" s="12"/>
    </row>
    <row r="6376" spans="2:3">
      <c r="B6376" s="12"/>
      <c r="C6376" s="12"/>
    </row>
    <row r="6377" spans="2:3">
      <c r="B6377" s="12"/>
      <c r="C6377" s="12"/>
    </row>
    <row r="6378" spans="2:3">
      <c r="B6378" s="12"/>
      <c r="C6378" s="12"/>
    </row>
    <row r="6379" spans="2:3">
      <c r="B6379" s="12"/>
      <c r="C6379" s="12"/>
    </row>
    <row r="6380" spans="2:3">
      <c r="B6380" s="12"/>
      <c r="C6380" s="12"/>
    </row>
    <row r="6381" spans="2:3">
      <c r="B6381" s="12"/>
      <c r="C6381" s="12"/>
    </row>
    <row r="6382" spans="2:3">
      <c r="B6382" s="12"/>
      <c r="C6382" s="12"/>
    </row>
    <row r="6383" spans="2:3">
      <c r="B6383" s="12"/>
      <c r="C6383" s="12"/>
    </row>
    <row r="6384" spans="2:3">
      <c r="B6384" s="12"/>
      <c r="C6384" s="12"/>
    </row>
    <row r="6385" spans="2:3">
      <c r="B6385" s="12"/>
      <c r="C6385" s="12"/>
    </row>
    <row r="6386" spans="2:3">
      <c r="B6386" s="12"/>
      <c r="C6386" s="12"/>
    </row>
    <row r="6387" spans="2:3">
      <c r="B6387" s="12"/>
      <c r="C6387" s="12"/>
    </row>
    <row r="6388" spans="2:3">
      <c r="B6388" s="12"/>
      <c r="C6388" s="12"/>
    </row>
    <row r="6389" spans="2:3">
      <c r="B6389" s="12"/>
      <c r="C6389" s="12"/>
    </row>
    <row r="6390" spans="2:3">
      <c r="B6390" s="12"/>
      <c r="C6390" s="12"/>
    </row>
    <row r="6391" spans="2:3">
      <c r="B6391" s="12"/>
      <c r="C6391" s="12"/>
    </row>
    <row r="6392" spans="2:3">
      <c r="B6392" s="12"/>
      <c r="C6392" s="12"/>
    </row>
    <row r="6393" spans="2:3">
      <c r="B6393" s="12"/>
      <c r="C6393" s="12"/>
    </row>
    <row r="6394" spans="2:3">
      <c r="B6394" s="12"/>
      <c r="C6394" s="12"/>
    </row>
    <row r="6395" spans="2:3">
      <c r="B6395" s="12"/>
      <c r="C6395" s="12"/>
    </row>
    <row r="6396" spans="2:3">
      <c r="B6396" s="12"/>
      <c r="C6396" s="12"/>
    </row>
    <row r="6397" spans="2:3">
      <c r="B6397" s="12"/>
      <c r="C6397" s="12"/>
    </row>
    <row r="6398" spans="2:3">
      <c r="B6398" s="12"/>
      <c r="C6398" s="12"/>
    </row>
    <row r="6399" spans="2:3">
      <c r="B6399" s="12"/>
      <c r="C6399" s="12"/>
    </row>
    <row r="6400" spans="2:3">
      <c r="B6400" s="12"/>
      <c r="C6400" s="12"/>
    </row>
    <row r="6401" spans="2:3">
      <c r="B6401" s="12"/>
      <c r="C6401" s="12"/>
    </row>
    <row r="6402" spans="2:3">
      <c r="B6402" s="12"/>
      <c r="C6402" s="12"/>
    </row>
    <row r="6403" spans="2:3">
      <c r="B6403" s="12"/>
      <c r="C6403" s="12"/>
    </row>
    <row r="6404" spans="2:3">
      <c r="B6404" s="12"/>
      <c r="C6404" s="12"/>
    </row>
    <row r="6405" spans="2:3">
      <c r="B6405" s="12"/>
      <c r="C6405" s="12"/>
    </row>
    <row r="6406" spans="2:3">
      <c r="B6406" s="12"/>
      <c r="C6406" s="12"/>
    </row>
    <row r="6407" spans="2:3">
      <c r="B6407" s="12"/>
      <c r="C6407" s="12"/>
    </row>
    <row r="6408" spans="2:3">
      <c r="B6408" s="12"/>
      <c r="C6408" s="12"/>
    </row>
    <row r="6409" spans="2:3">
      <c r="B6409" s="12"/>
      <c r="C6409" s="12"/>
    </row>
    <row r="6410" spans="2:3">
      <c r="B6410" s="12"/>
      <c r="C6410" s="12"/>
    </row>
    <row r="6411" spans="2:3">
      <c r="B6411" s="12"/>
      <c r="C6411" s="12"/>
    </row>
    <row r="6412" spans="2:3">
      <c r="B6412" s="12"/>
      <c r="C6412" s="12"/>
    </row>
    <row r="6413" spans="2:3">
      <c r="B6413" s="12"/>
      <c r="C6413" s="12"/>
    </row>
    <row r="6414" spans="2:3">
      <c r="B6414" s="12"/>
      <c r="C6414" s="12"/>
    </row>
    <row r="6415" spans="2:3">
      <c r="B6415" s="12"/>
      <c r="C6415" s="12"/>
    </row>
    <row r="6416" spans="2:3">
      <c r="B6416" s="12"/>
      <c r="C6416" s="12"/>
    </row>
    <row r="6417" spans="2:3">
      <c r="B6417" s="12"/>
      <c r="C6417" s="12"/>
    </row>
    <row r="6418" spans="2:3">
      <c r="B6418" s="12"/>
      <c r="C6418" s="12"/>
    </row>
    <row r="6419" spans="2:3">
      <c r="B6419" s="12"/>
      <c r="C6419" s="12"/>
    </row>
    <row r="6420" spans="2:3">
      <c r="B6420" s="12"/>
      <c r="C6420" s="12"/>
    </row>
    <row r="6421" spans="2:3">
      <c r="B6421" s="12"/>
      <c r="C6421" s="12"/>
    </row>
    <row r="6422" spans="2:3">
      <c r="B6422" s="12"/>
      <c r="C6422" s="12"/>
    </row>
    <row r="6423" spans="2:3">
      <c r="B6423" s="12"/>
      <c r="C6423" s="12"/>
    </row>
    <row r="6424" spans="2:3">
      <c r="B6424" s="12"/>
      <c r="C6424" s="12"/>
    </row>
    <row r="6425" spans="2:3">
      <c r="B6425" s="12"/>
      <c r="C6425" s="12"/>
    </row>
    <row r="6426" spans="2:3">
      <c r="B6426" s="12"/>
      <c r="C6426" s="12"/>
    </row>
    <row r="6427" spans="2:3">
      <c r="B6427" s="12"/>
      <c r="C6427" s="12"/>
    </row>
    <row r="6428" spans="2:3">
      <c r="B6428" s="12"/>
      <c r="C6428" s="12"/>
    </row>
    <row r="6429" spans="2:3">
      <c r="B6429" s="12"/>
      <c r="C6429" s="12"/>
    </row>
    <row r="6430" spans="2:3">
      <c r="B6430" s="12"/>
      <c r="C6430" s="12"/>
    </row>
    <row r="6431" spans="2:3">
      <c r="B6431" s="12"/>
      <c r="C6431" s="12"/>
    </row>
    <row r="6432" spans="2:3">
      <c r="B6432" s="12"/>
      <c r="C6432" s="12"/>
    </row>
    <row r="6433" spans="2:3">
      <c r="B6433" s="12"/>
      <c r="C6433" s="12"/>
    </row>
    <row r="6434" spans="2:3">
      <c r="B6434" s="12"/>
      <c r="C6434" s="12"/>
    </row>
    <row r="6435" spans="2:3">
      <c r="B6435" s="12"/>
      <c r="C6435" s="12"/>
    </row>
    <row r="6436" spans="2:3">
      <c r="B6436" s="12"/>
      <c r="C6436" s="12"/>
    </row>
    <row r="6437" spans="2:3">
      <c r="B6437" s="12"/>
      <c r="C6437" s="12"/>
    </row>
    <row r="6438" spans="2:3">
      <c r="B6438" s="12"/>
      <c r="C6438" s="12"/>
    </row>
    <row r="6439" spans="2:3">
      <c r="B6439" s="12"/>
      <c r="C6439" s="12"/>
    </row>
    <row r="6440" spans="2:3">
      <c r="B6440" s="12"/>
      <c r="C6440" s="12"/>
    </row>
    <row r="6441" spans="2:3">
      <c r="B6441" s="12"/>
      <c r="C6441" s="12"/>
    </row>
    <row r="6442" spans="2:3">
      <c r="B6442" s="12"/>
      <c r="C6442" s="12"/>
    </row>
    <row r="6443" spans="2:3">
      <c r="B6443" s="12"/>
      <c r="C6443" s="12"/>
    </row>
    <row r="6444" spans="2:3">
      <c r="B6444" s="12"/>
      <c r="C6444" s="12"/>
    </row>
    <row r="6445" spans="2:3">
      <c r="B6445" s="12"/>
      <c r="C6445" s="12"/>
    </row>
    <row r="6446" spans="2:3">
      <c r="B6446" s="12"/>
      <c r="C6446" s="12"/>
    </row>
    <row r="6447" spans="2:3">
      <c r="B6447" s="12"/>
      <c r="C6447" s="12"/>
    </row>
    <row r="6448" spans="2:3">
      <c r="B6448" s="12"/>
      <c r="C6448" s="12"/>
    </row>
    <row r="6449" spans="2:3">
      <c r="B6449" s="12"/>
      <c r="C6449" s="12"/>
    </row>
    <row r="6450" spans="2:3">
      <c r="B6450" s="12"/>
      <c r="C6450" s="12"/>
    </row>
    <row r="6451" spans="2:3">
      <c r="B6451" s="12"/>
      <c r="C6451" s="12"/>
    </row>
    <row r="6452" spans="2:3">
      <c r="B6452" s="12"/>
      <c r="C6452" s="12"/>
    </row>
    <row r="6453" spans="2:3">
      <c r="B6453" s="12"/>
      <c r="C6453" s="12"/>
    </row>
    <row r="6454" spans="2:3">
      <c r="B6454" s="12"/>
      <c r="C6454" s="12"/>
    </row>
    <row r="6455" spans="2:3">
      <c r="B6455" s="12"/>
      <c r="C6455" s="12"/>
    </row>
    <row r="6456" spans="2:3">
      <c r="B6456" s="12"/>
      <c r="C6456" s="12"/>
    </row>
    <row r="6457" spans="2:3">
      <c r="B6457" s="12"/>
      <c r="C6457" s="12"/>
    </row>
    <row r="6458" spans="2:3">
      <c r="B6458" s="12"/>
      <c r="C6458" s="12"/>
    </row>
    <row r="6459" spans="2:3">
      <c r="B6459" s="12"/>
      <c r="C6459" s="12"/>
    </row>
    <row r="6460" spans="2:3">
      <c r="B6460" s="12"/>
      <c r="C6460" s="12"/>
    </row>
    <row r="6461" spans="2:3">
      <c r="B6461" s="12"/>
      <c r="C6461" s="12"/>
    </row>
    <row r="6462" spans="2:3">
      <c r="B6462" s="12"/>
      <c r="C6462" s="12"/>
    </row>
    <row r="6463" spans="2:3">
      <c r="B6463" s="12"/>
      <c r="C6463" s="12"/>
    </row>
    <row r="6464" spans="2:3">
      <c r="B6464" s="12"/>
      <c r="C6464" s="12"/>
    </row>
    <row r="6465" spans="2:3">
      <c r="B6465" s="12"/>
      <c r="C6465" s="12"/>
    </row>
    <row r="6466" spans="2:3">
      <c r="B6466" s="12"/>
      <c r="C6466" s="12"/>
    </row>
    <row r="6467" spans="2:3">
      <c r="B6467" s="12"/>
      <c r="C6467" s="12"/>
    </row>
    <row r="6468" spans="2:3">
      <c r="B6468" s="12"/>
      <c r="C6468" s="12"/>
    </row>
    <row r="6469" spans="2:3">
      <c r="B6469" s="12"/>
      <c r="C6469" s="12"/>
    </row>
    <row r="6470" spans="2:3">
      <c r="B6470" s="12"/>
      <c r="C6470" s="12"/>
    </row>
    <row r="6471" spans="2:3">
      <c r="B6471" s="12"/>
      <c r="C6471" s="12"/>
    </row>
    <row r="6472" spans="2:3">
      <c r="B6472" s="12"/>
      <c r="C6472" s="12"/>
    </row>
    <row r="6473" spans="2:3">
      <c r="B6473" s="12"/>
      <c r="C6473" s="12"/>
    </row>
    <row r="6474" spans="2:3">
      <c r="B6474" s="12"/>
      <c r="C6474" s="12"/>
    </row>
    <row r="6475" spans="2:3">
      <c r="B6475" s="12"/>
      <c r="C6475" s="12"/>
    </row>
    <row r="6476" spans="2:3">
      <c r="B6476" s="12"/>
      <c r="C6476" s="12"/>
    </row>
    <row r="6477" spans="2:3">
      <c r="B6477" s="12"/>
      <c r="C6477" s="12"/>
    </row>
    <row r="6478" spans="2:3">
      <c r="B6478" s="12"/>
      <c r="C6478" s="12"/>
    </row>
    <row r="6479" spans="2:3">
      <c r="B6479" s="12"/>
      <c r="C6479" s="12"/>
    </row>
    <row r="6480" spans="2:3">
      <c r="B6480" s="12"/>
      <c r="C6480" s="12"/>
    </row>
    <row r="6481" spans="2:3">
      <c r="B6481" s="12"/>
      <c r="C6481" s="12"/>
    </row>
    <row r="6482" spans="2:3">
      <c r="B6482" s="12"/>
      <c r="C6482" s="12"/>
    </row>
    <row r="6483" spans="2:3">
      <c r="B6483" s="12"/>
      <c r="C6483" s="12"/>
    </row>
    <row r="6484" spans="2:3">
      <c r="B6484" s="12"/>
      <c r="C6484" s="12"/>
    </row>
    <row r="6485" spans="2:3">
      <c r="B6485" s="12"/>
      <c r="C6485" s="12"/>
    </row>
    <row r="6486" spans="2:3">
      <c r="B6486" s="12"/>
      <c r="C6486" s="12"/>
    </row>
    <row r="6487" spans="2:3">
      <c r="B6487" s="12"/>
      <c r="C6487" s="12"/>
    </row>
    <row r="6488" spans="2:3">
      <c r="B6488" s="12"/>
      <c r="C6488" s="12"/>
    </row>
    <row r="6489" spans="2:3">
      <c r="B6489" s="12"/>
      <c r="C6489" s="12"/>
    </row>
    <row r="6490" spans="2:3">
      <c r="B6490" s="12"/>
      <c r="C6490" s="12"/>
    </row>
    <row r="6491" spans="2:3">
      <c r="B6491" s="12"/>
      <c r="C6491" s="12"/>
    </row>
    <row r="6492" spans="2:3">
      <c r="B6492" s="12"/>
      <c r="C6492" s="12"/>
    </row>
    <row r="6493" spans="2:3">
      <c r="B6493" s="12"/>
      <c r="C6493" s="12"/>
    </row>
    <row r="6494" spans="2:3">
      <c r="B6494" s="12"/>
      <c r="C6494" s="12"/>
    </row>
    <row r="6495" spans="2:3">
      <c r="B6495" s="12"/>
      <c r="C6495" s="12"/>
    </row>
    <row r="6496" spans="2:3">
      <c r="B6496" s="12"/>
      <c r="C6496" s="12"/>
    </row>
    <row r="6497" spans="2:3">
      <c r="B6497" s="12"/>
      <c r="C6497" s="12"/>
    </row>
    <row r="6498" spans="2:3">
      <c r="B6498" s="12"/>
      <c r="C6498" s="12"/>
    </row>
    <row r="6499" spans="2:3">
      <c r="B6499" s="12"/>
      <c r="C6499" s="12"/>
    </row>
    <row r="6500" spans="2:3">
      <c r="B6500" s="12"/>
      <c r="C6500" s="12"/>
    </row>
    <row r="6501" spans="2:3">
      <c r="B6501" s="12"/>
      <c r="C6501" s="12"/>
    </row>
    <row r="6502" spans="2:3">
      <c r="B6502" s="12"/>
      <c r="C6502" s="12"/>
    </row>
    <row r="6503" spans="2:3">
      <c r="B6503" s="12"/>
      <c r="C6503" s="12"/>
    </row>
    <row r="6504" spans="2:3">
      <c r="B6504" s="12"/>
      <c r="C6504" s="12"/>
    </row>
    <row r="6505" spans="2:3">
      <c r="B6505" s="12"/>
      <c r="C6505" s="12"/>
    </row>
    <row r="6506" spans="2:3">
      <c r="B6506" s="12"/>
      <c r="C6506" s="12"/>
    </row>
    <row r="6507" spans="2:3">
      <c r="B6507" s="12"/>
      <c r="C6507" s="12"/>
    </row>
    <row r="6508" spans="2:3">
      <c r="B6508" s="12"/>
      <c r="C6508" s="12"/>
    </row>
    <row r="6509" spans="2:3">
      <c r="B6509" s="12"/>
      <c r="C6509" s="12"/>
    </row>
    <row r="6510" spans="2:3">
      <c r="B6510" s="12"/>
      <c r="C6510" s="12"/>
    </row>
    <row r="6511" spans="2:3">
      <c r="B6511" s="12"/>
      <c r="C6511" s="12"/>
    </row>
    <row r="6512" spans="2:3">
      <c r="B6512" s="12"/>
      <c r="C6512" s="12"/>
    </row>
    <row r="6513" spans="2:3">
      <c r="B6513" s="12"/>
      <c r="C6513" s="12"/>
    </row>
    <row r="6514" spans="2:3">
      <c r="B6514" s="12"/>
      <c r="C6514" s="12"/>
    </row>
    <row r="6515" spans="2:3">
      <c r="B6515" s="12"/>
      <c r="C6515" s="12"/>
    </row>
    <row r="6516" spans="2:3">
      <c r="B6516" s="12"/>
      <c r="C6516" s="12"/>
    </row>
    <row r="6517" spans="2:3">
      <c r="B6517" s="12"/>
      <c r="C6517" s="12"/>
    </row>
    <row r="6518" spans="2:3">
      <c r="B6518" s="12"/>
      <c r="C6518" s="12"/>
    </row>
    <row r="6519" spans="2:3">
      <c r="B6519" s="12"/>
      <c r="C6519" s="12"/>
    </row>
    <row r="6520" spans="2:3">
      <c r="B6520" s="12"/>
      <c r="C6520" s="12"/>
    </row>
    <row r="6521" spans="2:3">
      <c r="B6521" s="12"/>
      <c r="C6521" s="12"/>
    </row>
    <row r="6522" spans="2:3">
      <c r="B6522" s="12"/>
      <c r="C6522" s="12"/>
    </row>
    <row r="6523" spans="2:3">
      <c r="B6523" s="12"/>
      <c r="C6523" s="12"/>
    </row>
    <row r="6524" spans="2:3">
      <c r="B6524" s="12"/>
      <c r="C6524" s="12"/>
    </row>
    <row r="6525" spans="2:3">
      <c r="B6525" s="12"/>
      <c r="C6525" s="12"/>
    </row>
    <row r="6526" spans="2:3">
      <c r="B6526" s="12"/>
      <c r="C6526" s="12"/>
    </row>
    <row r="6527" spans="2:3">
      <c r="B6527" s="12"/>
      <c r="C6527" s="12"/>
    </row>
    <row r="6528" spans="2:3">
      <c r="B6528" s="12"/>
      <c r="C6528" s="12"/>
    </row>
    <row r="6529" spans="2:3">
      <c r="B6529" s="12"/>
      <c r="C6529" s="12"/>
    </row>
    <row r="6530" spans="2:3">
      <c r="B6530" s="12"/>
      <c r="C6530" s="12"/>
    </row>
    <row r="6531" spans="2:3">
      <c r="B6531" s="12"/>
      <c r="C6531" s="12"/>
    </row>
    <row r="6532" spans="2:3">
      <c r="B6532" s="12"/>
      <c r="C6532" s="12"/>
    </row>
    <row r="6533" spans="2:3">
      <c r="B6533" s="12"/>
      <c r="C6533" s="12"/>
    </row>
    <row r="6534" spans="2:3">
      <c r="B6534" s="12"/>
      <c r="C6534" s="12"/>
    </row>
    <row r="6535" spans="2:3">
      <c r="B6535" s="12"/>
      <c r="C6535" s="12"/>
    </row>
    <row r="6536" spans="2:3">
      <c r="B6536" s="12"/>
      <c r="C6536" s="12"/>
    </row>
    <row r="6537" spans="2:3">
      <c r="B6537" s="12"/>
      <c r="C6537" s="12"/>
    </row>
    <row r="6538" spans="2:3">
      <c r="B6538" s="12"/>
      <c r="C6538" s="12"/>
    </row>
    <row r="6539" spans="2:3">
      <c r="B6539" s="12"/>
      <c r="C6539" s="12"/>
    </row>
    <row r="6540" spans="2:3">
      <c r="B6540" s="12"/>
      <c r="C6540" s="12"/>
    </row>
    <row r="6541" spans="2:3">
      <c r="B6541" s="12"/>
      <c r="C6541" s="12"/>
    </row>
    <row r="6542" spans="2:3">
      <c r="B6542" s="12"/>
      <c r="C6542" s="12"/>
    </row>
    <row r="6543" spans="2:3">
      <c r="B6543" s="12"/>
      <c r="C6543" s="12"/>
    </row>
    <row r="6544" spans="2:3">
      <c r="B6544" s="12"/>
      <c r="C6544" s="12"/>
    </row>
    <row r="6545" spans="2:3">
      <c r="B6545" s="12"/>
      <c r="C6545" s="12"/>
    </row>
    <row r="6546" spans="2:3">
      <c r="B6546" s="12"/>
      <c r="C6546" s="12"/>
    </row>
    <row r="6547" spans="2:3">
      <c r="B6547" s="12"/>
      <c r="C6547" s="12"/>
    </row>
    <row r="6548" spans="2:3">
      <c r="B6548" s="12"/>
      <c r="C6548" s="12"/>
    </row>
    <row r="6549" spans="2:3">
      <c r="B6549" s="12"/>
      <c r="C6549" s="12"/>
    </row>
    <row r="6550" spans="2:3">
      <c r="B6550" s="12"/>
      <c r="C6550" s="12"/>
    </row>
    <row r="6551" spans="2:3">
      <c r="B6551" s="12"/>
      <c r="C6551" s="12"/>
    </row>
    <row r="6552" spans="2:3">
      <c r="B6552" s="12"/>
      <c r="C6552" s="12"/>
    </row>
    <row r="6553" spans="2:3">
      <c r="B6553" s="12"/>
      <c r="C6553" s="12"/>
    </row>
    <row r="6554" spans="2:3">
      <c r="B6554" s="12"/>
      <c r="C6554" s="12"/>
    </row>
    <row r="6555" spans="2:3">
      <c r="B6555" s="12"/>
      <c r="C6555" s="12"/>
    </row>
    <row r="6556" spans="2:3">
      <c r="B6556" s="12"/>
      <c r="C6556" s="12"/>
    </row>
    <row r="6557" spans="2:3">
      <c r="B6557" s="12"/>
      <c r="C6557" s="12"/>
    </row>
    <row r="6558" spans="2:3">
      <c r="B6558" s="12"/>
      <c r="C6558" s="12"/>
    </row>
    <row r="6559" spans="2:3">
      <c r="B6559" s="12"/>
      <c r="C6559" s="12"/>
    </row>
    <row r="6560" spans="2:3">
      <c r="B6560" s="12"/>
      <c r="C6560" s="12"/>
    </row>
    <row r="6561" spans="2:3">
      <c r="B6561" s="12"/>
      <c r="C6561" s="12"/>
    </row>
    <row r="6562" spans="2:3">
      <c r="B6562" s="12"/>
      <c r="C6562" s="12"/>
    </row>
    <row r="6563" spans="2:3">
      <c r="B6563" s="12"/>
      <c r="C6563" s="12"/>
    </row>
    <row r="6564" spans="2:3">
      <c r="B6564" s="12"/>
      <c r="C6564" s="12"/>
    </row>
    <row r="6565" spans="2:3">
      <c r="B6565" s="12"/>
      <c r="C6565" s="12"/>
    </row>
    <row r="6566" spans="2:3">
      <c r="B6566" s="12"/>
      <c r="C6566" s="12"/>
    </row>
    <row r="6567" spans="2:3">
      <c r="B6567" s="12"/>
      <c r="C6567" s="12"/>
    </row>
    <row r="6568" spans="2:3">
      <c r="B6568" s="12"/>
      <c r="C6568" s="12"/>
    </row>
    <row r="6569" spans="2:3">
      <c r="B6569" s="12"/>
      <c r="C6569" s="12"/>
    </row>
    <row r="6570" spans="2:3">
      <c r="B6570" s="12"/>
      <c r="C6570" s="12"/>
    </row>
    <row r="6571" spans="2:3">
      <c r="B6571" s="12"/>
      <c r="C6571" s="12"/>
    </row>
    <row r="6572" spans="2:3">
      <c r="B6572" s="12"/>
      <c r="C6572" s="12"/>
    </row>
    <row r="6573" spans="2:3">
      <c r="B6573" s="12"/>
      <c r="C6573" s="12"/>
    </row>
    <row r="6574" spans="2:3">
      <c r="B6574" s="12"/>
      <c r="C6574" s="12"/>
    </row>
    <row r="6575" spans="2:3">
      <c r="B6575" s="12"/>
      <c r="C6575" s="12"/>
    </row>
    <row r="6576" spans="2:3">
      <c r="B6576" s="12"/>
      <c r="C6576" s="12"/>
    </row>
    <row r="6577" spans="2:3">
      <c r="B6577" s="12"/>
      <c r="C6577" s="12"/>
    </row>
    <row r="6578" spans="2:3">
      <c r="B6578" s="12"/>
      <c r="C6578" s="12"/>
    </row>
    <row r="6579" spans="2:3">
      <c r="B6579" s="12"/>
      <c r="C6579" s="12"/>
    </row>
    <row r="6580" spans="2:3">
      <c r="B6580" s="12"/>
      <c r="C6580" s="12"/>
    </row>
    <row r="6581" spans="2:3">
      <c r="B6581" s="12"/>
      <c r="C6581" s="12"/>
    </row>
    <row r="6582" spans="2:3">
      <c r="B6582" s="12"/>
      <c r="C6582" s="12"/>
    </row>
    <row r="6583" spans="2:3">
      <c r="B6583" s="12"/>
      <c r="C6583" s="12"/>
    </row>
    <row r="6584" spans="2:3">
      <c r="B6584" s="12"/>
      <c r="C6584" s="12"/>
    </row>
    <row r="6585" spans="2:3">
      <c r="B6585" s="12"/>
      <c r="C6585" s="12"/>
    </row>
    <row r="6586" spans="2:3">
      <c r="B6586" s="12"/>
      <c r="C6586" s="12"/>
    </row>
    <row r="6587" spans="2:3">
      <c r="B6587" s="12"/>
      <c r="C6587" s="12"/>
    </row>
    <row r="6588" spans="2:3">
      <c r="B6588" s="12"/>
      <c r="C6588" s="12"/>
    </row>
    <row r="6589" spans="2:3">
      <c r="B6589" s="12"/>
      <c r="C6589" s="12"/>
    </row>
    <row r="6590" spans="2:3">
      <c r="B6590" s="12"/>
      <c r="C6590" s="12"/>
    </row>
    <row r="6591" spans="2:3">
      <c r="B6591" s="12"/>
      <c r="C6591" s="12"/>
    </row>
    <row r="6592" spans="2:3">
      <c r="B6592" s="12"/>
      <c r="C6592" s="12"/>
    </row>
    <row r="6593" spans="2:3">
      <c r="B6593" s="12"/>
      <c r="C6593" s="12"/>
    </row>
    <row r="6594" spans="2:3">
      <c r="B6594" s="12"/>
      <c r="C6594" s="12"/>
    </row>
    <row r="6595" spans="2:3">
      <c r="B6595" s="12"/>
      <c r="C6595" s="12"/>
    </row>
    <row r="6596" spans="2:3">
      <c r="B6596" s="12"/>
      <c r="C6596" s="12"/>
    </row>
    <row r="6597" spans="2:3">
      <c r="B6597" s="12"/>
      <c r="C6597" s="12"/>
    </row>
    <row r="6598" spans="2:3">
      <c r="B6598" s="12"/>
      <c r="C6598" s="12"/>
    </row>
    <row r="6599" spans="2:3">
      <c r="B6599" s="12"/>
      <c r="C6599" s="12"/>
    </row>
    <row r="6600" spans="2:3">
      <c r="B6600" s="12"/>
      <c r="C6600" s="12"/>
    </row>
    <row r="6601" spans="2:3">
      <c r="B6601" s="12"/>
      <c r="C6601" s="12"/>
    </row>
    <row r="6602" spans="2:3">
      <c r="B6602" s="12"/>
      <c r="C6602" s="12"/>
    </row>
    <row r="6603" spans="2:3">
      <c r="B6603" s="12"/>
      <c r="C6603" s="12"/>
    </row>
    <row r="6604" spans="2:3">
      <c r="B6604" s="12"/>
      <c r="C6604" s="12"/>
    </row>
    <row r="6605" spans="2:3">
      <c r="B6605" s="12"/>
      <c r="C6605" s="12"/>
    </row>
    <row r="6606" spans="2:3">
      <c r="B6606" s="12"/>
      <c r="C6606" s="12"/>
    </row>
    <row r="6607" spans="2:3">
      <c r="B6607" s="12"/>
      <c r="C6607" s="12"/>
    </row>
    <row r="6608" spans="2:3">
      <c r="B6608" s="12"/>
      <c r="C6608" s="12"/>
    </row>
    <row r="6609" spans="2:3">
      <c r="B6609" s="12"/>
      <c r="C6609" s="12"/>
    </row>
    <row r="6610" spans="2:3">
      <c r="B6610" s="12"/>
      <c r="C6610" s="12"/>
    </row>
    <row r="6611" spans="2:3">
      <c r="B6611" s="12"/>
      <c r="C6611" s="12"/>
    </row>
    <row r="6612" spans="2:3">
      <c r="B6612" s="12"/>
      <c r="C6612" s="12"/>
    </row>
    <row r="6613" spans="2:3">
      <c r="B6613" s="12"/>
      <c r="C6613" s="12"/>
    </row>
    <row r="6614" spans="2:3">
      <c r="B6614" s="12"/>
      <c r="C6614" s="12"/>
    </row>
    <row r="6615" spans="2:3">
      <c r="B6615" s="12"/>
      <c r="C6615" s="12"/>
    </row>
    <row r="6616" spans="2:3">
      <c r="B6616" s="12"/>
      <c r="C6616" s="12"/>
    </row>
    <row r="6617" spans="2:3">
      <c r="B6617" s="12"/>
      <c r="C6617" s="12"/>
    </row>
    <row r="6618" spans="2:3">
      <c r="B6618" s="12"/>
      <c r="C6618" s="12"/>
    </row>
    <row r="6619" spans="2:3">
      <c r="B6619" s="12"/>
      <c r="C6619" s="12"/>
    </row>
    <row r="6620" spans="2:3">
      <c r="B6620" s="12"/>
      <c r="C6620" s="12"/>
    </row>
    <row r="6621" spans="2:3">
      <c r="B6621" s="12"/>
      <c r="C6621" s="12"/>
    </row>
    <row r="6622" spans="2:3">
      <c r="B6622" s="12"/>
      <c r="C6622" s="12"/>
    </row>
    <row r="6623" spans="2:3">
      <c r="B6623" s="12"/>
      <c r="C6623" s="12"/>
    </row>
    <row r="6624" spans="2:3">
      <c r="B6624" s="12"/>
      <c r="C6624" s="12"/>
    </row>
    <row r="6625" spans="2:3">
      <c r="B6625" s="12"/>
      <c r="C6625" s="12"/>
    </row>
    <row r="6626" spans="2:3">
      <c r="B6626" s="12"/>
      <c r="C6626" s="12"/>
    </row>
    <row r="6627" spans="2:3">
      <c r="B6627" s="12"/>
      <c r="C6627" s="12"/>
    </row>
    <row r="6628" spans="2:3">
      <c r="B6628" s="12"/>
      <c r="C6628" s="12"/>
    </row>
    <row r="6629" spans="2:3">
      <c r="B6629" s="12"/>
      <c r="C6629" s="12"/>
    </row>
    <row r="6630" spans="2:3">
      <c r="B6630" s="12"/>
      <c r="C6630" s="12"/>
    </row>
    <row r="6631" spans="2:3">
      <c r="B6631" s="12"/>
      <c r="C6631" s="12"/>
    </row>
    <row r="6632" spans="2:3">
      <c r="B6632" s="12"/>
      <c r="C6632" s="12"/>
    </row>
    <row r="6633" spans="2:3">
      <c r="B6633" s="12"/>
      <c r="C6633" s="12"/>
    </row>
    <row r="6634" spans="2:3">
      <c r="B6634" s="12"/>
      <c r="C6634" s="12"/>
    </row>
    <row r="6635" spans="2:3">
      <c r="B6635" s="12"/>
      <c r="C6635" s="12"/>
    </row>
    <row r="6636" spans="2:3">
      <c r="B6636" s="12"/>
      <c r="C6636" s="12"/>
    </row>
    <row r="6637" spans="2:3">
      <c r="B6637" s="12"/>
      <c r="C6637" s="12"/>
    </row>
    <row r="6638" spans="2:3">
      <c r="B6638" s="12"/>
      <c r="C6638" s="12"/>
    </row>
    <row r="6639" spans="2:3">
      <c r="B6639" s="12"/>
      <c r="C6639" s="12"/>
    </row>
    <row r="6640" spans="2:3">
      <c r="B6640" s="12"/>
      <c r="C6640" s="12"/>
    </row>
    <row r="6641" spans="2:3">
      <c r="B6641" s="12"/>
      <c r="C6641" s="12"/>
    </row>
    <row r="6642" spans="2:3">
      <c r="B6642" s="12"/>
      <c r="C6642" s="12"/>
    </row>
    <row r="6643" spans="2:3">
      <c r="B6643" s="12"/>
      <c r="C6643" s="12"/>
    </row>
    <row r="6644" spans="2:3">
      <c r="B6644" s="12"/>
      <c r="C6644" s="12"/>
    </row>
    <row r="6645" spans="2:3">
      <c r="B6645" s="12"/>
      <c r="C6645" s="12"/>
    </row>
    <row r="6646" spans="2:3">
      <c r="B6646" s="12"/>
      <c r="C6646" s="12"/>
    </row>
    <row r="6647" spans="2:3">
      <c r="B6647" s="12"/>
      <c r="C6647" s="12"/>
    </row>
    <row r="6648" spans="2:3">
      <c r="B6648" s="12"/>
      <c r="C6648" s="12"/>
    </row>
    <row r="6649" spans="2:3">
      <c r="B6649" s="12"/>
      <c r="C6649" s="12"/>
    </row>
    <row r="6650" spans="2:3">
      <c r="B6650" s="12"/>
      <c r="C6650" s="12"/>
    </row>
    <row r="6651" spans="2:3">
      <c r="B6651" s="12"/>
      <c r="C6651" s="12"/>
    </row>
    <row r="6652" spans="2:3">
      <c r="B6652" s="12"/>
      <c r="C6652" s="12"/>
    </row>
    <row r="6653" spans="2:3">
      <c r="B6653" s="12"/>
      <c r="C6653" s="12"/>
    </row>
    <row r="6654" spans="2:3">
      <c r="B6654" s="12"/>
      <c r="C6654" s="12"/>
    </row>
    <row r="6655" spans="2:3">
      <c r="B6655" s="12"/>
      <c r="C6655" s="12"/>
    </row>
    <row r="6656" spans="2:3">
      <c r="B6656" s="12"/>
      <c r="C6656" s="12"/>
    </row>
    <row r="6657" spans="2:3">
      <c r="B6657" s="12"/>
      <c r="C6657" s="12"/>
    </row>
    <row r="6658" spans="2:3">
      <c r="B6658" s="12"/>
      <c r="C6658" s="12"/>
    </row>
    <row r="6659" spans="2:3">
      <c r="B6659" s="12"/>
      <c r="C6659" s="12"/>
    </row>
    <row r="6660" spans="2:3">
      <c r="B6660" s="12"/>
      <c r="C6660" s="12"/>
    </row>
    <row r="6661" spans="2:3">
      <c r="B6661" s="12"/>
      <c r="C6661" s="12"/>
    </row>
    <row r="6662" spans="2:3">
      <c r="B6662" s="12"/>
      <c r="C6662" s="12"/>
    </row>
    <row r="6663" spans="2:3">
      <c r="B6663" s="12"/>
      <c r="C6663" s="12"/>
    </row>
    <row r="6664" spans="2:3">
      <c r="B6664" s="12"/>
      <c r="C6664" s="12"/>
    </row>
    <row r="6665" spans="2:3">
      <c r="B6665" s="12"/>
      <c r="C6665" s="12"/>
    </row>
    <row r="6666" spans="2:3">
      <c r="B6666" s="12"/>
      <c r="C6666" s="12"/>
    </row>
    <row r="6667" spans="2:3">
      <c r="B6667" s="12"/>
      <c r="C6667" s="12"/>
    </row>
    <row r="6668" spans="2:3">
      <c r="B6668" s="12"/>
      <c r="C6668" s="12"/>
    </row>
    <row r="6669" spans="2:3">
      <c r="B6669" s="12"/>
      <c r="C6669" s="12"/>
    </row>
    <row r="6670" spans="2:3">
      <c r="B6670" s="12"/>
      <c r="C6670" s="12"/>
    </row>
    <row r="6671" spans="2:3">
      <c r="B6671" s="12"/>
      <c r="C6671" s="12"/>
    </row>
    <row r="6672" spans="2:3">
      <c r="B6672" s="12"/>
      <c r="C6672" s="12"/>
    </row>
    <row r="6673" spans="2:3">
      <c r="B6673" s="12"/>
      <c r="C6673" s="12"/>
    </row>
    <row r="6674" spans="2:3">
      <c r="B6674" s="12"/>
      <c r="C6674" s="12"/>
    </row>
    <row r="6675" spans="2:3">
      <c r="B6675" s="12"/>
      <c r="C6675" s="12"/>
    </row>
    <row r="6676" spans="2:3">
      <c r="B6676" s="12"/>
      <c r="C6676" s="12"/>
    </row>
    <row r="6677" spans="2:3">
      <c r="B6677" s="12"/>
      <c r="C6677" s="12"/>
    </row>
    <row r="6678" spans="2:3">
      <c r="B6678" s="12"/>
      <c r="C6678" s="12"/>
    </row>
    <row r="6679" spans="2:3">
      <c r="B6679" s="12"/>
      <c r="C6679" s="12"/>
    </row>
    <row r="6680" spans="2:3">
      <c r="B6680" s="12"/>
      <c r="C6680" s="12"/>
    </row>
    <row r="6681" spans="2:3">
      <c r="B6681" s="12"/>
      <c r="C6681" s="12"/>
    </row>
    <row r="6682" spans="2:3">
      <c r="B6682" s="12"/>
      <c r="C6682" s="12"/>
    </row>
    <row r="6683" spans="2:3">
      <c r="B6683" s="12"/>
      <c r="C6683" s="12"/>
    </row>
    <row r="6684" spans="2:3">
      <c r="B6684" s="12"/>
      <c r="C6684" s="12"/>
    </row>
    <row r="6685" spans="2:3">
      <c r="B6685" s="12"/>
      <c r="C6685" s="12"/>
    </row>
    <row r="6686" spans="2:3">
      <c r="B6686" s="12"/>
      <c r="C6686" s="12"/>
    </row>
    <row r="6687" spans="2:3">
      <c r="B6687" s="12"/>
      <c r="C6687" s="12"/>
    </row>
    <row r="6688" spans="2:3">
      <c r="B6688" s="12"/>
      <c r="C6688" s="12"/>
    </row>
    <row r="6689" spans="2:3">
      <c r="B6689" s="12"/>
      <c r="C6689" s="12"/>
    </row>
    <row r="6690" spans="2:3">
      <c r="B6690" s="12"/>
      <c r="C6690" s="12"/>
    </row>
    <row r="6691" spans="2:3">
      <c r="B6691" s="12"/>
      <c r="C6691" s="12"/>
    </row>
    <row r="6692" spans="2:3">
      <c r="B6692" s="12"/>
      <c r="C6692" s="12"/>
    </row>
    <row r="6693" spans="2:3">
      <c r="B6693" s="12"/>
      <c r="C6693" s="12"/>
    </row>
    <row r="6694" spans="2:3">
      <c r="B6694" s="12"/>
      <c r="C6694" s="12"/>
    </row>
    <row r="6695" spans="2:3">
      <c r="B6695" s="12"/>
      <c r="C6695" s="12"/>
    </row>
    <row r="6696" spans="2:3">
      <c r="B6696" s="12"/>
      <c r="C6696" s="12"/>
    </row>
    <row r="6697" spans="2:3">
      <c r="B6697" s="12"/>
      <c r="C6697" s="12"/>
    </row>
    <row r="6698" spans="2:3">
      <c r="B6698" s="12"/>
      <c r="C6698" s="12"/>
    </row>
    <row r="6699" spans="2:3">
      <c r="B6699" s="12"/>
      <c r="C6699" s="12"/>
    </row>
    <row r="6700" spans="2:3">
      <c r="B6700" s="12"/>
      <c r="C6700" s="12"/>
    </row>
    <row r="6701" spans="2:3">
      <c r="B6701" s="12"/>
      <c r="C6701" s="12"/>
    </row>
    <row r="6702" spans="2:3">
      <c r="B6702" s="12"/>
      <c r="C6702" s="12"/>
    </row>
    <row r="6703" spans="2:3">
      <c r="B6703" s="12"/>
      <c r="C6703" s="12"/>
    </row>
    <row r="6704" spans="2:3">
      <c r="B6704" s="12"/>
      <c r="C6704" s="12"/>
    </row>
    <row r="6705" spans="2:3">
      <c r="B6705" s="12"/>
      <c r="C6705" s="12"/>
    </row>
    <row r="6706" spans="2:3">
      <c r="B6706" s="12"/>
      <c r="C6706" s="12"/>
    </row>
    <row r="6707" spans="2:3">
      <c r="B6707" s="12"/>
      <c r="C6707" s="12"/>
    </row>
    <row r="6708" spans="2:3">
      <c r="B6708" s="12"/>
      <c r="C6708" s="12"/>
    </row>
    <row r="6709" spans="2:3">
      <c r="B6709" s="12"/>
      <c r="C6709" s="12"/>
    </row>
    <row r="6710" spans="2:3">
      <c r="B6710" s="12"/>
      <c r="C6710" s="12"/>
    </row>
    <row r="6711" spans="2:3">
      <c r="B6711" s="12"/>
      <c r="C6711" s="12"/>
    </row>
    <row r="6712" spans="2:3">
      <c r="B6712" s="12"/>
      <c r="C6712" s="12"/>
    </row>
    <row r="6713" spans="2:3">
      <c r="B6713" s="12"/>
      <c r="C6713" s="12"/>
    </row>
    <row r="6714" spans="2:3">
      <c r="B6714" s="12"/>
      <c r="C6714" s="12"/>
    </row>
    <row r="6715" spans="2:3">
      <c r="B6715" s="12"/>
      <c r="C6715" s="12"/>
    </row>
    <row r="6716" spans="2:3">
      <c r="B6716" s="12"/>
      <c r="C6716" s="12"/>
    </row>
    <row r="6717" spans="2:3">
      <c r="B6717" s="12"/>
      <c r="C6717" s="12"/>
    </row>
    <row r="6718" spans="2:3">
      <c r="B6718" s="12"/>
      <c r="C6718" s="12"/>
    </row>
    <row r="6719" spans="2:3">
      <c r="B6719" s="12"/>
      <c r="C6719" s="12"/>
    </row>
    <row r="6720" spans="2:3">
      <c r="B6720" s="12"/>
      <c r="C6720" s="12"/>
    </row>
    <row r="6721" spans="2:3">
      <c r="B6721" s="12"/>
      <c r="C6721" s="12"/>
    </row>
    <row r="6722" spans="2:3">
      <c r="B6722" s="12"/>
      <c r="C6722" s="12"/>
    </row>
    <row r="6723" spans="2:3">
      <c r="B6723" s="12"/>
      <c r="C6723" s="12"/>
    </row>
    <row r="6724" spans="2:3">
      <c r="B6724" s="12"/>
      <c r="C6724" s="12"/>
    </row>
    <row r="6725" spans="2:3">
      <c r="B6725" s="12"/>
      <c r="C6725" s="12"/>
    </row>
    <row r="6726" spans="2:3">
      <c r="B6726" s="12"/>
      <c r="C6726" s="12"/>
    </row>
    <row r="6727" spans="2:3">
      <c r="B6727" s="12"/>
      <c r="C6727" s="12"/>
    </row>
    <row r="6728" spans="2:3">
      <c r="B6728" s="12"/>
      <c r="C6728" s="12"/>
    </row>
    <row r="6729" spans="2:3">
      <c r="B6729" s="12"/>
      <c r="C6729" s="12"/>
    </row>
    <row r="6730" spans="2:3">
      <c r="B6730" s="12"/>
      <c r="C6730" s="12"/>
    </row>
    <row r="6731" spans="2:3">
      <c r="B6731" s="12"/>
      <c r="C6731" s="12"/>
    </row>
    <row r="6732" spans="2:3">
      <c r="B6732" s="12"/>
      <c r="C6732" s="12"/>
    </row>
    <row r="6733" spans="2:3">
      <c r="B6733" s="12"/>
      <c r="C6733" s="12"/>
    </row>
    <row r="6734" spans="2:3">
      <c r="B6734" s="12"/>
      <c r="C6734" s="12"/>
    </row>
    <row r="6735" spans="2:3">
      <c r="B6735" s="12"/>
      <c r="C6735" s="12"/>
    </row>
    <row r="6736" spans="2:3">
      <c r="B6736" s="12"/>
      <c r="C6736" s="12"/>
    </row>
    <row r="6737" spans="2:3">
      <c r="B6737" s="12"/>
      <c r="C6737" s="12"/>
    </row>
    <row r="6738" spans="2:3">
      <c r="B6738" s="12"/>
      <c r="C6738" s="12"/>
    </row>
    <row r="6739" spans="2:3">
      <c r="B6739" s="12"/>
      <c r="C6739" s="12"/>
    </row>
    <row r="6740" spans="2:3">
      <c r="B6740" s="12"/>
      <c r="C6740" s="12"/>
    </row>
    <row r="6741" spans="2:3">
      <c r="B6741" s="12"/>
      <c r="C6741" s="12"/>
    </row>
    <row r="6742" spans="2:3">
      <c r="B6742" s="12"/>
      <c r="C6742" s="12"/>
    </row>
    <row r="6743" spans="2:3">
      <c r="B6743" s="12"/>
      <c r="C6743" s="12"/>
    </row>
    <row r="6744" spans="2:3">
      <c r="B6744" s="12"/>
      <c r="C6744" s="12"/>
    </row>
    <row r="6745" spans="2:3">
      <c r="B6745" s="12"/>
      <c r="C6745" s="12"/>
    </row>
    <row r="6746" spans="2:3">
      <c r="B6746" s="12"/>
      <c r="C6746" s="12"/>
    </row>
    <row r="6747" spans="2:3">
      <c r="B6747" s="12"/>
      <c r="C6747" s="12"/>
    </row>
    <row r="6748" spans="2:3">
      <c r="B6748" s="12"/>
      <c r="C6748" s="12"/>
    </row>
    <row r="6749" spans="2:3">
      <c r="B6749" s="12"/>
      <c r="C6749" s="12"/>
    </row>
    <row r="6750" spans="2:3">
      <c r="B6750" s="12"/>
      <c r="C6750" s="12"/>
    </row>
    <row r="6751" spans="2:3">
      <c r="B6751" s="12"/>
      <c r="C6751" s="12"/>
    </row>
    <row r="6752" spans="2:3">
      <c r="B6752" s="12"/>
      <c r="C6752" s="12"/>
    </row>
    <row r="6753" spans="2:3">
      <c r="B6753" s="12"/>
      <c r="C6753" s="12"/>
    </row>
    <row r="6754" spans="2:3">
      <c r="B6754" s="12"/>
      <c r="C6754" s="12"/>
    </row>
    <row r="6755" spans="2:3">
      <c r="B6755" s="12"/>
      <c r="C6755" s="12"/>
    </row>
    <row r="6756" spans="2:3">
      <c r="B6756" s="12"/>
      <c r="C6756" s="12"/>
    </row>
    <row r="6757" spans="2:3">
      <c r="B6757" s="12"/>
      <c r="C6757" s="12"/>
    </row>
    <row r="6758" spans="2:3">
      <c r="B6758" s="12"/>
      <c r="C6758" s="12"/>
    </row>
    <row r="6759" spans="2:3">
      <c r="B6759" s="12"/>
      <c r="C6759" s="12"/>
    </row>
    <row r="6760" spans="2:3">
      <c r="B6760" s="12"/>
      <c r="C6760" s="12"/>
    </row>
    <row r="6761" spans="2:3">
      <c r="B6761" s="12"/>
      <c r="C6761" s="12"/>
    </row>
    <row r="6762" spans="2:3">
      <c r="B6762" s="12"/>
      <c r="C6762" s="12"/>
    </row>
    <row r="6763" spans="2:3">
      <c r="B6763" s="12"/>
      <c r="C6763" s="12"/>
    </row>
    <row r="6764" spans="2:3">
      <c r="B6764" s="12"/>
      <c r="C6764" s="12"/>
    </row>
    <row r="6765" spans="2:3">
      <c r="B6765" s="12"/>
      <c r="C6765" s="12"/>
    </row>
    <row r="6766" spans="2:3">
      <c r="B6766" s="12"/>
      <c r="C6766" s="12"/>
    </row>
    <row r="6767" spans="2:3">
      <c r="B6767" s="12"/>
      <c r="C6767" s="12"/>
    </row>
    <row r="6768" spans="2:3">
      <c r="B6768" s="12"/>
      <c r="C6768" s="12"/>
    </row>
    <row r="6769" spans="2:3">
      <c r="B6769" s="12"/>
      <c r="C6769" s="12"/>
    </row>
    <row r="6770" spans="2:3">
      <c r="B6770" s="12"/>
      <c r="C6770" s="12"/>
    </row>
    <row r="6771" spans="2:3">
      <c r="B6771" s="12"/>
      <c r="C6771" s="12"/>
    </row>
    <row r="6772" spans="2:3">
      <c r="B6772" s="12"/>
      <c r="C6772" s="12"/>
    </row>
    <row r="6773" spans="2:3">
      <c r="B6773" s="12"/>
      <c r="C6773" s="12"/>
    </row>
    <row r="6774" spans="2:3">
      <c r="B6774" s="12"/>
      <c r="C6774" s="12"/>
    </row>
    <row r="6775" spans="2:3">
      <c r="B6775" s="12"/>
      <c r="C6775" s="12"/>
    </row>
    <row r="6776" spans="2:3">
      <c r="B6776" s="12"/>
      <c r="C6776" s="12"/>
    </row>
    <row r="6777" spans="2:3">
      <c r="B6777" s="12"/>
      <c r="C6777" s="12"/>
    </row>
    <row r="6778" spans="2:3">
      <c r="B6778" s="12"/>
      <c r="C6778" s="12"/>
    </row>
    <row r="6779" spans="2:3">
      <c r="B6779" s="12"/>
      <c r="C6779" s="12"/>
    </row>
    <row r="6780" spans="2:3">
      <c r="B6780" s="12"/>
      <c r="C6780" s="12"/>
    </row>
    <row r="6781" spans="2:3">
      <c r="B6781" s="12"/>
      <c r="C6781" s="12"/>
    </row>
    <row r="6782" spans="2:3">
      <c r="B6782" s="12"/>
      <c r="C6782" s="12"/>
    </row>
    <row r="6783" spans="2:3">
      <c r="B6783" s="12"/>
      <c r="C6783" s="12"/>
    </row>
    <row r="6784" spans="2:3">
      <c r="B6784" s="12"/>
      <c r="C6784" s="12"/>
    </row>
    <row r="6785" spans="2:3">
      <c r="B6785" s="12"/>
      <c r="C6785" s="12"/>
    </row>
    <row r="6786" spans="2:3">
      <c r="B6786" s="12"/>
      <c r="C6786" s="12"/>
    </row>
    <row r="6787" spans="2:3">
      <c r="B6787" s="12"/>
      <c r="C6787" s="12"/>
    </row>
    <row r="6788" spans="2:3">
      <c r="B6788" s="12"/>
      <c r="C6788" s="12"/>
    </row>
    <row r="6789" spans="2:3">
      <c r="B6789" s="12"/>
      <c r="C6789" s="12"/>
    </row>
    <row r="6790" spans="2:3">
      <c r="B6790" s="12"/>
      <c r="C6790" s="12"/>
    </row>
    <row r="6791" spans="2:3">
      <c r="B6791" s="12"/>
      <c r="C6791" s="12"/>
    </row>
    <row r="6792" spans="2:3">
      <c r="B6792" s="12"/>
      <c r="C6792" s="12"/>
    </row>
    <row r="6793" spans="2:3">
      <c r="B6793" s="12"/>
      <c r="C6793" s="12"/>
    </row>
    <row r="6794" spans="2:3">
      <c r="B6794" s="12"/>
      <c r="C6794" s="12"/>
    </row>
    <row r="6795" spans="2:3">
      <c r="B6795" s="12"/>
      <c r="C6795" s="12"/>
    </row>
    <row r="6796" spans="2:3">
      <c r="B6796" s="12"/>
      <c r="C6796" s="12"/>
    </row>
    <row r="6797" spans="2:3">
      <c r="B6797" s="12"/>
      <c r="C6797" s="12"/>
    </row>
    <row r="6798" spans="2:3">
      <c r="B6798" s="12"/>
      <c r="C6798" s="12"/>
    </row>
    <row r="6799" spans="2:3">
      <c r="B6799" s="12"/>
      <c r="C6799" s="12"/>
    </row>
    <row r="6800" spans="2:3">
      <c r="B6800" s="12"/>
      <c r="C6800" s="12"/>
    </row>
    <row r="6801" spans="2:3">
      <c r="B6801" s="12"/>
      <c r="C6801" s="12"/>
    </row>
    <row r="6802" spans="2:3">
      <c r="B6802" s="12"/>
      <c r="C6802" s="12"/>
    </row>
    <row r="6803" spans="2:3">
      <c r="B6803" s="12"/>
      <c r="C6803" s="12"/>
    </row>
    <row r="6804" spans="2:3">
      <c r="B6804" s="12"/>
      <c r="C6804" s="12"/>
    </row>
    <row r="6805" spans="2:3">
      <c r="B6805" s="12"/>
      <c r="C6805" s="12"/>
    </row>
    <row r="6806" spans="2:3">
      <c r="B6806" s="12"/>
      <c r="C6806" s="12"/>
    </row>
    <row r="6807" spans="2:3">
      <c r="B6807" s="12"/>
      <c r="C6807" s="12"/>
    </row>
    <row r="6808" spans="2:3">
      <c r="B6808" s="12"/>
      <c r="C6808" s="12"/>
    </row>
    <row r="6809" spans="2:3">
      <c r="B6809" s="12"/>
      <c r="C6809" s="12"/>
    </row>
    <row r="6810" spans="2:3">
      <c r="B6810" s="12"/>
      <c r="C6810" s="12"/>
    </row>
    <row r="6811" spans="2:3">
      <c r="B6811" s="12"/>
      <c r="C6811" s="12"/>
    </row>
    <row r="6812" spans="2:3">
      <c r="B6812" s="12"/>
      <c r="C6812" s="12"/>
    </row>
    <row r="6813" spans="2:3">
      <c r="B6813" s="12"/>
      <c r="C6813" s="12"/>
    </row>
    <row r="6814" spans="2:3">
      <c r="B6814" s="12"/>
      <c r="C6814" s="12"/>
    </row>
    <row r="6815" spans="2:3">
      <c r="B6815" s="12"/>
      <c r="C6815" s="12"/>
    </row>
    <row r="6816" spans="2:3">
      <c r="B6816" s="12"/>
      <c r="C6816" s="12"/>
    </row>
    <row r="6817" spans="2:3">
      <c r="B6817" s="12"/>
      <c r="C6817" s="12"/>
    </row>
    <row r="6818" spans="2:3">
      <c r="B6818" s="12"/>
      <c r="C6818" s="12"/>
    </row>
    <row r="6819" spans="2:3">
      <c r="B6819" s="12"/>
      <c r="C6819" s="12"/>
    </row>
    <row r="6820" spans="2:3">
      <c r="B6820" s="12"/>
      <c r="C6820" s="12"/>
    </row>
    <row r="6821" spans="2:3">
      <c r="B6821" s="12"/>
      <c r="C6821" s="12"/>
    </row>
    <row r="6822" spans="2:3">
      <c r="B6822" s="12"/>
      <c r="C6822" s="12"/>
    </row>
    <row r="6823" spans="2:3">
      <c r="B6823" s="12"/>
      <c r="C6823" s="12"/>
    </row>
    <row r="6824" spans="2:3">
      <c r="B6824" s="12"/>
      <c r="C6824" s="12"/>
    </row>
    <row r="6825" spans="2:3">
      <c r="B6825" s="12"/>
      <c r="C6825" s="12"/>
    </row>
    <row r="6826" spans="2:3">
      <c r="B6826" s="12"/>
      <c r="C6826" s="12"/>
    </row>
    <row r="6827" spans="2:3">
      <c r="B6827" s="12"/>
      <c r="C6827" s="12"/>
    </row>
    <row r="6828" spans="2:3">
      <c r="B6828" s="12"/>
      <c r="C6828" s="12"/>
    </row>
    <row r="6829" spans="2:3">
      <c r="B6829" s="12"/>
      <c r="C6829" s="12"/>
    </row>
    <row r="6830" spans="2:3">
      <c r="B6830" s="12"/>
      <c r="C6830" s="12"/>
    </row>
    <row r="6831" spans="2:3">
      <c r="B6831" s="12"/>
      <c r="C6831" s="12"/>
    </row>
    <row r="6832" spans="2:3">
      <c r="B6832" s="12"/>
      <c r="C6832" s="12"/>
    </row>
    <row r="6833" spans="2:3">
      <c r="B6833" s="12"/>
      <c r="C6833" s="12"/>
    </row>
    <row r="6834" spans="2:3">
      <c r="B6834" s="12"/>
      <c r="C6834" s="12"/>
    </row>
    <row r="6835" spans="2:3">
      <c r="B6835" s="12"/>
      <c r="C6835" s="12"/>
    </row>
    <row r="6836" spans="2:3">
      <c r="B6836" s="12"/>
      <c r="C6836" s="12"/>
    </row>
    <row r="6837" spans="2:3">
      <c r="B6837" s="12"/>
      <c r="C6837" s="12"/>
    </row>
    <row r="6838" spans="2:3">
      <c r="B6838" s="12"/>
      <c r="C6838" s="12"/>
    </row>
    <row r="6839" spans="2:3">
      <c r="B6839" s="12"/>
      <c r="C6839" s="12"/>
    </row>
    <row r="6840" spans="2:3">
      <c r="B6840" s="12"/>
      <c r="C6840" s="12"/>
    </row>
    <row r="6841" spans="2:3">
      <c r="B6841" s="12"/>
      <c r="C6841" s="12"/>
    </row>
    <row r="6842" spans="2:3">
      <c r="B6842" s="12"/>
      <c r="C6842" s="12"/>
    </row>
    <row r="6843" spans="2:3">
      <c r="B6843" s="12"/>
      <c r="C6843" s="12"/>
    </row>
    <row r="6844" spans="2:3">
      <c r="B6844" s="12"/>
      <c r="C6844" s="12"/>
    </row>
    <row r="6845" spans="2:3">
      <c r="B6845" s="12"/>
      <c r="C6845" s="12"/>
    </row>
    <row r="6846" spans="2:3">
      <c r="B6846" s="12"/>
      <c r="C6846" s="12"/>
    </row>
    <row r="6847" spans="2:3">
      <c r="B6847" s="12"/>
      <c r="C6847" s="12"/>
    </row>
    <row r="6848" spans="2:3">
      <c r="B6848" s="12"/>
      <c r="C6848" s="12"/>
    </row>
    <row r="6849" spans="2:3">
      <c r="B6849" s="12"/>
      <c r="C6849" s="12"/>
    </row>
    <row r="6850" spans="2:3">
      <c r="B6850" s="12"/>
      <c r="C6850" s="12"/>
    </row>
    <row r="6851" spans="2:3">
      <c r="B6851" s="12"/>
      <c r="C6851" s="12"/>
    </row>
    <row r="6852" spans="2:3">
      <c r="B6852" s="12"/>
      <c r="C6852" s="12"/>
    </row>
    <row r="6853" spans="2:3">
      <c r="B6853" s="12"/>
      <c r="C6853" s="12"/>
    </row>
    <row r="6854" spans="2:3">
      <c r="B6854" s="12"/>
      <c r="C6854" s="12"/>
    </row>
    <row r="6855" spans="2:3">
      <c r="B6855" s="12"/>
      <c r="C6855" s="12"/>
    </row>
    <row r="6856" spans="2:3">
      <c r="B6856" s="12"/>
      <c r="C6856" s="12"/>
    </row>
    <row r="6857" spans="2:3">
      <c r="B6857" s="12"/>
      <c r="C6857" s="12"/>
    </row>
    <row r="6858" spans="2:3">
      <c r="B6858" s="12"/>
      <c r="C6858" s="12"/>
    </row>
    <row r="6859" spans="2:3">
      <c r="B6859" s="12"/>
      <c r="C6859" s="12"/>
    </row>
    <row r="6860" spans="2:3">
      <c r="B6860" s="12"/>
      <c r="C6860" s="12"/>
    </row>
    <row r="6861" spans="2:3">
      <c r="B6861" s="12"/>
      <c r="C6861" s="12"/>
    </row>
    <row r="6862" spans="2:3">
      <c r="B6862" s="12"/>
      <c r="C6862" s="12"/>
    </row>
    <row r="6863" spans="2:3">
      <c r="B6863" s="12"/>
      <c r="C6863" s="12"/>
    </row>
    <row r="6864" spans="2:3">
      <c r="B6864" s="12"/>
      <c r="C6864" s="12"/>
    </row>
    <row r="6865" spans="2:3">
      <c r="B6865" s="12"/>
      <c r="C6865" s="12"/>
    </row>
    <row r="6866" spans="2:3">
      <c r="B6866" s="12"/>
      <c r="C6866" s="12"/>
    </row>
    <row r="6867" spans="2:3">
      <c r="B6867" s="12"/>
      <c r="C6867" s="12"/>
    </row>
    <row r="6868" spans="2:3">
      <c r="B6868" s="12"/>
      <c r="C6868" s="12"/>
    </row>
    <row r="6869" spans="2:3">
      <c r="B6869" s="12"/>
      <c r="C6869" s="12"/>
    </row>
    <row r="6870" spans="2:3">
      <c r="B6870" s="12"/>
      <c r="C6870" s="12"/>
    </row>
    <row r="6871" spans="2:3">
      <c r="B6871" s="12"/>
      <c r="C6871" s="12"/>
    </row>
    <row r="6872" spans="2:3">
      <c r="B6872" s="12"/>
      <c r="C6872" s="12"/>
    </row>
    <row r="6873" spans="2:3">
      <c r="B6873" s="12"/>
      <c r="C6873" s="12"/>
    </row>
    <row r="6874" spans="2:3">
      <c r="B6874" s="12"/>
      <c r="C6874" s="12"/>
    </row>
    <row r="6875" spans="2:3">
      <c r="B6875" s="12"/>
      <c r="C6875" s="12"/>
    </row>
    <row r="6876" spans="2:3">
      <c r="B6876" s="12"/>
      <c r="C6876" s="12"/>
    </row>
    <row r="6877" spans="2:3">
      <c r="B6877" s="12"/>
      <c r="C6877" s="12"/>
    </row>
    <row r="6878" spans="2:3">
      <c r="B6878" s="12"/>
      <c r="C6878" s="12"/>
    </row>
    <row r="6879" spans="2:3">
      <c r="B6879" s="12"/>
      <c r="C6879" s="12"/>
    </row>
    <row r="6880" spans="2:3">
      <c r="B6880" s="12"/>
      <c r="C6880" s="12"/>
    </row>
    <row r="6881" spans="2:3">
      <c r="B6881" s="12"/>
      <c r="C6881" s="12"/>
    </row>
    <row r="6882" spans="2:3">
      <c r="B6882" s="12"/>
      <c r="C6882" s="12"/>
    </row>
    <row r="6883" spans="2:3">
      <c r="B6883" s="12"/>
      <c r="C6883" s="12"/>
    </row>
    <row r="6884" spans="2:3">
      <c r="B6884" s="12"/>
      <c r="C6884" s="12"/>
    </row>
    <row r="6885" spans="2:3">
      <c r="B6885" s="12"/>
      <c r="C6885" s="12"/>
    </row>
    <row r="6886" spans="2:3">
      <c r="B6886" s="12"/>
      <c r="C6886" s="12"/>
    </row>
    <row r="6887" spans="2:3">
      <c r="B6887" s="12"/>
      <c r="C6887" s="12"/>
    </row>
    <row r="6888" spans="2:3">
      <c r="B6888" s="12"/>
      <c r="C6888" s="12"/>
    </row>
    <row r="6889" spans="2:3">
      <c r="B6889" s="12"/>
      <c r="C6889" s="12"/>
    </row>
    <row r="6890" spans="2:3">
      <c r="B6890" s="12"/>
      <c r="C6890" s="12"/>
    </row>
    <row r="6891" spans="2:3">
      <c r="B6891" s="12"/>
      <c r="C6891" s="12"/>
    </row>
    <row r="6892" spans="2:3">
      <c r="B6892" s="12"/>
      <c r="C6892" s="12"/>
    </row>
    <row r="6893" spans="2:3">
      <c r="B6893" s="12"/>
      <c r="C6893" s="12"/>
    </row>
    <row r="6894" spans="2:3">
      <c r="B6894" s="12"/>
      <c r="C6894" s="12"/>
    </row>
    <row r="6895" spans="2:3">
      <c r="B6895" s="12"/>
      <c r="C6895" s="12"/>
    </row>
    <row r="6896" spans="2:3">
      <c r="B6896" s="12"/>
      <c r="C6896" s="12"/>
    </row>
    <row r="6897" spans="2:3">
      <c r="B6897" s="12"/>
      <c r="C6897" s="12"/>
    </row>
    <row r="6898" spans="2:3">
      <c r="B6898" s="12"/>
      <c r="C6898" s="12"/>
    </row>
    <row r="6899" spans="2:3">
      <c r="B6899" s="12"/>
      <c r="C6899" s="12"/>
    </row>
    <row r="6900" spans="2:3">
      <c r="B6900" s="12"/>
      <c r="C6900" s="12"/>
    </row>
    <row r="6901" spans="2:3">
      <c r="B6901" s="12"/>
      <c r="C6901" s="12"/>
    </row>
    <row r="6902" spans="2:3">
      <c r="B6902" s="12"/>
      <c r="C6902" s="12"/>
    </row>
    <row r="6903" spans="2:3">
      <c r="B6903" s="12"/>
      <c r="C6903" s="12"/>
    </row>
    <row r="6904" spans="2:3">
      <c r="B6904" s="12"/>
      <c r="C6904" s="12"/>
    </row>
    <row r="6905" spans="2:3">
      <c r="B6905" s="12"/>
      <c r="C6905" s="12"/>
    </row>
    <row r="6906" spans="2:3">
      <c r="B6906" s="12"/>
      <c r="C6906" s="12"/>
    </row>
    <row r="6907" spans="2:3">
      <c r="B6907" s="12"/>
      <c r="C6907" s="12"/>
    </row>
    <row r="6908" spans="2:3">
      <c r="B6908" s="12"/>
      <c r="C6908" s="12"/>
    </row>
    <row r="6909" spans="2:3">
      <c r="B6909" s="12"/>
      <c r="C6909" s="12"/>
    </row>
    <row r="6910" spans="2:3">
      <c r="B6910" s="12"/>
      <c r="C6910" s="12"/>
    </row>
    <row r="6911" spans="2:3">
      <c r="B6911" s="12"/>
      <c r="C6911" s="12"/>
    </row>
    <row r="6912" spans="2:3">
      <c r="B6912" s="12"/>
      <c r="C6912" s="12"/>
    </row>
    <row r="6913" spans="2:3">
      <c r="B6913" s="12"/>
      <c r="C6913" s="12"/>
    </row>
    <row r="6914" spans="2:3">
      <c r="B6914" s="12"/>
      <c r="C6914" s="12"/>
    </row>
    <row r="6915" spans="2:3">
      <c r="B6915" s="12"/>
      <c r="C6915" s="12"/>
    </row>
    <row r="6916" spans="2:3">
      <c r="B6916" s="12"/>
      <c r="C6916" s="12"/>
    </row>
    <row r="6917" spans="2:3">
      <c r="B6917" s="12"/>
      <c r="C6917" s="12"/>
    </row>
    <row r="6918" spans="2:3">
      <c r="B6918" s="12"/>
      <c r="C6918" s="12"/>
    </row>
    <row r="6919" spans="2:3">
      <c r="B6919" s="12"/>
      <c r="C6919" s="12"/>
    </row>
    <row r="6920" spans="2:3">
      <c r="B6920" s="12"/>
      <c r="C6920" s="12"/>
    </row>
    <row r="6921" spans="2:3">
      <c r="B6921" s="12"/>
      <c r="C6921" s="12"/>
    </row>
    <row r="6922" spans="2:3">
      <c r="B6922" s="12"/>
      <c r="C6922" s="12"/>
    </row>
    <row r="6923" spans="2:3">
      <c r="B6923" s="12"/>
      <c r="C6923" s="12"/>
    </row>
    <row r="6924" spans="2:3">
      <c r="B6924" s="12"/>
      <c r="C6924" s="12"/>
    </row>
    <row r="6925" spans="2:3">
      <c r="B6925" s="12"/>
      <c r="C6925" s="12"/>
    </row>
    <row r="6926" spans="2:3">
      <c r="B6926" s="12"/>
      <c r="C6926" s="12"/>
    </row>
    <row r="6927" spans="2:3">
      <c r="B6927" s="12"/>
      <c r="C6927" s="12"/>
    </row>
    <row r="6928" spans="2:3">
      <c r="B6928" s="12"/>
      <c r="C6928" s="12"/>
    </row>
    <row r="6929" spans="2:3">
      <c r="B6929" s="12"/>
      <c r="C6929" s="12"/>
    </row>
    <row r="6930" spans="2:3">
      <c r="B6930" s="12"/>
      <c r="C6930" s="12"/>
    </row>
    <row r="6931" spans="2:3">
      <c r="B6931" s="12"/>
      <c r="C6931" s="12"/>
    </row>
    <row r="6932" spans="2:3">
      <c r="B6932" s="12"/>
      <c r="C6932" s="12"/>
    </row>
    <row r="6933" spans="2:3">
      <c r="B6933" s="12"/>
      <c r="C6933" s="12"/>
    </row>
    <row r="6934" spans="2:3">
      <c r="B6934" s="12"/>
      <c r="C6934" s="12"/>
    </row>
    <row r="6935" spans="2:3">
      <c r="B6935" s="12"/>
      <c r="C6935" s="12"/>
    </row>
    <row r="6936" spans="2:3">
      <c r="B6936" s="12"/>
      <c r="C6936" s="12"/>
    </row>
    <row r="6937" spans="2:3">
      <c r="B6937" s="12"/>
      <c r="C6937" s="12"/>
    </row>
    <row r="6938" spans="2:3">
      <c r="B6938" s="12"/>
      <c r="C6938" s="12"/>
    </row>
    <row r="6939" spans="2:3">
      <c r="B6939" s="12"/>
      <c r="C6939" s="12"/>
    </row>
    <row r="6940" spans="2:3">
      <c r="B6940" s="12"/>
      <c r="C6940" s="12"/>
    </row>
    <row r="6941" spans="2:3">
      <c r="B6941" s="12"/>
      <c r="C6941" s="12"/>
    </row>
    <row r="6942" spans="2:3">
      <c r="B6942" s="12"/>
      <c r="C6942" s="12"/>
    </row>
    <row r="6943" spans="2:3">
      <c r="B6943" s="12"/>
      <c r="C6943" s="12"/>
    </row>
    <row r="6944" spans="2:3">
      <c r="B6944" s="12"/>
      <c r="C6944" s="12"/>
    </row>
    <row r="6945" spans="2:3">
      <c r="B6945" s="12"/>
      <c r="C6945" s="12"/>
    </row>
    <row r="6946" spans="2:3">
      <c r="B6946" s="12"/>
      <c r="C6946" s="12"/>
    </row>
    <row r="6947" spans="2:3">
      <c r="B6947" s="12"/>
      <c r="C6947" s="12"/>
    </row>
    <row r="6948" spans="2:3">
      <c r="B6948" s="12"/>
      <c r="C6948" s="12"/>
    </row>
    <row r="6949" spans="2:3">
      <c r="B6949" s="12"/>
      <c r="C6949" s="12"/>
    </row>
    <row r="6950" spans="2:3">
      <c r="B6950" s="12"/>
      <c r="C6950" s="12"/>
    </row>
    <row r="6951" spans="2:3">
      <c r="B6951" s="12"/>
      <c r="C6951" s="12"/>
    </row>
    <row r="6952" spans="2:3">
      <c r="B6952" s="12"/>
      <c r="C6952" s="12"/>
    </row>
    <row r="6953" spans="2:3">
      <c r="B6953" s="12"/>
      <c r="C6953" s="12"/>
    </row>
    <row r="6954" spans="2:3">
      <c r="B6954" s="12"/>
      <c r="C6954" s="12"/>
    </row>
    <row r="6955" spans="2:3">
      <c r="B6955" s="12"/>
      <c r="C6955" s="12"/>
    </row>
    <row r="6956" spans="2:3">
      <c r="B6956" s="12"/>
      <c r="C6956" s="12"/>
    </row>
    <row r="6957" spans="2:3">
      <c r="B6957" s="12"/>
      <c r="C6957" s="12"/>
    </row>
    <row r="6958" spans="2:3">
      <c r="B6958" s="12"/>
      <c r="C6958" s="12"/>
    </row>
    <row r="6959" spans="2:3">
      <c r="B6959" s="12"/>
      <c r="C6959" s="12"/>
    </row>
    <row r="6960" spans="2:3">
      <c r="B6960" s="12"/>
      <c r="C6960" s="12"/>
    </row>
    <row r="6961" spans="2:3">
      <c r="B6961" s="12"/>
      <c r="C6961" s="12"/>
    </row>
    <row r="6962" spans="2:3">
      <c r="B6962" s="12"/>
      <c r="C6962" s="12"/>
    </row>
    <row r="6963" spans="2:3">
      <c r="B6963" s="12"/>
      <c r="C6963" s="12"/>
    </row>
    <row r="6964" spans="2:3">
      <c r="B6964" s="12"/>
      <c r="C6964" s="12"/>
    </row>
    <row r="6965" spans="2:3">
      <c r="B6965" s="12"/>
      <c r="C6965" s="12"/>
    </row>
    <row r="6966" spans="2:3">
      <c r="B6966" s="12"/>
      <c r="C6966" s="12"/>
    </row>
    <row r="6967" spans="2:3">
      <c r="B6967" s="12"/>
      <c r="C6967" s="12"/>
    </row>
    <row r="6968" spans="2:3">
      <c r="B6968" s="12"/>
      <c r="C6968" s="12"/>
    </row>
    <row r="6969" spans="2:3">
      <c r="B6969" s="12"/>
      <c r="C6969" s="12"/>
    </row>
    <row r="6970" spans="2:3">
      <c r="B6970" s="12"/>
      <c r="C6970" s="12"/>
    </row>
    <row r="6971" spans="2:3">
      <c r="B6971" s="12"/>
      <c r="C6971" s="12"/>
    </row>
    <row r="6972" spans="2:3">
      <c r="B6972" s="12"/>
      <c r="C6972" s="12"/>
    </row>
    <row r="6973" spans="2:3">
      <c r="B6973" s="12"/>
      <c r="C6973" s="12"/>
    </row>
    <row r="6974" spans="2:3">
      <c r="B6974" s="12"/>
      <c r="C6974" s="12"/>
    </row>
    <row r="6975" spans="2:3">
      <c r="B6975" s="12"/>
      <c r="C6975" s="12"/>
    </row>
    <row r="6976" spans="2:3">
      <c r="B6976" s="12"/>
      <c r="C6976" s="12"/>
    </row>
    <row r="6977" spans="2:3">
      <c r="B6977" s="12"/>
      <c r="C6977" s="12"/>
    </row>
    <row r="6978" spans="2:3">
      <c r="B6978" s="12"/>
      <c r="C6978" s="12"/>
    </row>
    <row r="6979" spans="2:3">
      <c r="B6979" s="12"/>
      <c r="C6979" s="12"/>
    </row>
    <row r="6980" spans="2:3">
      <c r="B6980" s="12"/>
      <c r="C6980" s="12"/>
    </row>
    <row r="6981" spans="2:3">
      <c r="B6981" s="12"/>
      <c r="C6981" s="12"/>
    </row>
    <row r="6982" spans="2:3">
      <c r="B6982" s="12"/>
      <c r="C6982" s="12"/>
    </row>
    <row r="6983" spans="2:3">
      <c r="B6983" s="12"/>
      <c r="C6983" s="12"/>
    </row>
    <row r="6984" spans="2:3">
      <c r="B6984" s="12"/>
      <c r="C6984" s="12"/>
    </row>
    <row r="6985" spans="2:3">
      <c r="B6985" s="12"/>
      <c r="C6985" s="12"/>
    </row>
    <row r="6986" spans="2:3">
      <c r="B6986" s="12"/>
      <c r="C6986" s="12"/>
    </row>
    <row r="6987" spans="2:3">
      <c r="B6987" s="12"/>
      <c r="C6987" s="12"/>
    </row>
    <row r="6988" spans="2:3">
      <c r="B6988" s="12"/>
      <c r="C6988" s="12"/>
    </row>
    <row r="6989" spans="2:3">
      <c r="B6989" s="12"/>
      <c r="C6989" s="12"/>
    </row>
    <row r="6990" spans="2:3">
      <c r="B6990" s="12"/>
      <c r="C6990" s="12"/>
    </row>
    <row r="6991" spans="2:3">
      <c r="B6991" s="12"/>
      <c r="C6991" s="12"/>
    </row>
    <row r="6992" spans="2:3">
      <c r="B6992" s="12"/>
      <c r="C6992" s="12"/>
    </row>
    <row r="6993" spans="2:3">
      <c r="B6993" s="12"/>
      <c r="C6993" s="12"/>
    </row>
    <row r="6994" spans="2:3">
      <c r="B6994" s="12"/>
      <c r="C6994" s="12"/>
    </row>
    <row r="6995" spans="2:3">
      <c r="B6995" s="12"/>
      <c r="C6995" s="12"/>
    </row>
    <row r="6996" spans="2:3">
      <c r="B6996" s="12"/>
      <c r="C6996" s="12"/>
    </row>
    <row r="6997" spans="2:3">
      <c r="B6997" s="12"/>
      <c r="C6997" s="12"/>
    </row>
    <row r="6998" spans="2:3">
      <c r="B6998" s="12"/>
      <c r="C6998" s="12"/>
    </row>
    <row r="6999" spans="2:3">
      <c r="B6999" s="12"/>
      <c r="C6999" s="12"/>
    </row>
    <row r="7000" spans="2:3">
      <c r="B7000" s="12"/>
      <c r="C7000" s="12"/>
    </row>
    <row r="7001" spans="2:3">
      <c r="B7001" s="12"/>
      <c r="C7001" s="12"/>
    </row>
    <row r="7002" spans="2:3">
      <c r="B7002" s="12"/>
      <c r="C7002" s="12"/>
    </row>
    <row r="7003" spans="2:3">
      <c r="B7003" s="12"/>
      <c r="C7003" s="12"/>
    </row>
    <row r="7004" spans="2:3">
      <c r="B7004" s="12"/>
      <c r="C7004" s="12"/>
    </row>
    <row r="7005" spans="2:3">
      <c r="B7005" s="12"/>
      <c r="C7005" s="12"/>
    </row>
    <row r="7006" spans="2:3">
      <c r="B7006" s="12"/>
      <c r="C7006" s="12"/>
    </row>
    <row r="7007" spans="2:3">
      <c r="B7007" s="12"/>
      <c r="C7007" s="12"/>
    </row>
    <row r="7008" spans="2:3">
      <c r="B7008" s="12"/>
      <c r="C7008" s="12"/>
    </row>
    <row r="7009" spans="2:3">
      <c r="B7009" s="12"/>
      <c r="C7009" s="12"/>
    </row>
    <row r="7010" spans="2:3">
      <c r="B7010" s="12"/>
      <c r="C7010" s="12"/>
    </row>
    <row r="7011" spans="2:3">
      <c r="B7011" s="12"/>
      <c r="C7011" s="12"/>
    </row>
    <row r="7012" spans="2:3">
      <c r="B7012" s="12"/>
      <c r="C7012" s="12"/>
    </row>
    <row r="7013" spans="2:3">
      <c r="B7013" s="12"/>
      <c r="C7013" s="12"/>
    </row>
    <row r="7014" spans="2:3">
      <c r="B7014" s="12"/>
      <c r="C7014" s="12"/>
    </row>
    <row r="7015" spans="2:3">
      <c r="B7015" s="12"/>
      <c r="C7015" s="12"/>
    </row>
    <row r="7016" spans="2:3">
      <c r="B7016" s="12"/>
      <c r="C7016" s="12"/>
    </row>
    <row r="7017" spans="2:3">
      <c r="B7017" s="12"/>
      <c r="C7017" s="12"/>
    </row>
    <row r="7018" spans="2:3">
      <c r="B7018" s="12"/>
      <c r="C7018" s="12"/>
    </row>
    <row r="7019" spans="2:3">
      <c r="B7019" s="12"/>
      <c r="C7019" s="12"/>
    </row>
    <row r="7020" spans="2:3">
      <c r="B7020" s="12"/>
      <c r="C7020" s="12"/>
    </row>
    <row r="7021" spans="2:3">
      <c r="B7021" s="12"/>
      <c r="C7021" s="12"/>
    </row>
    <row r="7022" spans="2:3">
      <c r="B7022" s="12"/>
      <c r="C7022" s="12"/>
    </row>
    <row r="7023" spans="2:3">
      <c r="B7023" s="12"/>
      <c r="C7023" s="12"/>
    </row>
    <row r="7024" spans="2:3">
      <c r="B7024" s="12"/>
      <c r="C7024" s="12"/>
    </row>
    <row r="7025" spans="2:3">
      <c r="B7025" s="12"/>
      <c r="C7025" s="12"/>
    </row>
    <row r="7026" spans="2:3">
      <c r="B7026" s="12"/>
      <c r="C7026" s="12"/>
    </row>
    <row r="7027" spans="2:3">
      <c r="B7027" s="12"/>
      <c r="C7027" s="12"/>
    </row>
    <row r="7028" spans="2:3">
      <c r="B7028" s="12"/>
      <c r="C7028" s="12"/>
    </row>
    <row r="7029" spans="2:3">
      <c r="B7029" s="12"/>
      <c r="C7029" s="12"/>
    </row>
    <row r="7030" spans="2:3">
      <c r="B7030" s="12"/>
      <c r="C7030" s="12"/>
    </row>
    <row r="7031" spans="2:3">
      <c r="B7031" s="12"/>
      <c r="C7031" s="12"/>
    </row>
    <row r="7032" spans="2:3">
      <c r="B7032" s="12"/>
      <c r="C7032" s="12"/>
    </row>
    <row r="7033" spans="2:3">
      <c r="B7033" s="12"/>
      <c r="C7033" s="12"/>
    </row>
    <row r="7034" spans="2:3">
      <c r="B7034" s="12"/>
      <c r="C7034" s="12"/>
    </row>
    <row r="7035" spans="2:3">
      <c r="B7035" s="12"/>
      <c r="C7035" s="12"/>
    </row>
    <row r="7036" spans="2:3">
      <c r="B7036" s="12"/>
      <c r="C7036" s="12"/>
    </row>
    <row r="7037" spans="2:3">
      <c r="B7037" s="12"/>
      <c r="C7037" s="12"/>
    </row>
    <row r="7038" spans="2:3">
      <c r="B7038" s="12"/>
      <c r="C7038" s="12"/>
    </row>
    <row r="7039" spans="2:3">
      <c r="B7039" s="12"/>
      <c r="C7039" s="12"/>
    </row>
    <row r="7040" spans="2:3">
      <c r="B7040" s="12"/>
      <c r="C7040" s="12"/>
    </row>
    <row r="7041" spans="2:3">
      <c r="B7041" s="12"/>
      <c r="C7041" s="12"/>
    </row>
    <row r="7042" spans="2:3">
      <c r="B7042" s="12"/>
      <c r="C7042" s="12"/>
    </row>
    <row r="7043" spans="2:3">
      <c r="B7043" s="12"/>
      <c r="C7043" s="12"/>
    </row>
    <row r="7044" spans="2:3">
      <c r="B7044" s="12"/>
      <c r="C7044" s="12"/>
    </row>
    <row r="7045" spans="2:3">
      <c r="B7045" s="12"/>
      <c r="C7045" s="12"/>
    </row>
    <row r="7046" spans="2:3">
      <c r="B7046" s="12"/>
      <c r="C7046" s="12"/>
    </row>
    <row r="7047" spans="2:3">
      <c r="B7047" s="12"/>
      <c r="C7047" s="12"/>
    </row>
    <row r="7048" spans="2:3">
      <c r="B7048" s="12"/>
      <c r="C7048" s="12"/>
    </row>
    <row r="7049" spans="2:3">
      <c r="B7049" s="12"/>
      <c r="C7049" s="12"/>
    </row>
    <row r="7050" spans="2:3">
      <c r="B7050" s="12"/>
      <c r="C7050" s="12"/>
    </row>
    <row r="7051" spans="2:3">
      <c r="B7051" s="12"/>
      <c r="C7051" s="12"/>
    </row>
    <row r="7052" spans="2:3">
      <c r="B7052" s="12"/>
      <c r="C7052" s="12"/>
    </row>
    <row r="7053" spans="2:3">
      <c r="B7053" s="12"/>
      <c r="C7053" s="12"/>
    </row>
    <row r="7054" spans="2:3">
      <c r="B7054" s="12"/>
      <c r="C7054" s="12"/>
    </row>
    <row r="7055" spans="2:3">
      <c r="B7055" s="12"/>
      <c r="C7055" s="12"/>
    </row>
    <row r="7056" spans="2:3">
      <c r="B7056" s="12"/>
      <c r="C7056" s="12"/>
    </row>
    <row r="7057" spans="2:3">
      <c r="B7057" s="12"/>
      <c r="C7057" s="12"/>
    </row>
    <row r="7058" spans="2:3">
      <c r="B7058" s="12"/>
      <c r="C7058" s="12"/>
    </row>
    <row r="7059" spans="2:3">
      <c r="B7059" s="12"/>
      <c r="C7059" s="12"/>
    </row>
    <row r="7060" spans="2:3">
      <c r="B7060" s="12"/>
      <c r="C7060" s="12"/>
    </row>
    <row r="7061" spans="2:3">
      <c r="B7061" s="12"/>
      <c r="C7061" s="12"/>
    </row>
    <row r="7062" spans="2:3">
      <c r="B7062" s="12"/>
      <c r="C7062" s="12"/>
    </row>
    <row r="7063" spans="2:3">
      <c r="B7063" s="12"/>
      <c r="C7063" s="12"/>
    </row>
    <row r="7064" spans="2:3">
      <c r="B7064" s="12"/>
      <c r="C7064" s="12"/>
    </row>
    <row r="7065" spans="2:3">
      <c r="B7065" s="12"/>
      <c r="C7065" s="12"/>
    </row>
    <row r="7066" spans="2:3">
      <c r="B7066" s="12"/>
      <c r="C7066" s="12"/>
    </row>
    <row r="7067" spans="2:3">
      <c r="B7067" s="12"/>
      <c r="C7067" s="12"/>
    </row>
    <row r="7068" spans="2:3">
      <c r="B7068" s="12"/>
      <c r="C7068" s="12"/>
    </row>
    <row r="7069" spans="2:3">
      <c r="B7069" s="12"/>
      <c r="C7069" s="12"/>
    </row>
    <row r="7070" spans="2:3">
      <c r="B7070" s="12"/>
      <c r="C7070" s="12"/>
    </row>
    <row r="7071" spans="2:3">
      <c r="B7071" s="12"/>
      <c r="C7071" s="12"/>
    </row>
    <row r="7072" spans="2:3">
      <c r="B7072" s="12"/>
      <c r="C7072" s="12"/>
    </row>
    <row r="7073" spans="2:3">
      <c r="B7073" s="12"/>
      <c r="C7073" s="12"/>
    </row>
    <row r="7074" spans="2:3">
      <c r="B7074" s="12"/>
      <c r="C7074" s="12"/>
    </row>
    <row r="7075" spans="2:3">
      <c r="B7075" s="12"/>
      <c r="C7075" s="12"/>
    </row>
    <row r="7076" spans="2:3">
      <c r="B7076" s="12"/>
      <c r="C7076" s="12"/>
    </row>
    <row r="7077" spans="2:3">
      <c r="B7077" s="12"/>
      <c r="C7077" s="12"/>
    </row>
    <row r="7078" spans="2:3">
      <c r="B7078" s="12"/>
      <c r="C7078" s="12"/>
    </row>
    <row r="7079" spans="2:3">
      <c r="B7079" s="12"/>
      <c r="C7079" s="12"/>
    </row>
    <row r="7080" spans="2:3">
      <c r="B7080" s="12"/>
      <c r="C7080" s="12"/>
    </row>
    <row r="7081" spans="2:3">
      <c r="B7081" s="12"/>
      <c r="C7081" s="12"/>
    </row>
    <row r="7082" spans="2:3">
      <c r="B7082" s="12"/>
      <c r="C7082" s="12"/>
    </row>
    <row r="7083" spans="2:3">
      <c r="B7083" s="12"/>
      <c r="C7083" s="12"/>
    </row>
    <row r="7084" spans="2:3">
      <c r="B7084" s="12"/>
      <c r="C7084" s="12"/>
    </row>
    <row r="7085" spans="2:3">
      <c r="B7085" s="12"/>
      <c r="C7085" s="12"/>
    </row>
    <row r="7086" spans="2:3">
      <c r="B7086" s="12"/>
      <c r="C7086" s="12"/>
    </row>
    <row r="7087" spans="2:3">
      <c r="B7087" s="12"/>
      <c r="C7087" s="12"/>
    </row>
    <row r="7088" spans="2:3">
      <c r="B7088" s="12"/>
      <c r="C7088" s="12"/>
    </row>
    <row r="7089" spans="2:3">
      <c r="B7089" s="12"/>
      <c r="C7089" s="12"/>
    </row>
    <row r="7090" spans="2:3">
      <c r="B7090" s="12"/>
      <c r="C7090" s="12"/>
    </row>
    <row r="7091" spans="2:3">
      <c r="B7091" s="12"/>
      <c r="C7091" s="12"/>
    </row>
    <row r="7092" spans="2:3">
      <c r="B7092" s="12"/>
      <c r="C7092" s="12"/>
    </row>
    <row r="7093" spans="2:3">
      <c r="B7093" s="12"/>
      <c r="C7093" s="12"/>
    </row>
    <row r="7094" spans="2:3">
      <c r="B7094" s="12"/>
      <c r="C7094" s="12"/>
    </row>
    <row r="7095" spans="2:3">
      <c r="B7095" s="12"/>
      <c r="C7095" s="12"/>
    </row>
    <row r="7096" spans="2:3">
      <c r="B7096" s="12"/>
      <c r="C7096" s="12"/>
    </row>
    <row r="7097" spans="2:3">
      <c r="B7097" s="12"/>
      <c r="C7097" s="12"/>
    </row>
    <row r="7098" spans="2:3">
      <c r="B7098" s="12"/>
      <c r="C7098" s="12"/>
    </row>
    <row r="7099" spans="2:3">
      <c r="B7099" s="12"/>
      <c r="C7099" s="12"/>
    </row>
    <row r="7100" spans="2:3">
      <c r="B7100" s="12"/>
      <c r="C7100" s="12"/>
    </row>
    <row r="7101" spans="2:3">
      <c r="B7101" s="12"/>
      <c r="C7101" s="12"/>
    </row>
    <row r="7102" spans="2:3">
      <c r="B7102" s="12"/>
      <c r="C7102" s="12"/>
    </row>
    <row r="7103" spans="2:3">
      <c r="B7103" s="12"/>
      <c r="C7103" s="12"/>
    </row>
    <row r="7104" spans="2:3">
      <c r="B7104" s="12"/>
      <c r="C7104" s="12"/>
    </row>
    <row r="7105" spans="2:3">
      <c r="B7105" s="12"/>
      <c r="C7105" s="12"/>
    </row>
    <row r="7106" spans="2:3">
      <c r="B7106" s="12"/>
      <c r="C7106" s="12"/>
    </row>
    <row r="7107" spans="2:3">
      <c r="B7107" s="12"/>
      <c r="C7107" s="12"/>
    </row>
    <row r="7108" spans="2:3">
      <c r="B7108" s="12"/>
      <c r="C7108" s="12"/>
    </row>
    <row r="7109" spans="2:3">
      <c r="B7109" s="12"/>
      <c r="C7109" s="12"/>
    </row>
    <row r="7110" spans="2:3">
      <c r="B7110" s="12"/>
      <c r="C7110" s="12"/>
    </row>
    <row r="7111" spans="2:3">
      <c r="B7111" s="12"/>
      <c r="C7111" s="12"/>
    </row>
    <row r="7112" spans="2:3">
      <c r="B7112" s="12"/>
      <c r="C7112" s="12"/>
    </row>
    <row r="7113" spans="2:3">
      <c r="B7113" s="12"/>
      <c r="C7113" s="12"/>
    </row>
    <row r="7114" spans="2:3">
      <c r="B7114" s="12"/>
      <c r="C7114" s="12"/>
    </row>
    <row r="7115" spans="2:3">
      <c r="B7115" s="12"/>
      <c r="C7115" s="12"/>
    </row>
    <row r="7116" spans="2:3">
      <c r="B7116" s="12"/>
      <c r="C7116" s="12"/>
    </row>
    <row r="7117" spans="2:3">
      <c r="B7117" s="12"/>
      <c r="C7117" s="12"/>
    </row>
    <row r="7118" spans="2:3">
      <c r="B7118" s="12"/>
      <c r="C7118" s="12"/>
    </row>
    <row r="7119" spans="2:3">
      <c r="B7119" s="12"/>
      <c r="C7119" s="12"/>
    </row>
    <row r="7120" spans="2:3">
      <c r="B7120" s="12"/>
      <c r="C7120" s="12"/>
    </row>
    <row r="7121" spans="2:3">
      <c r="B7121" s="12"/>
      <c r="C7121" s="12"/>
    </row>
    <row r="7122" spans="2:3">
      <c r="B7122" s="12"/>
      <c r="C7122" s="12"/>
    </row>
    <row r="7123" spans="2:3">
      <c r="B7123" s="12"/>
      <c r="C7123" s="12"/>
    </row>
    <row r="7124" spans="2:3">
      <c r="B7124" s="12"/>
      <c r="C7124" s="12"/>
    </row>
    <row r="7125" spans="2:3">
      <c r="B7125" s="12"/>
      <c r="C7125" s="12"/>
    </row>
    <row r="7126" spans="2:3">
      <c r="B7126" s="12"/>
      <c r="C7126" s="12"/>
    </row>
    <row r="7127" spans="2:3">
      <c r="B7127" s="12"/>
      <c r="C7127" s="12"/>
    </row>
    <row r="7128" spans="2:3">
      <c r="B7128" s="12"/>
      <c r="C7128" s="12"/>
    </row>
    <row r="7129" spans="2:3">
      <c r="B7129" s="12"/>
      <c r="C7129" s="12"/>
    </row>
    <row r="7130" spans="2:3">
      <c r="B7130" s="12"/>
      <c r="C7130" s="12"/>
    </row>
    <row r="7131" spans="2:3">
      <c r="B7131" s="12"/>
      <c r="C7131" s="12"/>
    </row>
    <row r="7132" spans="2:3">
      <c r="B7132" s="12"/>
      <c r="C7132" s="12"/>
    </row>
    <row r="7133" spans="2:3">
      <c r="B7133" s="12"/>
      <c r="C7133" s="12"/>
    </row>
    <row r="7134" spans="2:3">
      <c r="B7134" s="12"/>
      <c r="C7134" s="12"/>
    </row>
    <row r="7135" spans="2:3">
      <c r="B7135" s="12"/>
      <c r="C7135" s="12"/>
    </row>
    <row r="7136" spans="2:3">
      <c r="B7136" s="12"/>
      <c r="C7136" s="12"/>
    </row>
    <row r="7137" spans="2:3">
      <c r="B7137" s="12"/>
      <c r="C7137" s="12"/>
    </row>
    <row r="7138" spans="2:3">
      <c r="B7138" s="12"/>
      <c r="C7138" s="12"/>
    </row>
    <row r="7139" spans="2:3">
      <c r="B7139" s="12"/>
      <c r="C7139" s="12"/>
    </row>
    <row r="7140" spans="2:3">
      <c r="B7140" s="12"/>
      <c r="C7140" s="12"/>
    </row>
    <row r="7141" spans="2:3">
      <c r="B7141" s="12"/>
      <c r="C7141" s="12"/>
    </row>
    <row r="7142" spans="2:3">
      <c r="B7142" s="12"/>
      <c r="C7142" s="12"/>
    </row>
    <row r="7143" spans="2:3">
      <c r="B7143" s="12"/>
      <c r="C7143" s="12"/>
    </row>
    <row r="7144" spans="2:3">
      <c r="B7144" s="12"/>
      <c r="C7144" s="12"/>
    </row>
    <row r="7145" spans="2:3">
      <c r="B7145" s="12"/>
      <c r="C7145" s="12"/>
    </row>
    <row r="7146" spans="2:3">
      <c r="B7146" s="12"/>
      <c r="C7146" s="12"/>
    </row>
    <row r="7147" spans="2:3">
      <c r="B7147" s="12"/>
      <c r="C7147" s="12"/>
    </row>
    <row r="7148" spans="2:3">
      <c r="B7148" s="12"/>
      <c r="C7148" s="12"/>
    </row>
    <row r="7149" spans="2:3">
      <c r="B7149" s="12"/>
      <c r="C7149" s="12"/>
    </row>
    <row r="7150" spans="2:3">
      <c r="B7150" s="12"/>
      <c r="C7150" s="12"/>
    </row>
    <row r="7151" spans="2:3">
      <c r="B7151" s="12"/>
      <c r="C7151" s="12"/>
    </row>
    <row r="7152" spans="2:3">
      <c r="B7152" s="12"/>
      <c r="C7152" s="12"/>
    </row>
    <row r="7153" spans="2:3">
      <c r="B7153" s="12"/>
      <c r="C7153" s="12"/>
    </row>
    <row r="7154" spans="2:3">
      <c r="B7154" s="12"/>
      <c r="C7154" s="12"/>
    </row>
    <row r="7155" spans="2:3">
      <c r="B7155" s="12"/>
      <c r="C7155" s="12"/>
    </row>
    <row r="7156" spans="2:3">
      <c r="B7156" s="12"/>
      <c r="C7156" s="12"/>
    </row>
    <row r="7157" spans="2:3">
      <c r="B7157" s="12"/>
      <c r="C7157" s="12"/>
    </row>
    <row r="7158" spans="2:3">
      <c r="B7158" s="12"/>
      <c r="C7158" s="12"/>
    </row>
    <row r="7159" spans="2:3">
      <c r="B7159" s="12"/>
      <c r="C7159" s="12"/>
    </row>
    <row r="7160" spans="2:3">
      <c r="B7160" s="12"/>
      <c r="C7160" s="12"/>
    </row>
    <row r="7161" spans="2:3">
      <c r="B7161" s="12"/>
      <c r="C7161" s="12"/>
    </row>
    <row r="7162" spans="2:3">
      <c r="B7162" s="12"/>
      <c r="C7162" s="12"/>
    </row>
    <row r="7163" spans="2:3">
      <c r="B7163" s="12"/>
      <c r="C7163" s="12"/>
    </row>
    <row r="7164" spans="2:3">
      <c r="B7164" s="12"/>
      <c r="C7164" s="12"/>
    </row>
    <row r="7165" spans="2:3">
      <c r="B7165" s="12"/>
      <c r="C7165" s="12"/>
    </row>
    <row r="7166" spans="2:3">
      <c r="B7166" s="12"/>
      <c r="C7166" s="12"/>
    </row>
    <row r="7167" spans="2:3">
      <c r="B7167" s="12"/>
      <c r="C7167" s="12"/>
    </row>
    <row r="7168" spans="2:3">
      <c r="B7168" s="12"/>
      <c r="C7168" s="12"/>
    </row>
    <row r="7169" spans="2:3">
      <c r="B7169" s="12"/>
      <c r="C7169" s="12"/>
    </row>
    <row r="7170" spans="2:3">
      <c r="B7170" s="12"/>
      <c r="C7170" s="12"/>
    </row>
    <row r="7171" spans="2:3">
      <c r="B7171" s="12"/>
      <c r="C7171" s="12"/>
    </row>
    <row r="7172" spans="2:3">
      <c r="B7172" s="12"/>
      <c r="C7172" s="12"/>
    </row>
    <row r="7173" spans="2:3">
      <c r="B7173" s="12"/>
      <c r="C7173" s="12"/>
    </row>
    <row r="7174" spans="2:3">
      <c r="B7174" s="12"/>
      <c r="C7174" s="12"/>
    </row>
    <row r="7175" spans="2:3">
      <c r="B7175" s="12"/>
      <c r="C7175" s="12"/>
    </row>
    <row r="7176" spans="2:3">
      <c r="B7176" s="12"/>
      <c r="C7176" s="12"/>
    </row>
    <row r="7177" spans="2:3">
      <c r="B7177" s="12"/>
      <c r="C7177" s="12"/>
    </row>
    <row r="7178" spans="2:3">
      <c r="B7178" s="12"/>
      <c r="C7178" s="12"/>
    </row>
    <row r="7179" spans="2:3">
      <c r="B7179" s="12"/>
      <c r="C7179" s="12"/>
    </row>
    <row r="7180" spans="2:3">
      <c r="B7180" s="12"/>
      <c r="C7180" s="12"/>
    </row>
    <row r="7181" spans="2:3">
      <c r="B7181" s="12"/>
      <c r="C7181" s="12"/>
    </row>
    <row r="7182" spans="2:3">
      <c r="B7182" s="12"/>
      <c r="C7182" s="12"/>
    </row>
    <row r="7183" spans="2:3">
      <c r="B7183" s="12"/>
      <c r="C7183" s="12"/>
    </row>
    <row r="7184" spans="2:3">
      <c r="B7184" s="12"/>
      <c r="C7184" s="12"/>
    </row>
    <row r="7185" spans="2:3">
      <c r="B7185" s="12"/>
      <c r="C7185" s="12"/>
    </row>
    <row r="7186" spans="2:3">
      <c r="B7186" s="12"/>
      <c r="C7186" s="12"/>
    </row>
    <row r="7187" spans="2:3">
      <c r="B7187" s="12"/>
      <c r="C7187" s="12"/>
    </row>
    <row r="7188" spans="2:3">
      <c r="B7188" s="12"/>
      <c r="C7188" s="12"/>
    </row>
    <row r="7189" spans="2:3">
      <c r="B7189" s="12"/>
      <c r="C7189" s="12"/>
    </row>
    <row r="7190" spans="2:3">
      <c r="B7190" s="12"/>
      <c r="C7190" s="12"/>
    </row>
    <row r="7191" spans="2:3">
      <c r="B7191" s="12"/>
      <c r="C7191" s="12"/>
    </row>
    <row r="7192" spans="2:3">
      <c r="B7192" s="12"/>
      <c r="C7192" s="12"/>
    </row>
    <row r="7193" spans="2:3">
      <c r="B7193" s="12"/>
      <c r="C7193" s="12"/>
    </row>
    <row r="7194" spans="2:3">
      <c r="B7194" s="12"/>
      <c r="C7194" s="12"/>
    </row>
    <row r="7195" spans="2:3">
      <c r="B7195" s="12"/>
      <c r="C7195" s="12"/>
    </row>
    <row r="7196" spans="2:3">
      <c r="B7196" s="12"/>
      <c r="C7196" s="12"/>
    </row>
    <row r="7197" spans="2:3">
      <c r="B7197" s="12"/>
      <c r="C7197" s="12"/>
    </row>
    <row r="7198" spans="2:3">
      <c r="B7198" s="12"/>
      <c r="C7198" s="12"/>
    </row>
    <row r="7199" spans="2:3">
      <c r="B7199" s="12"/>
      <c r="C7199" s="12"/>
    </row>
    <row r="7200" spans="2:3">
      <c r="B7200" s="12"/>
      <c r="C7200" s="12"/>
    </row>
    <row r="7201" spans="2:3">
      <c r="B7201" s="12"/>
      <c r="C7201" s="12"/>
    </row>
    <row r="7202" spans="2:3">
      <c r="B7202" s="12"/>
      <c r="C7202" s="12"/>
    </row>
    <row r="7203" spans="2:3">
      <c r="B7203" s="12"/>
      <c r="C7203" s="12"/>
    </row>
    <row r="7204" spans="2:3">
      <c r="B7204" s="12"/>
      <c r="C7204" s="12"/>
    </row>
    <row r="7205" spans="2:3">
      <c r="B7205" s="12"/>
      <c r="C7205" s="12"/>
    </row>
    <row r="7206" spans="2:3">
      <c r="B7206" s="12"/>
      <c r="C7206" s="12"/>
    </row>
    <row r="7207" spans="2:3">
      <c r="B7207" s="12"/>
      <c r="C7207" s="12"/>
    </row>
    <row r="7208" spans="2:3">
      <c r="B7208" s="12"/>
      <c r="C7208" s="12"/>
    </row>
    <row r="7209" spans="2:3">
      <c r="B7209" s="12"/>
      <c r="C7209" s="12"/>
    </row>
    <row r="7210" spans="2:3">
      <c r="B7210" s="12"/>
      <c r="C7210" s="12"/>
    </row>
    <row r="7211" spans="2:3">
      <c r="B7211" s="12"/>
      <c r="C7211" s="12"/>
    </row>
    <row r="7212" spans="2:3">
      <c r="B7212" s="12"/>
      <c r="C7212" s="12"/>
    </row>
    <row r="7213" spans="2:3">
      <c r="B7213" s="12"/>
      <c r="C7213" s="12"/>
    </row>
    <row r="7214" spans="2:3">
      <c r="B7214" s="12"/>
      <c r="C7214" s="12"/>
    </row>
    <row r="7215" spans="2:3">
      <c r="B7215" s="12"/>
      <c r="C7215" s="12"/>
    </row>
    <row r="7216" spans="2:3">
      <c r="B7216" s="12"/>
      <c r="C7216" s="12"/>
    </row>
    <row r="7217" spans="2:3">
      <c r="B7217" s="12"/>
      <c r="C7217" s="12"/>
    </row>
    <row r="7218" spans="2:3">
      <c r="B7218" s="12"/>
      <c r="C7218" s="12"/>
    </row>
    <row r="7219" spans="2:3">
      <c r="B7219" s="12"/>
      <c r="C7219" s="12"/>
    </row>
    <row r="7220" spans="2:3">
      <c r="B7220" s="12"/>
      <c r="C7220" s="12"/>
    </row>
    <row r="7221" spans="2:3">
      <c r="B7221" s="12"/>
      <c r="C7221" s="12"/>
    </row>
    <row r="7222" spans="2:3">
      <c r="B7222" s="12"/>
      <c r="C7222" s="12"/>
    </row>
    <row r="7223" spans="2:3">
      <c r="B7223" s="12"/>
      <c r="C7223" s="12"/>
    </row>
    <row r="7224" spans="2:3">
      <c r="B7224" s="12"/>
      <c r="C7224" s="12"/>
    </row>
    <row r="7225" spans="2:3">
      <c r="B7225" s="12"/>
      <c r="C7225" s="12"/>
    </row>
    <row r="7226" spans="2:3">
      <c r="B7226" s="12"/>
      <c r="C7226" s="12"/>
    </row>
    <row r="7227" spans="2:3">
      <c r="B7227" s="12"/>
      <c r="C7227" s="12"/>
    </row>
    <row r="7228" spans="2:3">
      <c r="B7228" s="12"/>
      <c r="C7228" s="12"/>
    </row>
    <row r="7229" spans="2:3">
      <c r="B7229" s="12"/>
      <c r="C7229" s="12"/>
    </row>
    <row r="7230" spans="2:3">
      <c r="B7230" s="12"/>
      <c r="C7230" s="12"/>
    </row>
    <row r="7231" spans="2:3">
      <c r="B7231" s="12"/>
      <c r="C7231" s="12"/>
    </row>
    <row r="7232" spans="2:3">
      <c r="B7232" s="12"/>
      <c r="C7232" s="12"/>
    </row>
    <row r="7233" spans="2:3">
      <c r="B7233" s="12"/>
      <c r="C7233" s="12"/>
    </row>
    <row r="7234" spans="2:3">
      <c r="B7234" s="12"/>
      <c r="C7234" s="12"/>
    </row>
    <row r="7235" spans="2:3">
      <c r="B7235" s="12"/>
      <c r="C7235" s="12"/>
    </row>
    <row r="7236" spans="2:3">
      <c r="B7236" s="12"/>
      <c r="C7236" s="12"/>
    </row>
    <row r="7237" spans="2:3">
      <c r="B7237" s="12"/>
      <c r="C7237" s="12"/>
    </row>
    <row r="7238" spans="2:3">
      <c r="B7238" s="12"/>
      <c r="C7238" s="12"/>
    </row>
    <row r="7239" spans="2:3">
      <c r="B7239" s="12"/>
      <c r="C7239" s="12"/>
    </row>
    <row r="7240" spans="2:3">
      <c r="B7240" s="12"/>
      <c r="C7240" s="12"/>
    </row>
    <row r="7241" spans="2:3">
      <c r="B7241" s="12"/>
      <c r="C7241" s="12"/>
    </row>
    <row r="7242" spans="2:3">
      <c r="B7242" s="12"/>
      <c r="C7242" s="12"/>
    </row>
    <row r="7243" spans="2:3">
      <c r="B7243" s="12"/>
      <c r="C7243" s="12"/>
    </row>
    <row r="7244" spans="2:3">
      <c r="B7244" s="12"/>
      <c r="C7244" s="12"/>
    </row>
    <row r="7245" spans="2:3">
      <c r="B7245" s="12"/>
      <c r="C7245" s="12"/>
    </row>
    <row r="7246" spans="2:3">
      <c r="B7246" s="12"/>
      <c r="C7246" s="12"/>
    </row>
    <row r="7247" spans="2:3">
      <c r="B7247" s="12"/>
      <c r="C7247" s="12"/>
    </row>
    <row r="7248" spans="2:3">
      <c r="B7248" s="12"/>
      <c r="C7248" s="12"/>
    </row>
    <row r="7249" spans="2:3">
      <c r="B7249" s="12"/>
      <c r="C7249" s="12"/>
    </row>
    <row r="7250" spans="2:3">
      <c r="B7250" s="12"/>
      <c r="C7250" s="12"/>
    </row>
    <row r="7251" spans="2:3">
      <c r="B7251" s="12"/>
      <c r="C7251" s="12"/>
    </row>
    <row r="7252" spans="2:3">
      <c r="B7252" s="12"/>
      <c r="C7252" s="12"/>
    </row>
    <row r="7253" spans="2:3">
      <c r="B7253" s="12"/>
      <c r="C7253" s="12"/>
    </row>
    <row r="7254" spans="2:3">
      <c r="B7254" s="12"/>
      <c r="C7254" s="12"/>
    </row>
    <row r="7255" spans="2:3">
      <c r="B7255" s="12"/>
      <c r="C7255" s="12"/>
    </row>
    <row r="7256" spans="2:3">
      <c r="B7256" s="12"/>
      <c r="C7256" s="12"/>
    </row>
    <row r="7257" spans="2:3">
      <c r="B7257" s="12"/>
      <c r="C7257" s="12"/>
    </row>
    <row r="7258" spans="2:3">
      <c r="B7258" s="12"/>
      <c r="C7258" s="12"/>
    </row>
    <row r="7259" spans="2:3">
      <c r="B7259" s="12"/>
      <c r="C7259" s="12"/>
    </row>
    <row r="7260" spans="2:3">
      <c r="B7260" s="12"/>
      <c r="C7260" s="12"/>
    </row>
    <row r="7261" spans="2:3">
      <c r="B7261" s="12"/>
      <c r="C7261" s="12"/>
    </row>
    <row r="7262" spans="2:3">
      <c r="B7262" s="12"/>
      <c r="C7262" s="12"/>
    </row>
    <row r="7263" spans="2:3">
      <c r="B7263" s="12"/>
      <c r="C7263" s="12"/>
    </row>
    <row r="7264" spans="2:3">
      <c r="B7264" s="12"/>
      <c r="C7264" s="12"/>
    </row>
    <row r="7265" spans="2:3">
      <c r="B7265" s="12"/>
      <c r="C7265" s="12"/>
    </row>
    <row r="7266" spans="2:3">
      <c r="B7266" s="12"/>
      <c r="C7266" s="12"/>
    </row>
    <row r="7267" spans="2:3">
      <c r="B7267" s="12"/>
      <c r="C7267" s="12"/>
    </row>
    <row r="7268" spans="2:3">
      <c r="B7268" s="12"/>
      <c r="C7268" s="12"/>
    </row>
    <row r="7269" spans="2:3">
      <c r="B7269" s="12"/>
      <c r="C7269" s="12"/>
    </row>
    <row r="7270" spans="2:3">
      <c r="B7270" s="12"/>
      <c r="C7270" s="12"/>
    </row>
    <row r="7271" spans="2:3">
      <c r="B7271" s="12"/>
      <c r="C7271" s="12"/>
    </row>
    <row r="7272" spans="2:3">
      <c r="B7272" s="12"/>
      <c r="C7272" s="12"/>
    </row>
    <row r="7273" spans="2:3">
      <c r="B7273" s="12"/>
      <c r="C7273" s="12"/>
    </row>
    <row r="7274" spans="2:3">
      <c r="B7274" s="12"/>
      <c r="C7274" s="12"/>
    </row>
    <row r="7275" spans="2:3">
      <c r="B7275" s="12"/>
      <c r="C7275" s="12"/>
    </row>
    <row r="7276" spans="2:3">
      <c r="B7276" s="12"/>
      <c r="C7276" s="12"/>
    </row>
    <row r="7277" spans="2:3">
      <c r="B7277" s="12"/>
      <c r="C7277" s="12"/>
    </row>
    <row r="7278" spans="2:3">
      <c r="B7278" s="12"/>
      <c r="C7278" s="12"/>
    </row>
    <row r="7279" spans="2:3">
      <c r="B7279" s="12"/>
      <c r="C7279" s="12"/>
    </row>
    <row r="7280" spans="2:3">
      <c r="B7280" s="12"/>
      <c r="C7280" s="12"/>
    </row>
    <row r="7281" spans="2:3">
      <c r="B7281" s="12"/>
      <c r="C7281" s="12"/>
    </row>
    <row r="7282" spans="2:3">
      <c r="B7282" s="12"/>
      <c r="C7282" s="12"/>
    </row>
    <row r="7283" spans="2:3">
      <c r="B7283" s="12"/>
      <c r="C7283" s="12"/>
    </row>
    <row r="7284" spans="2:3">
      <c r="B7284" s="12"/>
      <c r="C7284" s="12"/>
    </row>
    <row r="7285" spans="2:3">
      <c r="B7285" s="12"/>
      <c r="C7285" s="12"/>
    </row>
    <row r="7286" spans="2:3">
      <c r="B7286" s="12"/>
      <c r="C7286" s="12"/>
    </row>
    <row r="7287" spans="2:3">
      <c r="B7287" s="12"/>
      <c r="C7287" s="12"/>
    </row>
    <row r="7288" spans="2:3">
      <c r="B7288" s="12"/>
      <c r="C7288" s="12"/>
    </row>
    <row r="7289" spans="2:3">
      <c r="B7289" s="12"/>
      <c r="C7289" s="12"/>
    </row>
    <row r="7290" spans="2:3">
      <c r="B7290" s="12"/>
      <c r="C7290" s="12"/>
    </row>
    <row r="7291" spans="2:3">
      <c r="B7291" s="12"/>
      <c r="C7291" s="12"/>
    </row>
    <row r="7292" spans="2:3">
      <c r="B7292" s="12"/>
      <c r="C7292" s="12"/>
    </row>
    <row r="7293" spans="2:3">
      <c r="B7293" s="12"/>
      <c r="C7293" s="12"/>
    </row>
    <row r="7294" spans="2:3">
      <c r="B7294" s="12"/>
      <c r="C7294" s="12"/>
    </row>
    <row r="7295" spans="2:3">
      <c r="B7295" s="12"/>
      <c r="C7295" s="12"/>
    </row>
    <row r="7296" spans="2:3">
      <c r="B7296" s="12"/>
      <c r="C7296" s="12"/>
    </row>
    <row r="7297" spans="2:3">
      <c r="B7297" s="12"/>
      <c r="C7297" s="12"/>
    </row>
    <row r="7298" spans="2:3">
      <c r="B7298" s="12"/>
      <c r="C7298" s="12"/>
    </row>
    <row r="7299" spans="2:3">
      <c r="B7299" s="12"/>
      <c r="C7299" s="12"/>
    </row>
    <row r="7300" spans="2:3">
      <c r="B7300" s="12"/>
      <c r="C7300" s="12"/>
    </row>
    <row r="7301" spans="2:3">
      <c r="B7301" s="12"/>
      <c r="C7301" s="12"/>
    </row>
    <row r="7302" spans="2:3">
      <c r="B7302" s="12"/>
      <c r="C7302" s="12"/>
    </row>
    <row r="7303" spans="2:3">
      <c r="B7303" s="12"/>
      <c r="C7303" s="12"/>
    </row>
    <row r="7304" spans="2:3">
      <c r="B7304" s="12"/>
      <c r="C7304" s="12"/>
    </row>
    <row r="7305" spans="2:3">
      <c r="B7305" s="12"/>
      <c r="C7305" s="12"/>
    </row>
    <row r="7306" spans="2:3">
      <c r="B7306" s="12"/>
      <c r="C7306" s="12"/>
    </row>
    <row r="7307" spans="2:3">
      <c r="B7307" s="12"/>
      <c r="C7307" s="12"/>
    </row>
    <row r="7308" spans="2:3">
      <c r="B7308" s="12"/>
      <c r="C7308" s="12"/>
    </row>
    <row r="7309" spans="2:3">
      <c r="B7309" s="12"/>
      <c r="C7309" s="12"/>
    </row>
    <row r="7310" spans="2:3">
      <c r="B7310" s="12"/>
      <c r="C7310" s="12"/>
    </row>
    <row r="7311" spans="2:3">
      <c r="B7311" s="12"/>
      <c r="C7311" s="12"/>
    </row>
    <row r="7312" spans="2:3">
      <c r="B7312" s="12"/>
      <c r="C7312" s="12"/>
    </row>
    <row r="7313" spans="2:3">
      <c r="B7313" s="12"/>
      <c r="C7313" s="12"/>
    </row>
    <row r="7314" spans="2:3">
      <c r="B7314" s="12"/>
      <c r="C7314" s="12"/>
    </row>
    <row r="7315" spans="2:3">
      <c r="B7315" s="12"/>
      <c r="C7315" s="12"/>
    </row>
    <row r="7316" spans="2:3">
      <c r="B7316" s="12"/>
      <c r="C7316" s="12"/>
    </row>
    <row r="7317" spans="2:3">
      <c r="B7317" s="12"/>
      <c r="C7317" s="12"/>
    </row>
    <row r="7318" spans="2:3">
      <c r="B7318" s="12"/>
      <c r="C7318" s="12"/>
    </row>
    <row r="7319" spans="2:3">
      <c r="B7319" s="12"/>
      <c r="C7319" s="12"/>
    </row>
    <row r="7320" spans="2:3">
      <c r="B7320" s="12"/>
      <c r="C7320" s="12"/>
    </row>
    <row r="7321" spans="2:3">
      <c r="B7321" s="12"/>
      <c r="C7321" s="12"/>
    </row>
    <row r="7322" spans="2:3">
      <c r="B7322" s="12"/>
      <c r="C7322" s="12"/>
    </row>
    <row r="7323" spans="2:3">
      <c r="B7323" s="12"/>
      <c r="C7323" s="12"/>
    </row>
    <row r="7324" spans="2:3">
      <c r="B7324" s="12"/>
      <c r="C7324" s="12"/>
    </row>
    <row r="7325" spans="2:3">
      <c r="B7325" s="12"/>
      <c r="C7325" s="12"/>
    </row>
    <row r="7326" spans="2:3">
      <c r="B7326" s="12"/>
      <c r="C7326" s="12"/>
    </row>
    <row r="7327" spans="2:3">
      <c r="B7327" s="12"/>
      <c r="C7327" s="12"/>
    </row>
    <row r="7328" spans="2:3">
      <c r="B7328" s="12"/>
      <c r="C7328" s="12"/>
    </row>
    <row r="7329" spans="2:3">
      <c r="B7329" s="12"/>
      <c r="C7329" s="12"/>
    </row>
    <row r="7330" spans="2:3">
      <c r="B7330" s="12"/>
      <c r="C7330" s="12"/>
    </row>
    <row r="7331" spans="2:3">
      <c r="B7331" s="12"/>
      <c r="C7331" s="12"/>
    </row>
    <row r="7332" spans="2:3">
      <c r="B7332" s="12"/>
      <c r="C7332" s="12"/>
    </row>
    <row r="7333" spans="2:3">
      <c r="B7333" s="12"/>
      <c r="C7333" s="12"/>
    </row>
    <row r="7334" spans="2:3">
      <c r="B7334" s="12"/>
      <c r="C7334" s="12"/>
    </row>
    <row r="7335" spans="2:3">
      <c r="B7335" s="12"/>
      <c r="C7335" s="12"/>
    </row>
    <row r="7336" spans="2:3">
      <c r="B7336" s="12"/>
      <c r="C7336" s="12"/>
    </row>
    <row r="7337" spans="2:3">
      <c r="B7337" s="12"/>
      <c r="C7337" s="12"/>
    </row>
    <row r="7338" spans="2:3">
      <c r="B7338" s="12"/>
      <c r="C7338" s="12"/>
    </row>
    <row r="7339" spans="2:3">
      <c r="B7339" s="12"/>
      <c r="C7339" s="12"/>
    </row>
    <row r="7340" spans="2:3">
      <c r="B7340" s="12"/>
      <c r="C7340" s="12"/>
    </row>
    <row r="7341" spans="2:3">
      <c r="B7341" s="12"/>
      <c r="C7341" s="12"/>
    </row>
    <row r="7342" spans="2:3">
      <c r="B7342" s="12"/>
      <c r="C7342" s="12"/>
    </row>
    <row r="7343" spans="2:3">
      <c r="B7343" s="12"/>
      <c r="C7343" s="12"/>
    </row>
    <row r="7344" spans="2:3">
      <c r="B7344" s="12"/>
      <c r="C7344" s="12"/>
    </row>
    <row r="7345" spans="2:3">
      <c r="B7345" s="12"/>
      <c r="C7345" s="12"/>
    </row>
    <row r="7346" spans="2:3">
      <c r="B7346" s="12"/>
      <c r="C7346" s="12"/>
    </row>
    <row r="7347" spans="2:3">
      <c r="B7347" s="12"/>
      <c r="C7347" s="12"/>
    </row>
    <row r="7348" spans="2:3">
      <c r="B7348" s="12"/>
      <c r="C7348" s="12"/>
    </row>
    <row r="7349" spans="2:3">
      <c r="B7349" s="12"/>
      <c r="C7349" s="12"/>
    </row>
    <row r="7350" spans="2:3">
      <c r="B7350" s="12"/>
      <c r="C7350" s="12"/>
    </row>
    <row r="7351" spans="2:3">
      <c r="B7351" s="12"/>
      <c r="C7351" s="12"/>
    </row>
    <row r="7352" spans="2:3">
      <c r="B7352" s="12"/>
      <c r="C7352" s="12"/>
    </row>
    <row r="7353" spans="2:3">
      <c r="B7353" s="12"/>
      <c r="C7353" s="12"/>
    </row>
    <row r="7354" spans="2:3">
      <c r="B7354" s="12"/>
      <c r="C7354" s="12"/>
    </row>
    <row r="7355" spans="2:3">
      <c r="B7355" s="12"/>
      <c r="C7355" s="12"/>
    </row>
    <row r="7356" spans="2:3">
      <c r="B7356" s="12"/>
      <c r="C7356" s="12"/>
    </row>
    <row r="7357" spans="2:3">
      <c r="B7357" s="12"/>
      <c r="C7357" s="12"/>
    </row>
    <row r="7358" spans="2:3">
      <c r="B7358" s="12"/>
      <c r="C7358" s="12"/>
    </row>
    <row r="7359" spans="2:3">
      <c r="B7359" s="12"/>
      <c r="C7359" s="12"/>
    </row>
    <row r="7360" spans="2:3">
      <c r="B7360" s="12"/>
      <c r="C7360" s="12"/>
    </row>
    <row r="7361" spans="2:3">
      <c r="B7361" s="12"/>
      <c r="C7361" s="12"/>
    </row>
    <row r="7362" spans="2:3">
      <c r="B7362" s="12"/>
      <c r="C7362" s="12"/>
    </row>
    <row r="7363" spans="2:3">
      <c r="B7363" s="12"/>
      <c r="C7363" s="12"/>
    </row>
    <row r="7364" spans="2:3">
      <c r="B7364" s="12"/>
      <c r="C7364" s="12"/>
    </row>
    <row r="7365" spans="2:3">
      <c r="B7365" s="12"/>
      <c r="C7365" s="12"/>
    </row>
    <row r="7366" spans="2:3">
      <c r="B7366" s="12"/>
      <c r="C7366" s="12"/>
    </row>
    <row r="7367" spans="2:3">
      <c r="B7367" s="12"/>
      <c r="C7367" s="12"/>
    </row>
    <row r="7368" spans="2:3">
      <c r="B7368" s="12"/>
      <c r="C7368" s="12"/>
    </row>
    <row r="7369" spans="2:3">
      <c r="B7369" s="12"/>
      <c r="C7369" s="12"/>
    </row>
    <row r="7370" spans="2:3">
      <c r="B7370" s="12"/>
      <c r="C7370" s="12"/>
    </row>
    <row r="7371" spans="2:3">
      <c r="B7371" s="12"/>
      <c r="C7371" s="12"/>
    </row>
    <row r="7372" spans="2:3">
      <c r="B7372" s="12"/>
      <c r="C7372" s="12"/>
    </row>
    <row r="7373" spans="2:3">
      <c r="B7373" s="12"/>
      <c r="C7373" s="12"/>
    </row>
    <row r="7374" spans="2:3">
      <c r="B7374" s="12"/>
      <c r="C7374" s="12"/>
    </row>
    <row r="7375" spans="2:3">
      <c r="B7375" s="12"/>
      <c r="C7375" s="12"/>
    </row>
    <row r="7376" spans="2:3">
      <c r="B7376" s="12"/>
      <c r="C7376" s="12"/>
    </row>
    <row r="7377" spans="2:3">
      <c r="B7377" s="12"/>
      <c r="C7377" s="12"/>
    </row>
    <row r="7378" spans="2:3">
      <c r="B7378" s="12"/>
      <c r="C7378" s="12"/>
    </row>
    <row r="7379" spans="2:3">
      <c r="B7379" s="12"/>
      <c r="C7379" s="12"/>
    </row>
    <row r="7380" spans="2:3">
      <c r="B7380" s="12"/>
      <c r="C7380" s="12"/>
    </row>
    <row r="7381" spans="2:3">
      <c r="B7381" s="12"/>
      <c r="C7381" s="12"/>
    </row>
    <row r="7382" spans="2:3">
      <c r="B7382" s="12"/>
      <c r="C7382" s="12"/>
    </row>
    <row r="7383" spans="2:3">
      <c r="B7383" s="12"/>
      <c r="C7383" s="12"/>
    </row>
    <row r="7384" spans="2:3">
      <c r="B7384" s="12"/>
      <c r="C7384" s="12"/>
    </row>
    <row r="7385" spans="2:3">
      <c r="B7385" s="12"/>
      <c r="C7385" s="12"/>
    </row>
    <row r="7386" spans="2:3">
      <c r="B7386" s="12"/>
      <c r="C7386" s="12"/>
    </row>
    <row r="7387" spans="2:3">
      <c r="B7387" s="12"/>
      <c r="C7387" s="12"/>
    </row>
    <row r="7388" spans="2:3">
      <c r="B7388" s="12"/>
      <c r="C7388" s="12"/>
    </row>
    <row r="7389" spans="2:3">
      <c r="B7389" s="12"/>
      <c r="C7389" s="12"/>
    </row>
    <row r="7390" spans="2:3">
      <c r="B7390" s="12"/>
      <c r="C7390" s="12"/>
    </row>
    <row r="7391" spans="2:3">
      <c r="B7391" s="12"/>
      <c r="C7391" s="12"/>
    </row>
    <row r="7392" spans="2:3">
      <c r="B7392" s="12"/>
      <c r="C7392" s="12"/>
    </row>
    <row r="7393" spans="2:3">
      <c r="B7393" s="12"/>
      <c r="C7393" s="12"/>
    </row>
    <row r="7394" spans="2:3">
      <c r="B7394" s="12"/>
      <c r="C7394" s="12"/>
    </row>
    <row r="7395" spans="2:3">
      <c r="B7395" s="12"/>
      <c r="C7395" s="12"/>
    </row>
    <row r="7396" spans="2:3">
      <c r="B7396" s="12"/>
      <c r="C7396" s="12"/>
    </row>
    <row r="7397" spans="2:3">
      <c r="B7397" s="12"/>
      <c r="C7397" s="12"/>
    </row>
    <row r="7398" spans="2:3">
      <c r="B7398" s="12"/>
      <c r="C7398" s="12"/>
    </row>
    <row r="7399" spans="2:3">
      <c r="B7399" s="12"/>
      <c r="C7399" s="12"/>
    </row>
    <row r="7400" spans="2:3">
      <c r="B7400" s="12"/>
      <c r="C7400" s="12"/>
    </row>
    <row r="7401" spans="2:3">
      <c r="B7401" s="12"/>
      <c r="C7401" s="12"/>
    </row>
    <row r="7402" spans="2:3">
      <c r="B7402" s="12"/>
      <c r="C7402" s="12"/>
    </row>
    <row r="7403" spans="2:3">
      <c r="B7403" s="12"/>
      <c r="C7403" s="12"/>
    </row>
    <row r="7404" spans="2:3">
      <c r="B7404" s="12"/>
      <c r="C7404" s="12"/>
    </row>
    <row r="7405" spans="2:3">
      <c r="B7405" s="12"/>
      <c r="C7405" s="12"/>
    </row>
    <row r="7406" spans="2:3">
      <c r="B7406" s="12"/>
      <c r="C7406" s="12"/>
    </row>
    <row r="7407" spans="2:3">
      <c r="B7407" s="12"/>
      <c r="C7407" s="12"/>
    </row>
    <row r="7408" spans="2:3">
      <c r="B7408" s="12"/>
      <c r="C7408" s="12"/>
    </row>
    <row r="7409" spans="2:3">
      <c r="B7409" s="12"/>
      <c r="C7409" s="12"/>
    </row>
    <row r="7410" spans="2:3">
      <c r="B7410" s="12"/>
      <c r="C7410" s="12"/>
    </row>
    <row r="7411" spans="2:3">
      <c r="B7411" s="12"/>
      <c r="C7411" s="12"/>
    </row>
    <row r="7412" spans="2:3">
      <c r="B7412" s="12"/>
      <c r="C7412" s="12"/>
    </row>
    <row r="7413" spans="2:3">
      <c r="B7413" s="12"/>
      <c r="C7413" s="12"/>
    </row>
    <row r="7414" spans="2:3">
      <c r="B7414" s="12"/>
      <c r="C7414" s="12"/>
    </row>
    <row r="7415" spans="2:3">
      <c r="B7415" s="12"/>
      <c r="C7415" s="12"/>
    </row>
    <row r="7416" spans="2:3">
      <c r="B7416" s="12"/>
      <c r="C7416" s="12"/>
    </row>
    <row r="7417" spans="2:3">
      <c r="B7417" s="12"/>
      <c r="C7417" s="12"/>
    </row>
    <row r="7418" spans="2:3">
      <c r="B7418" s="12"/>
      <c r="C7418" s="12"/>
    </row>
    <row r="7419" spans="2:3">
      <c r="B7419" s="12"/>
      <c r="C7419" s="12"/>
    </row>
    <row r="7420" spans="2:3">
      <c r="B7420" s="12"/>
      <c r="C7420" s="12"/>
    </row>
    <row r="7421" spans="2:3">
      <c r="B7421" s="12"/>
      <c r="C7421" s="12"/>
    </row>
    <row r="7422" spans="2:3">
      <c r="B7422" s="12"/>
      <c r="C7422" s="12"/>
    </row>
    <row r="7423" spans="2:3">
      <c r="B7423" s="12"/>
      <c r="C7423" s="12"/>
    </row>
    <row r="7424" spans="2:3">
      <c r="B7424" s="12"/>
      <c r="C7424" s="12"/>
    </row>
    <row r="7425" spans="2:3">
      <c r="B7425" s="12"/>
      <c r="C7425" s="12"/>
    </row>
    <row r="7426" spans="2:3">
      <c r="B7426" s="12"/>
      <c r="C7426" s="12"/>
    </row>
    <row r="7427" spans="2:3">
      <c r="B7427" s="12"/>
      <c r="C7427" s="12"/>
    </row>
    <row r="7428" spans="2:3">
      <c r="B7428" s="12"/>
      <c r="C7428" s="12"/>
    </row>
    <row r="7429" spans="2:3">
      <c r="B7429" s="12"/>
      <c r="C7429" s="12"/>
    </row>
    <row r="7430" spans="2:3">
      <c r="B7430" s="12"/>
      <c r="C7430" s="12"/>
    </row>
    <row r="7431" spans="2:3">
      <c r="B7431" s="12"/>
      <c r="C7431" s="12"/>
    </row>
    <row r="7432" spans="2:3">
      <c r="B7432" s="12"/>
      <c r="C7432" s="12"/>
    </row>
    <row r="7433" spans="2:3">
      <c r="B7433" s="12"/>
      <c r="C7433" s="12"/>
    </row>
    <row r="7434" spans="2:3">
      <c r="B7434" s="12"/>
      <c r="C7434" s="12"/>
    </row>
    <row r="7435" spans="2:3">
      <c r="B7435" s="12"/>
      <c r="C7435" s="12"/>
    </row>
    <row r="7436" spans="2:3">
      <c r="B7436" s="12"/>
      <c r="C7436" s="12"/>
    </row>
    <row r="7437" spans="2:3">
      <c r="B7437" s="12"/>
      <c r="C7437" s="12"/>
    </row>
    <row r="7438" spans="2:3">
      <c r="B7438" s="12"/>
      <c r="C7438" s="12"/>
    </row>
    <row r="7439" spans="2:3">
      <c r="B7439" s="12"/>
      <c r="C7439" s="12"/>
    </row>
    <row r="7440" spans="2:3">
      <c r="B7440" s="12"/>
      <c r="C7440" s="12"/>
    </row>
    <row r="7441" spans="2:3">
      <c r="B7441" s="12"/>
      <c r="C7441" s="12"/>
    </row>
    <row r="7442" spans="2:3">
      <c r="B7442" s="12"/>
      <c r="C7442" s="12"/>
    </row>
    <row r="7443" spans="2:3">
      <c r="B7443" s="12"/>
      <c r="C7443" s="12"/>
    </row>
    <row r="7444" spans="2:3">
      <c r="B7444" s="12"/>
      <c r="C7444" s="12"/>
    </row>
    <row r="7445" spans="2:3">
      <c r="B7445" s="12"/>
      <c r="C7445" s="12"/>
    </row>
    <row r="7446" spans="2:3">
      <c r="B7446" s="12"/>
      <c r="C7446" s="12"/>
    </row>
    <row r="7447" spans="2:3">
      <c r="B7447" s="12"/>
      <c r="C7447" s="12"/>
    </row>
    <row r="7448" spans="2:3">
      <c r="B7448" s="12"/>
      <c r="C7448" s="12"/>
    </row>
    <row r="7449" spans="2:3">
      <c r="B7449" s="12"/>
      <c r="C7449" s="12"/>
    </row>
    <row r="7450" spans="2:3">
      <c r="B7450" s="12"/>
      <c r="C7450" s="12"/>
    </row>
    <row r="7451" spans="2:3">
      <c r="B7451" s="12"/>
      <c r="C7451" s="12"/>
    </row>
    <row r="7452" spans="2:3">
      <c r="B7452" s="12"/>
      <c r="C7452" s="12"/>
    </row>
    <row r="7453" spans="2:3">
      <c r="B7453" s="12"/>
      <c r="C7453" s="12"/>
    </row>
    <row r="7454" spans="2:3">
      <c r="B7454" s="12"/>
      <c r="C7454" s="12"/>
    </row>
    <row r="7455" spans="2:3">
      <c r="B7455" s="12"/>
      <c r="C7455" s="12"/>
    </row>
    <row r="7456" spans="2:3">
      <c r="B7456" s="12"/>
      <c r="C7456" s="12"/>
    </row>
    <row r="7457" spans="2:3">
      <c r="B7457" s="12"/>
      <c r="C7457" s="12"/>
    </row>
    <row r="7458" spans="2:3">
      <c r="B7458" s="12"/>
      <c r="C7458" s="12"/>
    </row>
    <row r="7459" spans="2:3">
      <c r="B7459" s="12"/>
      <c r="C7459" s="12"/>
    </row>
    <row r="7460" spans="2:3">
      <c r="B7460" s="12"/>
      <c r="C7460" s="12"/>
    </row>
    <row r="7461" spans="2:3">
      <c r="B7461" s="12"/>
      <c r="C7461" s="12"/>
    </row>
    <row r="7462" spans="2:3">
      <c r="B7462" s="12"/>
      <c r="C7462" s="12"/>
    </row>
    <row r="7463" spans="2:3">
      <c r="B7463" s="12"/>
      <c r="C7463" s="12"/>
    </row>
    <row r="7464" spans="2:3">
      <c r="B7464" s="12"/>
      <c r="C7464" s="12"/>
    </row>
    <row r="7465" spans="2:3">
      <c r="B7465" s="12"/>
      <c r="C7465" s="12"/>
    </row>
    <row r="7466" spans="2:3">
      <c r="B7466" s="12"/>
      <c r="C7466" s="12"/>
    </row>
    <row r="7467" spans="2:3">
      <c r="B7467" s="12"/>
      <c r="C7467" s="12"/>
    </row>
    <row r="7468" spans="2:3">
      <c r="B7468" s="12"/>
      <c r="C7468" s="12"/>
    </row>
    <row r="7469" spans="2:3">
      <c r="B7469" s="12"/>
      <c r="C7469" s="12"/>
    </row>
    <row r="7470" spans="2:3">
      <c r="B7470" s="12"/>
      <c r="C7470" s="12"/>
    </row>
    <row r="7471" spans="2:3">
      <c r="B7471" s="12"/>
      <c r="C7471" s="12"/>
    </row>
    <row r="7472" spans="2:3">
      <c r="B7472" s="12"/>
      <c r="C7472" s="12"/>
    </row>
    <row r="7473" spans="2:3">
      <c r="B7473" s="12"/>
      <c r="C7473" s="12"/>
    </row>
    <row r="7474" spans="2:3">
      <c r="B7474" s="12"/>
      <c r="C7474" s="12"/>
    </row>
    <row r="7475" spans="2:3">
      <c r="B7475" s="12"/>
      <c r="C7475" s="12"/>
    </row>
    <row r="7476" spans="2:3">
      <c r="B7476" s="12"/>
      <c r="C7476" s="12"/>
    </row>
    <row r="7477" spans="2:3">
      <c r="B7477" s="12"/>
      <c r="C7477" s="12"/>
    </row>
    <row r="7478" spans="2:3">
      <c r="B7478" s="12"/>
      <c r="C7478" s="12"/>
    </row>
    <row r="7479" spans="2:3">
      <c r="B7479" s="12"/>
      <c r="C7479" s="12"/>
    </row>
    <row r="7480" spans="2:3">
      <c r="B7480" s="12"/>
      <c r="C7480" s="12"/>
    </row>
    <row r="7481" spans="2:3">
      <c r="B7481" s="12"/>
      <c r="C7481" s="12"/>
    </row>
    <row r="7482" spans="2:3">
      <c r="B7482" s="12"/>
      <c r="C7482" s="12"/>
    </row>
    <row r="7483" spans="2:3">
      <c r="B7483" s="12"/>
      <c r="C7483" s="12"/>
    </row>
    <row r="7484" spans="2:3">
      <c r="B7484" s="12"/>
      <c r="C7484" s="12"/>
    </row>
    <row r="7485" spans="2:3">
      <c r="B7485" s="12"/>
      <c r="C7485" s="12"/>
    </row>
    <row r="7486" spans="2:3">
      <c r="B7486" s="12"/>
      <c r="C7486" s="12"/>
    </row>
    <row r="7487" spans="2:3">
      <c r="B7487" s="12"/>
      <c r="C7487" s="12"/>
    </row>
    <row r="7488" spans="2:3">
      <c r="B7488" s="12"/>
      <c r="C7488" s="12"/>
    </row>
    <row r="7489" spans="2:3">
      <c r="B7489" s="12"/>
      <c r="C7489" s="12"/>
    </row>
    <row r="7490" spans="2:3">
      <c r="B7490" s="12"/>
      <c r="C7490" s="12"/>
    </row>
    <row r="7491" spans="2:3">
      <c r="B7491" s="12"/>
      <c r="C7491" s="12"/>
    </row>
    <row r="7492" spans="2:3">
      <c r="B7492" s="12"/>
      <c r="C7492" s="12"/>
    </row>
    <row r="7493" spans="2:3">
      <c r="B7493" s="12"/>
      <c r="C7493" s="12"/>
    </row>
    <row r="7494" spans="2:3">
      <c r="B7494" s="12"/>
      <c r="C7494" s="12"/>
    </row>
    <row r="7495" spans="2:3">
      <c r="B7495" s="12"/>
      <c r="C7495" s="12"/>
    </row>
    <row r="7496" spans="2:3">
      <c r="B7496" s="12"/>
      <c r="C7496" s="12"/>
    </row>
    <row r="7497" spans="2:3">
      <c r="B7497" s="12"/>
      <c r="C7497" s="12"/>
    </row>
    <row r="7498" spans="2:3">
      <c r="B7498" s="12"/>
      <c r="C7498" s="12"/>
    </row>
    <row r="7499" spans="2:3">
      <c r="B7499" s="12"/>
      <c r="C7499" s="12"/>
    </row>
    <row r="7500" spans="2:3">
      <c r="B7500" s="12"/>
      <c r="C7500" s="12"/>
    </row>
    <row r="7501" spans="2:3">
      <c r="B7501" s="12"/>
      <c r="C7501" s="12"/>
    </row>
    <row r="7502" spans="2:3">
      <c r="B7502" s="12"/>
      <c r="C7502" s="12"/>
    </row>
    <row r="7503" spans="2:3">
      <c r="B7503" s="12"/>
      <c r="C7503" s="12"/>
    </row>
    <row r="7504" spans="2:3">
      <c r="B7504" s="12"/>
      <c r="C7504" s="12"/>
    </row>
    <row r="7505" spans="2:3">
      <c r="B7505" s="12"/>
      <c r="C7505" s="12"/>
    </row>
    <row r="7506" spans="2:3">
      <c r="B7506" s="12"/>
      <c r="C7506" s="12"/>
    </row>
    <row r="7507" spans="2:3">
      <c r="B7507" s="12"/>
      <c r="C7507" s="12"/>
    </row>
    <row r="7508" spans="2:3">
      <c r="B7508" s="12"/>
      <c r="C7508" s="12"/>
    </row>
    <row r="7509" spans="2:3">
      <c r="B7509" s="12"/>
      <c r="C7509" s="12"/>
    </row>
    <row r="7510" spans="2:3">
      <c r="B7510" s="12"/>
      <c r="C7510" s="12"/>
    </row>
    <row r="7511" spans="2:3">
      <c r="B7511" s="12"/>
      <c r="C7511" s="12"/>
    </row>
    <row r="7512" spans="2:3">
      <c r="B7512" s="12"/>
      <c r="C7512" s="12"/>
    </row>
    <row r="7513" spans="2:3">
      <c r="B7513" s="12"/>
      <c r="C7513" s="12"/>
    </row>
    <row r="7514" spans="2:3">
      <c r="B7514" s="12"/>
      <c r="C7514" s="12"/>
    </row>
    <row r="7515" spans="2:3">
      <c r="B7515" s="12"/>
      <c r="C7515" s="12"/>
    </row>
    <row r="7516" spans="2:3">
      <c r="B7516" s="12"/>
      <c r="C7516" s="12"/>
    </row>
    <row r="7517" spans="2:3">
      <c r="B7517" s="12"/>
      <c r="C7517" s="12"/>
    </row>
    <row r="7518" spans="2:3">
      <c r="B7518" s="12"/>
      <c r="C7518" s="12"/>
    </row>
    <row r="7519" spans="2:3">
      <c r="B7519" s="12"/>
      <c r="C7519" s="12"/>
    </row>
    <row r="7520" spans="2:3">
      <c r="B7520" s="12"/>
      <c r="C7520" s="12"/>
    </row>
    <row r="7521" spans="2:3">
      <c r="B7521" s="12"/>
      <c r="C7521" s="12"/>
    </row>
    <row r="7522" spans="2:3">
      <c r="B7522" s="12"/>
      <c r="C7522" s="12"/>
    </row>
    <row r="7523" spans="2:3">
      <c r="B7523" s="12"/>
      <c r="C7523" s="12"/>
    </row>
    <row r="7524" spans="2:3">
      <c r="B7524" s="12"/>
      <c r="C7524" s="12"/>
    </row>
    <row r="7525" spans="2:3">
      <c r="B7525" s="12"/>
      <c r="C7525" s="12"/>
    </row>
    <row r="7526" spans="2:3">
      <c r="B7526" s="12"/>
      <c r="C7526" s="12"/>
    </row>
    <row r="7527" spans="2:3">
      <c r="B7527" s="12"/>
      <c r="C7527" s="12"/>
    </row>
    <row r="7528" spans="2:3">
      <c r="B7528" s="12"/>
      <c r="C7528" s="12"/>
    </row>
    <row r="7529" spans="2:3">
      <c r="B7529" s="12"/>
      <c r="C7529" s="12"/>
    </row>
    <row r="7530" spans="2:3">
      <c r="B7530" s="12"/>
      <c r="C7530" s="12"/>
    </row>
    <row r="7531" spans="2:3">
      <c r="B7531" s="12"/>
      <c r="C7531" s="12"/>
    </row>
    <row r="7532" spans="2:3">
      <c r="B7532" s="12"/>
      <c r="C7532" s="12"/>
    </row>
    <row r="7533" spans="2:3">
      <c r="B7533" s="12"/>
      <c r="C7533" s="12"/>
    </row>
    <row r="7534" spans="2:3">
      <c r="B7534" s="12"/>
      <c r="C7534" s="12"/>
    </row>
    <row r="7535" spans="2:3">
      <c r="B7535" s="12"/>
      <c r="C7535" s="12"/>
    </row>
    <row r="7536" spans="2:3">
      <c r="B7536" s="12"/>
      <c r="C7536" s="12"/>
    </row>
    <row r="7537" spans="2:3">
      <c r="B7537" s="12"/>
      <c r="C7537" s="12"/>
    </row>
    <row r="7538" spans="2:3">
      <c r="B7538" s="12"/>
      <c r="C7538" s="12"/>
    </row>
    <row r="7539" spans="2:3">
      <c r="B7539" s="12"/>
      <c r="C7539" s="12"/>
    </row>
    <row r="7540" spans="2:3">
      <c r="B7540" s="12"/>
      <c r="C7540" s="12"/>
    </row>
    <row r="7541" spans="2:3">
      <c r="B7541" s="12"/>
      <c r="C7541" s="12"/>
    </row>
    <row r="7542" spans="2:3">
      <c r="B7542" s="12"/>
      <c r="C7542" s="12"/>
    </row>
    <row r="7543" spans="2:3">
      <c r="B7543" s="12"/>
      <c r="C7543" s="12"/>
    </row>
    <row r="7544" spans="2:3">
      <c r="B7544" s="12"/>
      <c r="C7544" s="12"/>
    </row>
    <row r="7545" spans="2:3">
      <c r="B7545" s="12"/>
      <c r="C7545" s="12"/>
    </row>
    <row r="7546" spans="2:3">
      <c r="B7546" s="12"/>
      <c r="C7546" s="12"/>
    </row>
    <row r="7547" spans="2:3">
      <c r="B7547" s="12"/>
      <c r="C7547" s="12"/>
    </row>
    <row r="7548" spans="2:3">
      <c r="B7548" s="12"/>
      <c r="C7548" s="12"/>
    </row>
    <row r="7549" spans="2:3">
      <c r="B7549" s="12"/>
      <c r="C7549" s="12"/>
    </row>
    <row r="7550" spans="2:3">
      <c r="B7550" s="12"/>
      <c r="C7550" s="12"/>
    </row>
    <row r="7551" spans="2:3">
      <c r="B7551" s="12"/>
      <c r="C7551" s="12"/>
    </row>
    <row r="7552" spans="2:3">
      <c r="B7552" s="12"/>
      <c r="C7552" s="12"/>
    </row>
    <row r="7553" spans="2:3">
      <c r="B7553" s="12"/>
      <c r="C7553" s="12"/>
    </row>
    <row r="7554" spans="2:3">
      <c r="B7554" s="12"/>
      <c r="C7554" s="12"/>
    </row>
    <row r="7555" spans="2:3">
      <c r="B7555" s="12"/>
      <c r="C7555" s="12"/>
    </row>
    <row r="7556" spans="2:3">
      <c r="B7556" s="12"/>
      <c r="C7556" s="12"/>
    </row>
    <row r="7557" spans="2:3">
      <c r="B7557" s="12"/>
      <c r="C7557" s="12"/>
    </row>
    <row r="7558" spans="2:3">
      <c r="B7558" s="12"/>
      <c r="C7558" s="12"/>
    </row>
    <row r="7559" spans="2:3">
      <c r="B7559" s="12"/>
      <c r="C7559" s="12"/>
    </row>
    <row r="7560" spans="2:3">
      <c r="B7560" s="12"/>
      <c r="C7560" s="12"/>
    </row>
    <row r="7561" spans="2:3">
      <c r="B7561" s="12"/>
      <c r="C7561" s="12"/>
    </row>
    <row r="7562" spans="2:3">
      <c r="B7562" s="12"/>
      <c r="C7562" s="12"/>
    </row>
    <row r="7563" spans="2:3">
      <c r="B7563" s="12"/>
      <c r="C7563" s="12"/>
    </row>
    <row r="7564" spans="2:3">
      <c r="B7564" s="12"/>
      <c r="C7564" s="12"/>
    </row>
    <row r="7565" spans="2:3">
      <c r="B7565" s="12"/>
      <c r="C7565" s="12"/>
    </row>
    <row r="7566" spans="2:3">
      <c r="B7566" s="12"/>
      <c r="C7566" s="12"/>
    </row>
    <row r="7567" spans="2:3">
      <c r="B7567" s="12"/>
      <c r="C7567" s="12"/>
    </row>
    <row r="7568" spans="2:3">
      <c r="B7568" s="12"/>
      <c r="C7568" s="12"/>
    </row>
    <row r="7569" spans="2:3">
      <c r="B7569" s="12"/>
      <c r="C7569" s="12"/>
    </row>
    <row r="7570" spans="2:3">
      <c r="B7570" s="12"/>
      <c r="C7570" s="12"/>
    </row>
    <row r="7571" spans="2:3">
      <c r="B7571" s="12"/>
      <c r="C7571" s="12"/>
    </row>
    <row r="7572" spans="2:3">
      <c r="B7572" s="12"/>
      <c r="C7572" s="12"/>
    </row>
    <row r="7573" spans="2:3">
      <c r="B7573" s="12"/>
      <c r="C7573" s="12"/>
    </row>
    <row r="7574" spans="2:3">
      <c r="B7574" s="12"/>
      <c r="C7574" s="12"/>
    </row>
    <row r="7575" spans="2:3">
      <c r="B7575" s="12"/>
      <c r="C7575" s="12"/>
    </row>
    <row r="7576" spans="2:3">
      <c r="B7576" s="12"/>
      <c r="C7576" s="12"/>
    </row>
    <row r="7577" spans="2:3">
      <c r="B7577" s="12"/>
      <c r="C7577" s="12"/>
    </row>
    <row r="7578" spans="2:3">
      <c r="B7578" s="12"/>
      <c r="C7578" s="12"/>
    </row>
    <row r="7579" spans="2:3">
      <c r="B7579" s="12"/>
      <c r="C7579" s="12"/>
    </row>
    <row r="7580" spans="2:3">
      <c r="B7580" s="12"/>
      <c r="C7580" s="12"/>
    </row>
    <row r="7581" spans="2:3">
      <c r="B7581" s="12"/>
      <c r="C7581" s="12"/>
    </row>
    <row r="7582" spans="2:3">
      <c r="B7582" s="12"/>
      <c r="C7582" s="12"/>
    </row>
    <row r="7583" spans="2:3">
      <c r="B7583" s="12"/>
      <c r="C7583" s="12"/>
    </row>
    <row r="7584" spans="2:3">
      <c r="B7584" s="12"/>
      <c r="C7584" s="12"/>
    </row>
    <row r="7585" spans="2:3">
      <c r="B7585" s="12"/>
      <c r="C7585" s="12"/>
    </row>
    <row r="7586" spans="2:3">
      <c r="B7586" s="12"/>
      <c r="C7586" s="12"/>
    </row>
    <row r="7587" spans="2:3">
      <c r="B7587" s="12"/>
      <c r="C7587" s="12"/>
    </row>
    <row r="7588" spans="2:3">
      <c r="B7588" s="12"/>
      <c r="C7588" s="12"/>
    </row>
    <row r="7589" spans="2:3">
      <c r="B7589" s="12"/>
      <c r="C7589" s="12"/>
    </row>
    <row r="7590" spans="2:3">
      <c r="B7590" s="12"/>
      <c r="C7590" s="12"/>
    </row>
    <row r="7591" spans="2:3">
      <c r="B7591" s="12"/>
      <c r="C7591" s="12"/>
    </row>
    <row r="7592" spans="2:3">
      <c r="B7592" s="12"/>
      <c r="C7592" s="12"/>
    </row>
    <row r="7593" spans="2:3">
      <c r="B7593" s="12"/>
      <c r="C7593" s="12"/>
    </row>
    <row r="7594" spans="2:3">
      <c r="B7594" s="12"/>
      <c r="C7594" s="12"/>
    </row>
    <row r="7595" spans="2:3">
      <c r="B7595" s="12"/>
      <c r="C7595" s="12"/>
    </row>
    <row r="7596" spans="2:3">
      <c r="B7596" s="12"/>
      <c r="C7596" s="12"/>
    </row>
    <row r="7597" spans="2:3">
      <c r="B7597" s="12"/>
      <c r="C7597" s="12"/>
    </row>
    <row r="7598" spans="2:3">
      <c r="B7598" s="12"/>
      <c r="C7598" s="12"/>
    </row>
    <row r="7599" spans="2:3">
      <c r="B7599" s="12"/>
      <c r="C7599" s="12"/>
    </row>
    <row r="7600" spans="2:3">
      <c r="B7600" s="12"/>
      <c r="C7600" s="12"/>
    </row>
    <row r="7601" spans="2:3">
      <c r="B7601" s="12"/>
      <c r="C7601" s="12"/>
    </row>
    <row r="7602" spans="2:3">
      <c r="B7602" s="12"/>
      <c r="C7602" s="12"/>
    </row>
    <row r="7603" spans="2:3">
      <c r="B7603" s="12"/>
      <c r="C7603" s="12"/>
    </row>
    <row r="7604" spans="2:3">
      <c r="B7604" s="12"/>
      <c r="C7604" s="12"/>
    </row>
    <row r="7605" spans="2:3">
      <c r="B7605" s="12"/>
      <c r="C7605" s="12"/>
    </row>
    <row r="7606" spans="2:3">
      <c r="B7606" s="12"/>
      <c r="C7606" s="12"/>
    </row>
    <row r="7607" spans="2:3">
      <c r="B7607" s="12"/>
      <c r="C7607" s="12"/>
    </row>
    <row r="7608" spans="2:3">
      <c r="B7608" s="12"/>
      <c r="C7608" s="12"/>
    </row>
    <row r="7609" spans="2:3">
      <c r="B7609" s="12"/>
      <c r="C7609" s="12"/>
    </row>
    <row r="7610" spans="2:3">
      <c r="B7610" s="12"/>
      <c r="C7610" s="12"/>
    </row>
    <row r="7611" spans="2:3">
      <c r="B7611" s="12"/>
      <c r="C7611" s="12"/>
    </row>
    <row r="7612" spans="2:3">
      <c r="B7612" s="12"/>
      <c r="C7612" s="12"/>
    </row>
    <row r="7613" spans="2:3">
      <c r="B7613" s="12"/>
      <c r="C7613" s="12"/>
    </row>
    <row r="7614" spans="2:3">
      <c r="B7614" s="12"/>
      <c r="C7614" s="12"/>
    </row>
    <row r="7615" spans="2:3">
      <c r="B7615" s="12"/>
      <c r="C7615" s="12"/>
    </row>
    <row r="7616" spans="2:3">
      <c r="B7616" s="12"/>
      <c r="C7616" s="12"/>
    </row>
    <row r="7617" spans="2:3">
      <c r="B7617" s="12"/>
      <c r="C7617" s="12"/>
    </row>
    <row r="7618" spans="2:3">
      <c r="B7618" s="12"/>
      <c r="C7618" s="12"/>
    </row>
    <row r="7619" spans="2:3">
      <c r="B7619" s="12"/>
      <c r="C7619" s="12"/>
    </row>
    <row r="7620" spans="2:3">
      <c r="B7620" s="12"/>
      <c r="C7620" s="12"/>
    </row>
    <row r="7621" spans="2:3">
      <c r="B7621" s="12"/>
      <c r="C7621" s="12"/>
    </row>
    <row r="7622" spans="2:3">
      <c r="B7622" s="12"/>
      <c r="C7622" s="12"/>
    </row>
    <row r="7623" spans="2:3">
      <c r="B7623" s="12"/>
      <c r="C7623" s="12"/>
    </row>
    <row r="7624" spans="2:3">
      <c r="B7624" s="12"/>
      <c r="C7624" s="12"/>
    </row>
    <row r="7625" spans="2:3">
      <c r="B7625" s="12"/>
      <c r="C7625" s="12"/>
    </row>
    <row r="7626" spans="2:3">
      <c r="B7626" s="12"/>
      <c r="C7626" s="12"/>
    </row>
    <row r="7627" spans="2:3">
      <c r="B7627" s="12"/>
      <c r="C7627" s="12"/>
    </row>
    <row r="7628" spans="2:3">
      <c r="B7628" s="12"/>
      <c r="C7628" s="12"/>
    </row>
    <row r="7629" spans="2:3">
      <c r="B7629" s="12"/>
      <c r="C7629" s="12"/>
    </row>
    <row r="7630" spans="2:3">
      <c r="B7630" s="12"/>
      <c r="C7630" s="12"/>
    </row>
    <row r="7631" spans="2:3">
      <c r="B7631" s="12"/>
      <c r="C7631" s="12"/>
    </row>
    <row r="7632" spans="2:3">
      <c r="B7632" s="12"/>
      <c r="C7632" s="12"/>
    </row>
    <row r="7633" spans="2:3">
      <c r="B7633" s="12"/>
      <c r="C7633" s="12"/>
    </row>
    <row r="7634" spans="2:3">
      <c r="B7634" s="12"/>
      <c r="C7634" s="12"/>
    </row>
    <row r="7635" spans="2:3">
      <c r="B7635" s="12"/>
      <c r="C7635" s="12"/>
    </row>
    <row r="7636" spans="2:3">
      <c r="B7636" s="12"/>
      <c r="C7636" s="12"/>
    </row>
    <row r="7637" spans="2:3">
      <c r="B7637" s="12"/>
      <c r="C7637" s="12"/>
    </row>
    <row r="7638" spans="2:3">
      <c r="B7638" s="12"/>
      <c r="C7638" s="12"/>
    </row>
    <row r="7639" spans="2:3">
      <c r="B7639" s="12"/>
      <c r="C7639" s="12"/>
    </row>
    <row r="7640" spans="2:3">
      <c r="B7640" s="12"/>
      <c r="C7640" s="12"/>
    </row>
    <row r="7641" spans="2:3">
      <c r="B7641" s="12"/>
      <c r="C7641" s="12"/>
    </row>
    <row r="7642" spans="2:3">
      <c r="B7642" s="12"/>
      <c r="C7642" s="12"/>
    </row>
    <row r="7643" spans="2:3">
      <c r="B7643" s="12"/>
      <c r="C7643" s="12"/>
    </row>
    <row r="7644" spans="2:3">
      <c r="B7644" s="12"/>
      <c r="C7644" s="12"/>
    </row>
    <row r="7645" spans="2:3">
      <c r="B7645" s="12"/>
      <c r="C7645" s="12"/>
    </row>
    <row r="7646" spans="2:3">
      <c r="B7646" s="12"/>
      <c r="C7646" s="12"/>
    </row>
    <row r="7647" spans="2:3">
      <c r="B7647" s="12"/>
      <c r="C7647" s="12"/>
    </row>
    <row r="7648" spans="2:3">
      <c r="B7648" s="12"/>
      <c r="C7648" s="12"/>
    </row>
    <row r="7649" spans="2:3">
      <c r="B7649" s="12"/>
      <c r="C7649" s="12"/>
    </row>
    <row r="7650" spans="2:3">
      <c r="B7650" s="12"/>
      <c r="C7650" s="12"/>
    </row>
    <row r="7651" spans="2:3">
      <c r="B7651" s="12"/>
      <c r="C7651" s="12"/>
    </row>
    <row r="7652" spans="2:3">
      <c r="B7652" s="12"/>
      <c r="C7652" s="12"/>
    </row>
    <row r="7653" spans="2:3">
      <c r="B7653" s="12"/>
      <c r="C7653" s="12"/>
    </row>
    <row r="7654" spans="2:3">
      <c r="B7654" s="12"/>
      <c r="C7654" s="12"/>
    </row>
    <row r="7655" spans="2:3">
      <c r="B7655" s="12"/>
      <c r="C7655" s="12"/>
    </row>
    <row r="7656" spans="2:3">
      <c r="B7656" s="12"/>
      <c r="C7656" s="12"/>
    </row>
    <row r="7657" spans="2:3">
      <c r="B7657" s="12"/>
      <c r="C7657" s="12"/>
    </row>
    <row r="7658" spans="2:3">
      <c r="B7658" s="12"/>
      <c r="C7658" s="12"/>
    </row>
    <row r="7659" spans="2:3">
      <c r="B7659" s="12"/>
      <c r="C7659" s="12"/>
    </row>
    <row r="7660" spans="2:3">
      <c r="B7660" s="12"/>
      <c r="C7660" s="12"/>
    </row>
    <row r="7661" spans="2:3">
      <c r="B7661" s="12"/>
      <c r="C7661" s="12"/>
    </row>
    <row r="7662" spans="2:3">
      <c r="B7662" s="12"/>
      <c r="C7662" s="12"/>
    </row>
    <row r="7663" spans="2:3">
      <c r="B7663" s="12"/>
      <c r="C7663" s="12"/>
    </row>
    <row r="7664" spans="2:3">
      <c r="B7664" s="12"/>
      <c r="C7664" s="12"/>
    </row>
    <row r="7665" spans="2:3">
      <c r="B7665" s="12"/>
      <c r="C7665" s="12"/>
    </row>
    <row r="7666" spans="2:3">
      <c r="B7666" s="12"/>
      <c r="C7666" s="12"/>
    </row>
    <row r="7667" spans="2:3">
      <c r="B7667" s="12"/>
      <c r="C7667" s="12"/>
    </row>
    <row r="7668" spans="2:3">
      <c r="B7668" s="12"/>
      <c r="C7668" s="12"/>
    </row>
    <row r="7669" spans="2:3">
      <c r="B7669" s="12"/>
      <c r="C7669" s="12"/>
    </row>
    <row r="7670" spans="2:3">
      <c r="B7670" s="12"/>
      <c r="C7670" s="12"/>
    </row>
    <row r="7671" spans="2:3">
      <c r="B7671" s="12"/>
      <c r="C7671" s="12"/>
    </row>
    <row r="7672" spans="2:3">
      <c r="B7672" s="12"/>
      <c r="C7672" s="12"/>
    </row>
    <row r="7673" spans="2:3">
      <c r="B7673" s="12"/>
      <c r="C7673" s="12"/>
    </row>
    <row r="7674" spans="2:3">
      <c r="B7674" s="12"/>
      <c r="C7674" s="12"/>
    </row>
    <row r="7675" spans="2:3">
      <c r="B7675" s="12"/>
      <c r="C7675" s="12"/>
    </row>
    <row r="7676" spans="2:3">
      <c r="B7676" s="12"/>
      <c r="C7676" s="12"/>
    </row>
    <row r="7677" spans="2:3">
      <c r="B7677" s="12"/>
      <c r="C7677" s="12"/>
    </row>
    <row r="7678" spans="2:3">
      <c r="B7678" s="12"/>
      <c r="C7678" s="12"/>
    </row>
    <row r="7679" spans="2:3">
      <c r="B7679" s="12"/>
      <c r="C7679" s="12"/>
    </row>
    <row r="7680" spans="2:3">
      <c r="B7680" s="12"/>
      <c r="C7680" s="12"/>
    </row>
    <row r="7681" spans="2:3">
      <c r="B7681" s="12"/>
      <c r="C7681" s="12"/>
    </row>
    <row r="7682" spans="2:3">
      <c r="B7682" s="12"/>
      <c r="C7682" s="12"/>
    </row>
    <row r="7683" spans="2:3">
      <c r="B7683" s="12"/>
      <c r="C7683" s="12"/>
    </row>
    <row r="7684" spans="2:3">
      <c r="B7684" s="12"/>
      <c r="C7684" s="12"/>
    </row>
    <row r="7685" spans="2:3">
      <c r="B7685" s="12"/>
      <c r="C7685" s="12"/>
    </row>
    <row r="7686" spans="2:3">
      <c r="B7686" s="12"/>
      <c r="C7686" s="12"/>
    </row>
    <row r="7687" spans="2:3">
      <c r="B7687" s="12"/>
      <c r="C7687" s="12"/>
    </row>
    <row r="7688" spans="2:3">
      <c r="B7688" s="12"/>
      <c r="C7688" s="12"/>
    </row>
    <row r="7689" spans="2:3">
      <c r="B7689" s="12"/>
      <c r="C7689" s="12"/>
    </row>
    <row r="7690" spans="2:3">
      <c r="B7690" s="12"/>
      <c r="C7690" s="12"/>
    </row>
    <row r="7691" spans="2:3">
      <c r="B7691" s="12"/>
      <c r="C7691" s="12"/>
    </row>
    <row r="7692" spans="2:3">
      <c r="B7692" s="12"/>
      <c r="C7692" s="12"/>
    </row>
    <row r="7693" spans="2:3">
      <c r="B7693" s="12"/>
      <c r="C7693" s="12"/>
    </row>
    <row r="7694" spans="2:3">
      <c r="B7694" s="12"/>
      <c r="C7694" s="12"/>
    </row>
    <row r="7695" spans="2:3">
      <c r="B7695" s="12"/>
      <c r="C7695" s="12"/>
    </row>
    <row r="7696" spans="2:3">
      <c r="B7696" s="12"/>
      <c r="C7696" s="12"/>
    </row>
    <row r="7697" spans="2:3">
      <c r="B7697" s="12"/>
      <c r="C7697" s="12"/>
    </row>
    <row r="7698" spans="2:3">
      <c r="B7698" s="12"/>
      <c r="C7698" s="12"/>
    </row>
    <row r="7699" spans="2:3">
      <c r="B7699" s="12"/>
      <c r="C7699" s="12"/>
    </row>
    <row r="7700" spans="2:3">
      <c r="B7700" s="12"/>
      <c r="C7700" s="12"/>
    </row>
    <row r="7701" spans="2:3">
      <c r="B7701" s="12"/>
      <c r="C7701" s="12"/>
    </row>
    <row r="7702" spans="2:3">
      <c r="B7702" s="12"/>
      <c r="C7702" s="12"/>
    </row>
    <row r="7703" spans="2:3">
      <c r="B7703" s="12"/>
      <c r="C7703" s="12"/>
    </row>
    <row r="7704" spans="2:3">
      <c r="B7704" s="12"/>
      <c r="C7704" s="12"/>
    </row>
    <row r="7705" spans="2:3">
      <c r="B7705" s="12"/>
      <c r="C7705" s="12"/>
    </row>
    <row r="7706" spans="2:3">
      <c r="B7706" s="12"/>
      <c r="C7706" s="12"/>
    </row>
    <row r="7707" spans="2:3">
      <c r="B7707" s="12"/>
      <c r="C7707" s="12"/>
    </row>
    <row r="7708" spans="2:3">
      <c r="B7708" s="12"/>
      <c r="C7708" s="12"/>
    </row>
    <row r="7709" spans="2:3">
      <c r="B7709" s="12"/>
      <c r="C7709" s="12"/>
    </row>
    <row r="7710" spans="2:3">
      <c r="B7710" s="12"/>
      <c r="C7710" s="12"/>
    </row>
    <row r="7711" spans="2:3">
      <c r="B7711" s="12"/>
      <c r="C7711" s="12"/>
    </row>
    <row r="7712" spans="2:3">
      <c r="B7712" s="12"/>
      <c r="C7712" s="12"/>
    </row>
    <row r="7713" spans="2:3">
      <c r="B7713" s="12"/>
      <c r="C7713" s="12"/>
    </row>
    <row r="7714" spans="2:3">
      <c r="B7714" s="12"/>
      <c r="C7714" s="12"/>
    </row>
    <row r="7715" spans="2:3">
      <c r="B7715" s="12"/>
      <c r="C7715" s="12"/>
    </row>
    <row r="7716" spans="2:3">
      <c r="B7716" s="12"/>
      <c r="C7716" s="12"/>
    </row>
    <row r="7717" spans="2:3">
      <c r="B7717" s="12"/>
      <c r="C7717" s="12"/>
    </row>
    <row r="7718" spans="2:3">
      <c r="B7718" s="12"/>
      <c r="C7718" s="12"/>
    </row>
    <row r="7719" spans="2:3">
      <c r="B7719" s="12"/>
      <c r="C7719" s="12"/>
    </row>
    <row r="7720" spans="2:3">
      <c r="B7720" s="12"/>
      <c r="C7720" s="12"/>
    </row>
    <row r="7721" spans="2:3">
      <c r="B7721" s="12"/>
      <c r="C7721" s="12"/>
    </row>
    <row r="7722" spans="2:3">
      <c r="B7722" s="12"/>
      <c r="C7722" s="12"/>
    </row>
    <row r="7723" spans="2:3">
      <c r="B7723" s="12"/>
      <c r="C7723" s="12"/>
    </row>
    <row r="7724" spans="2:3">
      <c r="B7724" s="12"/>
      <c r="C7724" s="12"/>
    </row>
    <row r="7725" spans="2:3">
      <c r="B7725" s="12"/>
      <c r="C7725" s="12"/>
    </row>
    <row r="7726" spans="2:3">
      <c r="B7726" s="12"/>
      <c r="C7726" s="12"/>
    </row>
    <row r="7727" spans="2:3">
      <c r="B7727" s="12"/>
      <c r="C7727" s="12"/>
    </row>
    <row r="7728" spans="2:3">
      <c r="B7728" s="12"/>
      <c r="C7728" s="12"/>
    </row>
    <row r="7729" spans="2:3">
      <c r="B7729" s="12"/>
      <c r="C7729" s="12"/>
    </row>
    <row r="7730" spans="2:3">
      <c r="B7730" s="12"/>
      <c r="C7730" s="12"/>
    </row>
    <row r="7731" spans="2:3">
      <c r="B7731" s="12"/>
      <c r="C7731" s="12"/>
    </row>
    <row r="7732" spans="2:3">
      <c r="B7732" s="12"/>
      <c r="C7732" s="12"/>
    </row>
    <row r="7733" spans="2:3">
      <c r="B7733" s="12"/>
      <c r="C7733" s="12"/>
    </row>
    <row r="7734" spans="2:3">
      <c r="B7734" s="12"/>
      <c r="C7734" s="12"/>
    </row>
    <row r="7735" spans="2:3">
      <c r="B7735" s="12"/>
      <c r="C7735" s="12"/>
    </row>
    <row r="7736" spans="2:3">
      <c r="B7736" s="12"/>
      <c r="C7736" s="12"/>
    </row>
    <row r="7737" spans="2:3">
      <c r="B7737" s="12"/>
      <c r="C7737" s="12"/>
    </row>
    <row r="7738" spans="2:3">
      <c r="B7738" s="12"/>
      <c r="C7738" s="12"/>
    </row>
    <row r="7739" spans="2:3">
      <c r="B7739" s="12"/>
      <c r="C7739" s="12"/>
    </row>
    <row r="7740" spans="2:3">
      <c r="B7740" s="12"/>
      <c r="C7740" s="12"/>
    </row>
    <row r="7741" spans="2:3">
      <c r="B7741" s="12"/>
      <c r="C7741" s="12"/>
    </row>
    <row r="7742" spans="2:3">
      <c r="B7742" s="12"/>
      <c r="C7742" s="12"/>
    </row>
    <row r="7743" spans="2:3">
      <c r="B7743" s="12"/>
      <c r="C7743" s="12"/>
    </row>
    <row r="7744" spans="2:3">
      <c r="B7744" s="12"/>
      <c r="C7744" s="12"/>
    </row>
    <row r="7745" spans="2:3">
      <c r="B7745" s="12"/>
      <c r="C7745" s="12"/>
    </row>
    <row r="7746" spans="2:3">
      <c r="B7746" s="12"/>
      <c r="C7746" s="12"/>
    </row>
    <row r="7747" spans="2:3">
      <c r="B7747" s="12"/>
      <c r="C7747" s="12"/>
    </row>
    <row r="7748" spans="2:3">
      <c r="B7748" s="12"/>
      <c r="C7748" s="12"/>
    </row>
    <row r="7749" spans="2:3">
      <c r="B7749" s="12"/>
      <c r="C7749" s="12"/>
    </row>
    <row r="7750" spans="2:3">
      <c r="B7750" s="12"/>
      <c r="C7750" s="12"/>
    </row>
    <row r="7751" spans="2:3">
      <c r="B7751" s="12"/>
      <c r="C7751" s="12"/>
    </row>
    <row r="7752" spans="2:3">
      <c r="B7752" s="12"/>
      <c r="C7752" s="12"/>
    </row>
    <row r="7753" spans="2:3">
      <c r="B7753" s="12"/>
      <c r="C7753" s="12"/>
    </row>
    <row r="7754" spans="2:3">
      <c r="B7754" s="12"/>
      <c r="C7754" s="12"/>
    </row>
    <row r="7755" spans="2:3">
      <c r="B7755" s="12"/>
      <c r="C7755" s="12"/>
    </row>
    <row r="7756" spans="2:3">
      <c r="B7756" s="12"/>
      <c r="C7756" s="12"/>
    </row>
    <row r="7757" spans="2:3">
      <c r="B7757" s="12"/>
      <c r="C7757" s="12"/>
    </row>
    <row r="7758" spans="2:3">
      <c r="B7758" s="12"/>
      <c r="C7758" s="12"/>
    </row>
    <row r="7759" spans="2:3">
      <c r="B7759" s="12"/>
      <c r="C7759" s="12"/>
    </row>
    <row r="7760" spans="2:3">
      <c r="B7760" s="12"/>
      <c r="C7760" s="12"/>
    </row>
    <row r="7761" spans="2:3">
      <c r="B7761" s="12"/>
      <c r="C7761" s="12"/>
    </row>
    <row r="7762" spans="2:3">
      <c r="B7762" s="12"/>
      <c r="C7762" s="12"/>
    </row>
    <row r="7763" spans="2:3">
      <c r="B7763" s="12"/>
      <c r="C7763" s="12"/>
    </row>
    <row r="7764" spans="2:3">
      <c r="B7764" s="12"/>
      <c r="C7764" s="12"/>
    </row>
    <row r="7765" spans="2:3">
      <c r="B7765" s="12"/>
      <c r="C7765" s="12"/>
    </row>
    <row r="7766" spans="2:3">
      <c r="B7766" s="12"/>
      <c r="C7766" s="12"/>
    </row>
    <row r="7767" spans="2:3">
      <c r="B7767" s="12"/>
      <c r="C7767" s="12"/>
    </row>
    <row r="7768" spans="2:3">
      <c r="B7768" s="12"/>
      <c r="C7768" s="12"/>
    </row>
    <row r="7769" spans="2:3">
      <c r="B7769" s="12"/>
      <c r="C7769" s="12"/>
    </row>
    <row r="7770" spans="2:3">
      <c r="B7770" s="12"/>
      <c r="C7770" s="12"/>
    </row>
    <row r="7771" spans="2:3">
      <c r="B7771" s="12"/>
      <c r="C7771" s="12"/>
    </row>
    <row r="7772" spans="2:3">
      <c r="B7772" s="12"/>
      <c r="C7772" s="12"/>
    </row>
    <row r="7773" spans="2:3">
      <c r="B7773" s="12"/>
      <c r="C7773" s="12"/>
    </row>
    <row r="7774" spans="2:3">
      <c r="B7774" s="12"/>
      <c r="C7774" s="12"/>
    </row>
    <row r="7775" spans="2:3">
      <c r="B7775" s="12"/>
      <c r="C7775" s="12"/>
    </row>
    <row r="7776" spans="2:3">
      <c r="B7776" s="12"/>
      <c r="C7776" s="12"/>
    </row>
    <row r="7777" spans="2:3">
      <c r="B7777" s="12"/>
      <c r="C7777" s="12"/>
    </row>
    <row r="7778" spans="2:3">
      <c r="B7778" s="12"/>
      <c r="C7778" s="12"/>
    </row>
    <row r="7779" spans="2:3">
      <c r="B7779" s="12"/>
      <c r="C7779" s="12"/>
    </row>
    <row r="7780" spans="2:3">
      <c r="B7780" s="12"/>
      <c r="C7780" s="12"/>
    </row>
    <row r="7781" spans="2:3">
      <c r="B7781" s="12"/>
      <c r="C7781" s="12"/>
    </row>
    <row r="7782" spans="2:3">
      <c r="B7782" s="12"/>
      <c r="C7782" s="12"/>
    </row>
    <row r="7783" spans="2:3">
      <c r="B7783" s="12"/>
      <c r="C7783" s="12"/>
    </row>
    <row r="7784" spans="2:3">
      <c r="B7784" s="12"/>
      <c r="C7784" s="12"/>
    </row>
    <row r="7785" spans="2:3">
      <c r="B7785" s="12"/>
      <c r="C7785" s="12"/>
    </row>
    <row r="7786" spans="2:3">
      <c r="B7786" s="12"/>
      <c r="C7786" s="12"/>
    </row>
    <row r="7787" spans="2:3">
      <c r="B7787" s="12"/>
      <c r="C7787" s="12"/>
    </row>
    <row r="7788" spans="2:3">
      <c r="B7788" s="12"/>
      <c r="C7788" s="12"/>
    </row>
    <row r="7789" spans="2:3">
      <c r="B7789" s="12"/>
      <c r="C7789" s="12"/>
    </row>
    <row r="7790" spans="2:3">
      <c r="B7790" s="12"/>
      <c r="C7790" s="12"/>
    </row>
    <row r="7791" spans="2:3">
      <c r="B7791" s="12"/>
      <c r="C7791" s="12"/>
    </row>
    <row r="7792" spans="2:3">
      <c r="B7792" s="12"/>
      <c r="C7792" s="12"/>
    </row>
    <row r="7793" spans="2:3">
      <c r="B7793" s="12"/>
      <c r="C7793" s="12"/>
    </row>
    <row r="7794" spans="2:3">
      <c r="B7794" s="12"/>
      <c r="C7794" s="12"/>
    </row>
    <row r="7795" spans="2:3">
      <c r="B7795" s="12"/>
      <c r="C7795" s="12"/>
    </row>
    <row r="7796" spans="2:3">
      <c r="B7796" s="12"/>
      <c r="C7796" s="12"/>
    </row>
    <row r="7797" spans="2:3">
      <c r="B7797" s="12"/>
      <c r="C7797" s="12"/>
    </row>
    <row r="7798" spans="2:3">
      <c r="B7798" s="12"/>
      <c r="C7798" s="12"/>
    </row>
    <row r="7799" spans="2:3">
      <c r="B7799" s="12"/>
      <c r="C7799" s="12"/>
    </row>
    <row r="7800" spans="2:3">
      <c r="B7800" s="12"/>
      <c r="C7800" s="12"/>
    </row>
    <row r="7801" spans="2:3">
      <c r="B7801" s="12"/>
      <c r="C7801" s="12"/>
    </row>
    <row r="7802" spans="2:3">
      <c r="B7802" s="12"/>
      <c r="C7802" s="12"/>
    </row>
    <row r="7803" spans="2:3">
      <c r="B7803" s="12"/>
      <c r="C7803" s="12"/>
    </row>
    <row r="7804" spans="2:3">
      <c r="B7804" s="12"/>
      <c r="C7804" s="12"/>
    </row>
    <row r="7805" spans="2:3">
      <c r="B7805" s="12"/>
      <c r="C7805" s="12"/>
    </row>
    <row r="7806" spans="2:3">
      <c r="B7806" s="12"/>
      <c r="C7806" s="12"/>
    </row>
    <row r="7807" spans="2:3">
      <c r="B7807" s="12"/>
      <c r="C7807" s="12"/>
    </row>
    <row r="7808" spans="2:3">
      <c r="B7808" s="12"/>
      <c r="C7808" s="12"/>
    </row>
    <row r="7809" spans="2:3">
      <c r="B7809" s="12"/>
      <c r="C7809" s="12"/>
    </row>
    <row r="7810" spans="2:3">
      <c r="B7810" s="12"/>
      <c r="C7810" s="12"/>
    </row>
    <row r="7811" spans="2:3">
      <c r="B7811" s="12"/>
      <c r="C7811" s="12"/>
    </row>
    <row r="7812" spans="2:3">
      <c r="B7812" s="12"/>
      <c r="C7812" s="12"/>
    </row>
    <row r="7813" spans="2:3">
      <c r="B7813" s="12"/>
      <c r="C7813" s="12"/>
    </row>
    <row r="7814" spans="2:3">
      <c r="B7814" s="12"/>
      <c r="C7814" s="12"/>
    </row>
    <row r="7815" spans="2:3">
      <c r="B7815" s="12"/>
      <c r="C7815" s="12"/>
    </row>
    <row r="7816" spans="2:3">
      <c r="B7816" s="12"/>
      <c r="C7816" s="12"/>
    </row>
    <row r="7817" spans="2:3">
      <c r="B7817" s="12"/>
      <c r="C7817" s="12"/>
    </row>
    <row r="7818" spans="2:3">
      <c r="B7818" s="12"/>
      <c r="C7818" s="12"/>
    </row>
    <row r="7819" spans="2:3">
      <c r="B7819" s="12"/>
      <c r="C7819" s="12"/>
    </row>
    <row r="7820" spans="2:3">
      <c r="B7820" s="12"/>
      <c r="C7820" s="12"/>
    </row>
    <row r="7821" spans="2:3">
      <c r="B7821" s="12"/>
      <c r="C7821" s="12"/>
    </row>
    <row r="7822" spans="2:3">
      <c r="B7822" s="12"/>
      <c r="C7822" s="12"/>
    </row>
    <row r="7823" spans="2:3">
      <c r="B7823" s="12"/>
      <c r="C7823" s="12"/>
    </row>
    <row r="7824" spans="2:3">
      <c r="B7824" s="12"/>
      <c r="C7824" s="12"/>
    </row>
    <row r="7825" spans="2:3">
      <c r="B7825" s="12"/>
      <c r="C7825" s="12"/>
    </row>
    <row r="7826" spans="2:3">
      <c r="B7826" s="12"/>
      <c r="C7826" s="12"/>
    </row>
    <row r="7827" spans="2:3">
      <c r="B7827" s="12"/>
      <c r="C7827" s="12"/>
    </row>
    <row r="7828" spans="2:3">
      <c r="B7828" s="12"/>
      <c r="C7828" s="12"/>
    </row>
    <row r="7829" spans="2:3">
      <c r="B7829" s="12"/>
      <c r="C7829" s="12"/>
    </row>
    <row r="7830" spans="2:3">
      <c r="B7830" s="12"/>
      <c r="C7830" s="12"/>
    </row>
    <row r="7831" spans="2:3">
      <c r="B7831" s="12"/>
      <c r="C7831" s="12"/>
    </row>
    <row r="7832" spans="2:3">
      <c r="B7832" s="12"/>
      <c r="C7832" s="12"/>
    </row>
    <row r="7833" spans="2:3">
      <c r="B7833" s="12"/>
      <c r="C7833" s="12"/>
    </row>
    <row r="7834" spans="2:3">
      <c r="B7834" s="12"/>
      <c r="C7834" s="12"/>
    </row>
    <row r="7835" spans="2:3">
      <c r="B7835" s="12"/>
      <c r="C7835" s="12"/>
    </row>
    <row r="7836" spans="2:3">
      <c r="B7836" s="12"/>
      <c r="C7836" s="12"/>
    </row>
    <row r="7837" spans="2:3">
      <c r="B7837" s="12"/>
      <c r="C7837" s="12"/>
    </row>
    <row r="7838" spans="2:3">
      <c r="B7838" s="12"/>
      <c r="C7838" s="12"/>
    </row>
    <row r="7839" spans="2:3">
      <c r="B7839" s="12"/>
      <c r="C7839" s="12"/>
    </row>
    <row r="7840" spans="2:3">
      <c r="B7840" s="12"/>
      <c r="C7840" s="12"/>
    </row>
    <row r="7841" spans="2:3">
      <c r="B7841" s="12"/>
      <c r="C7841" s="12"/>
    </row>
    <row r="7842" spans="2:3">
      <c r="B7842" s="12"/>
      <c r="C7842" s="12"/>
    </row>
    <row r="7843" spans="2:3">
      <c r="B7843" s="12"/>
      <c r="C7843" s="12"/>
    </row>
    <row r="7844" spans="2:3">
      <c r="B7844" s="12"/>
      <c r="C7844" s="12"/>
    </row>
    <row r="7845" spans="2:3">
      <c r="B7845" s="12"/>
      <c r="C7845" s="12"/>
    </row>
    <row r="7846" spans="2:3">
      <c r="B7846" s="12"/>
      <c r="C7846" s="12"/>
    </row>
    <row r="7847" spans="2:3">
      <c r="B7847" s="12"/>
      <c r="C7847" s="12"/>
    </row>
    <row r="7848" spans="2:3">
      <c r="B7848" s="12"/>
      <c r="C7848" s="12"/>
    </row>
    <row r="7849" spans="2:3">
      <c r="B7849" s="12"/>
      <c r="C7849" s="12"/>
    </row>
    <row r="7850" spans="2:3">
      <c r="B7850" s="12"/>
      <c r="C7850" s="12"/>
    </row>
    <row r="7851" spans="2:3">
      <c r="B7851" s="12"/>
      <c r="C7851" s="12"/>
    </row>
    <row r="7852" spans="2:3">
      <c r="B7852" s="12"/>
      <c r="C7852" s="12"/>
    </row>
    <row r="7853" spans="2:3">
      <c r="B7853" s="12"/>
      <c r="C7853" s="12"/>
    </row>
    <row r="7854" spans="2:3">
      <c r="B7854" s="12"/>
      <c r="C7854" s="12"/>
    </row>
    <row r="7855" spans="2:3">
      <c r="B7855" s="12"/>
      <c r="C7855" s="12"/>
    </row>
    <row r="7856" spans="2:3">
      <c r="B7856" s="12"/>
      <c r="C7856" s="12"/>
    </row>
    <row r="7857" spans="2:3">
      <c r="B7857" s="12"/>
      <c r="C7857" s="12"/>
    </row>
    <row r="7858" spans="2:3">
      <c r="B7858" s="12"/>
      <c r="C7858" s="12"/>
    </row>
    <row r="7859" spans="2:3">
      <c r="B7859" s="12"/>
      <c r="C7859" s="12"/>
    </row>
    <row r="7860" spans="2:3">
      <c r="B7860" s="12"/>
      <c r="C7860" s="12"/>
    </row>
    <row r="7861" spans="2:3">
      <c r="B7861" s="12"/>
      <c r="C7861" s="12"/>
    </row>
    <row r="7862" spans="2:3">
      <c r="B7862" s="12"/>
      <c r="C7862" s="12"/>
    </row>
    <row r="7863" spans="2:3">
      <c r="B7863" s="12"/>
      <c r="C7863" s="12"/>
    </row>
    <row r="7864" spans="2:3">
      <c r="B7864" s="12"/>
      <c r="C7864" s="12"/>
    </row>
    <row r="7865" spans="2:3">
      <c r="B7865" s="12"/>
      <c r="C7865" s="12"/>
    </row>
    <row r="7866" spans="2:3">
      <c r="B7866" s="12"/>
      <c r="C7866" s="12"/>
    </row>
    <row r="7867" spans="2:3">
      <c r="B7867" s="12"/>
      <c r="C7867" s="12"/>
    </row>
    <row r="7868" spans="2:3">
      <c r="B7868" s="12"/>
      <c r="C7868" s="12"/>
    </row>
    <row r="7869" spans="2:3">
      <c r="B7869" s="12"/>
      <c r="C7869" s="12"/>
    </row>
    <row r="7870" spans="2:3">
      <c r="B7870" s="12"/>
      <c r="C7870" s="12"/>
    </row>
    <row r="7871" spans="2:3">
      <c r="B7871" s="12"/>
      <c r="C7871" s="12"/>
    </row>
    <row r="7872" spans="2:3">
      <c r="B7872" s="12"/>
      <c r="C7872" s="12"/>
    </row>
    <row r="7873" spans="2:3">
      <c r="B7873" s="12"/>
      <c r="C7873" s="12"/>
    </row>
    <row r="7874" spans="2:3">
      <c r="B7874" s="12"/>
      <c r="C7874" s="12"/>
    </row>
    <row r="7875" spans="2:3">
      <c r="B7875" s="12"/>
      <c r="C7875" s="12"/>
    </row>
    <row r="7876" spans="2:3">
      <c r="B7876" s="12"/>
      <c r="C7876" s="12"/>
    </row>
    <row r="7877" spans="2:3">
      <c r="B7877" s="12"/>
      <c r="C7877" s="12"/>
    </row>
    <row r="7878" spans="2:3">
      <c r="B7878" s="12"/>
      <c r="C7878" s="12"/>
    </row>
    <row r="7879" spans="2:3">
      <c r="B7879" s="12"/>
      <c r="C7879" s="12"/>
    </row>
    <row r="7880" spans="2:3">
      <c r="B7880" s="12"/>
      <c r="C7880" s="12"/>
    </row>
    <row r="7881" spans="2:3">
      <c r="B7881" s="12"/>
      <c r="C7881" s="12"/>
    </row>
    <row r="7882" spans="2:3">
      <c r="B7882" s="12"/>
      <c r="C7882" s="12"/>
    </row>
    <row r="7883" spans="2:3">
      <c r="B7883" s="12"/>
      <c r="C7883" s="12"/>
    </row>
    <row r="7884" spans="2:3">
      <c r="B7884" s="12"/>
      <c r="C7884" s="12"/>
    </row>
    <row r="7885" spans="2:3">
      <c r="B7885" s="12"/>
      <c r="C7885" s="12"/>
    </row>
    <row r="7886" spans="2:3">
      <c r="B7886" s="12"/>
      <c r="C7886" s="12"/>
    </row>
    <row r="7887" spans="2:3">
      <c r="B7887" s="12"/>
      <c r="C7887" s="12"/>
    </row>
    <row r="7888" spans="2:3">
      <c r="B7888" s="12"/>
      <c r="C7888" s="12"/>
    </row>
    <row r="7889" spans="2:3">
      <c r="B7889" s="12"/>
      <c r="C7889" s="12"/>
    </row>
    <row r="7890" spans="2:3">
      <c r="B7890" s="12"/>
      <c r="C7890" s="12"/>
    </row>
    <row r="7891" spans="2:3">
      <c r="B7891" s="12"/>
      <c r="C7891" s="12"/>
    </row>
    <row r="7892" spans="2:3">
      <c r="B7892" s="12"/>
      <c r="C7892" s="12"/>
    </row>
    <row r="7893" spans="2:3">
      <c r="B7893" s="12"/>
      <c r="C7893" s="12"/>
    </row>
    <row r="7894" spans="2:3">
      <c r="B7894" s="12"/>
      <c r="C7894" s="12"/>
    </row>
    <row r="7895" spans="2:3">
      <c r="B7895" s="12"/>
      <c r="C7895" s="12"/>
    </row>
    <row r="7896" spans="2:3">
      <c r="B7896" s="12"/>
      <c r="C7896" s="12"/>
    </row>
    <row r="7897" spans="2:3">
      <c r="B7897" s="12"/>
      <c r="C7897" s="12"/>
    </row>
    <row r="7898" spans="2:3">
      <c r="B7898" s="12"/>
      <c r="C7898" s="12"/>
    </row>
    <row r="7899" spans="2:3">
      <c r="B7899" s="12"/>
      <c r="C7899" s="12"/>
    </row>
    <row r="7900" spans="2:3">
      <c r="B7900" s="12"/>
      <c r="C7900" s="12"/>
    </row>
    <row r="7901" spans="2:3">
      <c r="B7901" s="12"/>
      <c r="C7901" s="12"/>
    </row>
    <row r="7902" spans="2:3">
      <c r="B7902" s="12"/>
      <c r="C7902" s="12"/>
    </row>
    <row r="7903" spans="2:3">
      <c r="B7903" s="12"/>
      <c r="C7903" s="12"/>
    </row>
    <row r="7904" spans="2:3">
      <c r="B7904" s="12"/>
      <c r="C7904" s="12"/>
    </row>
    <row r="7905" spans="2:3">
      <c r="B7905" s="12"/>
      <c r="C7905" s="12"/>
    </row>
    <row r="7906" spans="2:3">
      <c r="B7906" s="12"/>
      <c r="C7906" s="12"/>
    </row>
    <row r="7907" spans="2:3">
      <c r="B7907" s="12"/>
      <c r="C7907" s="12"/>
    </row>
    <row r="7908" spans="2:3">
      <c r="B7908" s="12"/>
      <c r="C7908" s="12"/>
    </row>
    <row r="7909" spans="2:3">
      <c r="B7909" s="12"/>
      <c r="C7909" s="12"/>
    </row>
    <row r="7910" spans="2:3">
      <c r="B7910" s="12"/>
      <c r="C7910" s="12"/>
    </row>
    <row r="7911" spans="2:3">
      <c r="B7911" s="12"/>
      <c r="C7911" s="12"/>
    </row>
    <row r="7912" spans="2:3">
      <c r="B7912" s="12"/>
      <c r="C7912" s="12"/>
    </row>
    <row r="7913" spans="2:3">
      <c r="B7913" s="12"/>
      <c r="C7913" s="12"/>
    </row>
    <row r="7914" spans="2:3">
      <c r="B7914" s="12"/>
      <c r="C7914" s="12"/>
    </row>
    <row r="7915" spans="2:3">
      <c r="B7915" s="12"/>
      <c r="C7915" s="12"/>
    </row>
    <row r="7916" spans="2:3">
      <c r="B7916" s="12"/>
      <c r="C7916" s="12"/>
    </row>
    <row r="7917" spans="2:3">
      <c r="B7917" s="12"/>
      <c r="C7917" s="12"/>
    </row>
    <row r="7918" spans="2:3">
      <c r="B7918" s="12"/>
      <c r="C7918" s="12"/>
    </row>
    <row r="7919" spans="2:3">
      <c r="B7919" s="12"/>
      <c r="C7919" s="12"/>
    </row>
    <row r="7920" spans="2:3">
      <c r="B7920" s="12"/>
      <c r="C7920" s="12"/>
    </row>
    <row r="7921" spans="2:3">
      <c r="B7921" s="12"/>
      <c r="C7921" s="12"/>
    </row>
    <row r="7922" spans="2:3">
      <c r="B7922" s="12"/>
      <c r="C7922" s="12"/>
    </row>
    <row r="7923" spans="2:3">
      <c r="B7923" s="12"/>
      <c r="C7923" s="12"/>
    </row>
    <row r="7924" spans="2:3">
      <c r="B7924" s="12"/>
      <c r="C7924" s="12"/>
    </row>
    <row r="7925" spans="2:3">
      <c r="B7925" s="12"/>
      <c r="C7925" s="12"/>
    </row>
    <row r="7926" spans="2:3">
      <c r="B7926" s="12"/>
      <c r="C7926" s="12"/>
    </row>
    <row r="7927" spans="2:3">
      <c r="B7927" s="12"/>
      <c r="C7927" s="12"/>
    </row>
    <row r="7928" spans="2:3">
      <c r="B7928" s="12"/>
      <c r="C7928" s="12"/>
    </row>
    <row r="7929" spans="2:3">
      <c r="B7929" s="12"/>
      <c r="C7929" s="12"/>
    </row>
    <row r="7930" spans="2:3">
      <c r="B7930" s="12"/>
      <c r="C7930" s="12"/>
    </row>
    <row r="7931" spans="2:3">
      <c r="B7931" s="12"/>
      <c r="C7931" s="12"/>
    </row>
    <row r="7932" spans="2:3">
      <c r="B7932" s="12"/>
      <c r="C7932" s="12"/>
    </row>
    <row r="7933" spans="2:3">
      <c r="B7933" s="12"/>
      <c r="C7933" s="12"/>
    </row>
    <row r="7934" spans="2:3">
      <c r="B7934" s="12"/>
      <c r="C7934" s="12"/>
    </row>
    <row r="7935" spans="2:3">
      <c r="B7935" s="12"/>
      <c r="C7935" s="12"/>
    </row>
    <row r="7936" spans="2:3">
      <c r="B7936" s="12"/>
      <c r="C7936" s="12"/>
    </row>
    <row r="7937" spans="2:3">
      <c r="B7937" s="12"/>
      <c r="C7937" s="12"/>
    </row>
    <row r="7938" spans="2:3">
      <c r="B7938" s="12"/>
      <c r="C7938" s="12"/>
    </row>
    <row r="7939" spans="2:3">
      <c r="B7939" s="12"/>
      <c r="C7939" s="12"/>
    </row>
    <row r="7940" spans="2:3">
      <c r="B7940" s="12"/>
      <c r="C7940" s="12"/>
    </row>
    <row r="7941" spans="2:3">
      <c r="B7941" s="12"/>
      <c r="C7941" s="12"/>
    </row>
    <row r="7942" spans="2:3">
      <c r="B7942" s="12"/>
      <c r="C7942" s="12"/>
    </row>
    <row r="7943" spans="2:3">
      <c r="B7943" s="12"/>
      <c r="C7943" s="12"/>
    </row>
    <row r="7944" spans="2:3">
      <c r="B7944" s="12"/>
      <c r="C7944" s="12"/>
    </row>
    <row r="7945" spans="2:3">
      <c r="B7945" s="12"/>
      <c r="C7945" s="12"/>
    </row>
    <row r="7946" spans="2:3">
      <c r="B7946" s="12"/>
      <c r="C7946" s="12"/>
    </row>
    <row r="7947" spans="2:3">
      <c r="B7947" s="12"/>
      <c r="C7947" s="12"/>
    </row>
    <row r="7948" spans="2:3">
      <c r="B7948" s="12"/>
      <c r="C7948" s="12"/>
    </row>
    <row r="7949" spans="2:3">
      <c r="B7949" s="12"/>
      <c r="C7949" s="12"/>
    </row>
    <row r="7950" spans="2:3">
      <c r="B7950" s="12"/>
      <c r="C7950" s="12"/>
    </row>
    <row r="7951" spans="2:3">
      <c r="B7951" s="12"/>
      <c r="C7951" s="12"/>
    </row>
    <row r="7952" spans="2:3">
      <c r="B7952" s="12"/>
      <c r="C7952" s="12"/>
    </row>
    <row r="7953" spans="2:3">
      <c r="B7953" s="12"/>
      <c r="C7953" s="12"/>
    </row>
    <row r="7954" spans="2:3">
      <c r="B7954" s="12"/>
      <c r="C7954" s="12"/>
    </row>
    <row r="7955" spans="2:3">
      <c r="B7955" s="12"/>
      <c r="C7955" s="12"/>
    </row>
    <row r="7956" spans="2:3">
      <c r="B7956" s="12"/>
      <c r="C7956" s="12"/>
    </row>
    <row r="7957" spans="2:3">
      <c r="B7957" s="12"/>
      <c r="C7957" s="12"/>
    </row>
    <row r="7958" spans="2:3">
      <c r="B7958" s="12"/>
      <c r="C7958" s="12"/>
    </row>
    <row r="7959" spans="2:3">
      <c r="B7959" s="12"/>
      <c r="C7959" s="12"/>
    </row>
    <row r="7960" spans="2:3">
      <c r="B7960" s="12"/>
      <c r="C7960" s="12"/>
    </row>
    <row r="7961" spans="2:3">
      <c r="B7961" s="12"/>
      <c r="C7961" s="12"/>
    </row>
    <row r="7962" spans="2:3">
      <c r="B7962" s="12"/>
      <c r="C7962" s="12"/>
    </row>
    <row r="7963" spans="2:3">
      <c r="B7963" s="12"/>
      <c r="C7963" s="12"/>
    </row>
    <row r="7964" spans="2:3">
      <c r="B7964" s="12"/>
      <c r="C7964" s="12"/>
    </row>
    <row r="7965" spans="2:3">
      <c r="B7965" s="12"/>
      <c r="C7965" s="12"/>
    </row>
    <row r="7966" spans="2:3">
      <c r="B7966" s="12"/>
      <c r="C7966" s="12"/>
    </row>
    <row r="7967" spans="2:3">
      <c r="B7967" s="12"/>
      <c r="C7967" s="12"/>
    </row>
    <row r="7968" spans="2:3">
      <c r="B7968" s="12"/>
      <c r="C7968" s="12"/>
    </row>
    <row r="7969" spans="2:3">
      <c r="B7969" s="12"/>
      <c r="C7969" s="12"/>
    </row>
    <row r="7970" spans="2:3">
      <c r="B7970" s="12"/>
      <c r="C7970" s="12"/>
    </row>
    <row r="7971" spans="2:3">
      <c r="B7971" s="12"/>
      <c r="C7971" s="12"/>
    </row>
    <row r="7972" spans="2:3">
      <c r="B7972" s="12"/>
      <c r="C7972" s="12"/>
    </row>
    <row r="7973" spans="2:3">
      <c r="B7973" s="12"/>
      <c r="C7973" s="12"/>
    </row>
    <row r="7974" spans="2:3">
      <c r="B7974" s="12"/>
      <c r="C7974" s="12"/>
    </row>
    <row r="7975" spans="2:3">
      <c r="B7975" s="12"/>
      <c r="C7975" s="12"/>
    </row>
    <row r="7976" spans="2:3">
      <c r="B7976" s="12"/>
      <c r="C7976" s="12"/>
    </row>
    <row r="7977" spans="2:3">
      <c r="B7977" s="12"/>
      <c r="C7977" s="12"/>
    </row>
    <row r="7978" spans="2:3">
      <c r="B7978" s="12"/>
      <c r="C7978" s="12"/>
    </row>
    <row r="7979" spans="2:3">
      <c r="B7979" s="12"/>
      <c r="C7979" s="12"/>
    </row>
    <row r="7980" spans="2:3">
      <c r="B7980" s="12"/>
      <c r="C7980" s="12"/>
    </row>
    <row r="7981" spans="2:3">
      <c r="B7981" s="12"/>
      <c r="C7981" s="12"/>
    </row>
    <row r="7982" spans="2:3">
      <c r="B7982" s="12"/>
      <c r="C7982" s="12"/>
    </row>
    <row r="7983" spans="2:3">
      <c r="B7983" s="12"/>
      <c r="C7983" s="12"/>
    </row>
    <row r="7984" spans="2:3">
      <c r="B7984" s="12"/>
      <c r="C7984" s="12"/>
    </row>
    <row r="7985" spans="2:3">
      <c r="B7985" s="12"/>
      <c r="C7985" s="12"/>
    </row>
    <row r="7986" spans="2:3">
      <c r="B7986" s="12"/>
      <c r="C7986" s="12"/>
    </row>
    <row r="7987" spans="2:3">
      <c r="B7987" s="12"/>
      <c r="C7987" s="12"/>
    </row>
    <row r="7988" spans="2:3">
      <c r="B7988" s="12"/>
      <c r="C7988" s="12"/>
    </row>
    <row r="7989" spans="2:3">
      <c r="B7989" s="12"/>
      <c r="C7989" s="12"/>
    </row>
    <row r="7990" spans="2:3">
      <c r="B7990" s="12"/>
      <c r="C7990" s="12"/>
    </row>
    <row r="7991" spans="2:3">
      <c r="B7991" s="12"/>
      <c r="C7991" s="12"/>
    </row>
    <row r="7992" spans="2:3">
      <c r="B7992" s="12"/>
      <c r="C7992" s="12"/>
    </row>
    <row r="7993" spans="2:3">
      <c r="B7993" s="12"/>
      <c r="C7993" s="12"/>
    </row>
    <row r="7994" spans="2:3">
      <c r="B7994" s="12"/>
      <c r="C7994" s="12"/>
    </row>
    <row r="7995" spans="2:3">
      <c r="B7995" s="12"/>
      <c r="C7995" s="12"/>
    </row>
    <row r="7996" spans="2:3">
      <c r="B7996" s="12"/>
      <c r="C7996" s="12"/>
    </row>
    <row r="7997" spans="2:3">
      <c r="B7997" s="12"/>
      <c r="C7997" s="12"/>
    </row>
    <row r="7998" spans="2:3">
      <c r="B7998" s="12"/>
      <c r="C7998" s="12"/>
    </row>
    <row r="7999" spans="2:3">
      <c r="B7999" s="12"/>
      <c r="C7999" s="12"/>
    </row>
    <row r="8000" spans="2:3">
      <c r="B8000" s="12"/>
      <c r="C8000" s="12"/>
    </row>
    <row r="8001" spans="2:3">
      <c r="B8001" s="12"/>
      <c r="C8001" s="12"/>
    </row>
    <row r="8002" spans="2:3">
      <c r="B8002" s="12"/>
      <c r="C8002" s="12"/>
    </row>
    <row r="8003" spans="2:3">
      <c r="B8003" s="12"/>
      <c r="C8003" s="12"/>
    </row>
    <row r="8004" spans="2:3">
      <c r="B8004" s="12"/>
      <c r="C8004" s="12"/>
    </row>
    <row r="8005" spans="2:3">
      <c r="B8005" s="12"/>
      <c r="C8005" s="12"/>
    </row>
    <row r="8006" spans="2:3">
      <c r="B8006" s="12"/>
      <c r="C8006" s="12"/>
    </row>
    <row r="8007" spans="2:3">
      <c r="B8007" s="12"/>
      <c r="C8007" s="12"/>
    </row>
    <row r="8008" spans="2:3">
      <c r="B8008" s="12"/>
      <c r="C8008" s="12"/>
    </row>
    <row r="8009" spans="2:3">
      <c r="B8009" s="12"/>
      <c r="C8009" s="12"/>
    </row>
    <row r="8010" spans="2:3">
      <c r="B8010" s="12"/>
      <c r="C8010" s="12"/>
    </row>
    <row r="8011" spans="2:3">
      <c r="B8011" s="12"/>
      <c r="C8011" s="12"/>
    </row>
    <row r="8012" spans="2:3">
      <c r="B8012" s="12"/>
      <c r="C8012" s="12"/>
    </row>
    <row r="8013" spans="2:3">
      <c r="B8013" s="12"/>
      <c r="C8013" s="12"/>
    </row>
    <row r="8014" spans="2:3">
      <c r="B8014" s="12"/>
      <c r="C8014" s="12"/>
    </row>
    <row r="8015" spans="2:3">
      <c r="B8015" s="12"/>
      <c r="C8015" s="12"/>
    </row>
    <row r="8016" spans="2:3">
      <c r="B8016" s="12"/>
      <c r="C8016" s="12"/>
    </row>
    <row r="8017" spans="2:3">
      <c r="B8017" s="12"/>
      <c r="C8017" s="12"/>
    </row>
    <row r="8018" spans="2:3">
      <c r="B8018" s="12"/>
      <c r="C8018" s="12"/>
    </row>
    <row r="8019" spans="2:3">
      <c r="B8019" s="12"/>
      <c r="C8019" s="12"/>
    </row>
    <row r="8020" spans="2:3">
      <c r="B8020" s="12"/>
      <c r="C8020" s="12"/>
    </row>
    <row r="8021" spans="2:3">
      <c r="B8021" s="12"/>
      <c r="C8021" s="12"/>
    </row>
    <row r="8022" spans="2:3">
      <c r="B8022" s="12"/>
      <c r="C8022" s="12"/>
    </row>
    <row r="8023" spans="2:3">
      <c r="B8023" s="12"/>
      <c r="C8023" s="12"/>
    </row>
    <row r="8024" spans="2:3">
      <c r="B8024" s="12"/>
      <c r="C8024" s="12"/>
    </row>
    <row r="8025" spans="2:3">
      <c r="B8025" s="12"/>
      <c r="C8025" s="12"/>
    </row>
    <row r="8026" spans="2:3">
      <c r="B8026" s="12"/>
      <c r="C8026" s="12"/>
    </row>
    <row r="8027" spans="2:3">
      <c r="B8027" s="12"/>
      <c r="C8027" s="12"/>
    </row>
    <row r="8028" spans="2:3">
      <c r="B8028" s="12"/>
      <c r="C8028" s="12"/>
    </row>
    <row r="8029" spans="2:3">
      <c r="B8029" s="12"/>
      <c r="C8029" s="12"/>
    </row>
    <row r="8030" spans="2:3">
      <c r="B8030" s="12"/>
      <c r="C8030" s="12"/>
    </row>
    <row r="8031" spans="2:3">
      <c r="B8031" s="12"/>
      <c r="C8031" s="12"/>
    </row>
    <row r="8032" spans="2:3">
      <c r="B8032" s="12"/>
      <c r="C8032" s="12"/>
    </row>
    <row r="8033" spans="2:3">
      <c r="B8033" s="12"/>
      <c r="C8033" s="12"/>
    </row>
    <row r="8034" spans="2:3">
      <c r="B8034" s="12"/>
      <c r="C8034" s="12"/>
    </row>
    <row r="8035" spans="2:3">
      <c r="B8035" s="12"/>
      <c r="C8035" s="12"/>
    </row>
    <row r="8036" spans="2:3">
      <c r="B8036" s="12"/>
      <c r="C8036" s="12"/>
    </row>
    <row r="8037" spans="2:3">
      <c r="B8037" s="12"/>
      <c r="C8037" s="12"/>
    </row>
    <row r="8038" spans="2:3">
      <c r="B8038" s="12"/>
      <c r="C8038" s="12"/>
    </row>
    <row r="8039" spans="2:3">
      <c r="B8039" s="12"/>
      <c r="C8039" s="12"/>
    </row>
    <row r="8040" spans="2:3">
      <c r="B8040" s="12"/>
      <c r="C8040" s="12"/>
    </row>
    <row r="8041" spans="2:3">
      <c r="B8041" s="12"/>
      <c r="C8041" s="12"/>
    </row>
    <row r="8042" spans="2:3">
      <c r="B8042" s="12"/>
      <c r="C8042" s="12"/>
    </row>
    <row r="8043" spans="2:3">
      <c r="B8043" s="12"/>
      <c r="C8043" s="12"/>
    </row>
    <row r="8044" spans="2:3">
      <c r="B8044" s="12"/>
      <c r="C8044" s="12"/>
    </row>
    <row r="8045" spans="2:3">
      <c r="B8045" s="12"/>
      <c r="C8045" s="12"/>
    </row>
    <row r="8046" spans="2:3">
      <c r="B8046" s="12"/>
      <c r="C8046" s="12"/>
    </row>
    <row r="8047" spans="2:3">
      <c r="B8047" s="12"/>
      <c r="C8047" s="12"/>
    </row>
    <row r="8048" spans="2:3">
      <c r="B8048" s="12"/>
      <c r="C8048" s="12"/>
    </row>
    <row r="8049" spans="2:3">
      <c r="B8049" s="12"/>
      <c r="C8049" s="12"/>
    </row>
    <row r="8050" spans="2:3">
      <c r="B8050" s="12"/>
      <c r="C8050" s="12"/>
    </row>
    <row r="8051" spans="2:3">
      <c r="B8051" s="12"/>
      <c r="C8051" s="12"/>
    </row>
    <row r="8052" spans="2:3">
      <c r="B8052" s="12"/>
      <c r="C8052" s="12"/>
    </row>
    <row r="8053" spans="2:3">
      <c r="B8053" s="12"/>
      <c r="C8053" s="12"/>
    </row>
    <row r="8054" spans="2:3">
      <c r="B8054" s="12"/>
      <c r="C8054" s="12"/>
    </row>
    <row r="8055" spans="2:3">
      <c r="B8055" s="12"/>
      <c r="C8055" s="12"/>
    </row>
    <row r="8056" spans="2:3">
      <c r="B8056" s="12"/>
      <c r="C8056" s="12"/>
    </row>
    <row r="8057" spans="2:3">
      <c r="B8057" s="12"/>
      <c r="C8057" s="12"/>
    </row>
    <row r="8058" spans="2:3">
      <c r="B8058" s="12"/>
      <c r="C8058" s="12"/>
    </row>
    <row r="8059" spans="2:3">
      <c r="B8059" s="12"/>
      <c r="C8059" s="12"/>
    </row>
    <row r="8060" spans="2:3">
      <c r="B8060" s="12"/>
      <c r="C8060" s="12"/>
    </row>
    <row r="8061" spans="2:3">
      <c r="B8061" s="12"/>
      <c r="C8061" s="12"/>
    </row>
    <row r="8062" spans="2:3">
      <c r="B8062" s="12"/>
      <c r="C8062" s="12"/>
    </row>
    <row r="8063" spans="2:3">
      <c r="B8063" s="12"/>
      <c r="C8063" s="12"/>
    </row>
    <row r="8064" spans="2:3">
      <c r="B8064" s="12"/>
      <c r="C8064" s="12"/>
    </row>
    <row r="8065" spans="2:3">
      <c r="B8065" s="12"/>
      <c r="C8065" s="12"/>
    </row>
    <row r="8066" spans="2:3">
      <c r="B8066" s="12"/>
      <c r="C8066" s="12"/>
    </row>
    <row r="8067" spans="2:3">
      <c r="B8067" s="12"/>
      <c r="C8067" s="12"/>
    </row>
    <row r="8068" spans="2:3">
      <c r="B8068" s="12"/>
      <c r="C8068" s="12"/>
    </row>
    <row r="8069" spans="2:3">
      <c r="B8069" s="12"/>
      <c r="C8069" s="12"/>
    </row>
    <row r="8070" spans="2:3">
      <c r="B8070" s="12"/>
      <c r="C8070" s="12"/>
    </row>
    <row r="8071" spans="2:3">
      <c r="B8071" s="12"/>
      <c r="C8071" s="12"/>
    </row>
    <row r="8072" spans="2:3">
      <c r="B8072" s="12"/>
      <c r="C8072" s="12"/>
    </row>
    <row r="8073" spans="2:3">
      <c r="B8073" s="12"/>
      <c r="C8073" s="12"/>
    </row>
    <row r="8074" spans="2:3">
      <c r="B8074" s="12"/>
      <c r="C8074" s="12"/>
    </row>
    <row r="8075" spans="2:3">
      <c r="B8075" s="12"/>
      <c r="C8075" s="12"/>
    </row>
    <row r="8076" spans="2:3">
      <c r="B8076" s="12"/>
      <c r="C8076" s="12"/>
    </row>
    <row r="8077" spans="2:3">
      <c r="B8077" s="12"/>
      <c r="C8077" s="12"/>
    </row>
    <row r="8078" spans="2:3">
      <c r="B8078" s="12"/>
      <c r="C8078" s="12"/>
    </row>
    <row r="8079" spans="2:3">
      <c r="B8079" s="12"/>
      <c r="C8079" s="12"/>
    </row>
    <row r="8080" spans="2:3">
      <c r="B8080" s="12"/>
      <c r="C8080" s="12"/>
    </row>
    <row r="8081" spans="2:3">
      <c r="B8081" s="12"/>
      <c r="C8081" s="12"/>
    </row>
    <row r="8082" spans="2:3">
      <c r="B8082" s="12"/>
      <c r="C8082" s="12"/>
    </row>
    <row r="8083" spans="2:3">
      <c r="B8083" s="12"/>
      <c r="C8083" s="12"/>
    </row>
    <row r="8084" spans="2:3">
      <c r="B8084" s="12"/>
      <c r="C8084" s="12"/>
    </row>
    <row r="8085" spans="2:3">
      <c r="B8085" s="12"/>
      <c r="C8085" s="12"/>
    </row>
    <row r="8086" spans="2:3">
      <c r="B8086" s="12"/>
      <c r="C8086" s="12"/>
    </row>
    <row r="8087" spans="2:3">
      <c r="B8087" s="12"/>
      <c r="C8087" s="12"/>
    </row>
    <row r="8088" spans="2:3">
      <c r="B8088" s="12"/>
      <c r="C8088" s="12"/>
    </row>
    <row r="8089" spans="2:3">
      <c r="B8089" s="12"/>
      <c r="C8089" s="12"/>
    </row>
    <row r="8090" spans="2:3">
      <c r="B8090" s="12"/>
      <c r="C8090" s="12"/>
    </row>
    <row r="8091" spans="2:3">
      <c r="B8091" s="12"/>
      <c r="C8091" s="12"/>
    </row>
    <row r="8092" spans="2:3">
      <c r="B8092" s="12"/>
      <c r="C8092" s="12"/>
    </row>
    <row r="8093" spans="2:3">
      <c r="B8093" s="12"/>
      <c r="C8093" s="12"/>
    </row>
    <row r="8094" spans="2:3">
      <c r="B8094" s="12"/>
      <c r="C8094" s="12"/>
    </row>
    <row r="8095" spans="2:3">
      <c r="B8095" s="12"/>
      <c r="C8095" s="12"/>
    </row>
    <row r="8096" spans="2:3">
      <c r="B8096" s="12"/>
      <c r="C8096" s="12"/>
    </row>
    <row r="8097" spans="2:3">
      <c r="B8097" s="12"/>
      <c r="C8097" s="12"/>
    </row>
    <row r="8098" spans="2:3">
      <c r="B8098" s="12"/>
      <c r="C8098" s="12"/>
    </row>
    <row r="8099" spans="2:3">
      <c r="B8099" s="12"/>
      <c r="C8099" s="12"/>
    </row>
    <row r="8100" spans="2:3">
      <c r="B8100" s="12"/>
      <c r="C8100" s="12"/>
    </row>
    <row r="8101" spans="2:3">
      <c r="B8101" s="12"/>
      <c r="C8101" s="12"/>
    </row>
    <row r="8102" spans="2:3">
      <c r="B8102" s="12"/>
      <c r="C8102" s="12"/>
    </row>
    <row r="8103" spans="2:3">
      <c r="B8103" s="12"/>
      <c r="C8103" s="12"/>
    </row>
    <row r="8104" spans="2:3">
      <c r="B8104" s="12"/>
      <c r="C8104" s="12"/>
    </row>
    <row r="8105" spans="2:3">
      <c r="B8105" s="12"/>
      <c r="C8105" s="12"/>
    </row>
    <row r="8106" spans="2:3">
      <c r="B8106" s="12"/>
      <c r="C8106" s="12"/>
    </row>
    <row r="8107" spans="2:3">
      <c r="B8107" s="12"/>
      <c r="C8107" s="12"/>
    </row>
    <row r="8108" spans="2:3">
      <c r="B8108" s="12"/>
      <c r="C8108" s="12"/>
    </row>
    <row r="8109" spans="2:3">
      <c r="B8109" s="12"/>
      <c r="C8109" s="12"/>
    </row>
    <row r="8110" spans="2:3">
      <c r="B8110" s="12"/>
      <c r="C8110" s="12"/>
    </row>
    <row r="8111" spans="2:3">
      <c r="B8111" s="12"/>
      <c r="C8111" s="12"/>
    </row>
    <row r="8112" spans="2:3">
      <c r="B8112" s="12"/>
      <c r="C8112" s="12"/>
    </row>
    <row r="8113" spans="2:3">
      <c r="B8113" s="12"/>
      <c r="C8113" s="12"/>
    </row>
    <row r="8114" spans="2:3">
      <c r="B8114" s="12"/>
      <c r="C8114" s="12"/>
    </row>
    <row r="8115" spans="2:3">
      <c r="B8115" s="12"/>
      <c r="C8115" s="12"/>
    </row>
    <row r="8116" spans="2:3">
      <c r="B8116" s="12"/>
      <c r="C8116" s="12"/>
    </row>
    <row r="8117" spans="2:3">
      <c r="B8117" s="12"/>
      <c r="C8117" s="12"/>
    </row>
    <row r="8118" spans="2:3">
      <c r="B8118" s="12"/>
      <c r="C8118" s="12"/>
    </row>
    <row r="8119" spans="2:3">
      <c r="B8119" s="12"/>
      <c r="C8119" s="12"/>
    </row>
    <row r="8120" spans="2:3">
      <c r="B8120" s="12"/>
      <c r="C8120" s="12"/>
    </row>
    <row r="8121" spans="2:3">
      <c r="B8121" s="12"/>
      <c r="C8121" s="12"/>
    </row>
    <row r="8122" spans="2:3">
      <c r="B8122" s="12"/>
      <c r="C8122" s="12"/>
    </row>
    <row r="8123" spans="2:3">
      <c r="B8123" s="12"/>
      <c r="C8123" s="12"/>
    </row>
    <row r="8124" spans="2:3">
      <c r="B8124" s="12"/>
      <c r="C8124" s="12"/>
    </row>
    <row r="8125" spans="2:3">
      <c r="B8125" s="12"/>
      <c r="C8125" s="12"/>
    </row>
    <row r="8126" spans="2:3">
      <c r="B8126" s="12"/>
      <c r="C8126" s="12"/>
    </row>
    <row r="8127" spans="2:3">
      <c r="B8127" s="12"/>
      <c r="C8127" s="12"/>
    </row>
    <row r="8128" spans="2:3">
      <c r="B8128" s="12"/>
      <c r="C8128" s="12"/>
    </row>
    <row r="8129" spans="2:3">
      <c r="B8129" s="12"/>
      <c r="C8129" s="12"/>
    </row>
    <row r="8130" spans="2:3">
      <c r="B8130" s="12"/>
      <c r="C8130" s="12"/>
    </row>
    <row r="8131" spans="2:3">
      <c r="B8131" s="12"/>
      <c r="C8131" s="12"/>
    </row>
    <row r="8132" spans="2:3">
      <c r="B8132" s="12"/>
      <c r="C8132" s="12"/>
    </row>
    <row r="8133" spans="2:3">
      <c r="B8133" s="12"/>
      <c r="C8133" s="12"/>
    </row>
    <row r="8134" spans="2:3">
      <c r="B8134" s="12"/>
      <c r="C8134" s="12"/>
    </row>
    <row r="8135" spans="2:3">
      <c r="B8135" s="12"/>
      <c r="C8135" s="12"/>
    </row>
    <row r="8136" spans="2:3">
      <c r="B8136" s="12"/>
      <c r="C8136" s="12"/>
    </row>
    <row r="8137" spans="2:3">
      <c r="B8137" s="12"/>
      <c r="C8137" s="12"/>
    </row>
    <row r="8138" spans="2:3">
      <c r="B8138" s="12"/>
      <c r="C8138" s="12"/>
    </row>
    <row r="8139" spans="2:3">
      <c r="B8139" s="12"/>
      <c r="C8139" s="12"/>
    </row>
    <row r="8140" spans="2:3">
      <c r="B8140" s="12"/>
      <c r="C8140" s="12"/>
    </row>
    <row r="8141" spans="2:3">
      <c r="B8141" s="12"/>
      <c r="C8141" s="12"/>
    </row>
    <row r="8142" spans="2:3">
      <c r="B8142" s="12"/>
      <c r="C8142" s="12"/>
    </row>
    <row r="8143" spans="2:3">
      <c r="B8143" s="12"/>
      <c r="C8143" s="12"/>
    </row>
    <row r="8144" spans="2:3">
      <c r="B8144" s="12"/>
      <c r="C8144" s="12"/>
    </row>
    <row r="8145" spans="2:3">
      <c r="B8145" s="12"/>
      <c r="C8145" s="12"/>
    </row>
    <row r="8146" spans="2:3">
      <c r="B8146" s="12"/>
      <c r="C8146" s="12"/>
    </row>
    <row r="8147" spans="2:3">
      <c r="B8147" s="12"/>
      <c r="C8147" s="12"/>
    </row>
    <row r="8148" spans="2:3">
      <c r="B8148" s="12"/>
      <c r="C8148" s="12"/>
    </row>
    <row r="8149" spans="2:3">
      <c r="B8149" s="12"/>
      <c r="C8149" s="12"/>
    </row>
    <row r="8150" spans="2:3">
      <c r="B8150" s="12"/>
      <c r="C8150" s="12"/>
    </row>
    <row r="8151" spans="2:3">
      <c r="B8151" s="12"/>
      <c r="C8151" s="12"/>
    </row>
    <row r="8152" spans="2:3">
      <c r="B8152" s="12"/>
      <c r="C8152" s="12"/>
    </row>
    <row r="8153" spans="2:3">
      <c r="B8153" s="12"/>
      <c r="C8153" s="12"/>
    </row>
    <row r="8154" spans="2:3">
      <c r="B8154" s="12"/>
      <c r="C8154" s="12"/>
    </row>
    <row r="8155" spans="2:3">
      <c r="B8155" s="12"/>
      <c r="C8155" s="12"/>
    </row>
    <row r="8156" spans="2:3">
      <c r="B8156" s="12"/>
      <c r="C8156" s="12"/>
    </row>
    <row r="8157" spans="2:3">
      <c r="B8157" s="12"/>
      <c r="C8157" s="12"/>
    </row>
    <row r="8158" spans="2:3">
      <c r="B8158" s="12"/>
      <c r="C8158" s="12"/>
    </row>
    <row r="8159" spans="2:3">
      <c r="B8159" s="12"/>
      <c r="C8159" s="12"/>
    </row>
    <row r="8160" spans="2:3">
      <c r="B8160" s="12"/>
      <c r="C8160" s="12"/>
    </row>
    <row r="8161" spans="2:3">
      <c r="B8161" s="12"/>
      <c r="C8161" s="12"/>
    </row>
    <row r="8162" spans="2:3">
      <c r="B8162" s="12"/>
      <c r="C8162" s="12"/>
    </row>
    <row r="8163" spans="2:3">
      <c r="B8163" s="12"/>
      <c r="C8163" s="12"/>
    </row>
    <row r="8164" spans="2:3">
      <c r="B8164" s="12"/>
      <c r="C8164" s="12"/>
    </row>
    <row r="8165" spans="2:3">
      <c r="B8165" s="12"/>
      <c r="C8165" s="12"/>
    </row>
    <row r="8166" spans="2:3">
      <c r="B8166" s="12"/>
      <c r="C8166" s="12"/>
    </row>
    <row r="8167" spans="2:3">
      <c r="B8167" s="12"/>
      <c r="C8167" s="12"/>
    </row>
    <row r="8168" spans="2:3">
      <c r="B8168" s="12"/>
      <c r="C8168" s="12"/>
    </row>
    <row r="8169" spans="2:3">
      <c r="B8169" s="12"/>
      <c r="C8169" s="12"/>
    </row>
    <row r="8170" spans="2:3">
      <c r="B8170" s="12"/>
      <c r="C8170" s="12"/>
    </row>
    <row r="8171" spans="2:3">
      <c r="B8171" s="12"/>
      <c r="C8171" s="12"/>
    </row>
    <row r="8172" spans="2:3">
      <c r="B8172" s="12"/>
      <c r="C8172" s="12"/>
    </row>
    <row r="8173" spans="2:3">
      <c r="B8173" s="12"/>
      <c r="C8173" s="12"/>
    </row>
    <row r="8174" spans="2:3">
      <c r="B8174" s="12"/>
      <c r="C8174" s="12"/>
    </row>
    <row r="8175" spans="2:3">
      <c r="B8175" s="12"/>
      <c r="C8175" s="12"/>
    </row>
    <row r="8176" spans="2:3">
      <c r="B8176" s="12"/>
      <c r="C8176" s="12"/>
    </row>
    <row r="8177" spans="2:3">
      <c r="B8177" s="12"/>
      <c r="C8177" s="12"/>
    </row>
    <row r="8178" spans="2:3">
      <c r="B8178" s="12"/>
      <c r="C8178" s="12"/>
    </row>
    <row r="8179" spans="2:3">
      <c r="B8179" s="12"/>
      <c r="C8179" s="12"/>
    </row>
    <row r="8180" spans="2:3">
      <c r="B8180" s="12"/>
      <c r="C8180" s="12"/>
    </row>
    <row r="8181" spans="2:3">
      <c r="B8181" s="12"/>
      <c r="C8181" s="12"/>
    </row>
    <row r="8182" spans="2:3">
      <c r="B8182" s="12"/>
      <c r="C8182" s="12"/>
    </row>
    <row r="8183" spans="2:3">
      <c r="B8183" s="12"/>
      <c r="C8183" s="12"/>
    </row>
    <row r="8184" spans="2:3">
      <c r="B8184" s="12"/>
      <c r="C8184" s="12"/>
    </row>
    <row r="8185" spans="2:3">
      <c r="B8185" s="12"/>
      <c r="C8185" s="12"/>
    </row>
    <row r="8186" spans="2:3">
      <c r="B8186" s="12"/>
      <c r="C8186" s="12"/>
    </row>
    <row r="8187" spans="2:3">
      <c r="B8187" s="12"/>
      <c r="C8187" s="12"/>
    </row>
    <row r="8188" spans="2:3">
      <c r="B8188" s="12"/>
      <c r="C8188" s="12"/>
    </row>
    <row r="8189" spans="2:3">
      <c r="B8189" s="12"/>
      <c r="C8189" s="12"/>
    </row>
    <row r="8190" spans="2:3">
      <c r="B8190" s="12"/>
      <c r="C8190" s="12"/>
    </row>
    <row r="8191" spans="2:3">
      <c r="B8191" s="12"/>
      <c r="C8191" s="12"/>
    </row>
    <row r="8192" spans="2:3">
      <c r="B8192" s="12"/>
      <c r="C8192" s="12"/>
    </row>
    <row r="8193" spans="2:3">
      <c r="B8193" s="12"/>
      <c r="C8193" s="12"/>
    </row>
    <row r="8194" spans="2:3">
      <c r="B8194" s="12"/>
      <c r="C8194" s="12"/>
    </row>
    <row r="8195" spans="2:3">
      <c r="B8195" s="12"/>
      <c r="C8195" s="12"/>
    </row>
    <row r="8196" spans="2:3">
      <c r="B8196" s="12"/>
      <c r="C8196" s="12"/>
    </row>
    <row r="8197" spans="2:3">
      <c r="B8197" s="12"/>
      <c r="C8197" s="12"/>
    </row>
    <row r="8198" spans="2:3">
      <c r="B8198" s="12"/>
      <c r="C8198" s="12"/>
    </row>
    <row r="8199" spans="2:3">
      <c r="B8199" s="12"/>
      <c r="C8199" s="12"/>
    </row>
    <row r="8200" spans="2:3">
      <c r="B8200" s="12"/>
      <c r="C8200" s="12"/>
    </row>
    <row r="8201" spans="2:3">
      <c r="B8201" s="12"/>
      <c r="C8201" s="12"/>
    </row>
    <row r="8202" spans="2:3">
      <c r="B8202" s="12"/>
      <c r="C8202" s="12"/>
    </row>
    <row r="8203" spans="2:3">
      <c r="B8203" s="12"/>
      <c r="C8203" s="12"/>
    </row>
    <row r="8204" spans="2:3">
      <c r="B8204" s="12"/>
      <c r="C8204" s="12"/>
    </row>
    <row r="8205" spans="2:3">
      <c r="B8205" s="12"/>
      <c r="C8205" s="12"/>
    </row>
    <row r="8206" spans="2:3">
      <c r="B8206" s="12"/>
      <c r="C8206" s="12"/>
    </row>
    <row r="8207" spans="2:3">
      <c r="B8207" s="12"/>
      <c r="C8207" s="12"/>
    </row>
    <row r="8208" spans="2:3">
      <c r="B8208" s="12"/>
      <c r="C8208" s="12"/>
    </row>
    <row r="8209" spans="2:3">
      <c r="B8209" s="12"/>
      <c r="C8209" s="12"/>
    </row>
    <row r="8210" spans="2:3">
      <c r="B8210" s="12"/>
      <c r="C8210" s="12"/>
    </row>
    <row r="8211" spans="2:3">
      <c r="B8211" s="12"/>
      <c r="C8211" s="12"/>
    </row>
    <row r="8212" spans="2:3">
      <c r="B8212" s="12"/>
      <c r="C8212" s="12"/>
    </row>
    <row r="8213" spans="2:3">
      <c r="B8213" s="12"/>
      <c r="C8213" s="12"/>
    </row>
    <row r="8214" spans="2:3">
      <c r="B8214" s="12"/>
      <c r="C8214" s="12"/>
    </row>
    <row r="8215" spans="2:3">
      <c r="B8215" s="12"/>
      <c r="C8215" s="12"/>
    </row>
    <row r="8216" spans="2:3">
      <c r="B8216" s="12"/>
      <c r="C8216" s="12"/>
    </row>
    <row r="8217" spans="2:3">
      <c r="B8217" s="12"/>
      <c r="C8217" s="12"/>
    </row>
    <row r="8218" spans="2:3">
      <c r="B8218" s="12"/>
      <c r="C8218" s="12"/>
    </row>
    <row r="8219" spans="2:3">
      <c r="B8219" s="12"/>
      <c r="C8219" s="12"/>
    </row>
    <row r="8220" spans="2:3">
      <c r="B8220" s="12"/>
      <c r="C8220" s="12"/>
    </row>
    <row r="8221" spans="2:3">
      <c r="B8221" s="12"/>
      <c r="C8221" s="12"/>
    </row>
    <row r="8222" spans="2:3">
      <c r="B8222" s="12"/>
      <c r="C8222" s="12"/>
    </row>
    <row r="8223" spans="2:3">
      <c r="B8223" s="12"/>
      <c r="C8223" s="12"/>
    </row>
    <row r="8224" spans="2:3">
      <c r="B8224" s="12"/>
      <c r="C8224" s="12"/>
    </row>
    <row r="8225" spans="2:3">
      <c r="B8225" s="12"/>
      <c r="C8225" s="12"/>
    </row>
    <row r="8226" spans="2:3">
      <c r="B8226" s="12"/>
      <c r="C8226" s="12"/>
    </row>
    <row r="8227" spans="2:3">
      <c r="B8227" s="12"/>
      <c r="C8227" s="12"/>
    </row>
    <row r="8228" spans="2:3">
      <c r="B8228" s="12"/>
      <c r="C8228" s="12"/>
    </row>
    <row r="8229" spans="2:3">
      <c r="B8229" s="12"/>
      <c r="C8229" s="12"/>
    </row>
    <row r="8230" spans="2:3">
      <c r="B8230" s="12"/>
      <c r="C8230" s="12"/>
    </row>
    <row r="8231" spans="2:3">
      <c r="B8231" s="12"/>
      <c r="C8231" s="12"/>
    </row>
    <row r="8232" spans="2:3">
      <c r="B8232" s="12"/>
      <c r="C8232" s="12"/>
    </row>
    <row r="8233" spans="2:3">
      <c r="B8233" s="12"/>
      <c r="C8233" s="12"/>
    </row>
    <row r="8234" spans="2:3">
      <c r="B8234" s="12"/>
      <c r="C8234" s="12"/>
    </row>
    <row r="8235" spans="2:3">
      <c r="B8235" s="12"/>
      <c r="C8235" s="12"/>
    </row>
    <row r="8236" spans="2:3">
      <c r="B8236" s="12"/>
      <c r="C8236" s="12"/>
    </row>
    <row r="8237" spans="2:3">
      <c r="B8237" s="12"/>
      <c r="C8237" s="12"/>
    </row>
    <row r="8238" spans="2:3">
      <c r="B8238" s="12"/>
      <c r="C8238" s="12"/>
    </row>
    <row r="8239" spans="2:3">
      <c r="B8239" s="12"/>
      <c r="C8239" s="12"/>
    </row>
    <row r="8240" spans="2:3">
      <c r="B8240" s="12"/>
      <c r="C8240" s="12"/>
    </row>
    <row r="8241" spans="2:3">
      <c r="B8241" s="12"/>
      <c r="C8241" s="12"/>
    </row>
    <row r="8242" spans="2:3">
      <c r="B8242" s="12"/>
      <c r="C8242" s="12"/>
    </row>
    <row r="8243" spans="2:3">
      <c r="B8243" s="12"/>
      <c r="C8243" s="12"/>
    </row>
    <row r="8244" spans="2:3">
      <c r="B8244" s="12"/>
      <c r="C8244" s="12"/>
    </row>
    <row r="8245" spans="2:3">
      <c r="B8245" s="12"/>
      <c r="C8245" s="12"/>
    </row>
    <row r="8246" spans="2:3">
      <c r="B8246" s="12"/>
      <c r="C8246" s="12"/>
    </row>
    <row r="8247" spans="2:3">
      <c r="B8247" s="12"/>
      <c r="C8247" s="12"/>
    </row>
    <row r="8248" spans="2:3">
      <c r="B8248" s="12"/>
      <c r="C8248" s="12"/>
    </row>
    <row r="8249" spans="2:3">
      <c r="B8249" s="12"/>
      <c r="C8249" s="12"/>
    </row>
    <row r="8250" spans="2:3">
      <c r="B8250" s="12"/>
      <c r="C8250" s="12"/>
    </row>
    <row r="8251" spans="2:3">
      <c r="B8251" s="12"/>
      <c r="C8251" s="12"/>
    </row>
    <row r="8252" spans="2:3">
      <c r="B8252" s="12"/>
      <c r="C8252" s="12"/>
    </row>
    <row r="8253" spans="2:3">
      <c r="B8253" s="12"/>
      <c r="C8253" s="12"/>
    </row>
    <row r="8254" spans="2:3">
      <c r="B8254" s="12"/>
      <c r="C8254" s="12"/>
    </row>
    <row r="8255" spans="2:3">
      <c r="B8255" s="12"/>
      <c r="C8255" s="12"/>
    </row>
    <row r="8256" spans="2:3">
      <c r="B8256" s="12"/>
      <c r="C8256" s="12"/>
    </row>
    <row r="8257" spans="2:3">
      <c r="B8257" s="12"/>
      <c r="C8257" s="12"/>
    </row>
    <row r="8258" spans="2:3">
      <c r="B8258" s="12"/>
      <c r="C8258" s="12"/>
    </row>
    <row r="8259" spans="2:3">
      <c r="B8259" s="12"/>
      <c r="C8259" s="12"/>
    </row>
    <row r="8260" spans="2:3">
      <c r="B8260" s="12"/>
      <c r="C8260" s="12"/>
    </row>
    <row r="8261" spans="2:3">
      <c r="B8261" s="12"/>
      <c r="C8261" s="12"/>
    </row>
    <row r="8262" spans="2:3">
      <c r="B8262" s="12"/>
      <c r="C8262" s="12"/>
    </row>
    <row r="8263" spans="2:3">
      <c r="B8263" s="12"/>
      <c r="C8263" s="12"/>
    </row>
    <row r="8264" spans="2:3">
      <c r="B8264" s="12"/>
      <c r="C8264" s="12"/>
    </row>
    <row r="8265" spans="2:3">
      <c r="B8265" s="12"/>
      <c r="C8265" s="12"/>
    </row>
    <row r="8266" spans="2:3">
      <c r="B8266" s="12"/>
      <c r="C8266" s="12"/>
    </row>
    <row r="8267" spans="2:3">
      <c r="B8267" s="12"/>
      <c r="C8267" s="12"/>
    </row>
    <row r="8268" spans="2:3">
      <c r="B8268" s="12"/>
      <c r="C8268" s="12"/>
    </row>
    <row r="8269" spans="2:3">
      <c r="B8269" s="12"/>
      <c r="C8269" s="12"/>
    </row>
    <row r="8270" spans="2:3">
      <c r="B8270" s="12"/>
      <c r="C8270" s="12"/>
    </row>
    <row r="8271" spans="2:3">
      <c r="B8271" s="12"/>
      <c r="C8271" s="12"/>
    </row>
    <row r="8272" spans="2:3">
      <c r="B8272" s="12"/>
      <c r="C8272" s="12"/>
    </row>
    <row r="8273" spans="2:3">
      <c r="B8273" s="12"/>
      <c r="C8273" s="12"/>
    </row>
    <row r="8274" spans="2:3">
      <c r="B8274" s="12"/>
      <c r="C8274" s="12"/>
    </row>
    <row r="8275" spans="2:3">
      <c r="B8275" s="12"/>
      <c r="C8275" s="12"/>
    </row>
    <row r="8276" spans="2:3">
      <c r="B8276" s="12"/>
      <c r="C8276" s="12"/>
    </row>
    <row r="8277" spans="2:3">
      <c r="B8277" s="12"/>
      <c r="C8277" s="12"/>
    </row>
    <row r="8278" spans="2:3">
      <c r="B8278" s="12"/>
      <c r="C8278" s="12"/>
    </row>
    <row r="8279" spans="2:3">
      <c r="B8279" s="12"/>
      <c r="C8279" s="12"/>
    </row>
    <row r="8280" spans="2:3">
      <c r="B8280" s="12"/>
      <c r="C8280" s="12"/>
    </row>
    <row r="8281" spans="2:3">
      <c r="B8281" s="12"/>
      <c r="C8281" s="12"/>
    </row>
    <row r="8282" spans="2:3">
      <c r="B8282" s="12"/>
      <c r="C8282" s="12"/>
    </row>
    <row r="8283" spans="2:3">
      <c r="B8283" s="12"/>
      <c r="C8283" s="12"/>
    </row>
    <row r="8284" spans="2:3">
      <c r="B8284" s="12"/>
      <c r="C8284" s="12"/>
    </row>
    <row r="8285" spans="2:3">
      <c r="B8285" s="12"/>
      <c r="C8285" s="12"/>
    </row>
    <row r="8286" spans="2:3">
      <c r="B8286" s="12"/>
      <c r="C8286" s="12"/>
    </row>
    <row r="8287" spans="2:3">
      <c r="B8287" s="12"/>
      <c r="C8287" s="12"/>
    </row>
    <row r="8288" spans="2:3">
      <c r="B8288" s="12"/>
      <c r="C8288" s="12"/>
    </row>
    <row r="8289" spans="2:3">
      <c r="B8289" s="12"/>
      <c r="C8289" s="12"/>
    </row>
    <row r="8290" spans="2:3">
      <c r="B8290" s="12"/>
      <c r="C8290" s="12"/>
    </row>
    <row r="8291" spans="2:3">
      <c r="B8291" s="12"/>
      <c r="C8291" s="12"/>
    </row>
    <row r="8292" spans="2:3">
      <c r="B8292" s="12"/>
      <c r="C8292" s="12"/>
    </row>
    <row r="8293" spans="2:3">
      <c r="B8293" s="12"/>
      <c r="C8293" s="12"/>
    </row>
    <row r="8294" spans="2:3">
      <c r="B8294" s="12"/>
      <c r="C8294" s="12"/>
    </row>
    <row r="8295" spans="2:3">
      <c r="B8295" s="12"/>
      <c r="C8295" s="12"/>
    </row>
    <row r="8296" spans="2:3">
      <c r="B8296" s="12"/>
      <c r="C8296" s="12"/>
    </row>
    <row r="8297" spans="2:3">
      <c r="B8297" s="12"/>
      <c r="C8297" s="12"/>
    </row>
    <row r="8298" spans="2:3">
      <c r="B8298" s="12"/>
      <c r="C8298" s="12"/>
    </row>
    <row r="8299" spans="2:3">
      <c r="B8299" s="12"/>
      <c r="C8299" s="12"/>
    </row>
    <row r="8300" spans="2:3">
      <c r="B8300" s="12"/>
      <c r="C8300" s="12"/>
    </row>
    <row r="8301" spans="2:3">
      <c r="B8301" s="12"/>
      <c r="C8301" s="12"/>
    </row>
    <row r="8302" spans="2:3">
      <c r="B8302" s="12"/>
      <c r="C8302" s="12"/>
    </row>
    <row r="8303" spans="2:3">
      <c r="B8303" s="12"/>
      <c r="C8303" s="12"/>
    </row>
    <row r="8304" spans="2:3">
      <c r="B8304" s="12"/>
      <c r="C8304" s="12"/>
    </row>
    <row r="8305" spans="2:3">
      <c r="B8305" s="12"/>
      <c r="C8305" s="12"/>
    </row>
    <row r="8306" spans="2:3">
      <c r="B8306" s="12"/>
      <c r="C8306" s="12"/>
    </row>
    <row r="8307" spans="2:3">
      <c r="B8307" s="12"/>
      <c r="C8307" s="12"/>
    </row>
    <row r="8308" spans="2:3">
      <c r="B8308" s="12"/>
      <c r="C8308" s="12"/>
    </row>
    <row r="8309" spans="2:3">
      <c r="B8309" s="12"/>
      <c r="C8309" s="12"/>
    </row>
    <row r="8310" spans="2:3">
      <c r="B8310" s="12"/>
      <c r="C8310" s="12"/>
    </row>
    <row r="8311" spans="2:3">
      <c r="B8311" s="12"/>
      <c r="C8311" s="12"/>
    </row>
    <row r="8312" spans="2:3">
      <c r="B8312" s="12"/>
      <c r="C8312" s="12"/>
    </row>
    <row r="8313" spans="2:3">
      <c r="B8313" s="12"/>
      <c r="C8313" s="12"/>
    </row>
    <row r="8314" spans="2:3">
      <c r="B8314" s="12"/>
      <c r="C8314" s="12"/>
    </row>
    <row r="8315" spans="2:3">
      <c r="B8315" s="12"/>
      <c r="C8315" s="12"/>
    </row>
    <row r="8316" spans="2:3">
      <c r="B8316" s="12"/>
      <c r="C8316" s="12"/>
    </row>
    <row r="8317" spans="2:3">
      <c r="B8317" s="12"/>
      <c r="C8317" s="12"/>
    </row>
    <row r="8318" spans="2:3">
      <c r="B8318" s="12"/>
      <c r="C8318" s="12"/>
    </row>
    <row r="8319" spans="2:3">
      <c r="B8319" s="12"/>
      <c r="C8319" s="12"/>
    </row>
    <row r="8320" spans="2:3">
      <c r="B8320" s="12"/>
      <c r="C8320" s="12"/>
    </row>
    <row r="8321" spans="2:3">
      <c r="B8321" s="12"/>
      <c r="C8321" s="12"/>
    </row>
    <row r="8322" spans="2:3">
      <c r="B8322" s="12"/>
      <c r="C8322" s="12"/>
    </row>
    <row r="8323" spans="2:3">
      <c r="B8323" s="12"/>
      <c r="C8323" s="12"/>
    </row>
    <row r="8324" spans="2:3">
      <c r="B8324" s="12"/>
      <c r="C8324" s="12"/>
    </row>
    <row r="8325" spans="2:3">
      <c r="B8325" s="12"/>
      <c r="C8325" s="12"/>
    </row>
    <row r="8326" spans="2:3">
      <c r="B8326" s="12"/>
      <c r="C8326" s="12"/>
    </row>
    <row r="8327" spans="2:3">
      <c r="B8327" s="12"/>
      <c r="C8327" s="12"/>
    </row>
    <row r="8328" spans="2:3">
      <c r="B8328" s="12"/>
      <c r="C8328" s="12"/>
    </row>
    <row r="8329" spans="2:3">
      <c r="B8329" s="12"/>
      <c r="C8329" s="12"/>
    </row>
    <row r="8330" spans="2:3">
      <c r="B8330" s="12"/>
      <c r="C8330" s="12"/>
    </row>
    <row r="8331" spans="2:3">
      <c r="B8331" s="12"/>
      <c r="C8331" s="12"/>
    </row>
    <row r="8332" spans="2:3">
      <c r="B8332" s="12"/>
      <c r="C8332" s="12"/>
    </row>
    <row r="8333" spans="2:3">
      <c r="B8333" s="12"/>
      <c r="C8333" s="12"/>
    </row>
    <row r="8334" spans="2:3">
      <c r="B8334" s="12"/>
      <c r="C8334" s="12"/>
    </row>
    <row r="8335" spans="2:3">
      <c r="B8335" s="12"/>
      <c r="C8335" s="12"/>
    </row>
    <row r="8336" spans="2:3">
      <c r="B8336" s="12"/>
      <c r="C8336" s="12"/>
    </row>
    <row r="8337" spans="2:3">
      <c r="B8337" s="12"/>
      <c r="C8337" s="12"/>
    </row>
    <row r="8338" spans="2:3">
      <c r="B8338" s="12"/>
      <c r="C8338" s="12"/>
    </row>
    <row r="8339" spans="2:3">
      <c r="B8339" s="12"/>
      <c r="C8339" s="12"/>
    </row>
    <row r="8340" spans="2:3">
      <c r="B8340" s="12"/>
      <c r="C8340" s="12"/>
    </row>
    <row r="8341" spans="2:3">
      <c r="B8341" s="12"/>
      <c r="C8341" s="12"/>
    </row>
    <row r="8342" spans="2:3">
      <c r="B8342" s="12"/>
      <c r="C8342" s="12"/>
    </row>
    <row r="8343" spans="2:3">
      <c r="B8343" s="12"/>
      <c r="C8343" s="12"/>
    </row>
    <row r="8344" spans="2:3">
      <c r="B8344" s="12"/>
      <c r="C8344" s="12"/>
    </row>
    <row r="8345" spans="2:3">
      <c r="B8345" s="12"/>
      <c r="C8345" s="12"/>
    </row>
    <row r="8346" spans="2:3">
      <c r="B8346" s="12"/>
      <c r="C8346" s="12"/>
    </row>
    <row r="8347" spans="2:3">
      <c r="B8347" s="12"/>
      <c r="C8347" s="12"/>
    </row>
    <row r="8348" spans="2:3">
      <c r="B8348" s="12"/>
      <c r="C8348" s="12"/>
    </row>
    <row r="8349" spans="2:3">
      <c r="B8349" s="12"/>
      <c r="C8349" s="12"/>
    </row>
    <row r="8350" spans="2:3">
      <c r="B8350" s="12"/>
      <c r="C8350" s="12"/>
    </row>
    <row r="8351" spans="2:3">
      <c r="B8351" s="12"/>
      <c r="C8351" s="12"/>
    </row>
    <row r="8352" spans="2:3">
      <c r="B8352" s="12"/>
      <c r="C8352" s="12"/>
    </row>
    <row r="8353" spans="2:3">
      <c r="B8353" s="12"/>
      <c r="C8353" s="12"/>
    </row>
    <row r="8354" spans="2:3">
      <c r="B8354" s="12"/>
      <c r="C8354" s="12"/>
    </row>
    <row r="8355" spans="2:3">
      <c r="B8355" s="12"/>
      <c r="C8355" s="12"/>
    </row>
    <row r="8356" spans="2:3">
      <c r="B8356" s="12"/>
      <c r="C8356" s="12"/>
    </row>
    <row r="8357" spans="2:3">
      <c r="B8357" s="12"/>
      <c r="C8357" s="12"/>
    </row>
    <row r="8358" spans="2:3">
      <c r="B8358" s="12"/>
      <c r="C8358" s="12"/>
    </row>
    <row r="8359" spans="2:3">
      <c r="B8359" s="12"/>
      <c r="C8359" s="12"/>
    </row>
    <row r="8360" spans="2:3">
      <c r="B8360" s="12"/>
      <c r="C8360" s="12"/>
    </row>
    <row r="8361" spans="2:3">
      <c r="B8361" s="12"/>
      <c r="C8361" s="12"/>
    </row>
    <row r="8362" spans="2:3">
      <c r="B8362" s="12"/>
      <c r="C8362" s="12"/>
    </row>
    <row r="8363" spans="2:3">
      <c r="B8363" s="12"/>
      <c r="C8363" s="12"/>
    </row>
    <row r="8364" spans="2:3">
      <c r="B8364" s="12"/>
      <c r="C8364" s="12"/>
    </row>
    <row r="8365" spans="2:3">
      <c r="B8365" s="12"/>
      <c r="C8365" s="12"/>
    </row>
    <row r="8366" spans="2:3">
      <c r="B8366" s="12"/>
      <c r="C8366" s="12"/>
    </row>
    <row r="8367" spans="2:3">
      <c r="B8367" s="12"/>
      <c r="C8367" s="12"/>
    </row>
    <row r="8368" spans="2:3">
      <c r="B8368" s="12"/>
      <c r="C8368" s="12"/>
    </row>
    <row r="8369" spans="2:3">
      <c r="B8369" s="12"/>
      <c r="C8369" s="12"/>
    </row>
    <row r="8370" spans="2:3">
      <c r="B8370" s="12"/>
      <c r="C8370" s="12"/>
    </row>
    <row r="8371" spans="2:3">
      <c r="B8371" s="12"/>
      <c r="C8371" s="12"/>
    </row>
    <row r="8372" spans="2:3">
      <c r="B8372" s="12"/>
      <c r="C8372" s="12"/>
    </row>
    <row r="8373" spans="2:3">
      <c r="B8373" s="12"/>
      <c r="C8373" s="12"/>
    </row>
    <row r="8374" spans="2:3">
      <c r="B8374" s="12"/>
      <c r="C8374" s="12"/>
    </row>
    <row r="8375" spans="2:3">
      <c r="B8375" s="12"/>
      <c r="C8375" s="12"/>
    </row>
    <row r="8376" spans="2:3">
      <c r="B8376" s="12"/>
      <c r="C8376" s="12"/>
    </row>
    <row r="8377" spans="2:3">
      <c r="B8377" s="12"/>
      <c r="C8377" s="12"/>
    </row>
    <row r="8378" spans="2:3">
      <c r="B8378" s="12"/>
      <c r="C8378" s="12"/>
    </row>
    <row r="8379" spans="2:3">
      <c r="B8379" s="12"/>
      <c r="C8379" s="12"/>
    </row>
    <row r="8380" spans="2:3">
      <c r="B8380" s="12"/>
      <c r="C8380" s="12"/>
    </row>
    <row r="8381" spans="2:3">
      <c r="B8381" s="12"/>
      <c r="C8381" s="12"/>
    </row>
    <row r="8382" spans="2:3">
      <c r="B8382" s="12"/>
      <c r="C8382" s="12"/>
    </row>
    <row r="8383" spans="2:3">
      <c r="B8383" s="12"/>
      <c r="C8383" s="12"/>
    </row>
    <row r="8384" spans="2:3">
      <c r="B8384" s="12"/>
      <c r="C8384" s="12"/>
    </row>
    <row r="8385" spans="2:3">
      <c r="B8385" s="12"/>
      <c r="C8385" s="12"/>
    </row>
    <row r="8386" spans="2:3">
      <c r="B8386" s="12"/>
      <c r="C8386" s="12"/>
    </row>
    <row r="8387" spans="2:3">
      <c r="B8387" s="12"/>
      <c r="C8387" s="12"/>
    </row>
    <row r="8388" spans="2:3">
      <c r="B8388" s="12"/>
      <c r="C8388" s="12"/>
    </row>
    <row r="8389" spans="2:3">
      <c r="B8389" s="12"/>
      <c r="C8389" s="12"/>
    </row>
    <row r="8390" spans="2:3">
      <c r="B8390" s="12"/>
      <c r="C8390" s="12"/>
    </row>
    <row r="8391" spans="2:3">
      <c r="B8391" s="12"/>
      <c r="C8391" s="12"/>
    </row>
    <row r="8392" spans="2:3">
      <c r="B8392" s="12"/>
      <c r="C8392" s="12"/>
    </row>
    <row r="8393" spans="2:3">
      <c r="B8393" s="12"/>
      <c r="C8393" s="12"/>
    </row>
    <row r="8394" spans="2:3">
      <c r="B8394" s="12"/>
      <c r="C8394" s="12"/>
    </row>
    <row r="8395" spans="2:3">
      <c r="B8395" s="12"/>
      <c r="C8395" s="12"/>
    </row>
    <row r="8396" spans="2:3">
      <c r="B8396" s="12"/>
      <c r="C8396" s="12"/>
    </row>
    <row r="8397" spans="2:3">
      <c r="B8397" s="12"/>
      <c r="C8397" s="12"/>
    </row>
    <row r="8398" spans="2:3">
      <c r="B8398" s="12"/>
      <c r="C8398" s="12"/>
    </row>
    <row r="8399" spans="2:3">
      <c r="B8399" s="12"/>
      <c r="C8399" s="12"/>
    </row>
    <row r="8400" spans="2:3">
      <c r="B8400" s="12"/>
      <c r="C8400" s="12"/>
    </row>
    <row r="8401" spans="2:3">
      <c r="B8401" s="12"/>
      <c r="C8401" s="12"/>
    </row>
    <row r="8402" spans="2:3">
      <c r="B8402" s="12"/>
      <c r="C8402" s="12"/>
    </row>
    <row r="8403" spans="2:3">
      <c r="B8403" s="12"/>
      <c r="C8403" s="12"/>
    </row>
    <row r="8404" spans="2:3">
      <c r="B8404" s="12"/>
      <c r="C8404" s="12"/>
    </row>
    <row r="8405" spans="2:3">
      <c r="B8405" s="12"/>
      <c r="C8405" s="12"/>
    </row>
    <row r="8406" spans="2:3">
      <c r="B8406" s="12"/>
      <c r="C8406" s="12"/>
    </row>
    <row r="8407" spans="2:3">
      <c r="B8407" s="12"/>
      <c r="C8407" s="12"/>
    </row>
    <row r="8408" spans="2:3">
      <c r="B8408" s="12"/>
      <c r="C8408" s="12"/>
    </row>
    <row r="8409" spans="2:3">
      <c r="B8409" s="12"/>
      <c r="C8409" s="12"/>
    </row>
    <row r="8410" spans="2:3">
      <c r="B8410" s="12"/>
      <c r="C8410" s="12"/>
    </row>
    <row r="8411" spans="2:3">
      <c r="B8411" s="12"/>
      <c r="C8411" s="12"/>
    </row>
    <row r="8412" spans="2:3">
      <c r="B8412" s="12"/>
      <c r="C8412" s="12"/>
    </row>
    <row r="8413" spans="2:3">
      <c r="B8413" s="12"/>
      <c r="C8413" s="12"/>
    </row>
    <row r="8414" spans="2:3">
      <c r="B8414" s="12"/>
      <c r="C8414" s="12"/>
    </row>
    <row r="8415" spans="2:3">
      <c r="B8415" s="12"/>
      <c r="C8415" s="12"/>
    </row>
    <row r="8416" spans="2:3">
      <c r="B8416" s="12"/>
      <c r="C8416" s="12"/>
    </row>
    <row r="8417" spans="2:3">
      <c r="B8417" s="12"/>
      <c r="C8417" s="12"/>
    </row>
    <row r="8418" spans="2:3">
      <c r="B8418" s="12"/>
      <c r="C8418" s="12"/>
    </row>
    <row r="8419" spans="2:3">
      <c r="B8419" s="12"/>
      <c r="C8419" s="12"/>
    </row>
    <row r="8420" spans="2:3">
      <c r="B8420" s="12"/>
      <c r="C8420" s="12"/>
    </row>
    <row r="8421" spans="2:3">
      <c r="B8421" s="12"/>
      <c r="C8421" s="12"/>
    </row>
    <row r="8422" spans="2:3">
      <c r="B8422" s="12"/>
      <c r="C8422" s="12"/>
    </row>
    <row r="8423" spans="2:3">
      <c r="B8423" s="12"/>
      <c r="C8423" s="12"/>
    </row>
    <row r="8424" spans="2:3">
      <c r="B8424" s="12"/>
      <c r="C8424" s="12"/>
    </row>
    <row r="8425" spans="2:3">
      <c r="B8425" s="12"/>
      <c r="C8425" s="12"/>
    </row>
    <row r="8426" spans="2:3">
      <c r="B8426" s="12"/>
      <c r="C8426" s="12"/>
    </row>
    <row r="8427" spans="2:3">
      <c r="B8427" s="12"/>
      <c r="C8427" s="12"/>
    </row>
    <row r="8428" spans="2:3">
      <c r="B8428" s="12"/>
      <c r="C8428" s="12"/>
    </row>
    <row r="8429" spans="2:3">
      <c r="B8429" s="12"/>
      <c r="C8429" s="12"/>
    </row>
    <row r="8430" spans="2:3">
      <c r="B8430" s="12"/>
      <c r="C8430" s="12"/>
    </row>
    <row r="8431" spans="2:3">
      <c r="B8431" s="12"/>
      <c r="C8431" s="12"/>
    </row>
    <row r="8432" spans="2:3">
      <c r="B8432" s="12"/>
      <c r="C8432" s="12"/>
    </row>
    <row r="8433" spans="2:3">
      <c r="B8433" s="12"/>
      <c r="C8433" s="12"/>
    </row>
    <row r="8434" spans="2:3">
      <c r="B8434" s="12"/>
      <c r="C8434" s="12"/>
    </row>
    <row r="8435" spans="2:3">
      <c r="B8435" s="12"/>
      <c r="C8435" s="12"/>
    </row>
    <row r="8436" spans="2:3">
      <c r="B8436" s="12"/>
      <c r="C8436" s="12"/>
    </row>
    <row r="8437" spans="2:3">
      <c r="B8437" s="12"/>
      <c r="C8437" s="12"/>
    </row>
    <row r="8438" spans="2:3">
      <c r="B8438" s="12"/>
      <c r="C8438" s="12"/>
    </row>
    <row r="8439" spans="2:3">
      <c r="B8439" s="12"/>
      <c r="C8439" s="12"/>
    </row>
    <row r="8440" spans="2:3">
      <c r="B8440" s="12"/>
      <c r="C8440" s="12"/>
    </row>
    <row r="8441" spans="2:3">
      <c r="B8441" s="12"/>
      <c r="C8441" s="12"/>
    </row>
    <row r="8442" spans="2:3">
      <c r="B8442" s="12"/>
      <c r="C8442" s="12"/>
    </row>
    <row r="8443" spans="2:3">
      <c r="B8443" s="12"/>
      <c r="C8443" s="12"/>
    </row>
    <row r="8444" spans="2:3">
      <c r="B8444" s="12"/>
      <c r="C8444" s="12"/>
    </row>
    <row r="8445" spans="2:3">
      <c r="B8445" s="12"/>
      <c r="C8445" s="12"/>
    </row>
    <row r="8446" spans="2:3">
      <c r="B8446" s="12"/>
      <c r="C8446" s="12"/>
    </row>
    <row r="8447" spans="2:3">
      <c r="B8447" s="12"/>
      <c r="C8447" s="12"/>
    </row>
    <row r="8448" spans="2:3">
      <c r="B8448" s="12"/>
      <c r="C8448" s="12"/>
    </row>
    <row r="8449" spans="2:3">
      <c r="B8449" s="12"/>
      <c r="C8449" s="12"/>
    </row>
    <row r="8450" spans="2:3">
      <c r="B8450" s="12"/>
      <c r="C8450" s="12"/>
    </row>
    <row r="8451" spans="2:3">
      <c r="B8451" s="12"/>
      <c r="C8451" s="12"/>
    </row>
    <row r="8452" spans="2:3">
      <c r="B8452" s="12"/>
      <c r="C8452" s="12"/>
    </row>
    <row r="8453" spans="2:3">
      <c r="B8453" s="12"/>
      <c r="C8453" s="12"/>
    </row>
    <row r="8454" spans="2:3">
      <c r="B8454" s="12"/>
      <c r="C8454" s="12"/>
    </row>
    <row r="8455" spans="2:3">
      <c r="B8455" s="12"/>
      <c r="C8455" s="12"/>
    </row>
    <row r="8456" spans="2:3">
      <c r="B8456" s="12"/>
      <c r="C8456" s="12"/>
    </row>
    <row r="8457" spans="2:3">
      <c r="B8457" s="12"/>
      <c r="C8457" s="12"/>
    </row>
    <row r="8458" spans="2:3">
      <c r="B8458" s="12"/>
      <c r="C8458" s="12"/>
    </row>
    <row r="8459" spans="2:3">
      <c r="B8459" s="12"/>
      <c r="C8459" s="12"/>
    </row>
    <row r="8460" spans="2:3">
      <c r="B8460" s="12"/>
      <c r="C8460" s="12"/>
    </row>
    <row r="8461" spans="2:3">
      <c r="B8461" s="12"/>
      <c r="C8461" s="12"/>
    </row>
    <row r="8462" spans="2:3">
      <c r="B8462" s="12"/>
      <c r="C8462" s="12"/>
    </row>
    <row r="8463" spans="2:3">
      <c r="B8463" s="12"/>
      <c r="C8463" s="12"/>
    </row>
    <row r="8464" spans="2:3">
      <c r="B8464" s="12"/>
      <c r="C8464" s="12"/>
    </row>
    <row r="8465" spans="2:3">
      <c r="B8465" s="12"/>
      <c r="C8465" s="12"/>
    </row>
    <row r="8466" spans="2:3">
      <c r="B8466" s="12"/>
      <c r="C8466" s="12"/>
    </row>
    <row r="8467" spans="2:3">
      <c r="B8467" s="12"/>
      <c r="C8467" s="12"/>
    </row>
    <row r="8468" spans="2:3">
      <c r="B8468" s="12"/>
      <c r="C8468" s="12"/>
    </row>
    <row r="8469" spans="2:3">
      <c r="B8469" s="12"/>
      <c r="C8469" s="12"/>
    </row>
    <row r="8470" spans="2:3">
      <c r="B8470" s="12"/>
      <c r="C8470" s="12"/>
    </row>
    <row r="8471" spans="2:3">
      <c r="B8471" s="12"/>
      <c r="C8471" s="12"/>
    </row>
    <row r="8472" spans="2:3">
      <c r="B8472" s="12"/>
      <c r="C8472" s="12"/>
    </row>
    <row r="8473" spans="2:3">
      <c r="B8473" s="12"/>
      <c r="C8473" s="12"/>
    </row>
    <row r="8474" spans="2:3">
      <c r="B8474" s="12"/>
      <c r="C8474" s="12"/>
    </row>
    <row r="8475" spans="2:3">
      <c r="B8475" s="12"/>
      <c r="C8475" s="12"/>
    </row>
    <row r="8476" spans="2:3">
      <c r="B8476" s="12"/>
      <c r="C8476" s="12"/>
    </row>
    <row r="8477" spans="2:3">
      <c r="B8477" s="12"/>
      <c r="C8477" s="12"/>
    </row>
    <row r="8478" spans="2:3">
      <c r="B8478" s="12"/>
      <c r="C8478" s="12"/>
    </row>
    <row r="8479" spans="2:3">
      <c r="B8479" s="12"/>
      <c r="C8479" s="12"/>
    </row>
    <row r="8480" spans="2:3">
      <c r="B8480" s="12"/>
      <c r="C8480" s="12"/>
    </row>
    <row r="8481" spans="2:3">
      <c r="B8481" s="12"/>
      <c r="C8481" s="12"/>
    </row>
    <row r="8482" spans="2:3">
      <c r="B8482" s="12"/>
      <c r="C8482" s="12"/>
    </row>
    <row r="8483" spans="2:3">
      <c r="B8483" s="12"/>
      <c r="C8483" s="12"/>
    </row>
    <row r="8484" spans="2:3">
      <c r="B8484" s="12"/>
      <c r="C8484" s="12"/>
    </row>
    <row r="8485" spans="2:3">
      <c r="B8485" s="12"/>
      <c r="C8485" s="12"/>
    </row>
    <row r="8486" spans="2:3">
      <c r="B8486" s="12"/>
      <c r="C8486" s="12"/>
    </row>
    <row r="8487" spans="2:3">
      <c r="B8487" s="12"/>
      <c r="C8487" s="12"/>
    </row>
    <row r="8488" spans="2:3">
      <c r="B8488" s="12"/>
      <c r="C8488" s="12"/>
    </row>
    <row r="8489" spans="2:3">
      <c r="B8489" s="12"/>
      <c r="C8489" s="12"/>
    </row>
    <row r="8490" spans="2:3">
      <c r="B8490" s="12"/>
      <c r="C8490" s="12"/>
    </row>
    <row r="8491" spans="2:3">
      <c r="B8491" s="12"/>
      <c r="C8491" s="12"/>
    </row>
    <row r="8492" spans="2:3">
      <c r="B8492" s="12"/>
      <c r="C8492" s="12"/>
    </row>
    <row r="8493" spans="2:3">
      <c r="B8493" s="12"/>
      <c r="C8493" s="12"/>
    </row>
    <row r="8494" spans="2:3">
      <c r="B8494" s="12"/>
      <c r="C8494" s="12"/>
    </row>
    <row r="8495" spans="2:3">
      <c r="B8495" s="12"/>
      <c r="C8495" s="12"/>
    </row>
    <row r="8496" spans="2:3">
      <c r="B8496" s="12"/>
      <c r="C8496" s="12"/>
    </row>
    <row r="8497" spans="2:3">
      <c r="B8497" s="12"/>
      <c r="C8497" s="12"/>
    </row>
    <row r="8498" spans="2:3">
      <c r="B8498" s="12"/>
      <c r="C8498" s="12"/>
    </row>
    <row r="8499" spans="2:3">
      <c r="B8499" s="12"/>
      <c r="C8499" s="12"/>
    </row>
    <row r="8500" spans="2:3">
      <c r="B8500" s="12"/>
      <c r="C8500" s="12"/>
    </row>
    <row r="8501" spans="2:3">
      <c r="B8501" s="12"/>
      <c r="C8501" s="12"/>
    </row>
    <row r="8502" spans="2:3">
      <c r="B8502" s="12"/>
      <c r="C8502" s="12"/>
    </row>
    <row r="8503" spans="2:3">
      <c r="B8503" s="12"/>
      <c r="C8503" s="12"/>
    </row>
    <row r="8504" spans="2:3">
      <c r="B8504" s="12"/>
      <c r="C8504" s="12"/>
    </row>
    <row r="8505" spans="2:3">
      <c r="B8505" s="12"/>
      <c r="C8505" s="12"/>
    </row>
    <row r="8506" spans="2:3">
      <c r="B8506" s="12"/>
      <c r="C8506" s="12"/>
    </row>
    <row r="8507" spans="2:3">
      <c r="B8507" s="12"/>
      <c r="C8507" s="12"/>
    </row>
    <row r="8508" spans="2:3">
      <c r="B8508" s="12"/>
      <c r="C8508" s="12"/>
    </row>
    <row r="8509" spans="2:3">
      <c r="B8509" s="12"/>
      <c r="C8509" s="12"/>
    </row>
    <row r="8510" spans="2:3">
      <c r="B8510" s="12"/>
      <c r="C8510" s="12"/>
    </row>
    <row r="8511" spans="2:3">
      <c r="B8511" s="12"/>
      <c r="C8511" s="12"/>
    </row>
    <row r="8512" spans="2:3">
      <c r="B8512" s="12"/>
      <c r="C8512" s="12"/>
    </row>
    <row r="8513" spans="2:3">
      <c r="B8513" s="12"/>
      <c r="C8513" s="12"/>
    </row>
    <row r="8514" spans="2:3">
      <c r="B8514" s="12"/>
      <c r="C8514" s="12"/>
    </row>
    <row r="8515" spans="2:3">
      <c r="B8515" s="12"/>
      <c r="C8515" s="12"/>
    </row>
    <row r="8516" spans="2:3">
      <c r="B8516" s="12"/>
      <c r="C8516" s="12"/>
    </row>
    <row r="8517" spans="2:3">
      <c r="B8517" s="12"/>
      <c r="C8517" s="12"/>
    </row>
    <row r="8518" spans="2:3">
      <c r="B8518" s="12"/>
      <c r="C8518" s="12"/>
    </row>
    <row r="8519" spans="2:3">
      <c r="B8519" s="12"/>
      <c r="C8519" s="12"/>
    </row>
    <row r="8520" spans="2:3">
      <c r="B8520" s="12"/>
      <c r="C8520" s="12"/>
    </row>
    <row r="8521" spans="2:3">
      <c r="B8521" s="12"/>
      <c r="C8521" s="12"/>
    </row>
    <row r="8522" spans="2:3">
      <c r="B8522" s="12"/>
      <c r="C8522" s="12"/>
    </row>
    <row r="8523" spans="2:3">
      <c r="B8523" s="12"/>
      <c r="C8523" s="12"/>
    </row>
    <row r="8524" spans="2:3">
      <c r="B8524" s="12"/>
      <c r="C8524" s="12"/>
    </row>
    <row r="8525" spans="2:3">
      <c r="B8525" s="12"/>
      <c r="C8525" s="12"/>
    </row>
    <row r="8526" spans="2:3">
      <c r="B8526" s="12"/>
      <c r="C8526" s="12"/>
    </row>
    <row r="8527" spans="2:3">
      <c r="B8527" s="12"/>
      <c r="C8527" s="12"/>
    </row>
    <row r="8528" spans="2:3">
      <c r="B8528" s="12"/>
      <c r="C8528" s="12"/>
    </row>
    <row r="8529" spans="2:3">
      <c r="B8529" s="12"/>
      <c r="C8529" s="12"/>
    </row>
    <row r="8530" spans="2:3">
      <c r="B8530" s="12"/>
      <c r="C8530" s="12"/>
    </row>
    <row r="8531" spans="2:3">
      <c r="B8531" s="12"/>
      <c r="C8531" s="12"/>
    </row>
    <row r="8532" spans="2:3">
      <c r="B8532" s="12"/>
      <c r="C8532" s="12"/>
    </row>
    <row r="8533" spans="2:3">
      <c r="B8533" s="12"/>
      <c r="C8533" s="12"/>
    </row>
    <row r="8534" spans="2:3">
      <c r="B8534" s="12"/>
      <c r="C8534" s="12"/>
    </row>
    <row r="8535" spans="2:3">
      <c r="B8535" s="12"/>
      <c r="C8535" s="12"/>
    </row>
    <row r="8536" spans="2:3">
      <c r="B8536" s="12"/>
      <c r="C8536" s="12"/>
    </row>
    <row r="8537" spans="2:3">
      <c r="B8537" s="12"/>
      <c r="C8537" s="12"/>
    </row>
    <row r="8538" spans="2:3">
      <c r="B8538" s="12"/>
      <c r="C8538" s="12"/>
    </row>
    <row r="8539" spans="2:3">
      <c r="B8539" s="12"/>
      <c r="C8539" s="12"/>
    </row>
    <row r="8540" spans="2:3">
      <c r="B8540" s="12"/>
      <c r="C8540" s="12"/>
    </row>
    <row r="8541" spans="2:3">
      <c r="B8541" s="12"/>
      <c r="C8541" s="12"/>
    </row>
    <row r="8542" spans="2:3">
      <c r="B8542" s="12"/>
      <c r="C8542" s="12"/>
    </row>
    <row r="8543" spans="2:3">
      <c r="B8543" s="12"/>
      <c r="C8543" s="12"/>
    </row>
    <row r="8544" spans="2:3">
      <c r="B8544" s="12"/>
      <c r="C8544" s="12"/>
    </row>
    <row r="8545" spans="2:3">
      <c r="B8545" s="12"/>
      <c r="C8545" s="12"/>
    </row>
    <row r="8546" spans="2:3">
      <c r="B8546" s="12"/>
      <c r="C8546" s="12"/>
    </row>
    <row r="8547" spans="2:3">
      <c r="B8547" s="12"/>
      <c r="C8547" s="12"/>
    </row>
    <row r="8548" spans="2:3">
      <c r="B8548" s="12"/>
      <c r="C8548" s="12"/>
    </row>
    <row r="8549" spans="2:3">
      <c r="B8549" s="12"/>
      <c r="C8549" s="12"/>
    </row>
    <row r="8550" spans="2:3">
      <c r="B8550" s="12"/>
      <c r="C8550" s="12"/>
    </row>
    <row r="8551" spans="2:3">
      <c r="B8551" s="12"/>
      <c r="C8551" s="12"/>
    </row>
    <row r="8552" spans="2:3">
      <c r="B8552" s="12"/>
      <c r="C8552" s="12"/>
    </row>
    <row r="8553" spans="2:3">
      <c r="B8553" s="12"/>
      <c r="C8553" s="12"/>
    </row>
    <row r="8554" spans="2:3">
      <c r="B8554" s="12"/>
      <c r="C8554" s="12"/>
    </row>
    <row r="8555" spans="2:3">
      <c r="B8555" s="12"/>
      <c r="C8555" s="12"/>
    </row>
    <row r="8556" spans="2:3">
      <c r="B8556" s="12"/>
      <c r="C8556" s="12"/>
    </row>
    <row r="8557" spans="2:3">
      <c r="B8557" s="12"/>
      <c r="C8557" s="12"/>
    </row>
    <row r="8558" spans="2:3">
      <c r="B8558" s="12"/>
      <c r="C8558" s="12"/>
    </row>
    <row r="8559" spans="2:3">
      <c r="B8559" s="12"/>
      <c r="C8559" s="12"/>
    </row>
    <row r="8560" spans="2:3">
      <c r="B8560" s="12"/>
      <c r="C8560" s="12"/>
    </row>
    <row r="8561" spans="2:3">
      <c r="B8561" s="12"/>
      <c r="C8561" s="12"/>
    </row>
    <row r="8562" spans="2:3">
      <c r="B8562" s="12"/>
      <c r="C8562" s="12"/>
    </row>
    <row r="8563" spans="2:3">
      <c r="B8563" s="12"/>
      <c r="C8563" s="12"/>
    </row>
    <row r="8564" spans="2:3">
      <c r="B8564" s="12"/>
      <c r="C8564" s="12"/>
    </row>
    <row r="8565" spans="2:3">
      <c r="B8565" s="12"/>
      <c r="C8565" s="12"/>
    </row>
    <row r="8566" spans="2:3">
      <c r="B8566" s="12"/>
      <c r="C8566" s="12"/>
    </row>
    <row r="8567" spans="2:3">
      <c r="B8567" s="12"/>
      <c r="C8567" s="12"/>
    </row>
    <row r="8568" spans="2:3">
      <c r="B8568" s="12"/>
      <c r="C8568" s="12"/>
    </row>
    <row r="8569" spans="2:3">
      <c r="B8569" s="12"/>
      <c r="C8569" s="12"/>
    </row>
    <row r="8570" spans="2:3">
      <c r="B8570" s="12"/>
      <c r="C8570" s="12"/>
    </row>
    <row r="8571" spans="2:3">
      <c r="B8571" s="12"/>
      <c r="C8571" s="12"/>
    </row>
    <row r="8572" spans="2:3">
      <c r="B8572" s="12"/>
      <c r="C8572" s="12"/>
    </row>
    <row r="8573" spans="2:3">
      <c r="B8573" s="12"/>
      <c r="C8573" s="12"/>
    </row>
    <row r="8574" spans="2:3">
      <c r="B8574" s="12"/>
      <c r="C8574" s="12"/>
    </row>
    <row r="8575" spans="2:3">
      <c r="B8575" s="12"/>
      <c r="C8575" s="12"/>
    </row>
    <row r="8576" spans="2:3">
      <c r="B8576" s="12"/>
      <c r="C8576" s="12"/>
    </row>
    <row r="8577" spans="2:3">
      <c r="B8577" s="12"/>
      <c r="C8577" s="12"/>
    </row>
    <row r="8578" spans="2:3">
      <c r="B8578" s="12"/>
      <c r="C8578" s="12"/>
    </row>
    <row r="8579" spans="2:3">
      <c r="B8579" s="12"/>
      <c r="C8579" s="12"/>
    </row>
    <row r="8580" spans="2:3">
      <c r="B8580" s="12"/>
      <c r="C8580" s="12"/>
    </row>
    <row r="8581" spans="2:3">
      <c r="B8581" s="12"/>
      <c r="C8581" s="12"/>
    </row>
    <row r="8582" spans="2:3">
      <c r="B8582" s="12"/>
      <c r="C8582" s="12"/>
    </row>
    <row r="8583" spans="2:3">
      <c r="B8583" s="12"/>
      <c r="C8583" s="12"/>
    </row>
    <row r="8584" spans="2:3">
      <c r="B8584" s="12"/>
      <c r="C8584" s="12"/>
    </row>
    <row r="8585" spans="2:3">
      <c r="B8585" s="12"/>
      <c r="C8585" s="12"/>
    </row>
    <row r="8586" spans="2:3">
      <c r="B8586" s="12"/>
      <c r="C8586" s="12"/>
    </row>
    <row r="8587" spans="2:3">
      <c r="B8587" s="12"/>
      <c r="C8587" s="12"/>
    </row>
    <row r="8588" spans="2:3">
      <c r="B8588" s="12"/>
      <c r="C8588" s="12"/>
    </row>
    <row r="8589" spans="2:3">
      <c r="B8589" s="12"/>
      <c r="C8589" s="12"/>
    </row>
    <row r="8590" spans="2:3">
      <c r="B8590" s="12"/>
      <c r="C8590" s="12"/>
    </row>
    <row r="8591" spans="2:3">
      <c r="B8591" s="12"/>
      <c r="C8591" s="12"/>
    </row>
    <row r="8592" spans="2:3">
      <c r="B8592" s="12"/>
      <c r="C8592" s="12"/>
    </row>
    <row r="8593" spans="2:3">
      <c r="B8593" s="12"/>
      <c r="C8593" s="12"/>
    </row>
    <row r="8594" spans="2:3">
      <c r="B8594" s="12"/>
      <c r="C8594" s="12"/>
    </row>
    <row r="8595" spans="2:3">
      <c r="B8595" s="12"/>
      <c r="C8595" s="12"/>
    </row>
    <row r="8596" spans="2:3">
      <c r="B8596" s="12"/>
      <c r="C8596" s="12"/>
    </row>
    <row r="8597" spans="2:3">
      <c r="B8597" s="12"/>
      <c r="C8597" s="12"/>
    </row>
    <row r="8598" spans="2:3">
      <c r="B8598" s="12"/>
      <c r="C8598" s="12"/>
    </row>
    <row r="8599" spans="2:3">
      <c r="B8599" s="12"/>
      <c r="C8599" s="12"/>
    </row>
    <row r="8600" spans="2:3">
      <c r="B8600" s="12"/>
      <c r="C8600" s="12"/>
    </row>
    <row r="8601" spans="2:3">
      <c r="B8601" s="12"/>
      <c r="C8601" s="12"/>
    </row>
    <row r="8602" spans="2:3">
      <c r="B8602" s="12"/>
      <c r="C8602" s="12"/>
    </row>
    <row r="8603" spans="2:3">
      <c r="B8603" s="12"/>
      <c r="C8603" s="12"/>
    </row>
    <row r="8604" spans="2:3">
      <c r="B8604" s="12"/>
      <c r="C8604" s="12"/>
    </row>
    <row r="8605" spans="2:3">
      <c r="B8605" s="12"/>
      <c r="C8605" s="12"/>
    </row>
    <row r="8606" spans="2:3">
      <c r="B8606" s="12"/>
      <c r="C8606" s="12"/>
    </row>
    <row r="8607" spans="2:3">
      <c r="B8607" s="12"/>
      <c r="C8607" s="12"/>
    </row>
    <row r="8608" spans="2:3">
      <c r="B8608" s="12"/>
      <c r="C8608" s="12"/>
    </row>
    <row r="8609" spans="2:3">
      <c r="B8609" s="12"/>
      <c r="C8609" s="12"/>
    </row>
    <row r="8610" spans="2:3">
      <c r="B8610" s="12"/>
      <c r="C8610" s="12"/>
    </row>
    <row r="8611" spans="2:3">
      <c r="B8611" s="12"/>
      <c r="C8611" s="12"/>
    </row>
    <row r="8612" spans="2:3">
      <c r="B8612" s="12"/>
      <c r="C8612" s="12"/>
    </row>
    <row r="8613" spans="2:3">
      <c r="B8613" s="12"/>
      <c r="C8613" s="12"/>
    </row>
    <row r="8614" spans="2:3">
      <c r="B8614" s="12"/>
      <c r="C8614" s="12"/>
    </row>
    <row r="8615" spans="2:3">
      <c r="B8615" s="12"/>
      <c r="C8615" s="12"/>
    </row>
    <row r="8616" spans="2:3">
      <c r="B8616" s="12"/>
      <c r="C8616" s="12"/>
    </row>
    <row r="8617" spans="2:3">
      <c r="B8617" s="12"/>
      <c r="C8617" s="12"/>
    </row>
    <row r="8618" spans="2:3">
      <c r="B8618" s="12"/>
      <c r="C8618" s="12"/>
    </row>
    <row r="8619" spans="2:3">
      <c r="B8619" s="12"/>
      <c r="C8619" s="12"/>
    </row>
    <row r="8620" spans="2:3">
      <c r="B8620" s="12"/>
      <c r="C8620" s="12"/>
    </row>
    <row r="8621" spans="2:3">
      <c r="B8621" s="12"/>
      <c r="C8621" s="12"/>
    </row>
    <row r="8622" spans="2:3">
      <c r="B8622" s="12"/>
      <c r="C8622" s="12"/>
    </row>
    <row r="8623" spans="2:3">
      <c r="B8623" s="12"/>
      <c r="C8623" s="12"/>
    </row>
    <row r="8624" spans="2:3">
      <c r="B8624" s="12"/>
      <c r="C8624" s="12"/>
    </row>
    <row r="8625" spans="2:3">
      <c r="B8625" s="12"/>
      <c r="C8625" s="12"/>
    </row>
    <row r="8626" spans="2:3">
      <c r="B8626" s="12"/>
      <c r="C8626" s="12"/>
    </row>
    <row r="8627" spans="2:3">
      <c r="B8627" s="12"/>
      <c r="C8627" s="12"/>
    </row>
    <row r="8628" spans="2:3">
      <c r="B8628" s="12"/>
      <c r="C8628" s="12"/>
    </row>
    <row r="8629" spans="2:3">
      <c r="B8629" s="12"/>
      <c r="C8629" s="12"/>
    </row>
    <row r="8630" spans="2:3">
      <c r="B8630" s="12"/>
      <c r="C8630" s="12"/>
    </row>
    <row r="8631" spans="2:3">
      <c r="B8631" s="12"/>
      <c r="C8631" s="12"/>
    </row>
    <row r="8632" spans="2:3">
      <c r="B8632" s="12"/>
      <c r="C8632" s="12"/>
    </row>
    <row r="8633" spans="2:3">
      <c r="B8633" s="12"/>
      <c r="C8633" s="12"/>
    </row>
    <row r="8634" spans="2:3">
      <c r="B8634" s="12"/>
      <c r="C8634" s="12"/>
    </row>
    <row r="8635" spans="2:3">
      <c r="B8635" s="12"/>
      <c r="C8635" s="12"/>
    </row>
    <row r="8636" spans="2:3">
      <c r="B8636" s="12"/>
      <c r="C8636" s="12"/>
    </row>
    <row r="8637" spans="2:3">
      <c r="B8637" s="12"/>
      <c r="C8637" s="12"/>
    </row>
    <row r="8638" spans="2:3">
      <c r="B8638" s="12"/>
      <c r="C8638" s="12"/>
    </row>
    <row r="8639" spans="2:3">
      <c r="B8639" s="12"/>
      <c r="C8639" s="12"/>
    </row>
    <row r="8640" spans="2:3">
      <c r="B8640" s="12"/>
      <c r="C8640" s="12"/>
    </row>
    <row r="8641" spans="2:3">
      <c r="B8641" s="12"/>
      <c r="C8641" s="12"/>
    </row>
    <row r="8642" spans="2:3">
      <c r="B8642" s="12"/>
      <c r="C8642" s="12"/>
    </row>
    <row r="8643" spans="2:3">
      <c r="B8643" s="12"/>
      <c r="C8643" s="12"/>
    </row>
    <row r="8644" spans="2:3">
      <c r="B8644" s="12"/>
      <c r="C8644" s="12"/>
    </row>
    <row r="8645" spans="2:3">
      <c r="B8645" s="12"/>
      <c r="C8645" s="12"/>
    </row>
    <row r="8646" spans="2:3">
      <c r="B8646" s="12"/>
      <c r="C8646" s="12"/>
    </row>
    <row r="8647" spans="2:3">
      <c r="B8647" s="12"/>
      <c r="C8647" s="12"/>
    </row>
    <row r="8648" spans="2:3">
      <c r="B8648" s="12"/>
      <c r="C8648" s="12"/>
    </row>
    <row r="8649" spans="2:3">
      <c r="B8649" s="12"/>
      <c r="C8649" s="12"/>
    </row>
    <row r="8650" spans="2:3">
      <c r="B8650" s="12"/>
      <c r="C8650" s="12"/>
    </row>
    <row r="8651" spans="2:3">
      <c r="B8651" s="12"/>
      <c r="C8651" s="12"/>
    </row>
    <row r="8652" spans="2:3">
      <c r="B8652" s="12"/>
      <c r="C8652" s="12"/>
    </row>
    <row r="8653" spans="2:3">
      <c r="B8653" s="12"/>
      <c r="C8653" s="12"/>
    </row>
    <row r="8654" spans="2:3">
      <c r="B8654" s="12"/>
      <c r="C8654" s="12"/>
    </row>
    <row r="8655" spans="2:3">
      <c r="B8655" s="12"/>
      <c r="C8655" s="12"/>
    </row>
    <row r="8656" spans="2:3">
      <c r="B8656" s="12"/>
      <c r="C8656" s="12"/>
    </row>
    <row r="8657" spans="2:3">
      <c r="B8657" s="12"/>
      <c r="C8657" s="12"/>
    </row>
    <row r="8658" spans="2:3">
      <c r="B8658" s="12"/>
      <c r="C8658" s="12"/>
    </row>
    <row r="8659" spans="2:3">
      <c r="B8659" s="12"/>
      <c r="C8659" s="12"/>
    </row>
    <row r="8660" spans="2:3">
      <c r="B8660" s="12"/>
      <c r="C8660" s="12"/>
    </row>
    <row r="8661" spans="2:3">
      <c r="B8661" s="12"/>
      <c r="C8661" s="12"/>
    </row>
    <row r="8662" spans="2:3">
      <c r="B8662" s="12"/>
      <c r="C8662" s="12"/>
    </row>
    <row r="8663" spans="2:3">
      <c r="B8663" s="12"/>
      <c r="C8663" s="12"/>
    </row>
    <row r="8664" spans="2:3">
      <c r="B8664" s="12"/>
      <c r="C8664" s="12"/>
    </row>
    <row r="8665" spans="2:3">
      <c r="B8665" s="12"/>
      <c r="C8665" s="12"/>
    </row>
    <row r="8666" spans="2:3">
      <c r="B8666" s="12"/>
      <c r="C8666" s="12"/>
    </row>
    <row r="8667" spans="2:3">
      <c r="B8667" s="12"/>
      <c r="C8667" s="12"/>
    </row>
    <row r="8668" spans="2:3">
      <c r="B8668" s="12"/>
      <c r="C8668" s="12"/>
    </row>
    <row r="8669" spans="2:3">
      <c r="B8669" s="12"/>
      <c r="C8669" s="12"/>
    </row>
    <row r="8670" spans="2:3">
      <c r="B8670" s="12"/>
      <c r="C8670" s="12"/>
    </row>
    <row r="8671" spans="2:3">
      <c r="B8671" s="12"/>
      <c r="C8671" s="12"/>
    </row>
    <row r="8672" spans="2:3">
      <c r="B8672" s="12"/>
      <c r="C8672" s="12"/>
    </row>
    <row r="8673" spans="2:3">
      <c r="B8673" s="12"/>
      <c r="C8673" s="12"/>
    </row>
    <row r="8674" spans="2:3">
      <c r="B8674" s="12"/>
      <c r="C8674" s="12"/>
    </row>
    <row r="8675" spans="2:3">
      <c r="B8675" s="12"/>
      <c r="C8675" s="12"/>
    </row>
    <row r="8676" spans="2:3">
      <c r="B8676" s="12"/>
      <c r="C8676" s="12"/>
    </row>
    <row r="8677" spans="2:3">
      <c r="B8677" s="12"/>
      <c r="C8677" s="12"/>
    </row>
    <row r="8678" spans="2:3">
      <c r="B8678" s="12"/>
      <c r="C8678" s="12"/>
    </row>
    <row r="8679" spans="2:3">
      <c r="B8679" s="12"/>
      <c r="C8679" s="12"/>
    </row>
    <row r="8680" spans="2:3">
      <c r="B8680" s="12"/>
      <c r="C8680" s="12"/>
    </row>
    <row r="8681" spans="2:3">
      <c r="B8681" s="12"/>
      <c r="C8681" s="12"/>
    </row>
    <row r="8682" spans="2:3">
      <c r="B8682" s="12"/>
      <c r="C8682" s="12"/>
    </row>
    <row r="8683" spans="2:3">
      <c r="B8683" s="12"/>
      <c r="C8683" s="12"/>
    </row>
    <row r="8684" spans="2:3">
      <c r="B8684" s="12"/>
      <c r="C8684" s="12"/>
    </row>
    <row r="8685" spans="2:3">
      <c r="B8685" s="12"/>
      <c r="C8685" s="12"/>
    </row>
    <row r="8686" spans="2:3">
      <c r="B8686" s="12"/>
      <c r="C8686" s="12"/>
    </row>
    <row r="8687" spans="2:3">
      <c r="B8687" s="12"/>
      <c r="C8687" s="12"/>
    </row>
    <row r="8688" spans="2:3">
      <c r="B8688" s="12"/>
      <c r="C8688" s="12"/>
    </row>
    <row r="8689" spans="2:3">
      <c r="B8689" s="12"/>
      <c r="C8689" s="12"/>
    </row>
    <row r="8690" spans="2:3">
      <c r="B8690" s="12"/>
      <c r="C8690" s="12"/>
    </row>
    <row r="8691" spans="2:3">
      <c r="B8691" s="12"/>
      <c r="C8691" s="12"/>
    </row>
    <row r="8692" spans="2:3">
      <c r="B8692" s="12"/>
      <c r="C8692" s="12"/>
    </row>
    <row r="8693" spans="2:3">
      <c r="B8693" s="12"/>
      <c r="C8693" s="12"/>
    </row>
    <row r="8694" spans="2:3">
      <c r="B8694" s="12"/>
      <c r="C8694" s="12"/>
    </row>
    <row r="8695" spans="2:3">
      <c r="B8695" s="12"/>
      <c r="C8695" s="12"/>
    </row>
    <row r="8696" spans="2:3">
      <c r="B8696" s="12"/>
      <c r="C8696" s="12"/>
    </row>
    <row r="8697" spans="2:3">
      <c r="B8697" s="12"/>
      <c r="C8697" s="12"/>
    </row>
    <row r="8698" spans="2:3">
      <c r="B8698" s="12"/>
      <c r="C8698" s="12"/>
    </row>
    <row r="8699" spans="2:3">
      <c r="B8699" s="12"/>
      <c r="C8699" s="12"/>
    </row>
    <row r="8700" spans="2:3">
      <c r="B8700" s="12"/>
      <c r="C8700" s="12"/>
    </row>
    <row r="8701" spans="2:3">
      <c r="B8701" s="12"/>
      <c r="C8701" s="12"/>
    </row>
    <row r="8702" spans="2:3">
      <c r="B8702" s="12"/>
      <c r="C8702" s="12"/>
    </row>
    <row r="8703" spans="2:3">
      <c r="B8703" s="12"/>
      <c r="C8703" s="12"/>
    </row>
    <row r="8704" spans="2:3">
      <c r="B8704" s="12"/>
      <c r="C8704" s="12"/>
    </row>
    <row r="8705" spans="2:3">
      <c r="B8705" s="12"/>
      <c r="C8705" s="12"/>
    </row>
    <row r="8706" spans="2:3">
      <c r="B8706" s="12"/>
      <c r="C8706" s="12"/>
    </row>
    <row r="8707" spans="2:3">
      <c r="B8707" s="12"/>
      <c r="C8707" s="12"/>
    </row>
    <row r="8708" spans="2:3">
      <c r="B8708" s="12"/>
      <c r="C8708" s="12"/>
    </row>
    <row r="8709" spans="2:3">
      <c r="B8709" s="12"/>
      <c r="C8709" s="12"/>
    </row>
    <row r="8710" spans="2:3">
      <c r="B8710" s="12"/>
      <c r="C8710" s="12"/>
    </row>
    <row r="8711" spans="2:3">
      <c r="B8711" s="12"/>
      <c r="C8711" s="12"/>
    </row>
    <row r="8712" spans="2:3">
      <c r="B8712" s="12"/>
      <c r="C8712" s="12"/>
    </row>
    <row r="8713" spans="2:3">
      <c r="B8713" s="12"/>
      <c r="C8713" s="12"/>
    </row>
    <row r="8714" spans="2:3">
      <c r="B8714" s="12"/>
      <c r="C8714" s="12"/>
    </row>
    <row r="8715" spans="2:3">
      <c r="B8715" s="12"/>
      <c r="C8715" s="12"/>
    </row>
    <row r="8716" spans="2:3">
      <c r="B8716" s="12"/>
      <c r="C8716" s="12"/>
    </row>
    <row r="8717" spans="2:3">
      <c r="B8717" s="12"/>
      <c r="C8717" s="12"/>
    </row>
    <row r="8718" spans="2:3">
      <c r="B8718" s="12"/>
      <c r="C8718" s="12"/>
    </row>
    <row r="8719" spans="2:3">
      <c r="B8719" s="12"/>
      <c r="C8719" s="12"/>
    </row>
    <row r="8720" spans="2:3">
      <c r="B8720" s="12"/>
      <c r="C8720" s="12"/>
    </row>
    <row r="8721" spans="2:3">
      <c r="B8721" s="12"/>
      <c r="C8721" s="12"/>
    </row>
    <row r="8722" spans="2:3">
      <c r="B8722" s="12"/>
      <c r="C8722" s="12"/>
    </row>
    <row r="8723" spans="2:3">
      <c r="B8723" s="12"/>
      <c r="C8723" s="12"/>
    </row>
    <row r="8724" spans="2:3">
      <c r="B8724" s="12"/>
      <c r="C8724" s="12"/>
    </row>
    <row r="8725" spans="2:3">
      <c r="B8725" s="12"/>
      <c r="C8725" s="12"/>
    </row>
    <row r="8726" spans="2:3">
      <c r="B8726" s="12"/>
      <c r="C8726" s="12"/>
    </row>
    <row r="8727" spans="2:3">
      <c r="B8727" s="12"/>
      <c r="C8727" s="12"/>
    </row>
    <row r="8728" spans="2:3">
      <c r="B8728" s="12"/>
      <c r="C8728" s="12"/>
    </row>
    <row r="8729" spans="2:3">
      <c r="B8729" s="12"/>
      <c r="C8729" s="12"/>
    </row>
    <row r="8730" spans="2:3">
      <c r="B8730" s="12"/>
      <c r="C8730" s="12"/>
    </row>
    <row r="8731" spans="2:3">
      <c r="B8731" s="12"/>
      <c r="C8731" s="12"/>
    </row>
    <row r="8732" spans="2:3">
      <c r="B8732" s="12"/>
      <c r="C8732" s="12"/>
    </row>
    <row r="8733" spans="2:3">
      <c r="B8733" s="12"/>
      <c r="C8733" s="12"/>
    </row>
    <row r="8734" spans="2:3">
      <c r="B8734" s="12"/>
      <c r="C8734" s="12"/>
    </row>
    <row r="8735" spans="2:3">
      <c r="B8735" s="12"/>
      <c r="C8735" s="12"/>
    </row>
    <row r="8736" spans="2:3">
      <c r="B8736" s="12"/>
      <c r="C8736" s="12"/>
    </row>
    <row r="8737" spans="2:3">
      <c r="B8737" s="12"/>
      <c r="C8737" s="12"/>
    </row>
    <row r="8738" spans="2:3">
      <c r="B8738" s="12"/>
      <c r="C8738" s="12"/>
    </row>
    <row r="8739" spans="2:3">
      <c r="B8739" s="12"/>
      <c r="C8739" s="12"/>
    </row>
    <row r="8740" spans="2:3">
      <c r="B8740" s="12"/>
      <c r="C8740" s="12"/>
    </row>
    <row r="8741" spans="2:3">
      <c r="B8741" s="12"/>
      <c r="C8741" s="12"/>
    </row>
    <row r="8742" spans="2:3">
      <c r="B8742" s="12"/>
      <c r="C8742" s="12"/>
    </row>
    <row r="8743" spans="2:3">
      <c r="B8743" s="12"/>
      <c r="C8743" s="12"/>
    </row>
    <row r="8744" spans="2:3">
      <c r="B8744" s="12"/>
      <c r="C8744" s="12"/>
    </row>
    <row r="8745" spans="2:3">
      <c r="B8745" s="12"/>
      <c r="C8745" s="12"/>
    </row>
    <row r="8746" spans="2:3">
      <c r="B8746" s="12"/>
      <c r="C8746" s="12"/>
    </row>
    <row r="8747" spans="2:3">
      <c r="B8747" s="12"/>
      <c r="C8747" s="12"/>
    </row>
    <row r="8748" spans="2:3">
      <c r="B8748" s="12"/>
      <c r="C8748" s="12"/>
    </row>
    <row r="8749" spans="2:3">
      <c r="B8749" s="12"/>
      <c r="C8749" s="12"/>
    </row>
    <row r="8750" spans="2:3">
      <c r="B8750" s="12"/>
      <c r="C8750" s="12"/>
    </row>
    <row r="8751" spans="2:3">
      <c r="B8751" s="12"/>
      <c r="C8751" s="12"/>
    </row>
    <row r="8752" spans="2:3">
      <c r="B8752" s="12"/>
      <c r="C8752" s="12"/>
    </row>
    <row r="8753" spans="2:3">
      <c r="B8753" s="12"/>
      <c r="C8753" s="12"/>
    </row>
    <row r="8754" spans="2:3">
      <c r="B8754" s="12"/>
      <c r="C8754" s="12"/>
    </row>
    <row r="8755" spans="2:3">
      <c r="B8755" s="12"/>
      <c r="C8755" s="12"/>
    </row>
    <row r="8756" spans="2:3">
      <c r="B8756" s="12"/>
      <c r="C8756" s="12"/>
    </row>
    <row r="8757" spans="2:3">
      <c r="B8757" s="12"/>
      <c r="C8757" s="12"/>
    </row>
    <row r="8758" spans="2:3">
      <c r="B8758" s="12"/>
      <c r="C8758" s="12"/>
    </row>
    <row r="8759" spans="2:3">
      <c r="B8759" s="12"/>
      <c r="C8759" s="12"/>
    </row>
    <row r="8760" spans="2:3">
      <c r="B8760" s="12"/>
      <c r="C8760" s="12"/>
    </row>
    <row r="8761" spans="2:3">
      <c r="B8761" s="12"/>
      <c r="C8761" s="12"/>
    </row>
    <row r="8762" spans="2:3">
      <c r="B8762" s="12"/>
      <c r="C8762" s="12"/>
    </row>
    <row r="8763" spans="2:3">
      <c r="B8763" s="12"/>
      <c r="C8763" s="12"/>
    </row>
    <row r="8764" spans="2:3">
      <c r="B8764" s="12"/>
      <c r="C8764" s="12"/>
    </row>
    <row r="8765" spans="2:3">
      <c r="B8765" s="12"/>
      <c r="C8765" s="12"/>
    </row>
    <row r="8766" spans="2:3">
      <c r="B8766" s="12"/>
      <c r="C8766" s="12"/>
    </row>
    <row r="8767" spans="2:3">
      <c r="B8767" s="12"/>
      <c r="C8767" s="12"/>
    </row>
    <row r="8768" spans="2:3">
      <c r="B8768" s="12"/>
      <c r="C8768" s="12"/>
    </row>
    <row r="8769" spans="2:3">
      <c r="B8769" s="12"/>
      <c r="C8769" s="12"/>
    </row>
    <row r="8770" spans="2:3">
      <c r="B8770" s="12"/>
      <c r="C8770" s="12"/>
    </row>
    <row r="8771" spans="2:3">
      <c r="B8771" s="12"/>
      <c r="C8771" s="12"/>
    </row>
    <row r="8772" spans="2:3">
      <c r="B8772" s="12"/>
      <c r="C8772" s="12"/>
    </row>
    <row r="8773" spans="2:3">
      <c r="B8773" s="12"/>
      <c r="C8773" s="12"/>
    </row>
    <row r="8774" spans="2:3">
      <c r="B8774" s="12"/>
      <c r="C8774" s="12"/>
    </row>
    <row r="8775" spans="2:3">
      <c r="B8775" s="12"/>
      <c r="C8775" s="12"/>
    </row>
    <row r="8776" spans="2:3">
      <c r="B8776" s="12"/>
      <c r="C8776" s="12"/>
    </row>
    <row r="8777" spans="2:3">
      <c r="B8777" s="12"/>
      <c r="C8777" s="12"/>
    </row>
    <row r="8778" spans="2:3">
      <c r="B8778" s="12"/>
      <c r="C8778" s="12"/>
    </row>
    <row r="8779" spans="2:3">
      <c r="B8779" s="12"/>
      <c r="C8779" s="12"/>
    </row>
    <row r="8780" spans="2:3">
      <c r="B8780" s="12"/>
      <c r="C8780" s="12"/>
    </row>
    <row r="8781" spans="2:3">
      <c r="B8781" s="12"/>
      <c r="C8781" s="12"/>
    </row>
    <row r="8782" spans="2:3">
      <c r="B8782" s="12"/>
      <c r="C8782" s="12"/>
    </row>
    <row r="8783" spans="2:3">
      <c r="B8783" s="12"/>
      <c r="C8783" s="12"/>
    </row>
    <row r="8784" spans="2:3">
      <c r="B8784" s="12"/>
      <c r="C8784" s="12"/>
    </row>
    <row r="8785" spans="2:3">
      <c r="B8785" s="12"/>
      <c r="C8785" s="12"/>
    </row>
    <row r="8786" spans="2:3">
      <c r="B8786" s="12"/>
      <c r="C8786" s="12"/>
    </row>
    <row r="8787" spans="2:3">
      <c r="B8787" s="12"/>
      <c r="C8787" s="12"/>
    </row>
    <row r="8788" spans="2:3">
      <c r="B8788" s="12"/>
      <c r="C8788" s="12"/>
    </row>
    <row r="8789" spans="2:3">
      <c r="B8789" s="12"/>
      <c r="C8789" s="12"/>
    </row>
    <row r="8790" spans="2:3">
      <c r="B8790" s="12"/>
      <c r="C8790" s="12"/>
    </row>
    <row r="8791" spans="2:3">
      <c r="B8791" s="12"/>
      <c r="C8791" s="12"/>
    </row>
    <row r="8792" spans="2:3">
      <c r="B8792" s="12"/>
      <c r="C8792" s="12"/>
    </row>
    <row r="8793" spans="2:3">
      <c r="B8793" s="12"/>
      <c r="C8793" s="12"/>
    </row>
    <row r="8794" spans="2:3">
      <c r="B8794" s="12"/>
      <c r="C8794" s="12"/>
    </row>
    <row r="8795" spans="2:3">
      <c r="B8795" s="12"/>
      <c r="C8795" s="12"/>
    </row>
    <row r="8796" spans="2:3">
      <c r="B8796" s="12"/>
      <c r="C8796" s="12"/>
    </row>
    <row r="8797" spans="2:3">
      <c r="B8797" s="12"/>
      <c r="C8797" s="12"/>
    </row>
    <row r="8798" spans="2:3">
      <c r="B8798" s="12"/>
      <c r="C8798" s="12"/>
    </row>
    <row r="8799" spans="2:3">
      <c r="B8799" s="12"/>
      <c r="C8799" s="12"/>
    </row>
    <row r="8800" spans="2:3">
      <c r="B8800" s="12"/>
      <c r="C8800" s="12"/>
    </row>
    <row r="8801" spans="2:3">
      <c r="B8801" s="12"/>
      <c r="C8801" s="12"/>
    </row>
    <row r="8802" spans="2:3">
      <c r="B8802" s="12"/>
      <c r="C8802" s="12"/>
    </row>
    <row r="8803" spans="2:3">
      <c r="B8803" s="12"/>
      <c r="C8803" s="12"/>
    </row>
    <row r="8804" spans="2:3">
      <c r="B8804" s="12"/>
      <c r="C8804" s="12"/>
    </row>
    <row r="8805" spans="2:3">
      <c r="B8805" s="12"/>
      <c r="C8805" s="12"/>
    </row>
    <row r="8806" spans="2:3">
      <c r="B8806" s="12"/>
      <c r="C8806" s="12"/>
    </row>
    <row r="8807" spans="2:3">
      <c r="B8807" s="12"/>
      <c r="C8807" s="12"/>
    </row>
    <row r="8808" spans="2:3">
      <c r="B8808" s="12"/>
      <c r="C8808" s="12"/>
    </row>
    <row r="8809" spans="2:3">
      <c r="B8809" s="12"/>
      <c r="C8809" s="12"/>
    </row>
    <row r="8810" spans="2:3">
      <c r="B8810" s="12"/>
      <c r="C8810" s="12"/>
    </row>
    <row r="8811" spans="2:3">
      <c r="B8811" s="12"/>
      <c r="C8811" s="12"/>
    </row>
    <row r="8812" spans="2:3">
      <c r="B8812" s="12"/>
      <c r="C8812" s="12"/>
    </row>
    <row r="8813" spans="2:3">
      <c r="B8813" s="12"/>
      <c r="C8813" s="12"/>
    </row>
    <row r="8814" spans="2:3">
      <c r="B8814" s="12"/>
      <c r="C8814" s="12"/>
    </row>
    <row r="8815" spans="2:3">
      <c r="B8815" s="12"/>
      <c r="C8815" s="12"/>
    </row>
    <row r="8816" spans="2:3">
      <c r="B8816" s="12"/>
      <c r="C8816" s="12"/>
    </row>
    <row r="8817" spans="2:3">
      <c r="B8817" s="12"/>
      <c r="C8817" s="12"/>
    </row>
    <row r="8818" spans="2:3">
      <c r="B8818" s="12"/>
      <c r="C8818" s="12"/>
    </row>
    <row r="8819" spans="2:3">
      <c r="B8819" s="12"/>
      <c r="C8819" s="12"/>
    </row>
    <row r="8820" spans="2:3">
      <c r="B8820" s="12"/>
      <c r="C8820" s="12"/>
    </row>
    <row r="8821" spans="2:3">
      <c r="B8821" s="12"/>
      <c r="C8821" s="12"/>
    </row>
    <row r="8822" spans="2:3">
      <c r="B8822" s="12"/>
      <c r="C8822" s="12"/>
    </row>
    <row r="8823" spans="2:3">
      <c r="B8823" s="12"/>
      <c r="C8823" s="12"/>
    </row>
    <row r="8824" spans="2:3">
      <c r="B8824" s="12"/>
      <c r="C8824" s="12"/>
    </row>
    <row r="8825" spans="2:3">
      <c r="B8825" s="12"/>
      <c r="C8825" s="12"/>
    </row>
    <row r="8826" spans="2:3">
      <c r="B8826" s="12"/>
      <c r="C8826" s="12"/>
    </row>
    <row r="8827" spans="2:3">
      <c r="B8827" s="12"/>
      <c r="C8827" s="12"/>
    </row>
    <row r="8828" spans="2:3">
      <c r="B8828" s="12"/>
      <c r="C8828" s="12"/>
    </row>
    <row r="8829" spans="2:3">
      <c r="B8829" s="12"/>
      <c r="C8829" s="12"/>
    </row>
    <row r="8830" spans="2:3">
      <c r="B8830" s="12"/>
      <c r="C8830" s="12"/>
    </row>
    <row r="8831" spans="2:3">
      <c r="B8831" s="12"/>
      <c r="C8831" s="12"/>
    </row>
    <row r="8832" spans="2:3">
      <c r="B8832" s="12"/>
      <c r="C8832" s="12"/>
    </row>
    <row r="8833" spans="2:3">
      <c r="B8833" s="12"/>
      <c r="C8833" s="12"/>
    </row>
    <row r="8834" spans="2:3">
      <c r="B8834" s="12"/>
      <c r="C8834" s="12"/>
    </row>
    <row r="8835" spans="2:3">
      <c r="B8835" s="12"/>
      <c r="C8835" s="12"/>
    </row>
    <row r="8836" spans="2:3">
      <c r="B8836" s="12"/>
      <c r="C8836" s="12"/>
    </row>
    <row r="8837" spans="2:3">
      <c r="B8837" s="12"/>
      <c r="C8837" s="12"/>
    </row>
    <row r="8838" spans="2:3">
      <c r="B8838" s="12"/>
      <c r="C8838" s="12"/>
    </row>
    <row r="8839" spans="2:3">
      <c r="B8839" s="12"/>
      <c r="C8839" s="12"/>
    </row>
    <row r="8840" spans="2:3">
      <c r="B8840" s="12"/>
      <c r="C8840" s="12"/>
    </row>
    <row r="8841" spans="2:3">
      <c r="B8841" s="12"/>
      <c r="C8841" s="12"/>
    </row>
    <row r="8842" spans="2:3">
      <c r="B8842" s="12"/>
      <c r="C8842" s="12"/>
    </row>
    <row r="8843" spans="2:3">
      <c r="B8843" s="12"/>
      <c r="C8843" s="12"/>
    </row>
    <row r="8844" spans="2:3">
      <c r="B8844" s="12"/>
      <c r="C8844" s="12"/>
    </row>
    <row r="8845" spans="2:3">
      <c r="B8845" s="12"/>
      <c r="C8845" s="12"/>
    </row>
    <row r="8846" spans="2:3">
      <c r="B8846" s="12"/>
      <c r="C8846" s="12"/>
    </row>
    <row r="8847" spans="2:3">
      <c r="B8847" s="12"/>
      <c r="C8847" s="12"/>
    </row>
    <row r="8848" spans="2:3">
      <c r="B8848" s="12"/>
      <c r="C8848" s="12"/>
    </row>
    <row r="8849" spans="2:3">
      <c r="B8849" s="12"/>
      <c r="C8849" s="12"/>
    </row>
    <row r="8850" spans="2:3">
      <c r="B8850" s="12"/>
      <c r="C8850" s="12"/>
    </row>
    <row r="8851" spans="2:3">
      <c r="B8851" s="12"/>
      <c r="C8851" s="12"/>
    </row>
    <row r="8852" spans="2:3">
      <c r="B8852" s="12"/>
      <c r="C8852" s="12"/>
    </row>
    <row r="8853" spans="2:3">
      <c r="B8853" s="12"/>
      <c r="C8853" s="12"/>
    </row>
    <row r="8854" spans="2:3">
      <c r="B8854" s="12"/>
      <c r="C8854" s="12"/>
    </row>
    <row r="8855" spans="2:3">
      <c r="B8855" s="12"/>
      <c r="C8855" s="12"/>
    </row>
    <row r="8856" spans="2:3">
      <c r="B8856" s="12"/>
      <c r="C8856" s="12"/>
    </row>
    <row r="8857" spans="2:3">
      <c r="B8857" s="12"/>
      <c r="C8857" s="12"/>
    </row>
    <row r="8858" spans="2:3">
      <c r="B8858" s="12"/>
      <c r="C8858" s="12"/>
    </row>
    <row r="8859" spans="2:3">
      <c r="B8859" s="12"/>
      <c r="C8859" s="12"/>
    </row>
    <row r="8860" spans="2:3">
      <c r="B8860" s="12"/>
      <c r="C8860" s="12"/>
    </row>
    <row r="8861" spans="2:3">
      <c r="B8861" s="12"/>
      <c r="C8861" s="12"/>
    </row>
    <row r="8862" spans="2:3">
      <c r="B8862" s="12"/>
      <c r="C8862" s="12"/>
    </row>
    <row r="8863" spans="2:3">
      <c r="B8863" s="12"/>
      <c r="C8863" s="12"/>
    </row>
    <row r="8864" spans="2:3">
      <c r="B8864" s="12"/>
      <c r="C8864" s="12"/>
    </row>
    <row r="8865" spans="2:3">
      <c r="B8865" s="12"/>
      <c r="C8865" s="12"/>
    </row>
    <row r="8866" spans="2:3">
      <c r="B8866" s="12"/>
      <c r="C8866" s="12"/>
    </row>
    <row r="8867" spans="2:3">
      <c r="B8867" s="12"/>
      <c r="C8867" s="12"/>
    </row>
    <row r="8868" spans="2:3">
      <c r="B8868" s="12"/>
      <c r="C8868" s="12"/>
    </row>
    <row r="8869" spans="2:3">
      <c r="B8869" s="12"/>
      <c r="C8869" s="12"/>
    </row>
    <row r="8870" spans="2:3">
      <c r="B8870" s="12"/>
      <c r="C8870" s="12"/>
    </row>
    <row r="8871" spans="2:3">
      <c r="B8871" s="12"/>
      <c r="C8871" s="12"/>
    </row>
    <row r="8872" spans="2:3">
      <c r="B8872" s="12"/>
      <c r="C8872" s="12"/>
    </row>
    <row r="8873" spans="2:3">
      <c r="B8873" s="12"/>
      <c r="C8873" s="12"/>
    </row>
    <row r="8874" spans="2:3">
      <c r="B8874" s="12"/>
      <c r="C8874" s="12"/>
    </row>
    <row r="8875" spans="2:3">
      <c r="B8875" s="12"/>
      <c r="C8875" s="12"/>
    </row>
    <row r="8876" spans="2:3">
      <c r="B8876" s="12"/>
      <c r="C8876" s="12"/>
    </row>
    <row r="8877" spans="2:3">
      <c r="B8877" s="12"/>
      <c r="C8877" s="12"/>
    </row>
    <row r="8878" spans="2:3">
      <c r="B8878" s="12"/>
      <c r="C8878" s="12"/>
    </row>
    <row r="8879" spans="2:3">
      <c r="B8879" s="12"/>
      <c r="C8879" s="12"/>
    </row>
    <row r="8880" spans="2:3">
      <c r="B8880" s="12"/>
      <c r="C8880" s="12"/>
    </row>
    <row r="8881" spans="2:3">
      <c r="B8881" s="12"/>
      <c r="C8881" s="12"/>
    </row>
    <row r="8882" spans="2:3">
      <c r="B8882" s="12"/>
      <c r="C8882" s="12"/>
    </row>
    <row r="8883" spans="2:3">
      <c r="B8883" s="12"/>
      <c r="C8883" s="12"/>
    </row>
    <row r="8884" spans="2:3">
      <c r="B8884" s="12"/>
      <c r="C8884" s="12"/>
    </row>
    <row r="8885" spans="2:3">
      <c r="B8885" s="12"/>
      <c r="C8885" s="12"/>
    </row>
    <row r="8886" spans="2:3">
      <c r="B8886" s="12"/>
      <c r="C8886" s="12"/>
    </row>
    <row r="8887" spans="2:3">
      <c r="B8887" s="12"/>
      <c r="C8887" s="12"/>
    </row>
    <row r="8888" spans="2:3">
      <c r="B8888" s="12"/>
      <c r="C8888" s="12"/>
    </row>
    <row r="8889" spans="2:3">
      <c r="B8889" s="12"/>
      <c r="C8889" s="12"/>
    </row>
    <row r="8890" spans="2:3">
      <c r="B8890" s="12"/>
      <c r="C8890" s="12"/>
    </row>
    <row r="8891" spans="2:3">
      <c r="B8891" s="12"/>
      <c r="C8891" s="12"/>
    </row>
    <row r="8892" spans="2:3">
      <c r="B8892" s="12"/>
      <c r="C8892" s="12"/>
    </row>
    <row r="8893" spans="2:3">
      <c r="B8893" s="12"/>
      <c r="C8893" s="12"/>
    </row>
    <row r="8894" spans="2:3">
      <c r="B8894" s="12"/>
      <c r="C8894" s="12"/>
    </row>
    <row r="8895" spans="2:3">
      <c r="B8895" s="12"/>
      <c r="C8895" s="12"/>
    </row>
    <row r="8896" spans="2:3">
      <c r="B8896" s="12"/>
      <c r="C8896" s="12"/>
    </row>
    <row r="8897" spans="2:3">
      <c r="B8897" s="12"/>
      <c r="C8897" s="12"/>
    </row>
    <row r="8898" spans="2:3">
      <c r="B8898" s="12"/>
      <c r="C8898" s="12"/>
    </row>
    <row r="8899" spans="2:3">
      <c r="B8899" s="12"/>
      <c r="C8899" s="12"/>
    </row>
    <row r="8900" spans="2:3">
      <c r="B8900" s="12"/>
      <c r="C8900" s="12"/>
    </row>
    <row r="8901" spans="2:3">
      <c r="B8901" s="12"/>
      <c r="C8901" s="12"/>
    </row>
    <row r="8902" spans="2:3">
      <c r="B8902" s="12"/>
      <c r="C8902" s="12"/>
    </row>
    <row r="8903" spans="2:3">
      <c r="B8903" s="12"/>
      <c r="C8903" s="12"/>
    </row>
    <row r="8904" spans="2:3">
      <c r="B8904" s="12"/>
      <c r="C8904" s="12"/>
    </row>
    <row r="8905" spans="2:3">
      <c r="B8905" s="12"/>
      <c r="C8905" s="12"/>
    </row>
    <row r="8906" spans="2:3">
      <c r="B8906" s="12"/>
      <c r="C8906" s="12"/>
    </row>
    <row r="8907" spans="2:3">
      <c r="B8907" s="12"/>
      <c r="C8907" s="12"/>
    </row>
    <row r="8908" spans="2:3">
      <c r="B8908" s="12"/>
      <c r="C8908" s="12"/>
    </row>
    <row r="8909" spans="2:3">
      <c r="B8909" s="12"/>
      <c r="C8909" s="12"/>
    </row>
    <row r="8910" spans="2:3">
      <c r="B8910" s="12"/>
      <c r="C8910" s="12"/>
    </row>
    <row r="8911" spans="2:3">
      <c r="B8911" s="12"/>
      <c r="C8911" s="12"/>
    </row>
    <row r="8912" spans="2:3">
      <c r="B8912" s="12"/>
      <c r="C8912" s="12"/>
    </row>
    <row r="8913" spans="2:3">
      <c r="B8913" s="12"/>
      <c r="C8913" s="12"/>
    </row>
    <row r="8914" spans="2:3">
      <c r="B8914" s="12"/>
      <c r="C8914" s="12"/>
    </row>
    <row r="8915" spans="2:3">
      <c r="B8915" s="12"/>
      <c r="C8915" s="12"/>
    </row>
    <row r="8916" spans="2:3">
      <c r="B8916" s="12"/>
      <c r="C8916" s="12"/>
    </row>
    <row r="8917" spans="2:3">
      <c r="B8917" s="12"/>
      <c r="C8917" s="12"/>
    </row>
    <row r="8918" spans="2:3">
      <c r="B8918" s="12"/>
      <c r="C8918" s="12"/>
    </row>
    <row r="8919" spans="2:3">
      <c r="B8919" s="12"/>
      <c r="C8919" s="12"/>
    </row>
    <row r="8920" spans="2:3">
      <c r="B8920" s="12"/>
      <c r="C8920" s="12"/>
    </row>
    <row r="8921" spans="2:3">
      <c r="B8921" s="12"/>
      <c r="C8921" s="12"/>
    </row>
    <row r="8922" spans="2:3">
      <c r="B8922" s="12"/>
      <c r="C8922" s="12"/>
    </row>
    <row r="8923" spans="2:3">
      <c r="B8923" s="12"/>
      <c r="C8923" s="12"/>
    </row>
    <row r="8924" spans="2:3">
      <c r="B8924" s="12"/>
      <c r="C8924" s="12"/>
    </row>
    <row r="8925" spans="2:3">
      <c r="B8925" s="12"/>
      <c r="C8925" s="12"/>
    </row>
    <row r="8926" spans="2:3">
      <c r="B8926" s="12"/>
      <c r="C8926" s="12"/>
    </row>
    <row r="8927" spans="2:3">
      <c r="B8927" s="12"/>
      <c r="C8927" s="12"/>
    </row>
    <row r="8928" spans="2:3">
      <c r="B8928" s="12"/>
      <c r="C8928" s="12"/>
    </row>
    <row r="8929" spans="2:3">
      <c r="B8929" s="12"/>
      <c r="C8929" s="12"/>
    </row>
    <row r="8930" spans="2:3">
      <c r="B8930" s="12"/>
      <c r="C8930" s="12"/>
    </row>
    <row r="8931" spans="2:3">
      <c r="B8931" s="12"/>
      <c r="C8931" s="12"/>
    </row>
    <row r="8932" spans="2:3">
      <c r="B8932" s="12"/>
      <c r="C8932" s="12"/>
    </row>
    <row r="8933" spans="2:3">
      <c r="B8933" s="12"/>
      <c r="C8933" s="12"/>
    </row>
    <row r="8934" spans="2:3">
      <c r="B8934" s="12"/>
      <c r="C8934" s="12"/>
    </row>
    <row r="8935" spans="2:3">
      <c r="B8935" s="12"/>
      <c r="C8935" s="12"/>
    </row>
    <row r="8936" spans="2:3">
      <c r="B8936" s="12"/>
      <c r="C8936" s="12"/>
    </row>
    <row r="8937" spans="2:3">
      <c r="B8937" s="12"/>
      <c r="C8937" s="12"/>
    </row>
    <row r="8938" spans="2:3">
      <c r="B8938" s="12"/>
      <c r="C8938" s="12"/>
    </row>
    <row r="8939" spans="2:3">
      <c r="B8939" s="12"/>
      <c r="C8939" s="12"/>
    </row>
    <row r="8940" spans="2:3">
      <c r="B8940" s="12"/>
      <c r="C8940" s="12"/>
    </row>
    <row r="8941" spans="2:3">
      <c r="B8941" s="12"/>
      <c r="C8941" s="12"/>
    </row>
    <row r="8942" spans="2:3">
      <c r="B8942" s="12"/>
      <c r="C8942" s="12"/>
    </row>
    <row r="8943" spans="2:3">
      <c r="B8943" s="12"/>
      <c r="C8943" s="12"/>
    </row>
    <row r="8944" spans="2:3">
      <c r="B8944" s="12"/>
      <c r="C8944" s="12"/>
    </row>
    <row r="8945" spans="2:3">
      <c r="B8945" s="12"/>
      <c r="C8945" s="12"/>
    </row>
    <row r="8946" spans="2:3">
      <c r="B8946" s="12"/>
      <c r="C8946" s="12"/>
    </row>
    <row r="8947" spans="2:3">
      <c r="B8947" s="12"/>
      <c r="C8947" s="12"/>
    </row>
    <row r="8948" spans="2:3">
      <c r="B8948" s="12"/>
      <c r="C8948" s="12"/>
    </row>
    <row r="8949" spans="2:3">
      <c r="B8949" s="12"/>
      <c r="C8949" s="12"/>
    </row>
    <row r="8950" spans="2:3">
      <c r="B8950" s="12"/>
      <c r="C8950" s="12"/>
    </row>
    <row r="8951" spans="2:3">
      <c r="B8951" s="12"/>
      <c r="C8951" s="12"/>
    </row>
    <row r="8952" spans="2:3">
      <c r="B8952" s="12"/>
      <c r="C8952" s="12"/>
    </row>
    <row r="8953" spans="2:3">
      <c r="B8953" s="12"/>
      <c r="C8953" s="12"/>
    </row>
    <row r="8954" spans="2:3">
      <c r="B8954" s="12"/>
      <c r="C8954" s="12"/>
    </row>
    <row r="8955" spans="2:3">
      <c r="B8955" s="12"/>
      <c r="C8955" s="12"/>
    </row>
    <row r="8956" spans="2:3">
      <c r="B8956" s="12"/>
      <c r="C8956" s="12"/>
    </row>
    <row r="8957" spans="2:3">
      <c r="B8957" s="12"/>
      <c r="C8957" s="12"/>
    </row>
    <row r="8958" spans="2:3">
      <c r="B8958" s="12"/>
      <c r="C8958" s="12"/>
    </row>
    <row r="8959" spans="2:3">
      <c r="B8959" s="12"/>
      <c r="C8959" s="12"/>
    </row>
    <row r="8960" spans="2:3">
      <c r="B8960" s="12"/>
      <c r="C8960" s="12"/>
    </row>
    <row r="8961" spans="2:3">
      <c r="B8961" s="12"/>
      <c r="C8961" s="12"/>
    </row>
    <row r="8962" spans="2:3">
      <c r="B8962" s="12"/>
      <c r="C8962" s="12"/>
    </row>
    <row r="8963" spans="2:3">
      <c r="B8963" s="12"/>
      <c r="C8963" s="12"/>
    </row>
    <row r="8964" spans="2:3">
      <c r="B8964" s="12"/>
      <c r="C8964" s="12"/>
    </row>
    <row r="8965" spans="2:3">
      <c r="B8965" s="12"/>
      <c r="C8965" s="12"/>
    </row>
    <row r="8966" spans="2:3">
      <c r="B8966" s="12"/>
      <c r="C8966" s="12"/>
    </row>
    <row r="8967" spans="2:3">
      <c r="B8967" s="12"/>
      <c r="C8967" s="12"/>
    </row>
    <row r="8968" spans="2:3">
      <c r="B8968" s="12"/>
      <c r="C8968" s="12"/>
    </row>
    <row r="8969" spans="2:3">
      <c r="B8969" s="12"/>
      <c r="C8969" s="12"/>
    </row>
    <row r="8970" spans="2:3">
      <c r="B8970" s="12"/>
      <c r="C8970" s="12"/>
    </row>
    <row r="8971" spans="2:3">
      <c r="B8971" s="12"/>
      <c r="C8971" s="12"/>
    </row>
    <row r="8972" spans="2:3">
      <c r="B8972" s="12"/>
      <c r="C8972" s="12"/>
    </row>
    <row r="8973" spans="2:3">
      <c r="B8973" s="12"/>
      <c r="C8973" s="12"/>
    </row>
    <row r="8974" spans="2:3">
      <c r="B8974" s="12"/>
      <c r="C8974" s="12"/>
    </row>
    <row r="8975" spans="2:3">
      <c r="B8975" s="12"/>
      <c r="C8975" s="12"/>
    </row>
    <row r="8976" spans="2:3">
      <c r="B8976" s="12"/>
      <c r="C8976" s="12"/>
    </row>
    <row r="8977" spans="2:3">
      <c r="B8977" s="12"/>
      <c r="C8977" s="12"/>
    </row>
    <row r="8978" spans="2:3">
      <c r="B8978" s="12"/>
      <c r="C8978" s="12"/>
    </row>
    <row r="8979" spans="2:3">
      <c r="B8979" s="12"/>
      <c r="C8979" s="12"/>
    </row>
    <row r="8980" spans="2:3">
      <c r="B8980" s="12"/>
      <c r="C8980" s="12"/>
    </row>
    <row r="8981" spans="2:3">
      <c r="B8981" s="12"/>
      <c r="C8981" s="12"/>
    </row>
    <row r="8982" spans="2:3">
      <c r="B8982" s="12"/>
      <c r="C8982" s="12"/>
    </row>
    <row r="8983" spans="2:3">
      <c r="B8983" s="12"/>
      <c r="C8983" s="12"/>
    </row>
    <row r="8984" spans="2:3">
      <c r="B8984" s="12"/>
      <c r="C8984" s="12"/>
    </row>
    <row r="8985" spans="2:3">
      <c r="B8985" s="12"/>
      <c r="C8985" s="12"/>
    </row>
    <row r="8986" spans="2:3">
      <c r="B8986" s="12"/>
      <c r="C8986" s="12"/>
    </row>
    <row r="8987" spans="2:3">
      <c r="B8987" s="12"/>
      <c r="C8987" s="12"/>
    </row>
    <row r="8988" spans="2:3">
      <c r="B8988" s="12"/>
      <c r="C8988" s="12"/>
    </row>
    <row r="8989" spans="2:3">
      <c r="B8989" s="12"/>
      <c r="C8989" s="12"/>
    </row>
    <row r="8990" spans="2:3">
      <c r="B8990" s="12"/>
      <c r="C8990" s="12"/>
    </row>
    <row r="8991" spans="2:3">
      <c r="B8991" s="12"/>
      <c r="C8991" s="12"/>
    </row>
    <row r="8992" spans="2:3">
      <c r="B8992" s="12"/>
      <c r="C8992" s="12"/>
    </row>
    <row r="8993" spans="2:3">
      <c r="B8993" s="12"/>
      <c r="C8993" s="12"/>
    </row>
    <row r="8994" spans="2:3">
      <c r="B8994" s="12"/>
      <c r="C8994" s="12"/>
    </row>
    <row r="8995" spans="2:3">
      <c r="B8995" s="12"/>
      <c r="C8995" s="12"/>
    </row>
    <row r="8996" spans="2:3">
      <c r="B8996" s="12"/>
      <c r="C8996" s="12"/>
    </row>
    <row r="8997" spans="2:3">
      <c r="B8997" s="12"/>
      <c r="C8997" s="12"/>
    </row>
    <row r="8998" spans="2:3">
      <c r="B8998" s="12"/>
      <c r="C8998" s="12"/>
    </row>
    <row r="8999" spans="2:3">
      <c r="B8999" s="12"/>
      <c r="C8999" s="12"/>
    </row>
    <row r="9000" spans="2:3">
      <c r="B9000" s="12"/>
      <c r="C9000" s="12"/>
    </row>
    <row r="9001" spans="2:3">
      <c r="B9001" s="12"/>
      <c r="C9001" s="12"/>
    </row>
    <row r="9002" spans="2:3">
      <c r="B9002" s="12"/>
      <c r="C9002" s="12"/>
    </row>
    <row r="9003" spans="2:3">
      <c r="B9003" s="12"/>
      <c r="C9003" s="12"/>
    </row>
    <row r="9004" spans="2:3">
      <c r="B9004" s="12"/>
      <c r="C9004" s="12"/>
    </row>
    <row r="9005" spans="2:3">
      <c r="B9005" s="12"/>
      <c r="C9005" s="12"/>
    </row>
    <row r="9006" spans="2:3">
      <c r="B9006" s="12"/>
      <c r="C9006" s="12"/>
    </row>
    <row r="9007" spans="2:3">
      <c r="B9007" s="12"/>
      <c r="C9007" s="12"/>
    </row>
    <row r="9008" spans="2:3">
      <c r="B9008" s="12"/>
      <c r="C9008" s="12"/>
    </row>
    <row r="9009" spans="2:3">
      <c r="B9009" s="12"/>
      <c r="C9009" s="12"/>
    </row>
    <row r="9010" spans="2:3">
      <c r="B9010" s="12"/>
      <c r="C9010" s="12"/>
    </row>
    <row r="9011" spans="2:3">
      <c r="B9011" s="12"/>
      <c r="C9011" s="12"/>
    </row>
    <row r="9012" spans="2:3">
      <c r="B9012" s="12"/>
      <c r="C9012" s="12"/>
    </row>
    <row r="9013" spans="2:3">
      <c r="B9013" s="12"/>
      <c r="C9013" s="12"/>
    </row>
    <row r="9014" spans="2:3">
      <c r="B9014" s="12"/>
      <c r="C9014" s="12"/>
    </row>
    <row r="9015" spans="2:3">
      <c r="B9015" s="12"/>
      <c r="C9015" s="12"/>
    </row>
    <row r="9016" spans="2:3">
      <c r="B9016" s="12"/>
      <c r="C9016" s="12"/>
    </row>
    <row r="9017" spans="2:3">
      <c r="B9017" s="12"/>
      <c r="C9017" s="12"/>
    </row>
    <row r="9018" spans="2:3">
      <c r="B9018" s="12"/>
      <c r="C9018" s="12"/>
    </row>
    <row r="9019" spans="2:3">
      <c r="B9019" s="12"/>
      <c r="C9019" s="12"/>
    </row>
    <row r="9020" spans="2:3">
      <c r="B9020" s="12"/>
      <c r="C9020" s="12"/>
    </row>
    <row r="9021" spans="2:3">
      <c r="B9021" s="12"/>
      <c r="C9021" s="12"/>
    </row>
    <row r="9022" spans="2:3">
      <c r="B9022" s="12"/>
      <c r="C9022" s="12"/>
    </row>
    <row r="9023" spans="2:3">
      <c r="B9023" s="12"/>
      <c r="C9023" s="12"/>
    </row>
    <row r="9024" spans="2:3">
      <c r="B9024" s="12"/>
      <c r="C9024" s="12"/>
    </row>
    <row r="9025" spans="2:3">
      <c r="B9025" s="12"/>
      <c r="C9025" s="12"/>
    </row>
    <row r="9026" spans="2:3">
      <c r="B9026" s="12"/>
      <c r="C9026" s="12"/>
    </row>
    <row r="9027" spans="2:3">
      <c r="B9027" s="12"/>
      <c r="C9027" s="12"/>
    </row>
    <row r="9028" spans="2:3">
      <c r="B9028" s="12"/>
      <c r="C9028" s="12"/>
    </row>
    <row r="9029" spans="2:3">
      <c r="B9029" s="12"/>
      <c r="C9029" s="12"/>
    </row>
    <row r="9030" spans="2:3">
      <c r="B9030" s="12"/>
      <c r="C9030" s="12"/>
    </row>
    <row r="9031" spans="2:3">
      <c r="B9031" s="12"/>
      <c r="C9031" s="12"/>
    </row>
    <row r="9032" spans="2:3">
      <c r="B9032" s="12"/>
      <c r="C9032" s="12"/>
    </row>
    <row r="9033" spans="2:3">
      <c r="B9033" s="12"/>
      <c r="C9033" s="12"/>
    </row>
    <row r="9034" spans="2:3">
      <c r="B9034" s="12"/>
      <c r="C9034" s="12"/>
    </row>
    <row r="9035" spans="2:3">
      <c r="B9035" s="12"/>
      <c r="C9035" s="12"/>
    </row>
    <row r="9036" spans="2:3">
      <c r="B9036" s="12"/>
      <c r="C9036" s="12"/>
    </row>
    <row r="9037" spans="2:3">
      <c r="B9037" s="12"/>
      <c r="C9037" s="12"/>
    </row>
    <row r="9038" spans="2:3">
      <c r="B9038" s="12"/>
      <c r="C9038" s="12"/>
    </row>
    <row r="9039" spans="2:3">
      <c r="B9039" s="12"/>
      <c r="C9039" s="12"/>
    </row>
    <row r="9040" spans="2:3">
      <c r="B9040" s="12"/>
      <c r="C9040" s="12"/>
    </row>
    <row r="9041" spans="2:3">
      <c r="B9041" s="12"/>
      <c r="C9041" s="12"/>
    </row>
    <row r="9042" spans="2:3">
      <c r="B9042" s="12"/>
      <c r="C9042" s="12"/>
    </row>
    <row r="9043" spans="2:3">
      <c r="B9043" s="12"/>
      <c r="C9043" s="12"/>
    </row>
    <row r="9044" spans="2:3">
      <c r="B9044" s="12"/>
      <c r="C9044" s="12"/>
    </row>
    <row r="9045" spans="2:3">
      <c r="B9045" s="12"/>
      <c r="C9045" s="12"/>
    </row>
    <row r="9046" spans="2:3">
      <c r="B9046" s="12"/>
      <c r="C9046" s="12"/>
    </row>
    <row r="9047" spans="2:3">
      <c r="B9047" s="12"/>
      <c r="C9047" s="12"/>
    </row>
    <row r="9048" spans="2:3">
      <c r="B9048" s="12"/>
      <c r="C9048" s="12"/>
    </row>
    <row r="9049" spans="2:3">
      <c r="B9049" s="12"/>
      <c r="C9049" s="12"/>
    </row>
    <row r="9050" spans="2:3">
      <c r="B9050" s="12"/>
      <c r="C9050" s="12"/>
    </row>
    <row r="9051" spans="2:3">
      <c r="B9051" s="12"/>
      <c r="C9051" s="12"/>
    </row>
    <row r="9052" spans="2:3">
      <c r="B9052" s="12"/>
      <c r="C9052" s="12"/>
    </row>
    <row r="9053" spans="2:3">
      <c r="B9053" s="12"/>
      <c r="C9053" s="12"/>
    </row>
    <row r="9054" spans="2:3">
      <c r="B9054" s="12"/>
      <c r="C9054" s="12"/>
    </row>
    <row r="9055" spans="2:3">
      <c r="B9055" s="12"/>
      <c r="C9055" s="12"/>
    </row>
    <row r="9056" spans="2:3">
      <c r="B9056" s="12"/>
      <c r="C9056" s="12"/>
    </row>
    <row r="9057" spans="2:3">
      <c r="B9057" s="12"/>
      <c r="C9057" s="12"/>
    </row>
    <row r="9058" spans="2:3">
      <c r="B9058" s="12"/>
      <c r="C9058" s="12"/>
    </row>
    <row r="9059" spans="2:3">
      <c r="B9059" s="12"/>
      <c r="C9059" s="12"/>
    </row>
    <row r="9060" spans="2:3">
      <c r="B9060" s="12"/>
      <c r="C9060" s="12"/>
    </row>
    <row r="9061" spans="2:3">
      <c r="B9061" s="12"/>
      <c r="C9061" s="12"/>
    </row>
    <row r="9062" spans="2:3">
      <c r="B9062" s="12"/>
      <c r="C9062" s="12"/>
    </row>
    <row r="9063" spans="2:3">
      <c r="B9063" s="12"/>
      <c r="C9063" s="12"/>
    </row>
    <row r="9064" spans="2:3">
      <c r="B9064" s="12"/>
      <c r="C9064" s="12"/>
    </row>
    <row r="9065" spans="2:3">
      <c r="B9065" s="12"/>
      <c r="C9065" s="12"/>
    </row>
    <row r="9066" spans="2:3">
      <c r="B9066" s="12"/>
      <c r="C9066" s="12"/>
    </row>
    <row r="9067" spans="2:3">
      <c r="B9067" s="12"/>
      <c r="C9067" s="12"/>
    </row>
    <row r="9068" spans="2:3">
      <c r="B9068" s="12"/>
      <c r="C9068" s="12"/>
    </row>
    <row r="9069" spans="2:3">
      <c r="B9069" s="12"/>
      <c r="C9069" s="12"/>
    </row>
    <row r="9070" spans="2:3">
      <c r="B9070" s="12"/>
      <c r="C9070" s="12"/>
    </row>
    <row r="9071" spans="2:3">
      <c r="B9071" s="12"/>
      <c r="C9071" s="12"/>
    </row>
    <row r="9072" spans="2:3">
      <c r="B9072" s="12"/>
      <c r="C9072" s="12"/>
    </row>
    <row r="9073" spans="2:3">
      <c r="B9073" s="12"/>
      <c r="C9073" s="12"/>
    </row>
    <row r="9074" spans="2:3">
      <c r="B9074" s="12"/>
      <c r="C9074" s="12"/>
    </row>
    <row r="9075" spans="2:3">
      <c r="B9075" s="12"/>
      <c r="C9075" s="12"/>
    </row>
    <row r="9076" spans="2:3">
      <c r="B9076" s="12"/>
      <c r="C9076" s="12"/>
    </row>
    <row r="9077" spans="2:3">
      <c r="B9077" s="12"/>
      <c r="C9077" s="12"/>
    </row>
    <row r="9078" spans="2:3">
      <c r="B9078" s="12"/>
      <c r="C9078" s="12"/>
    </row>
    <row r="9079" spans="2:3">
      <c r="B9079" s="12"/>
      <c r="C9079" s="12"/>
    </row>
    <row r="9080" spans="2:3">
      <c r="B9080" s="12"/>
      <c r="C9080" s="12"/>
    </row>
    <row r="9081" spans="2:3">
      <c r="B9081" s="12"/>
      <c r="C9081" s="12"/>
    </row>
    <row r="9082" spans="2:3">
      <c r="B9082" s="12"/>
      <c r="C9082" s="12"/>
    </row>
    <row r="9083" spans="2:3">
      <c r="B9083" s="12"/>
      <c r="C9083" s="12"/>
    </row>
    <row r="9084" spans="2:3">
      <c r="B9084" s="12"/>
      <c r="C9084" s="12"/>
    </row>
    <row r="9085" spans="2:3">
      <c r="B9085" s="12"/>
      <c r="C9085" s="12"/>
    </row>
    <row r="9086" spans="2:3">
      <c r="B9086" s="12"/>
      <c r="C9086" s="12"/>
    </row>
    <row r="9087" spans="2:3">
      <c r="B9087" s="12"/>
      <c r="C9087" s="12"/>
    </row>
    <row r="9088" spans="2:3">
      <c r="B9088" s="12"/>
      <c r="C9088" s="12"/>
    </row>
    <row r="9089" spans="2:3">
      <c r="B9089" s="12"/>
      <c r="C9089" s="12"/>
    </row>
    <row r="9090" spans="2:3">
      <c r="B9090" s="12"/>
      <c r="C9090" s="12"/>
    </row>
    <row r="9091" spans="2:3">
      <c r="B9091" s="12"/>
      <c r="C9091" s="12"/>
    </row>
    <row r="9092" spans="2:3">
      <c r="B9092" s="12"/>
      <c r="C9092" s="12"/>
    </row>
    <row r="9093" spans="2:3">
      <c r="B9093" s="12"/>
      <c r="C9093" s="12"/>
    </row>
    <row r="9094" spans="2:3">
      <c r="B9094" s="12"/>
      <c r="C9094" s="12"/>
    </row>
    <row r="9095" spans="2:3">
      <c r="B9095" s="12"/>
      <c r="C9095" s="12"/>
    </row>
    <row r="9096" spans="2:3">
      <c r="B9096" s="12"/>
      <c r="C9096" s="12"/>
    </row>
    <row r="9097" spans="2:3">
      <c r="B9097" s="12"/>
      <c r="C9097" s="12"/>
    </row>
    <row r="9098" spans="2:3">
      <c r="B9098" s="12"/>
      <c r="C9098" s="12"/>
    </row>
    <row r="9099" spans="2:3">
      <c r="B9099" s="12"/>
      <c r="C9099" s="12"/>
    </row>
    <row r="9100" spans="2:3">
      <c r="B9100" s="12"/>
      <c r="C9100" s="12"/>
    </row>
    <row r="9101" spans="2:3">
      <c r="B9101" s="12"/>
      <c r="C9101" s="12"/>
    </row>
    <row r="9102" spans="2:3">
      <c r="B9102" s="12"/>
      <c r="C9102" s="12"/>
    </row>
    <row r="9103" spans="2:3">
      <c r="B9103" s="12"/>
      <c r="C9103" s="12"/>
    </row>
    <row r="9104" spans="2:3">
      <c r="B9104" s="12"/>
      <c r="C9104" s="12"/>
    </row>
    <row r="9105" spans="2:3">
      <c r="B9105" s="12"/>
      <c r="C9105" s="12"/>
    </row>
    <row r="9106" spans="2:3">
      <c r="B9106" s="12"/>
      <c r="C9106" s="12"/>
    </row>
    <row r="9107" spans="2:3">
      <c r="B9107" s="12"/>
      <c r="C9107" s="12"/>
    </row>
    <row r="9108" spans="2:3">
      <c r="B9108" s="12"/>
      <c r="C9108" s="12"/>
    </row>
    <row r="9109" spans="2:3">
      <c r="B9109" s="12"/>
      <c r="C9109" s="12"/>
    </row>
    <row r="9110" spans="2:3">
      <c r="B9110" s="12"/>
      <c r="C9110" s="12"/>
    </row>
    <row r="9111" spans="2:3">
      <c r="B9111" s="12"/>
      <c r="C9111" s="12"/>
    </row>
    <row r="9112" spans="2:3">
      <c r="B9112" s="12"/>
      <c r="C9112" s="12"/>
    </row>
    <row r="9113" spans="2:3">
      <c r="B9113" s="12"/>
      <c r="C9113" s="12"/>
    </row>
    <row r="9114" spans="2:3">
      <c r="B9114" s="12"/>
      <c r="C9114" s="12"/>
    </row>
    <row r="9115" spans="2:3">
      <c r="B9115" s="12"/>
      <c r="C9115" s="12"/>
    </row>
    <row r="9116" spans="2:3">
      <c r="B9116" s="12"/>
      <c r="C9116" s="12"/>
    </row>
    <row r="9117" spans="2:3">
      <c r="B9117" s="12"/>
      <c r="C9117" s="12"/>
    </row>
    <row r="9118" spans="2:3">
      <c r="B9118" s="12"/>
      <c r="C9118" s="12"/>
    </row>
    <row r="9119" spans="2:3">
      <c r="B9119" s="12"/>
      <c r="C9119" s="12"/>
    </row>
    <row r="9120" spans="2:3">
      <c r="B9120" s="12"/>
      <c r="C9120" s="12"/>
    </row>
    <row r="9121" spans="2:3">
      <c r="B9121" s="12"/>
      <c r="C9121" s="12"/>
    </row>
    <row r="9122" spans="2:3">
      <c r="B9122" s="12"/>
      <c r="C9122" s="12"/>
    </row>
    <row r="9123" spans="2:3">
      <c r="B9123" s="12"/>
      <c r="C9123" s="12"/>
    </row>
    <row r="9124" spans="2:3">
      <c r="B9124" s="12"/>
      <c r="C9124" s="12"/>
    </row>
    <row r="9125" spans="2:3">
      <c r="B9125" s="12"/>
      <c r="C9125" s="12"/>
    </row>
    <row r="9126" spans="2:3">
      <c r="B9126" s="12"/>
      <c r="C9126" s="12"/>
    </row>
    <row r="9127" spans="2:3">
      <c r="B9127" s="12"/>
      <c r="C9127" s="12"/>
    </row>
    <row r="9128" spans="2:3">
      <c r="B9128" s="12"/>
      <c r="C9128" s="12"/>
    </row>
    <row r="9129" spans="2:3">
      <c r="B9129" s="12"/>
      <c r="C9129" s="12"/>
    </row>
    <row r="9130" spans="2:3">
      <c r="B9130" s="12"/>
      <c r="C9130" s="12"/>
    </row>
    <row r="9131" spans="2:3">
      <c r="B9131" s="12"/>
      <c r="C9131" s="12"/>
    </row>
    <row r="9132" spans="2:3">
      <c r="B9132" s="12"/>
      <c r="C9132" s="12"/>
    </row>
    <row r="9133" spans="2:3">
      <c r="B9133" s="12"/>
      <c r="C9133" s="12"/>
    </row>
    <row r="9134" spans="2:3">
      <c r="B9134" s="12"/>
      <c r="C9134" s="12"/>
    </row>
    <row r="9135" spans="2:3">
      <c r="B9135" s="12"/>
      <c r="C9135" s="12"/>
    </row>
    <row r="9136" spans="2:3">
      <c r="B9136" s="12"/>
      <c r="C9136" s="12"/>
    </row>
    <row r="9137" spans="2:3">
      <c r="B9137" s="12"/>
      <c r="C9137" s="12"/>
    </row>
    <row r="9138" spans="2:3">
      <c r="B9138" s="12"/>
      <c r="C9138" s="12"/>
    </row>
    <row r="9139" spans="2:3">
      <c r="B9139" s="12"/>
      <c r="C9139" s="12"/>
    </row>
    <row r="9140" spans="2:3">
      <c r="B9140" s="12"/>
      <c r="C9140" s="12"/>
    </row>
    <row r="9141" spans="2:3">
      <c r="B9141" s="12"/>
      <c r="C9141" s="12"/>
    </row>
    <row r="9142" spans="2:3">
      <c r="B9142" s="12"/>
      <c r="C9142" s="12"/>
    </row>
    <row r="9143" spans="2:3">
      <c r="B9143" s="12"/>
      <c r="C9143" s="12"/>
    </row>
    <row r="9144" spans="2:3">
      <c r="B9144" s="12"/>
      <c r="C9144" s="12"/>
    </row>
    <row r="9145" spans="2:3">
      <c r="B9145" s="12"/>
      <c r="C9145" s="12"/>
    </row>
    <row r="9146" spans="2:3">
      <c r="B9146" s="12"/>
      <c r="C9146" s="12"/>
    </row>
    <row r="9147" spans="2:3">
      <c r="B9147" s="12"/>
      <c r="C9147" s="12"/>
    </row>
    <row r="9148" spans="2:3">
      <c r="B9148" s="12"/>
      <c r="C9148" s="12"/>
    </row>
    <row r="9149" spans="2:3">
      <c r="B9149" s="12"/>
      <c r="C9149" s="12"/>
    </row>
    <row r="9150" spans="2:3">
      <c r="B9150" s="12"/>
      <c r="C9150" s="12"/>
    </row>
    <row r="9151" spans="2:3">
      <c r="B9151" s="12"/>
      <c r="C9151" s="12"/>
    </row>
    <row r="9152" spans="2:3">
      <c r="B9152" s="12"/>
      <c r="C9152" s="12"/>
    </row>
    <row r="9153" spans="2:3">
      <c r="B9153" s="12"/>
      <c r="C9153" s="12"/>
    </row>
    <row r="9154" spans="2:3">
      <c r="B9154" s="12"/>
      <c r="C9154" s="12"/>
    </row>
    <row r="9155" spans="2:3">
      <c r="B9155" s="12"/>
      <c r="C9155" s="12"/>
    </row>
    <row r="9156" spans="2:3">
      <c r="B9156" s="12"/>
      <c r="C9156" s="12"/>
    </row>
    <row r="9157" spans="2:3">
      <c r="B9157" s="12"/>
      <c r="C9157" s="12"/>
    </row>
    <row r="9158" spans="2:3">
      <c r="B9158" s="12"/>
      <c r="C9158" s="12"/>
    </row>
    <row r="9159" spans="2:3">
      <c r="B9159" s="12"/>
      <c r="C9159" s="12"/>
    </row>
    <row r="9160" spans="2:3">
      <c r="B9160" s="12"/>
      <c r="C9160" s="12"/>
    </row>
    <row r="9161" spans="2:3">
      <c r="B9161" s="12"/>
      <c r="C9161" s="12"/>
    </row>
    <row r="9162" spans="2:3">
      <c r="B9162" s="12"/>
      <c r="C9162" s="12"/>
    </row>
    <row r="9163" spans="2:3">
      <c r="B9163" s="12"/>
      <c r="C9163" s="12"/>
    </row>
    <row r="9164" spans="2:3">
      <c r="B9164" s="12"/>
      <c r="C9164" s="12"/>
    </row>
    <row r="9165" spans="2:3">
      <c r="B9165" s="12"/>
      <c r="C9165" s="12"/>
    </row>
    <row r="9166" spans="2:3">
      <c r="B9166" s="12"/>
      <c r="C9166" s="12"/>
    </row>
    <row r="9167" spans="2:3">
      <c r="B9167" s="12"/>
      <c r="C9167" s="12"/>
    </row>
    <row r="9168" spans="2:3">
      <c r="B9168" s="12"/>
      <c r="C9168" s="12"/>
    </row>
    <row r="9169" spans="2:3">
      <c r="B9169" s="12"/>
      <c r="C9169" s="12"/>
    </row>
    <row r="9170" spans="2:3">
      <c r="B9170" s="12"/>
      <c r="C9170" s="12"/>
    </row>
    <row r="9171" spans="2:3">
      <c r="B9171" s="12"/>
      <c r="C9171" s="12"/>
    </row>
    <row r="9172" spans="2:3">
      <c r="B9172" s="12"/>
      <c r="C9172" s="12"/>
    </row>
    <row r="9173" spans="2:3">
      <c r="B9173" s="12"/>
      <c r="C9173" s="12"/>
    </row>
    <row r="9174" spans="2:3">
      <c r="B9174" s="12"/>
      <c r="C9174" s="12"/>
    </row>
    <row r="9175" spans="2:3">
      <c r="B9175" s="12"/>
      <c r="C9175" s="12"/>
    </row>
    <row r="9176" spans="2:3">
      <c r="B9176" s="12"/>
      <c r="C9176" s="12"/>
    </row>
    <row r="9177" spans="2:3">
      <c r="B9177" s="12"/>
      <c r="C9177" s="12"/>
    </row>
    <row r="9178" spans="2:3">
      <c r="B9178" s="12"/>
      <c r="C9178" s="12"/>
    </row>
    <row r="9179" spans="2:3">
      <c r="B9179" s="12"/>
      <c r="C9179" s="12"/>
    </row>
    <row r="9180" spans="2:3">
      <c r="B9180" s="12"/>
      <c r="C9180" s="12"/>
    </row>
    <row r="9181" spans="2:3">
      <c r="B9181" s="12"/>
      <c r="C9181" s="12"/>
    </row>
    <row r="9182" spans="2:3">
      <c r="B9182" s="12"/>
      <c r="C9182" s="12"/>
    </row>
    <row r="9183" spans="2:3">
      <c r="B9183" s="12"/>
      <c r="C9183" s="12"/>
    </row>
    <row r="9184" spans="2:3">
      <c r="B9184" s="12"/>
      <c r="C9184" s="12"/>
    </row>
    <row r="9185" spans="2:3">
      <c r="B9185" s="12"/>
      <c r="C9185" s="12"/>
    </row>
    <row r="9186" spans="2:3">
      <c r="B9186" s="12"/>
      <c r="C9186" s="12"/>
    </row>
    <row r="9187" spans="2:3">
      <c r="B9187" s="12"/>
      <c r="C9187" s="12"/>
    </row>
    <row r="9188" spans="2:3">
      <c r="B9188" s="12"/>
      <c r="C9188" s="12"/>
    </row>
    <row r="9189" spans="2:3">
      <c r="B9189" s="12"/>
      <c r="C9189" s="12"/>
    </row>
    <row r="9190" spans="2:3">
      <c r="B9190" s="12"/>
      <c r="C9190" s="12"/>
    </row>
    <row r="9191" spans="2:3">
      <c r="B9191" s="12"/>
      <c r="C9191" s="12"/>
    </row>
    <row r="9192" spans="2:3">
      <c r="B9192" s="12"/>
      <c r="C9192" s="12"/>
    </row>
    <row r="9193" spans="2:3">
      <c r="B9193" s="12"/>
      <c r="C9193" s="12"/>
    </row>
    <row r="9194" spans="2:3">
      <c r="B9194" s="12"/>
      <c r="C9194" s="12"/>
    </row>
    <row r="9195" spans="2:3">
      <c r="B9195" s="12"/>
      <c r="C9195" s="12"/>
    </row>
    <row r="9196" spans="2:3">
      <c r="B9196" s="12"/>
      <c r="C9196" s="12"/>
    </row>
    <row r="9197" spans="2:3">
      <c r="B9197" s="12"/>
      <c r="C9197" s="12"/>
    </row>
    <row r="9198" spans="2:3">
      <c r="B9198" s="12"/>
      <c r="C9198" s="12"/>
    </row>
    <row r="9199" spans="2:3">
      <c r="B9199" s="12"/>
      <c r="C9199" s="12"/>
    </row>
    <row r="9200" spans="2:3">
      <c r="B9200" s="12"/>
      <c r="C9200" s="12"/>
    </row>
    <row r="9201" spans="2:3">
      <c r="B9201" s="12"/>
      <c r="C9201" s="12"/>
    </row>
    <row r="9202" spans="2:3">
      <c r="B9202" s="12"/>
      <c r="C9202" s="12"/>
    </row>
    <row r="9203" spans="2:3">
      <c r="B9203" s="12"/>
      <c r="C9203" s="12"/>
    </row>
    <row r="9204" spans="2:3">
      <c r="B9204" s="12"/>
      <c r="C9204" s="12"/>
    </row>
    <row r="9205" spans="2:3">
      <c r="B9205" s="12"/>
      <c r="C9205" s="12"/>
    </row>
    <row r="9206" spans="2:3">
      <c r="B9206" s="12"/>
      <c r="C9206" s="12"/>
    </row>
    <row r="9207" spans="2:3">
      <c r="B9207" s="12"/>
      <c r="C9207" s="12"/>
    </row>
    <row r="9208" spans="2:3">
      <c r="B9208" s="12"/>
      <c r="C9208" s="12"/>
    </row>
    <row r="9209" spans="2:3">
      <c r="B9209" s="12"/>
      <c r="C9209" s="12"/>
    </row>
    <row r="9210" spans="2:3">
      <c r="B9210" s="12"/>
      <c r="C9210" s="12"/>
    </row>
    <row r="9211" spans="2:3">
      <c r="B9211" s="12"/>
      <c r="C9211" s="12"/>
    </row>
    <row r="9212" spans="2:3">
      <c r="B9212" s="12"/>
      <c r="C9212" s="12"/>
    </row>
    <row r="9213" spans="2:3">
      <c r="B9213" s="12"/>
      <c r="C9213" s="12"/>
    </row>
    <row r="9214" spans="2:3">
      <c r="B9214" s="12"/>
      <c r="C9214" s="12"/>
    </row>
    <row r="9215" spans="2:3">
      <c r="B9215" s="12"/>
      <c r="C9215" s="12"/>
    </row>
    <row r="9216" spans="2:3">
      <c r="B9216" s="12"/>
      <c r="C9216" s="12"/>
    </row>
    <row r="9217" spans="2:3">
      <c r="B9217" s="12"/>
      <c r="C9217" s="12"/>
    </row>
    <row r="9218" spans="2:3">
      <c r="B9218" s="12"/>
      <c r="C9218" s="12"/>
    </row>
    <row r="9219" spans="2:3">
      <c r="B9219" s="12"/>
      <c r="C9219" s="12"/>
    </row>
    <row r="9220" spans="2:3">
      <c r="B9220" s="12"/>
      <c r="C9220" s="12"/>
    </row>
    <row r="9221" spans="2:3">
      <c r="B9221" s="12"/>
      <c r="C9221" s="12"/>
    </row>
    <row r="9222" spans="2:3">
      <c r="B9222" s="12"/>
      <c r="C9222" s="12"/>
    </row>
    <row r="9223" spans="2:3">
      <c r="B9223" s="12"/>
      <c r="C9223" s="12"/>
    </row>
    <row r="9224" spans="2:3">
      <c r="B9224" s="12"/>
      <c r="C9224" s="12"/>
    </row>
    <row r="9225" spans="2:3">
      <c r="B9225" s="12"/>
      <c r="C9225" s="12"/>
    </row>
    <row r="9226" spans="2:3">
      <c r="B9226" s="12"/>
      <c r="C9226" s="12"/>
    </row>
    <row r="9227" spans="2:3">
      <c r="B9227" s="12"/>
      <c r="C9227" s="12"/>
    </row>
    <row r="9228" spans="2:3">
      <c r="B9228" s="12"/>
      <c r="C9228" s="12"/>
    </row>
    <row r="9229" spans="2:3">
      <c r="B9229" s="12"/>
      <c r="C9229" s="12"/>
    </row>
    <row r="9230" spans="2:3">
      <c r="B9230" s="12"/>
      <c r="C9230" s="12"/>
    </row>
    <row r="9231" spans="2:3">
      <c r="B9231" s="12"/>
      <c r="C9231" s="12"/>
    </row>
    <row r="9232" spans="2:3">
      <c r="B9232" s="12"/>
      <c r="C9232" s="12"/>
    </row>
    <row r="9233" spans="2:3">
      <c r="B9233" s="12"/>
      <c r="C9233" s="12"/>
    </row>
    <row r="9234" spans="2:3">
      <c r="B9234" s="12"/>
      <c r="C9234" s="12"/>
    </row>
    <row r="9235" spans="2:3">
      <c r="B9235" s="12"/>
      <c r="C9235" s="12"/>
    </row>
    <row r="9236" spans="2:3">
      <c r="B9236" s="12"/>
      <c r="C9236" s="12"/>
    </row>
    <row r="9237" spans="2:3">
      <c r="B9237" s="12"/>
      <c r="C9237" s="12"/>
    </row>
    <row r="9238" spans="2:3">
      <c r="B9238" s="12"/>
      <c r="C9238" s="12"/>
    </row>
    <row r="9239" spans="2:3">
      <c r="B9239" s="12"/>
      <c r="C9239" s="12"/>
    </row>
    <row r="9240" spans="2:3">
      <c r="B9240" s="12"/>
      <c r="C9240" s="12"/>
    </row>
    <row r="9241" spans="2:3">
      <c r="B9241" s="12"/>
      <c r="C9241" s="12"/>
    </row>
    <row r="9242" spans="2:3">
      <c r="B9242" s="12"/>
      <c r="C9242" s="12"/>
    </row>
    <row r="9243" spans="2:3">
      <c r="B9243" s="12"/>
      <c r="C9243" s="12"/>
    </row>
    <row r="9244" spans="2:3">
      <c r="B9244" s="12"/>
      <c r="C9244" s="12"/>
    </row>
    <row r="9245" spans="2:3">
      <c r="B9245" s="12"/>
      <c r="C9245" s="12"/>
    </row>
    <row r="9246" spans="2:3">
      <c r="B9246" s="12"/>
      <c r="C9246" s="12"/>
    </row>
    <row r="9247" spans="2:3">
      <c r="B9247" s="12"/>
      <c r="C9247" s="12"/>
    </row>
    <row r="9248" spans="2:3">
      <c r="B9248" s="12"/>
      <c r="C9248" s="12"/>
    </row>
    <row r="9249" spans="2:3">
      <c r="B9249" s="12"/>
      <c r="C9249" s="12"/>
    </row>
    <row r="9250" spans="2:3">
      <c r="B9250" s="12"/>
      <c r="C9250" s="12"/>
    </row>
    <row r="9251" spans="2:3">
      <c r="B9251" s="12"/>
      <c r="C9251" s="12"/>
    </row>
    <row r="9252" spans="2:3">
      <c r="B9252" s="12"/>
      <c r="C9252" s="12"/>
    </row>
    <row r="9253" spans="2:3">
      <c r="B9253" s="12"/>
      <c r="C9253" s="12"/>
    </row>
    <row r="9254" spans="2:3">
      <c r="B9254" s="12"/>
      <c r="C9254" s="12"/>
    </row>
    <row r="9255" spans="2:3">
      <c r="B9255" s="12"/>
      <c r="C9255" s="12"/>
    </row>
    <row r="9256" spans="2:3">
      <c r="B9256" s="12"/>
      <c r="C9256" s="12"/>
    </row>
    <row r="9257" spans="2:3">
      <c r="B9257" s="12"/>
      <c r="C9257" s="12"/>
    </row>
    <row r="9258" spans="2:3">
      <c r="B9258" s="12"/>
      <c r="C9258" s="12"/>
    </row>
    <row r="9259" spans="2:3">
      <c r="B9259" s="12"/>
      <c r="C9259" s="12"/>
    </row>
    <row r="9260" spans="2:3">
      <c r="B9260" s="12"/>
      <c r="C9260" s="12"/>
    </row>
    <row r="9261" spans="2:3">
      <c r="B9261" s="12"/>
      <c r="C9261" s="12"/>
    </row>
    <row r="9262" spans="2:3">
      <c r="B9262" s="12"/>
      <c r="C9262" s="12"/>
    </row>
    <row r="9263" spans="2:3">
      <c r="B9263" s="12"/>
      <c r="C9263" s="12"/>
    </row>
    <row r="9264" spans="2:3">
      <c r="B9264" s="12"/>
      <c r="C9264" s="12"/>
    </row>
    <row r="9265" spans="2:3">
      <c r="B9265" s="12"/>
      <c r="C9265" s="12"/>
    </row>
    <row r="9266" spans="2:3">
      <c r="B9266" s="12"/>
      <c r="C9266" s="12"/>
    </row>
    <row r="9267" spans="2:3">
      <c r="B9267" s="12"/>
      <c r="C9267" s="12"/>
    </row>
    <row r="9268" spans="2:3">
      <c r="B9268" s="12"/>
      <c r="C9268" s="12"/>
    </row>
    <row r="9269" spans="2:3">
      <c r="B9269" s="12"/>
      <c r="C9269" s="12"/>
    </row>
    <row r="9270" spans="2:3">
      <c r="B9270" s="12"/>
      <c r="C9270" s="12"/>
    </row>
    <row r="9271" spans="2:3">
      <c r="B9271" s="12"/>
      <c r="C9271" s="12"/>
    </row>
    <row r="9272" spans="2:3">
      <c r="B9272" s="12"/>
      <c r="C9272" s="12"/>
    </row>
    <row r="9273" spans="2:3">
      <c r="B9273" s="12"/>
      <c r="C9273" s="12"/>
    </row>
    <row r="9274" spans="2:3">
      <c r="B9274" s="12"/>
      <c r="C9274" s="12"/>
    </row>
    <row r="9275" spans="2:3">
      <c r="B9275" s="12"/>
      <c r="C9275" s="12"/>
    </row>
    <row r="9276" spans="2:3">
      <c r="B9276" s="12"/>
      <c r="C9276" s="12"/>
    </row>
    <row r="9277" spans="2:3">
      <c r="B9277" s="12"/>
      <c r="C9277" s="12"/>
    </row>
    <row r="9278" spans="2:3">
      <c r="B9278" s="12"/>
      <c r="C9278" s="12"/>
    </row>
    <row r="9279" spans="2:3">
      <c r="B9279" s="12"/>
      <c r="C9279" s="12"/>
    </row>
    <row r="9280" spans="2:3">
      <c r="B9280" s="12"/>
      <c r="C9280" s="12"/>
    </row>
    <row r="9281" spans="2:3">
      <c r="B9281" s="12"/>
      <c r="C9281" s="12"/>
    </row>
    <row r="9282" spans="2:3">
      <c r="B9282" s="12"/>
      <c r="C9282" s="12"/>
    </row>
    <row r="9283" spans="2:3">
      <c r="B9283" s="12"/>
      <c r="C9283" s="12"/>
    </row>
    <row r="9284" spans="2:3">
      <c r="B9284" s="12"/>
      <c r="C9284" s="12"/>
    </row>
    <row r="9285" spans="2:3">
      <c r="B9285" s="12"/>
      <c r="C9285" s="12"/>
    </row>
    <row r="9286" spans="2:3">
      <c r="B9286" s="12"/>
      <c r="C9286" s="12"/>
    </row>
    <row r="9287" spans="2:3">
      <c r="B9287" s="12"/>
      <c r="C9287" s="12"/>
    </row>
    <row r="9288" spans="2:3">
      <c r="B9288" s="12"/>
      <c r="C9288" s="12"/>
    </row>
    <row r="9289" spans="2:3">
      <c r="B9289" s="12"/>
      <c r="C9289" s="12"/>
    </row>
    <row r="9290" spans="2:3">
      <c r="B9290" s="12"/>
      <c r="C9290" s="12"/>
    </row>
    <row r="9291" spans="2:3">
      <c r="B9291" s="12"/>
      <c r="C9291" s="12"/>
    </row>
    <row r="9292" spans="2:3">
      <c r="B9292" s="12"/>
      <c r="C9292" s="12"/>
    </row>
    <row r="9293" spans="2:3">
      <c r="B9293" s="12"/>
      <c r="C9293" s="12"/>
    </row>
    <row r="9294" spans="2:3">
      <c r="B9294" s="12"/>
      <c r="C9294" s="12"/>
    </row>
    <row r="9295" spans="2:3">
      <c r="B9295" s="12"/>
      <c r="C9295" s="12"/>
    </row>
    <row r="9296" spans="2:3">
      <c r="B9296" s="12"/>
      <c r="C9296" s="12"/>
    </row>
    <row r="9297" spans="2:3">
      <c r="B9297" s="12"/>
      <c r="C9297" s="12"/>
    </row>
    <row r="9298" spans="2:3">
      <c r="B9298" s="12"/>
      <c r="C9298" s="12"/>
    </row>
    <row r="9299" spans="2:3">
      <c r="B9299" s="12"/>
      <c r="C9299" s="12"/>
    </row>
    <row r="9300" spans="2:3">
      <c r="B9300" s="12"/>
      <c r="C9300" s="12"/>
    </row>
    <row r="9301" spans="2:3">
      <c r="B9301" s="12"/>
      <c r="C9301" s="12"/>
    </row>
    <row r="9302" spans="2:3">
      <c r="B9302" s="12"/>
      <c r="C9302" s="12"/>
    </row>
    <row r="9303" spans="2:3">
      <c r="B9303" s="12"/>
      <c r="C9303" s="12"/>
    </row>
    <row r="9304" spans="2:3">
      <c r="B9304" s="12"/>
      <c r="C9304" s="12"/>
    </row>
    <row r="9305" spans="2:3">
      <c r="B9305" s="12"/>
      <c r="C9305" s="12"/>
    </row>
    <row r="9306" spans="2:3">
      <c r="B9306" s="12"/>
      <c r="C9306" s="12"/>
    </row>
    <row r="9307" spans="2:3">
      <c r="B9307" s="12"/>
      <c r="C9307" s="12"/>
    </row>
    <row r="9308" spans="2:3">
      <c r="B9308" s="12"/>
      <c r="C9308" s="12"/>
    </row>
    <row r="9309" spans="2:3">
      <c r="B9309" s="12"/>
      <c r="C9309" s="12"/>
    </row>
    <row r="9310" spans="2:3">
      <c r="B9310" s="12"/>
      <c r="C9310" s="12"/>
    </row>
    <row r="9311" spans="2:3">
      <c r="B9311" s="12"/>
      <c r="C9311" s="12"/>
    </row>
    <row r="9312" spans="2:3">
      <c r="B9312" s="12"/>
      <c r="C9312" s="12"/>
    </row>
    <row r="9313" spans="2:3">
      <c r="B9313" s="12"/>
      <c r="C9313" s="12"/>
    </row>
    <row r="9314" spans="2:3">
      <c r="B9314" s="12"/>
      <c r="C9314" s="12"/>
    </row>
    <row r="9315" spans="2:3">
      <c r="B9315" s="12"/>
      <c r="C9315" s="12"/>
    </row>
    <row r="9316" spans="2:3">
      <c r="B9316" s="12"/>
      <c r="C9316" s="12"/>
    </row>
    <row r="9317" spans="2:3">
      <c r="B9317" s="12"/>
      <c r="C9317" s="12"/>
    </row>
    <row r="9318" spans="2:3">
      <c r="B9318" s="12"/>
      <c r="C9318" s="12"/>
    </row>
    <row r="9319" spans="2:3">
      <c r="B9319" s="12"/>
      <c r="C9319" s="12"/>
    </row>
    <row r="9320" spans="2:3">
      <c r="B9320" s="12"/>
      <c r="C9320" s="12"/>
    </row>
    <row r="9321" spans="2:3">
      <c r="B9321" s="12"/>
      <c r="C9321" s="12"/>
    </row>
    <row r="9322" spans="2:3">
      <c r="B9322" s="12"/>
      <c r="C9322" s="12"/>
    </row>
    <row r="9323" spans="2:3">
      <c r="B9323" s="12"/>
      <c r="C9323" s="12"/>
    </row>
    <row r="9324" spans="2:3">
      <c r="B9324" s="12"/>
      <c r="C9324" s="12"/>
    </row>
    <row r="9325" spans="2:3">
      <c r="B9325" s="12"/>
      <c r="C9325" s="12"/>
    </row>
    <row r="9326" spans="2:3">
      <c r="B9326" s="12"/>
      <c r="C9326" s="12"/>
    </row>
    <row r="9327" spans="2:3">
      <c r="B9327" s="12"/>
      <c r="C9327" s="12"/>
    </row>
    <row r="9328" spans="2:3">
      <c r="B9328" s="12"/>
      <c r="C9328" s="12"/>
    </row>
    <row r="9329" spans="2:3">
      <c r="B9329" s="12"/>
      <c r="C9329" s="12"/>
    </row>
    <row r="9330" spans="2:3">
      <c r="B9330" s="12"/>
      <c r="C9330" s="12"/>
    </row>
    <row r="9331" spans="2:3">
      <c r="B9331" s="12"/>
      <c r="C9331" s="12"/>
    </row>
    <row r="9332" spans="2:3">
      <c r="B9332" s="12"/>
      <c r="C9332" s="12"/>
    </row>
    <row r="9333" spans="2:3">
      <c r="B9333" s="12"/>
      <c r="C9333" s="12"/>
    </row>
    <row r="9334" spans="2:3">
      <c r="B9334" s="12"/>
      <c r="C9334" s="12"/>
    </row>
    <row r="9335" spans="2:3">
      <c r="B9335" s="12"/>
      <c r="C9335" s="12"/>
    </row>
    <row r="9336" spans="2:3">
      <c r="B9336" s="12"/>
      <c r="C9336" s="12"/>
    </row>
    <row r="9337" spans="2:3">
      <c r="B9337" s="12"/>
      <c r="C9337" s="12"/>
    </row>
    <row r="9338" spans="2:3">
      <c r="B9338" s="12"/>
      <c r="C9338" s="12"/>
    </row>
    <row r="9339" spans="2:3">
      <c r="B9339" s="12"/>
      <c r="C9339" s="12"/>
    </row>
    <row r="9340" spans="2:3">
      <c r="B9340" s="12"/>
      <c r="C9340" s="12"/>
    </row>
    <row r="9341" spans="2:3">
      <c r="B9341" s="12"/>
      <c r="C9341" s="12"/>
    </row>
    <row r="9342" spans="2:3">
      <c r="B9342" s="12"/>
      <c r="C9342" s="12"/>
    </row>
    <row r="9343" spans="2:3">
      <c r="B9343" s="12"/>
      <c r="C9343" s="12"/>
    </row>
    <row r="9344" spans="2:3">
      <c r="B9344" s="12"/>
      <c r="C9344" s="12"/>
    </row>
    <row r="9345" spans="2:3">
      <c r="B9345" s="12"/>
      <c r="C9345" s="12"/>
    </row>
    <row r="9346" spans="2:3">
      <c r="B9346" s="12"/>
      <c r="C9346" s="12"/>
    </row>
    <row r="9347" spans="2:3">
      <c r="B9347" s="12"/>
      <c r="C9347" s="12"/>
    </row>
    <row r="9348" spans="2:3">
      <c r="B9348" s="12"/>
      <c r="C9348" s="12"/>
    </row>
    <row r="9349" spans="2:3">
      <c r="B9349" s="12"/>
      <c r="C9349" s="12"/>
    </row>
    <row r="9350" spans="2:3">
      <c r="B9350" s="12"/>
      <c r="C9350" s="12"/>
    </row>
    <row r="9351" spans="2:3">
      <c r="B9351" s="12"/>
      <c r="C9351" s="12"/>
    </row>
    <row r="9352" spans="2:3">
      <c r="B9352" s="12"/>
      <c r="C9352" s="12"/>
    </row>
    <row r="9353" spans="2:3">
      <c r="B9353" s="12"/>
      <c r="C9353" s="12"/>
    </row>
    <row r="9354" spans="2:3">
      <c r="B9354" s="12"/>
      <c r="C9354" s="12"/>
    </row>
    <row r="9355" spans="2:3">
      <c r="B9355" s="12"/>
      <c r="C9355" s="12"/>
    </row>
    <row r="9356" spans="2:3">
      <c r="B9356" s="12"/>
      <c r="C9356" s="12"/>
    </row>
    <row r="9357" spans="2:3">
      <c r="B9357" s="12"/>
      <c r="C9357" s="12"/>
    </row>
    <row r="9358" spans="2:3">
      <c r="B9358" s="12"/>
      <c r="C9358" s="12"/>
    </row>
    <row r="9359" spans="2:3">
      <c r="B9359" s="12"/>
      <c r="C9359" s="12"/>
    </row>
    <row r="9360" spans="2:3">
      <c r="B9360" s="12"/>
      <c r="C9360" s="12"/>
    </row>
    <row r="9361" spans="2:3">
      <c r="B9361" s="12"/>
      <c r="C9361" s="12"/>
    </row>
    <row r="9362" spans="2:3">
      <c r="B9362" s="12"/>
      <c r="C9362" s="12"/>
    </row>
    <row r="9363" spans="2:3">
      <c r="B9363" s="12"/>
      <c r="C9363" s="12"/>
    </row>
    <row r="9364" spans="2:3">
      <c r="B9364" s="12"/>
      <c r="C9364" s="12"/>
    </row>
    <row r="9365" spans="2:3">
      <c r="B9365" s="12"/>
      <c r="C9365" s="12"/>
    </row>
    <row r="9366" spans="2:3">
      <c r="B9366" s="12"/>
      <c r="C9366" s="12"/>
    </row>
    <row r="9367" spans="2:3">
      <c r="B9367" s="12"/>
      <c r="C9367" s="12"/>
    </row>
    <row r="9368" spans="2:3">
      <c r="B9368" s="12"/>
      <c r="C9368" s="12"/>
    </row>
    <row r="9369" spans="2:3">
      <c r="B9369" s="12"/>
      <c r="C9369" s="12"/>
    </row>
    <row r="9370" spans="2:3">
      <c r="B9370" s="12"/>
      <c r="C9370" s="12"/>
    </row>
    <row r="9371" spans="2:3">
      <c r="B9371" s="12"/>
      <c r="C9371" s="12"/>
    </row>
    <row r="9372" spans="2:3">
      <c r="B9372" s="12"/>
      <c r="C9372" s="12"/>
    </row>
    <row r="9373" spans="2:3">
      <c r="B9373" s="12"/>
      <c r="C9373" s="12"/>
    </row>
    <row r="9374" spans="2:3">
      <c r="B9374" s="12"/>
      <c r="C9374" s="12"/>
    </row>
    <row r="9375" spans="2:3">
      <c r="B9375" s="12"/>
      <c r="C9375" s="12"/>
    </row>
    <row r="9376" spans="2:3">
      <c r="B9376" s="12"/>
      <c r="C9376" s="12"/>
    </row>
    <row r="9377" spans="2:3">
      <c r="B9377" s="12"/>
      <c r="C9377" s="12"/>
    </row>
    <row r="9378" spans="2:3">
      <c r="B9378" s="12"/>
      <c r="C9378" s="12"/>
    </row>
    <row r="9379" spans="2:3">
      <c r="B9379" s="12"/>
      <c r="C9379" s="12"/>
    </row>
    <row r="9380" spans="2:3">
      <c r="B9380" s="12"/>
      <c r="C9380" s="12"/>
    </row>
    <row r="9381" spans="2:3">
      <c r="B9381" s="12"/>
      <c r="C9381" s="12"/>
    </row>
    <row r="9382" spans="2:3">
      <c r="B9382" s="12"/>
      <c r="C9382" s="12"/>
    </row>
    <row r="9383" spans="2:3">
      <c r="B9383" s="12"/>
      <c r="C9383" s="12"/>
    </row>
    <row r="9384" spans="2:3">
      <c r="B9384" s="12"/>
      <c r="C9384" s="12"/>
    </row>
    <row r="9385" spans="2:3">
      <c r="B9385" s="12"/>
      <c r="C9385" s="12"/>
    </row>
    <row r="9386" spans="2:3">
      <c r="B9386" s="12"/>
      <c r="C9386" s="12"/>
    </row>
    <row r="9387" spans="2:3">
      <c r="B9387" s="12"/>
      <c r="C9387" s="12"/>
    </row>
    <row r="9388" spans="2:3">
      <c r="B9388" s="12"/>
      <c r="C9388" s="12"/>
    </row>
    <row r="9389" spans="2:3">
      <c r="B9389" s="12"/>
      <c r="C9389" s="12"/>
    </row>
    <row r="9390" spans="2:3">
      <c r="B9390" s="12"/>
      <c r="C9390" s="12"/>
    </row>
    <row r="9391" spans="2:3">
      <c r="B9391" s="12"/>
      <c r="C9391" s="12"/>
    </row>
    <row r="9392" spans="2:3">
      <c r="B9392" s="12"/>
      <c r="C9392" s="12"/>
    </row>
    <row r="9393" spans="2:3">
      <c r="B9393" s="12"/>
      <c r="C9393" s="12"/>
    </row>
    <row r="9394" spans="2:3">
      <c r="B9394" s="12"/>
      <c r="C9394" s="12"/>
    </row>
    <row r="9395" spans="2:3">
      <c r="B9395" s="12"/>
      <c r="C9395" s="12"/>
    </row>
    <row r="9396" spans="2:3">
      <c r="B9396" s="12"/>
      <c r="C9396" s="12"/>
    </row>
    <row r="9397" spans="2:3">
      <c r="B9397" s="12"/>
      <c r="C9397" s="12"/>
    </row>
    <row r="9398" spans="2:3">
      <c r="B9398" s="12"/>
      <c r="C9398" s="12"/>
    </row>
    <row r="9399" spans="2:3">
      <c r="B9399" s="12"/>
      <c r="C9399" s="12"/>
    </row>
    <row r="9400" spans="2:3">
      <c r="B9400" s="12"/>
      <c r="C9400" s="12"/>
    </row>
    <row r="9401" spans="2:3">
      <c r="B9401" s="12"/>
      <c r="C9401" s="12"/>
    </row>
    <row r="9402" spans="2:3">
      <c r="B9402" s="12"/>
      <c r="C9402" s="12"/>
    </row>
    <row r="9403" spans="2:3">
      <c r="B9403" s="12"/>
      <c r="C9403" s="12"/>
    </row>
    <row r="9404" spans="2:3">
      <c r="B9404" s="12"/>
      <c r="C9404" s="12"/>
    </row>
    <row r="9405" spans="2:3">
      <c r="B9405" s="12"/>
      <c r="C9405" s="12"/>
    </row>
    <row r="9406" spans="2:3">
      <c r="B9406" s="12"/>
      <c r="C9406" s="12"/>
    </row>
    <row r="9407" spans="2:3">
      <c r="B9407" s="12"/>
      <c r="C9407" s="12"/>
    </row>
    <row r="9408" spans="2:3">
      <c r="B9408" s="12"/>
      <c r="C9408" s="12"/>
    </row>
    <row r="9409" spans="2:3">
      <c r="B9409" s="12"/>
      <c r="C9409" s="12"/>
    </row>
    <row r="9410" spans="2:3">
      <c r="B9410" s="12"/>
      <c r="C9410" s="12"/>
    </row>
    <row r="9411" spans="2:3">
      <c r="B9411" s="12"/>
      <c r="C9411" s="12"/>
    </row>
    <row r="9412" spans="2:3">
      <c r="B9412" s="12"/>
      <c r="C9412" s="12"/>
    </row>
    <row r="9413" spans="2:3">
      <c r="B9413" s="12"/>
      <c r="C9413" s="12"/>
    </row>
    <row r="9414" spans="2:3">
      <c r="B9414" s="12"/>
      <c r="C9414" s="12"/>
    </row>
    <row r="9415" spans="2:3">
      <c r="B9415" s="12"/>
      <c r="C9415" s="12"/>
    </row>
    <row r="9416" spans="2:3">
      <c r="B9416" s="12"/>
      <c r="C9416" s="12"/>
    </row>
    <row r="9417" spans="2:3">
      <c r="B9417" s="12"/>
      <c r="C9417" s="12"/>
    </row>
    <row r="9418" spans="2:3">
      <c r="B9418" s="12"/>
      <c r="C9418" s="12"/>
    </row>
    <row r="9419" spans="2:3">
      <c r="B9419" s="12"/>
      <c r="C9419" s="12"/>
    </row>
    <row r="9420" spans="2:3">
      <c r="B9420" s="12"/>
      <c r="C9420" s="12"/>
    </row>
    <row r="9421" spans="2:3">
      <c r="B9421" s="12"/>
      <c r="C9421" s="12"/>
    </row>
    <row r="9422" spans="2:3">
      <c r="B9422" s="12"/>
      <c r="C9422" s="12"/>
    </row>
    <row r="9423" spans="2:3">
      <c r="B9423" s="12"/>
      <c r="C9423" s="12"/>
    </row>
    <row r="9424" spans="2:3">
      <c r="B9424" s="12"/>
      <c r="C9424" s="12"/>
    </row>
    <row r="9425" spans="2:3">
      <c r="B9425" s="12"/>
      <c r="C9425" s="12"/>
    </row>
    <row r="9426" spans="2:3">
      <c r="B9426" s="12"/>
      <c r="C9426" s="12"/>
    </row>
    <row r="9427" spans="2:3">
      <c r="B9427" s="12"/>
      <c r="C9427" s="12"/>
    </row>
    <row r="9428" spans="2:3">
      <c r="B9428" s="12"/>
      <c r="C9428" s="12"/>
    </row>
    <row r="9429" spans="2:3">
      <c r="B9429" s="12"/>
      <c r="C9429" s="12"/>
    </row>
    <row r="9430" spans="2:3">
      <c r="B9430" s="12"/>
      <c r="C9430" s="12"/>
    </row>
    <row r="9431" spans="2:3">
      <c r="B9431" s="12"/>
      <c r="C9431" s="12"/>
    </row>
    <row r="9432" spans="2:3">
      <c r="B9432" s="12"/>
      <c r="C9432" s="12"/>
    </row>
    <row r="9433" spans="2:3">
      <c r="B9433" s="12"/>
      <c r="C9433" s="12"/>
    </row>
    <row r="9434" spans="2:3">
      <c r="B9434" s="12"/>
      <c r="C9434" s="12"/>
    </row>
    <row r="9435" spans="2:3">
      <c r="B9435" s="12"/>
      <c r="C9435" s="12"/>
    </row>
    <row r="9436" spans="2:3">
      <c r="B9436" s="12"/>
      <c r="C9436" s="12"/>
    </row>
    <row r="9437" spans="2:3">
      <c r="B9437" s="12"/>
      <c r="C9437" s="12"/>
    </row>
    <row r="9438" spans="2:3">
      <c r="B9438" s="12"/>
      <c r="C9438" s="12"/>
    </row>
    <row r="9439" spans="2:3">
      <c r="B9439" s="12"/>
      <c r="C9439" s="12"/>
    </row>
    <row r="9440" spans="2:3">
      <c r="B9440" s="12"/>
      <c r="C9440" s="12"/>
    </row>
    <row r="9441" spans="2:3">
      <c r="B9441" s="12"/>
      <c r="C9441" s="12"/>
    </row>
    <row r="9442" spans="2:3">
      <c r="B9442" s="12"/>
      <c r="C9442" s="12"/>
    </row>
    <row r="9443" spans="2:3">
      <c r="B9443" s="12"/>
      <c r="C9443" s="12"/>
    </row>
    <row r="9444" spans="2:3">
      <c r="B9444" s="12"/>
      <c r="C9444" s="12"/>
    </row>
    <row r="9445" spans="2:3">
      <c r="B9445" s="12"/>
      <c r="C9445" s="12"/>
    </row>
    <row r="9446" spans="2:3">
      <c r="B9446" s="12"/>
      <c r="C9446" s="12"/>
    </row>
    <row r="9447" spans="2:3">
      <c r="B9447" s="12"/>
      <c r="C9447" s="12"/>
    </row>
    <row r="9448" spans="2:3">
      <c r="B9448" s="12"/>
      <c r="C9448" s="12"/>
    </row>
    <row r="9449" spans="2:3">
      <c r="B9449" s="12"/>
      <c r="C9449" s="12"/>
    </row>
    <row r="9450" spans="2:3">
      <c r="B9450" s="12"/>
      <c r="C9450" s="12"/>
    </row>
    <row r="9451" spans="2:3">
      <c r="B9451" s="12"/>
      <c r="C9451" s="12"/>
    </row>
    <row r="9452" spans="2:3">
      <c r="B9452" s="12"/>
      <c r="C9452" s="12"/>
    </row>
    <row r="9453" spans="2:3">
      <c r="B9453" s="12"/>
      <c r="C9453" s="12"/>
    </row>
    <row r="9454" spans="2:3">
      <c r="B9454" s="12"/>
      <c r="C9454" s="12"/>
    </row>
    <row r="9455" spans="2:3">
      <c r="B9455" s="12"/>
      <c r="C9455" s="12"/>
    </row>
    <row r="9456" spans="2:3">
      <c r="B9456" s="12"/>
      <c r="C9456" s="12"/>
    </row>
    <row r="9457" spans="2:3">
      <c r="B9457" s="12"/>
      <c r="C9457" s="12"/>
    </row>
    <row r="9458" spans="2:3">
      <c r="B9458" s="12"/>
      <c r="C9458" s="12"/>
    </row>
    <row r="9459" spans="2:3">
      <c r="B9459" s="12"/>
      <c r="C9459" s="12"/>
    </row>
    <row r="9460" spans="2:3">
      <c r="B9460" s="12"/>
      <c r="C9460" s="12"/>
    </row>
    <row r="9461" spans="2:3">
      <c r="B9461" s="12"/>
      <c r="C9461" s="12"/>
    </row>
    <row r="9462" spans="2:3">
      <c r="B9462" s="12"/>
      <c r="C9462" s="12"/>
    </row>
    <row r="9463" spans="2:3">
      <c r="B9463" s="12"/>
      <c r="C9463" s="12"/>
    </row>
    <row r="9464" spans="2:3">
      <c r="B9464" s="12"/>
      <c r="C9464" s="12"/>
    </row>
    <row r="9465" spans="2:3">
      <c r="B9465" s="12"/>
      <c r="C9465" s="12"/>
    </row>
    <row r="9466" spans="2:3">
      <c r="B9466" s="12"/>
      <c r="C9466" s="12"/>
    </row>
    <row r="9467" spans="2:3">
      <c r="B9467" s="12"/>
      <c r="C9467" s="12"/>
    </row>
    <row r="9468" spans="2:3">
      <c r="B9468" s="12"/>
      <c r="C9468" s="12"/>
    </row>
    <row r="9469" spans="2:3">
      <c r="B9469" s="12"/>
      <c r="C9469" s="12"/>
    </row>
    <row r="9470" spans="2:3">
      <c r="B9470" s="12"/>
      <c r="C9470" s="12"/>
    </row>
    <row r="9471" spans="2:3">
      <c r="B9471" s="12"/>
      <c r="C9471" s="12"/>
    </row>
    <row r="9472" spans="2:3">
      <c r="B9472" s="12"/>
      <c r="C9472" s="12"/>
    </row>
    <row r="9473" spans="2:3">
      <c r="B9473" s="12"/>
      <c r="C9473" s="12"/>
    </row>
    <row r="9474" spans="2:3">
      <c r="B9474" s="12"/>
      <c r="C9474" s="12"/>
    </row>
    <row r="9475" spans="2:3">
      <c r="B9475" s="12"/>
      <c r="C9475" s="12"/>
    </row>
    <row r="9476" spans="2:3">
      <c r="B9476" s="12"/>
      <c r="C9476" s="12"/>
    </row>
    <row r="9477" spans="2:3">
      <c r="B9477" s="12"/>
      <c r="C9477" s="12"/>
    </row>
    <row r="9478" spans="2:3">
      <c r="B9478" s="12"/>
      <c r="C9478" s="12"/>
    </row>
    <row r="9479" spans="2:3">
      <c r="B9479" s="12"/>
      <c r="C9479" s="12"/>
    </row>
    <row r="9480" spans="2:3">
      <c r="B9480" s="12"/>
      <c r="C9480" s="12"/>
    </row>
    <row r="9481" spans="2:3">
      <c r="B9481" s="12"/>
      <c r="C9481" s="12"/>
    </row>
    <row r="9482" spans="2:3">
      <c r="B9482" s="12"/>
      <c r="C9482" s="12"/>
    </row>
    <row r="9483" spans="2:3">
      <c r="B9483" s="12"/>
      <c r="C9483" s="12"/>
    </row>
    <row r="9484" spans="2:3">
      <c r="B9484" s="12"/>
      <c r="C9484" s="12"/>
    </row>
    <row r="9485" spans="2:3">
      <c r="B9485" s="12"/>
      <c r="C9485" s="12"/>
    </row>
    <row r="9486" spans="2:3">
      <c r="B9486" s="12"/>
      <c r="C9486" s="12"/>
    </row>
    <row r="9487" spans="2:3">
      <c r="B9487" s="12"/>
      <c r="C9487" s="12"/>
    </row>
    <row r="9488" spans="2:3">
      <c r="B9488" s="12"/>
      <c r="C9488" s="12"/>
    </row>
    <row r="9489" spans="2:3">
      <c r="B9489" s="12"/>
      <c r="C9489" s="12"/>
    </row>
    <row r="9490" spans="2:3">
      <c r="B9490" s="12"/>
      <c r="C9490" s="12"/>
    </row>
    <row r="9491" spans="2:3">
      <c r="B9491" s="12"/>
      <c r="C9491" s="12"/>
    </row>
    <row r="9492" spans="2:3">
      <c r="B9492" s="12"/>
      <c r="C9492" s="12"/>
    </row>
    <row r="9493" spans="2:3">
      <c r="B9493" s="12"/>
      <c r="C9493" s="12"/>
    </row>
    <row r="9494" spans="2:3">
      <c r="B9494" s="12"/>
      <c r="C9494" s="12"/>
    </row>
    <row r="9495" spans="2:3">
      <c r="B9495" s="12"/>
      <c r="C9495" s="12"/>
    </row>
    <row r="9496" spans="2:3">
      <c r="B9496" s="12"/>
      <c r="C9496" s="12"/>
    </row>
    <row r="9497" spans="2:3">
      <c r="B9497" s="12"/>
      <c r="C9497" s="12"/>
    </row>
    <row r="9498" spans="2:3">
      <c r="B9498" s="12"/>
      <c r="C9498" s="12"/>
    </row>
    <row r="9499" spans="2:3">
      <c r="B9499" s="12"/>
      <c r="C9499" s="12"/>
    </row>
    <row r="9500" spans="2:3">
      <c r="B9500" s="12"/>
      <c r="C9500" s="12"/>
    </row>
    <row r="9501" spans="2:3">
      <c r="B9501" s="12"/>
      <c r="C9501" s="12"/>
    </row>
    <row r="9502" spans="2:3">
      <c r="B9502" s="12"/>
      <c r="C9502" s="12"/>
    </row>
    <row r="9503" spans="2:3">
      <c r="B9503" s="12"/>
      <c r="C9503" s="12"/>
    </row>
    <row r="9504" spans="2:3">
      <c r="B9504" s="12"/>
      <c r="C9504" s="12"/>
    </row>
    <row r="9505" spans="2:3">
      <c r="B9505" s="12"/>
      <c r="C9505" s="12"/>
    </row>
    <row r="9506" spans="2:3">
      <c r="B9506" s="12"/>
      <c r="C9506" s="12"/>
    </row>
    <row r="9507" spans="2:3">
      <c r="B9507" s="12"/>
      <c r="C9507" s="12"/>
    </row>
    <row r="9508" spans="2:3">
      <c r="B9508" s="12"/>
      <c r="C9508" s="12"/>
    </row>
    <row r="9509" spans="2:3">
      <c r="B9509" s="12"/>
      <c r="C9509" s="12"/>
    </row>
    <row r="9510" spans="2:3">
      <c r="B9510" s="12"/>
      <c r="C9510" s="12"/>
    </row>
    <row r="9511" spans="2:3">
      <c r="B9511" s="12"/>
      <c r="C9511" s="12"/>
    </row>
    <row r="9512" spans="2:3">
      <c r="B9512" s="12"/>
      <c r="C9512" s="12"/>
    </row>
    <row r="9513" spans="2:3">
      <c r="B9513" s="12"/>
      <c r="C9513" s="12"/>
    </row>
    <row r="9514" spans="2:3">
      <c r="B9514" s="12"/>
      <c r="C9514" s="12"/>
    </row>
    <row r="9515" spans="2:3">
      <c r="B9515" s="12"/>
      <c r="C9515" s="12"/>
    </row>
    <row r="9516" spans="2:3">
      <c r="B9516" s="12"/>
      <c r="C9516" s="12"/>
    </row>
    <row r="9517" spans="2:3">
      <c r="B9517" s="12"/>
      <c r="C9517" s="12"/>
    </row>
    <row r="9518" spans="2:3">
      <c r="B9518" s="12"/>
      <c r="C9518" s="12"/>
    </row>
    <row r="9519" spans="2:3">
      <c r="B9519" s="12"/>
      <c r="C9519" s="12"/>
    </row>
    <row r="9520" spans="2:3">
      <c r="B9520" s="12"/>
      <c r="C9520" s="12"/>
    </row>
    <row r="9521" spans="2:3">
      <c r="B9521" s="12"/>
      <c r="C9521" s="12"/>
    </row>
    <row r="9522" spans="2:3">
      <c r="B9522" s="12"/>
      <c r="C9522" s="12"/>
    </row>
    <row r="9523" spans="2:3">
      <c r="B9523" s="12"/>
      <c r="C9523" s="12"/>
    </row>
    <row r="9524" spans="2:3">
      <c r="B9524" s="12"/>
      <c r="C9524" s="12"/>
    </row>
    <row r="9525" spans="2:3">
      <c r="B9525" s="12"/>
      <c r="C9525" s="12"/>
    </row>
    <row r="9526" spans="2:3">
      <c r="B9526" s="12"/>
      <c r="C9526" s="12"/>
    </row>
    <row r="9527" spans="2:3">
      <c r="B9527" s="12"/>
      <c r="C9527" s="12"/>
    </row>
    <row r="9528" spans="2:3">
      <c r="B9528" s="12"/>
      <c r="C9528" s="12"/>
    </row>
    <row r="9529" spans="2:3">
      <c r="B9529" s="12"/>
      <c r="C9529" s="12"/>
    </row>
    <row r="9530" spans="2:3">
      <c r="B9530" s="12"/>
      <c r="C9530" s="12"/>
    </row>
    <row r="9531" spans="2:3">
      <c r="B9531" s="12"/>
      <c r="C9531" s="12"/>
    </row>
    <row r="9532" spans="2:3">
      <c r="B9532" s="12"/>
      <c r="C9532" s="12"/>
    </row>
    <row r="9533" spans="2:3">
      <c r="B9533" s="12"/>
      <c r="C9533" s="12"/>
    </row>
    <row r="9534" spans="2:3">
      <c r="B9534" s="12"/>
      <c r="C9534" s="12"/>
    </row>
    <row r="9535" spans="2:3">
      <c r="B9535" s="12"/>
      <c r="C9535" s="12"/>
    </row>
    <row r="9536" spans="2:3">
      <c r="B9536" s="12"/>
      <c r="C9536" s="12"/>
    </row>
    <row r="9537" spans="2:3">
      <c r="B9537" s="12"/>
      <c r="C9537" s="12"/>
    </row>
    <row r="9538" spans="2:3">
      <c r="B9538" s="12"/>
      <c r="C9538" s="12"/>
    </row>
    <row r="9539" spans="2:3">
      <c r="B9539" s="12"/>
      <c r="C9539" s="12"/>
    </row>
    <row r="9540" spans="2:3">
      <c r="B9540" s="12"/>
      <c r="C9540" s="12"/>
    </row>
    <row r="9541" spans="2:3">
      <c r="B9541" s="12"/>
      <c r="C9541" s="12"/>
    </row>
    <row r="9542" spans="2:3">
      <c r="B9542" s="12"/>
      <c r="C9542" s="12"/>
    </row>
    <row r="9543" spans="2:3">
      <c r="B9543" s="12"/>
      <c r="C9543" s="12"/>
    </row>
    <row r="9544" spans="2:3">
      <c r="B9544" s="12"/>
      <c r="C9544" s="12"/>
    </row>
    <row r="9545" spans="2:3">
      <c r="B9545" s="12"/>
      <c r="C9545" s="12"/>
    </row>
    <row r="9546" spans="2:3">
      <c r="B9546" s="12"/>
      <c r="C9546" s="12"/>
    </row>
    <row r="9547" spans="2:3">
      <c r="B9547" s="12"/>
      <c r="C9547" s="12"/>
    </row>
    <row r="9548" spans="2:3">
      <c r="B9548" s="12"/>
      <c r="C9548" s="12"/>
    </row>
    <row r="9549" spans="2:3">
      <c r="B9549" s="12"/>
      <c r="C9549" s="12"/>
    </row>
    <row r="9550" spans="2:3">
      <c r="B9550" s="12"/>
      <c r="C9550" s="12"/>
    </row>
    <row r="9551" spans="2:3">
      <c r="B9551" s="12"/>
      <c r="C9551" s="12"/>
    </row>
    <row r="9552" spans="2:3">
      <c r="B9552" s="12"/>
      <c r="C9552" s="12"/>
    </row>
    <row r="9553" spans="2:3">
      <c r="B9553" s="12"/>
      <c r="C9553" s="12"/>
    </row>
    <row r="9554" spans="2:3">
      <c r="B9554" s="12"/>
      <c r="C9554" s="12"/>
    </row>
    <row r="9555" spans="2:3">
      <c r="B9555" s="12"/>
      <c r="C9555" s="12"/>
    </row>
    <row r="9556" spans="2:3">
      <c r="B9556" s="12"/>
      <c r="C9556" s="12"/>
    </row>
    <row r="9557" spans="2:3">
      <c r="B9557" s="12"/>
      <c r="C9557" s="12"/>
    </row>
    <row r="9558" spans="2:3">
      <c r="B9558" s="12"/>
      <c r="C9558" s="12"/>
    </row>
    <row r="9559" spans="2:3">
      <c r="B9559" s="12"/>
      <c r="C9559" s="12"/>
    </row>
    <row r="9560" spans="2:3">
      <c r="B9560" s="12"/>
      <c r="C9560" s="12"/>
    </row>
    <row r="9561" spans="2:3">
      <c r="B9561" s="12"/>
      <c r="C9561" s="12"/>
    </row>
    <row r="9562" spans="2:3">
      <c r="B9562" s="12"/>
      <c r="C9562" s="12"/>
    </row>
    <row r="9563" spans="2:3">
      <c r="B9563" s="12"/>
      <c r="C9563" s="12"/>
    </row>
    <row r="9564" spans="2:3">
      <c r="B9564" s="12"/>
      <c r="C9564" s="12"/>
    </row>
    <row r="9565" spans="2:3">
      <c r="B9565" s="12"/>
      <c r="C9565" s="12"/>
    </row>
    <row r="9566" spans="2:3">
      <c r="B9566" s="12"/>
      <c r="C9566" s="12"/>
    </row>
    <row r="9567" spans="2:3">
      <c r="B9567" s="12"/>
      <c r="C9567" s="12"/>
    </row>
    <row r="9568" spans="2:3">
      <c r="B9568" s="12"/>
      <c r="C9568" s="12"/>
    </row>
    <row r="9569" spans="2:3">
      <c r="B9569" s="12"/>
      <c r="C9569" s="12"/>
    </row>
    <row r="9570" spans="2:3">
      <c r="B9570" s="12"/>
      <c r="C9570" s="12"/>
    </row>
    <row r="9571" spans="2:3">
      <c r="B9571" s="12"/>
      <c r="C9571" s="12"/>
    </row>
    <row r="9572" spans="2:3">
      <c r="B9572" s="12"/>
      <c r="C9572" s="12"/>
    </row>
    <row r="9573" spans="2:3">
      <c r="B9573" s="12"/>
      <c r="C9573" s="12"/>
    </row>
    <row r="9574" spans="2:3">
      <c r="B9574" s="12"/>
      <c r="C9574" s="12"/>
    </row>
    <row r="9575" spans="2:3">
      <c r="B9575" s="12"/>
      <c r="C9575" s="12"/>
    </row>
    <row r="9576" spans="2:3">
      <c r="B9576" s="12"/>
      <c r="C9576" s="12"/>
    </row>
    <row r="9577" spans="2:3">
      <c r="B9577" s="12"/>
      <c r="C9577" s="12"/>
    </row>
    <row r="9578" spans="2:3">
      <c r="B9578" s="12"/>
      <c r="C9578" s="12"/>
    </row>
    <row r="9579" spans="2:3">
      <c r="B9579" s="12"/>
      <c r="C9579" s="12"/>
    </row>
    <row r="9580" spans="2:3">
      <c r="B9580" s="12"/>
      <c r="C9580" s="12"/>
    </row>
    <row r="9581" spans="2:3">
      <c r="B9581" s="12"/>
      <c r="C9581" s="12"/>
    </row>
    <row r="9582" spans="2:3">
      <c r="B9582" s="12"/>
      <c r="C9582" s="12"/>
    </row>
    <row r="9583" spans="2:3">
      <c r="B9583" s="12"/>
      <c r="C9583" s="12"/>
    </row>
    <row r="9584" spans="2:3">
      <c r="B9584" s="12"/>
      <c r="C9584" s="12"/>
    </row>
    <row r="9585" spans="2:3">
      <c r="B9585" s="12"/>
      <c r="C9585" s="12"/>
    </row>
    <row r="9586" spans="2:3">
      <c r="B9586" s="12"/>
      <c r="C9586" s="12"/>
    </row>
    <row r="9587" spans="2:3">
      <c r="B9587" s="12"/>
      <c r="C9587" s="12"/>
    </row>
    <row r="9588" spans="2:3">
      <c r="B9588" s="12"/>
      <c r="C9588" s="12"/>
    </row>
    <row r="9589" spans="2:3">
      <c r="B9589" s="12"/>
      <c r="C9589" s="12"/>
    </row>
    <row r="9590" spans="2:3">
      <c r="B9590" s="12"/>
      <c r="C9590" s="12"/>
    </row>
    <row r="9591" spans="2:3">
      <c r="B9591" s="12"/>
      <c r="C9591" s="12"/>
    </row>
    <row r="9592" spans="2:3">
      <c r="B9592" s="12"/>
      <c r="C9592" s="12"/>
    </row>
    <row r="9593" spans="2:3">
      <c r="B9593" s="12"/>
      <c r="C9593" s="12"/>
    </row>
    <row r="9594" spans="2:3">
      <c r="B9594" s="12"/>
      <c r="C9594" s="12"/>
    </row>
    <row r="9595" spans="2:3">
      <c r="B9595" s="12"/>
      <c r="C9595" s="12"/>
    </row>
    <row r="9596" spans="2:3">
      <c r="B9596" s="12"/>
      <c r="C9596" s="12"/>
    </row>
    <row r="9597" spans="2:3">
      <c r="B9597" s="12"/>
      <c r="C9597" s="12"/>
    </row>
    <row r="9598" spans="2:3">
      <c r="B9598" s="12"/>
      <c r="C9598" s="12"/>
    </row>
    <row r="9599" spans="2:3">
      <c r="B9599" s="12"/>
      <c r="C9599" s="12"/>
    </row>
    <row r="9600" spans="2:3">
      <c r="B9600" s="12"/>
      <c r="C9600" s="12"/>
    </row>
    <row r="9601" spans="2:3">
      <c r="B9601" s="12"/>
      <c r="C9601" s="12"/>
    </row>
    <row r="9602" spans="2:3">
      <c r="B9602" s="12"/>
      <c r="C9602" s="12"/>
    </row>
    <row r="9603" spans="2:3">
      <c r="B9603" s="12"/>
      <c r="C9603" s="12"/>
    </row>
    <row r="9604" spans="2:3">
      <c r="B9604" s="12"/>
      <c r="C9604" s="12"/>
    </row>
    <row r="9605" spans="2:3">
      <c r="B9605" s="12"/>
      <c r="C9605" s="12"/>
    </row>
    <row r="9606" spans="2:3">
      <c r="B9606" s="12"/>
      <c r="C9606" s="12"/>
    </row>
    <row r="9607" spans="2:3">
      <c r="B9607" s="12"/>
      <c r="C9607" s="12"/>
    </row>
    <row r="9608" spans="2:3">
      <c r="B9608" s="12"/>
      <c r="C9608" s="12"/>
    </row>
    <row r="9609" spans="2:3">
      <c r="B9609" s="12"/>
      <c r="C9609" s="12"/>
    </row>
    <row r="9610" spans="2:3">
      <c r="B9610" s="12"/>
      <c r="C9610" s="12"/>
    </row>
    <row r="9611" spans="2:3">
      <c r="B9611" s="12"/>
      <c r="C9611" s="12"/>
    </row>
    <row r="9612" spans="2:3">
      <c r="B9612" s="12"/>
      <c r="C9612" s="12"/>
    </row>
    <row r="9613" spans="2:3">
      <c r="B9613" s="12"/>
      <c r="C9613" s="12"/>
    </row>
    <row r="9614" spans="2:3">
      <c r="B9614" s="12"/>
      <c r="C9614" s="12"/>
    </row>
    <row r="9615" spans="2:3">
      <c r="B9615" s="12"/>
      <c r="C9615" s="12"/>
    </row>
    <row r="9616" spans="2:3">
      <c r="B9616" s="12"/>
      <c r="C9616" s="12"/>
    </row>
    <row r="9617" spans="2:3">
      <c r="B9617" s="12"/>
      <c r="C9617" s="12"/>
    </row>
    <row r="9618" spans="2:3">
      <c r="B9618" s="12"/>
      <c r="C9618" s="12"/>
    </row>
    <row r="9619" spans="2:3">
      <c r="B9619" s="12"/>
      <c r="C9619" s="12"/>
    </row>
    <row r="9620" spans="2:3">
      <c r="B9620" s="12"/>
      <c r="C9620" s="12"/>
    </row>
    <row r="9621" spans="2:3">
      <c r="B9621" s="12"/>
      <c r="C9621" s="12"/>
    </row>
    <row r="9622" spans="2:3">
      <c r="B9622" s="12"/>
      <c r="C9622" s="12"/>
    </row>
    <row r="9623" spans="2:3">
      <c r="B9623" s="12"/>
      <c r="C9623" s="12"/>
    </row>
    <row r="9624" spans="2:3">
      <c r="B9624" s="12"/>
      <c r="C9624" s="12"/>
    </row>
    <row r="9625" spans="2:3">
      <c r="B9625" s="12"/>
      <c r="C9625" s="12"/>
    </row>
    <row r="9626" spans="2:3">
      <c r="B9626" s="12"/>
      <c r="C9626" s="12"/>
    </row>
    <row r="9627" spans="2:3">
      <c r="B9627" s="12"/>
      <c r="C9627" s="12"/>
    </row>
    <row r="9628" spans="2:3">
      <c r="B9628" s="12"/>
      <c r="C9628" s="12"/>
    </row>
    <row r="9629" spans="2:3">
      <c r="B9629" s="12"/>
      <c r="C9629" s="12"/>
    </row>
    <row r="9630" spans="2:3">
      <c r="B9630" s="12"/>
      <c r="C9630" s="12"/>
    </row>
    <row r="9631" spans="2:3">
      <c r="B9631" s="12"/>
      <c r="C9631" s="12"/>
    </row>
    <row r="9632" spans="2:3">
      <c r="B9632" s="12"/>
      <c r="C9632" s="12"/>
    </row>
    <row r="9633" spans="2:3">
      <c r="B9633" s="12"/>
      <c r="C9633" s="12"/>
    </row>
    <row r="9634" spans="2:3">
      <c r="B9634" s="12"/>
      <c r="C9634" s="12"/>
    </row>
    <row r="9635" spans="2:3">
      <c r="B9635" s="12"/>
      <c r="C9635" s="12"/>
    </row>
    <row r="9636" spans="2:3">
      <c r="B9636" s="12"/>
      <c r="C9636" s="12"/>
    </row>
    <row r="9637" spans="2:3">
      <c r="B9637" s="12"/>
      <c r="C9637" s="12"/>
    </row>
    <row r="9638" spans="2:3">
      <c r="B9638" s="12"/>
      <c r="C9638" s="12"/>
    </row>
    <row r="9639" spans="2:3">
      <c r="B9639" s="12"/>
      <c r="C9639" s="12"/>
    </row>
    <row r="9640" spans="2:3">
      <c r="B9640" s="12"/>
      <c r="C9640" s="12"/>
    </row>
    <row r="9641" spans="2:3">
      <c r="B9641" s="12"/>
      <c r="C9641" s="12"/>
    </row>
    <row r="9642" spans="2:3">
      <c r="B9642" s="12"/>
      <c r="C9642" s="12"/>
    </row>
    <row r="9643" spans="2:3">
      <c r="B9643" s="12"/>
      <c r="C9643" s="12"/>
    </row>
    <row r="9644" spans="2:3">
      <c r="B9644" s="12"/>
      <c r="C9644" s="12"/>
    </row>
    <row r="9645" spans="2:3">
      <c r="B9645" s="12"/>
      <c r="C9645" s="12"/>
    </row>
    <row r="9646" spans="2:3">
      <c r="B9646" s="12"/>
      <c r="C9646" s="12"/>
    </row>
    <row r="9647" spans="2:3">
      <c r="B9647" s="12"/>
      <c r="C9647" s="12"/>
    </row>
    <row r="9648" spans="2:3">
      <c r="B9648" s="12"/>
      <c r="C9648" s="12"/>
    </row>
    <row r="9649" spans="2:3">
      <c r="B9649" s="12"/>
      <c r="C9649" s="12"/>
    </row>
    <row r="9650" spans="2:3">
      <c r="B9650" s="12"/>
      <c r="C9650" s="12"/>
    </row>
    <row r="9651" spans="2:3">
      <c r="B9651" s="12"/>
      <c r="C9651" s="12"/>
    </row>
    <row r="9652" spans="2:3">
      <c r="B9652" s="12"/>
      <c r="C9652" s="12"/>
    </row>
    <row r="9653" spans="2:3">
      <c r="B9653" s="12"/>
      <c r="C9653" s="12"/>
    </row>
    <row r="9654" spans="2:3">
      <c r="B9654" s="12"/>
      <c r="C9654" s="12"/>
    </row>
    <row r="9655" spans="2:3">
      <c r="B9655" s="12"/>
      <c r="C9655" s="12"/>
    </row>
    <row r="9656" spans="2:3">
      <c r="B9656" s="12"/>
      <c r="C9656" s="12"/>
    </row>
    <row r="9657" spans="2:3">
      <c r="B9657" s="12"/>
      <c r="C9657" s="12"/>
    </row>
    <row r="9658" spans="2:3">
      <c r="B9658" s="12"/>
      <c r="C9658" s="12"/>
    </row>
    <row r="9659" spans="2:3">
      <c r="B9659" s="12"/>
      <c r="C9659" s="12"/>
    </row>
    <row r="9660" spans="2:3">
      <c r="B9660" s="12"/>
      <c r="C9660" s="12"/>
    </row>
    <row r="9661" spans="2:3">
      <c r="B9661" s="12"/>
      <c r="C9661" s="12"/>
    </row>
    <row r="9662" spans="2:3">
      <c r="B9662" s="12"/>
      <c r="C9662" s="12"/>
    </row>
    <row r="9663" spans="2:3">
      <c r="B9663" s="12"/>
      <c r="C9663" s="12"/>
    </row>
    <row r="9664" spans="2:3">
      <c r="B9664" s="12"/>
      <c r="C9664" s="12"/>
    </row>
    <row r="9665" spans="2:3">
      <c r="B9665" s="12"/>
      <c r="C9665" s="12"/>
    </row>
    <row r="9666" spans="2:3">
      <c r="B9666" s="12"/>
      <c r="C9666" s="12"/>
    </row>
    <row r="9667" spans="2:3">
      <c r="B9667" s="12"/>
      <c r="C9667" s="12"/>
    </row>
    <row r="9668" spans="2:3">
      <c r="B9668" s="12"/>
      <c r="C9668" s="12"/>
    </row>
    <row r="9669" spans="2:3">
      <c r="B9669" s="12"/>
      <c r="C9669" s="12"/>
    </row>
    <row r="9670" spans="2:3">
      <c r="B9670" s="12"/>
      <c r="C9670" s="12"/>
    </row>
    <row r="9671" spans="2:3">
      <c r="B9671" s="12"/>
      <c r="C9671" s="12"/>
    </row>
    <row r="9672" spans="2:3">
      <c r="B9672" s="12"/>
      <c r="C9672" s="12"/>
    </row>
    <row r="9673" spans="2:3">
      <c r="B9673" s="12"/>
      <c r="C9673" s="12"/>
    </row>
    <row r="9674" spans="2:3">
      <c r="B9674" s="12"/>
      <c r="C9674" s="12"/>
    </row>
    <row r="9675" spans="2:3">
      <c r="B9675" s="12"/>
      <c r="C9675" s="12"/>
    </row>
    <row r="9676" spans="2:3">
      <c r="B9676" s="12"/>
      <c r="C9676" s="12"/>
    </row>
    <row r="9677" spans="2:3">
      <c r="B9677" s="12"/>
      <c r="C9677" s="12"/>
    </row>
    <row r="9678" spans="2:3">
      <c r="B9678" s="12"/>
      <c r="C9678" s="12"/>
    </row>
    <row r="9679" spans="2:3">
      <c r="B9679" s="12"/>
      <c r="C9679" s="12"/>
    </row>
    <row r="9680" spans="2:3">
      <c r="B9680" s="12"/>
      <c r="C9680" s="12"/>
    </row>
    <row r="9681" spans="2:3">
      <c r="B9681" s="12"/>
      <c r="C9681" s="12"/>
    </row>
    <row r="9682" spans="2:3">
      <c r="B9682" s="12"/>
      <c r="C9682" s="12"/>
    </row>
    <row r="9683" spans="2:3">
      <c r="B9683" s="12"/>
      <c r="C9683" s="12"/>
    </row>
    <row r="9684" spans="2:3">
      <c r="B9684" s="12"/>
      <c r="C9684" s="12"/>
    </row>
    <row r="9685" spans="2:3">
      <c r="B9685" s="12"/>
      <c r="C9685" s="12"/>
    </row>
    <row r="9686" spans="2:3">
      <c r="B9686" s="12"/>
      <c r="C9686" s="12"/>
    </row>
    <row r="9687" spans="2:3">
      <c r="B9687" s="12"/>
      <c r="C9687" s="12"/>
    </row>
    <row r="9688" spans="2:3">
      <c r="B9688" s="12"/>
      <c r="C9688" s="12"/>
    </row>
    <row r="9689" spans="2:3">
      <c r="B9689" s="12"/>
      <c r="C9689" s="12"/>
    </row>
    <row r="9690" spans="2:3">
      <c r="B9690" s="12"/>
      <c r="C9690" s="12"/>
    </row>
    <row r="9691" spans="2:3">
      <c r="B9691" s="12"/>
      <c r="C9691" s="12"/>
    </row>
    <row r="9692" spans="2:3">
      <c r="B9692" s="12"/>
      <c r="C9692" s="12"/>
    </row>
    <row r="9693" spans="2:3">
      <c r="B9693" s="12"/>
      <c r="C9693" s="12"/>
    </row>
    <row r="9694" spans="2:3">
      <c r="B9694" s="12"/>
      <c r="C9694" s="12"/>
    </row>
    <row r="9695" spans="2:3">
      <c r="B9695" s="12"/>
      <c r="C9695" s="12"/>
    </row>
    <row r="9696" spans="2:3">
      <c r="B9696" s="12"/>
      <c r="C9696" s="12"/>
    </row>
    <row r="9697" spans="2:3">
      <c r="B9697" s="12"/>
      <c r="C9697" s="12"/>
    </row>
    <row r="9698" spans="2:3">
      <c r="B9698" s="12"/>
      <c r="C9698" s="12"/>
    </row>
    <row r="9699" spans="2:3">
      <c r="B9699" s="12"/>
      <c r="C9699" s="12"/>
    </row>
    <row r="9700" spans="2:3">
      <c r="B9700" s="12"/>
      <c r="C9700" s="12"/>
    </row>
    <row r="9701" spans="2:3">
      <c r="B9701" s="12"/>
      <c r="C9701" s="12"/>
    </row>
    <row r="9702" spans="2:3">
      <c r="B9702" s="12"/>
      <c r="C9702" s="12"/>
    </row>
    <row r="9703" spans="2:3">
      <c r="B9703" s="12"/>
      <c r="C9703" s="12"/>
    </row>
    <row r="9704" spans="2:3">
      <c r="B9704" s="12"/>
      <c r="C9704" s="12"/>
    </row>
    <row r="9705" spans="2:3">
      <c r="B9705" s="12"/>
      <c r="C9705" s="12"/>
    </row>
    <row r="9706" spans="2:3">
      <c r="B9706" s="12"/>
      <c r="C9706" s="12"/>
    </row>
    <row r="9707" spans="2:3">
      <c r="B9707" s="12"/>
      <c r="C9707" s="12"/>
    </row>
    <row r="9708" spans="2:3">
      <c r="B9708" s="12"/>
      <c r="C9708" s="12"/>
    </row>
    <row r="9709" spans="2:3">
      <c r="B9709" s="12"/>
      <c r="C9709" s="12"/>
    </row>
    <row r="9710" spans="2:3">
      <c r="B9710" s="12"/>
      <c r="C9710" s="12"/>
    </row>
    <row r="9711" spans="2:3">
      <c r="B9711" s="12"/>
      <c r="C9711" s="12"/>
    </row>
    <row r="9712" spans="2:3">
      <c r="B9712" s="12"/>
      <c r="C9712" s="12"/>
    </row>
    <row r="9713" spans="2:3">
      <c r="B9713" s="12"/>
      <c r="C9713" s="12"/>
    </row>
    <row r="9714" spans="2:3">
      <c r="B9714" s="12"/>
      <c r="C9714" s="12"/>
    </row>
    <row r="9715" spans="2:3">
      <c r="B9715" s="12"/>
      <c r="C9715" s="12"/>
    </row>
    <row r="9716" spans="2:3">
      <c r="B9716" s="12"/>
      <c r="C9716" s="12"/>
    </row>
    <row r="9717" spans="2:3">
      <c r="B9717" s="12"/>
      <c r="C9717" s="12"/>
    </row>
    <row r="9718" spans="2:3">
      <c r="B9718" s="12"/>
      <c r="C9718" s="12"/>
    </row>
    <row r="9719" spans="2:3">
      <c r="B9719" s="12"/>
      <c r="C9719" s="12"/>
    </row>
    <row r="9720" spans="2:3">
      <c r="B9720" s="12"/>
      <c r="C9720" s="12"/>
    </row>
    <row r="9721" spans="2:3">
      <c r="B9721" s="12"/>
      <c r="C9721" s="12"/>
    </row>
    <row r="9722" spans="2:3">
      <c r="B9722" s="12"/>
      <c r="C9722" s="12"/>
    </row>
    <row r="9723" spans="2:3">
      <c r="B9723" s="12"/>
      <c r="C9723" s="12"/>
    </row>
    <row r="9724" spans="2:3">
      <c r="B9724" s="12"/>
      <c r="C9724" s="12"/>
    </row>
    <row r="9725" spans="2:3">
      <c r="B9725" s="12"/>
      <c r="C9725" s="12"/>
    </row>
    <row r="9726" spans="2:3">
      <c r="B9726" s="12"/>
      <c r="C9726" s="12"/>
    </row>
    <row r="9727" spans="2:3">
      <c r="B9727" s="12"/>
      <c r="C9727" s="12"/>
    </row>
    <row r="9728" spans="2:3">
      <c r="B9728" s="12"/>
      <c r="C9728" s="12"/>
    </row>
    <row r="9729" spans="2:3">
      <c r="B9729" s="12"/>
      <c r="C9729" s="12"/>
    </row>
    <row r="9730" spans="2:3">
      <c r="B9730" s="12"/>
      <c r="C9730" s="12"/>
    </row>
    <row r="9731" spans="2:3">
      <c r="B9731" s="12"/>
      <c r="C9731" s="12"/>
    </row>
    <row r="9732" spans="2:3">
      <c r="B9732" s="12"/>
      <c r="C9732" s="12"/>
    </row>
    <row r="9733" spans="2:3">
      <c r="B9733" s="12"/>
      <c r="C9733" s="12"/>
    </row>
    <row r="9734" spans="2:3">
      <c r="B9734" s="12"/>
      <c r="C9734" s="12"/>
    </row>
    <row r="9735" spans="2:3">
      <c r="B9735" s="12"/>
      <c r="C9735" s="12"/>
    </row>
    <row r="9736" spans="2:3">
      <c r="B9736" s="12"/>
      <c r="C9736" s="12"/>
    </row>
    <row r="9737" spans="2:3">
      <c r="B9737" s="12"/>
      <c r="C9737" s="12"/>
    </row>
    <row r="9738" spans="2:3">
      <c r="B9738" s="12"/>
      <c r="C9738" s="12"/>
    </row>
    <row r="9739" spans="2:3">
      <c r="B9739" s="12"/>
      <c r="C9739" s="12"/>
    </row>
    <row r="9740" spans="2:3">
      <c r="B9740" s="12"/>
      <c r="C9740" s="12"/>
    </row>
    <row r="9741" spans="2:3">
      <c r="B9741" s="12"/>
      <c r="C9741" s="12"/>
    </row>
    <row r="9742" spans="2:3">
      <c r="B9742" s="12"/>
      <c r="C9742" s="12"/>
    </row>
    <row r="9743" spans="2:3">
      <c r="B9743" s="12"/>
      <c r="C9743" s="12"/>
    </row>
    <row r="9744" spans="2:3">
      <c r="B9744" s="12"/>
      <c r="C9744" s="12"/>
    </row>
    <row r="9745" spans="2:3">
      <c r="B9745" s="12"/>
      <c r="C9745" s="12"/>
    </row>
    <row r="9746" spans="2:3">
      <c r="B9746" s="12"/>
      <c r="C9746" s="12"/>
    </row>
    <row r="9747" spans="2:3">
      <c r="B9747" s="12"/>
      <c r="C9747" s="12"/>
    </row>
    <row r="9748" spans="2:3">
      <c r="B9748" s="12"/>
      <c r="C9748" s="12"/>
    </row>
    <row r="9749" spans="2:3">
      <c r="B9749" s="12"/>
      <c r="C9749" s="12"/>
    </row>
    <row r="9750" spans="2:3">
      <c r="B9750" s="12"/>
      <c r="C9750" s="12"/>
    </row>
    <row r="9751" spans="2:3">
      <c r="B9751" s="12"/>
      <c r="C9751" s="12"/>
    </row>
    <row r="9752" spans="2:3">
      <c r="B9752" s="12"/>
      <c r="C9752" s="12"/>
    </row>
    <row r="9753" spans="2:3">
      <c r="B9753" s="12"/>
      <c r="C9753" s="12"/>
    </row>
    <row r="9754" spans="2:3">
      <c r="B9754" s="12"/>
      <c r="C9754" s="12"/>
    </row>
    <row r="9755" spans="2:3">
      <c r="B9755" s="12"/>
      <c r="C9755" s="12"/>
    </row>
    <row r="9756" spans="2:3">
      <c r="B9756" s="12"/>
      <c r="C9756" s="12"/>
    </row>
    <row r="9757" spans="2:3">
      <c r="B9757" s="12"/>
      <c r="C9757" s="12"/>
    </row>
    <row r="9758" spans="2:3">
      <c r="B9758" s="12"/>
      <c r="C9758" s="12"/>
    </row>
    <row r="9759" spans="2:3">
      <c r="B9759" s="12"/>
      <c r="C9759" s="12"/>
    </row>
    <row r="9760" spans="2:3">
      <c r="B9760" s="12"/>
      <c r="C9760" s="12"/>
    </row>
    <row r="9761" spans="2:3">
      <c r="B9761" s="12"/>
      <c r="C9761" s="12"/>
    </row>
    <row r="9762" spans="2:3">
      <c r="B9762" s="12"/>
      <c r="C9762" s="12"/>
    </row>
    <row r="9763" spans="2:3">
      <c r="B9763" s="12"/>
      <c r="C9763" s="12"/>
    </row>
    <row r="9764" spans="2:3">
      <c r="B9764" s="12"/>
      <c r="C9764" s="12"/>
    </row>
    <row r="9765" spans="2:3">
      <c r="B9765" s="12"/>
      <c r="C9765" s="12"/>
    </row>
    <row r="9766" spans="2:3">
      <c r="B9766" s="12"/>
      <c r="C9766" s="12"/>
    </row>
    <row r="9767" spans="2:3">
      <c r="B9767" s="12"/>
      <c r="C9767" s="12"/>
    </row>
    <row r="9768" spans="2:3">
      <c r="B9768" s="12"/>
      <c r="C9768" s="12"/>
    </row>
    <row r="9769" spans="2:3">
      <c r="B9769" s="12"/>
      <c r="C9769" s="12"/>
    </row>
    <row r="9770" spans="2:3">
      <c r="B9770" s="12"/>
      <c r="C9770" s="12"/>
    </row>
    <row r="9771" spans="2:3">
      <c r="B9771" s="12"/>
      <c r="C9771" s="12"/>
    </row>
    <row r="9772" spans="2:3">
      <c r="B9772" s="12"/>
      <c r="C9772" s="12"/>
    </row>
    <row r="9773" spans="2:3">
      <c r="B9773" s="12"/>
      <c r="C9773" s="12"/>
    </row>
    <row r="9774" spans="2:3">
      <c r="B9774" s="12"/>
      <c r="C9774" s="12"/>
    </row>
    <row r="9775" spans="2:3">
      <c r="B9775" s="12"/>
      <c r="C9775" s="12"/>
    </row>
    <row r="9776" spans="2:3">
      <c r="B9776" s="12"/>
      <c r="C9776" s="12"/>
    </row>
    <row r="9777" spans="2:3">
      <c r="B9777" s="12"/>
      <c r="C9777" s="12"/>
    </row>
    <row r="9778" spans="2:3">
      <c r="B9778" s="12"/>
      <c r="C9778" s="12"/>
    </row>
    <row r="9779" spans="2:3">
      <c r="B9779" s="12"/>
      <c r="C9779" s="12"/>
    </row>
    <row r="9780" spans="2:3">
      <c r="B9780" s="12"/>
      <c r="C9780" s="12"/>
    </row>
    <row r="9781" spans="2:3">
      <c r="B9781" s="12"/>
      <c r="C9781" s="12"/>
    </row>
    <row r="9782" spans="2:3">
      <c r="B9782" s="12"/>
      <c r="C9782" s="12"/>
    </row>
    <row r="9783" spans="2:3">
      <c r="B9783" s="12"/>
      <c r="C9783" s="12"/>
    </row>
    <row r="9784" spans="2:3">
      <c r="B9784" s="12"/>
      <c r="C9784" s="12"/>
    </row>
    <row r="9785" spans="2:3">
      <c r="B9785" s="12"/>
      <c r="C9785" s="12"/>
    </row>
    <row r="9786" spans="2:3">
      <c r="B9786" s="12"/>
      <c r="C9786" s="12"/>
    </row>
    <row r="9787" spans="2:3">
      <c r="B9787" s="12"/>
      <c r="C9787" s="12"/>
    </row>
    <row r="9788" spans="2:3">
      <c r="B9788" s="12"/>
      <c r="C9788" s="12"/>
    </row>
    <row r="9789" spans="2:3">
      <c r="B9789" s="12"/>
      <c r="C9789" s="12"/>
    </row>
    <row r="9790" spans="2:3">
      <c r="B9790" s="12"/>
      <c r="C9790" s="12"/>
    </row>
    <row r="9791" spans="2:3">
      <c r="B9791" s="12"/>
      <c r="C9791" s="12"/>
    </row>
    <row r="9792" spans="2:3">
      <c r="B9792" s="12"/>
      <c r="C9792" s="12"/>
    </row>
    <row r="9793" spans="2:3">
      <c r="B9793" s="12"/>
      <c r="C9793" s="12"/>
    </row>
    <row r="9794" spans="2:3">
      <c r="B9794" s="12"/>
      <c r="C9794" s="12"/>
    </row>
    <row r="9795" spans="2:3">
      <c r="B9795" s="12"/>
      <c r="C9795" s="12"/>
    </row>
    <row r="9796" spans="2:3">
      <c r="B9796" s="12"/>
      <c r="C9796" s="12"/>
    </row>
    <row r="9797" spans="2:3">
      <c r="B9797" s="12"/>
      <c r="C9797" s="12"/>
    </row>
    <row r="9798" spans="2:3">
      <c r="B9798" s="12"/>
      <c r="C9798" s="12"/>
    </row>
    <row r="9799" spans="2:3">
      <c r="B9799" s="12"/>
      <c r="C9799" s="12"/>
    </row>
    <row r="9800" spans="2:3">
      <c r="B9800" s="12"/>
      <c r="C9800" s="12"/>
    </row>
    <row r="9801" spans="2:3">
      <c r="B9801" s="12"/>
      <c r="C9801" s="12"/>
    </row>
    <row r="9802" spans="2:3">
      <c r="B9802" s="12"/>
      <c r="C9802" s="12"/>
    </row>
    <row r="9803" spans="2:3">
      <c r="B9803" s="12"/>
      <c r="C9803" s="12"/>
    </row>
    <row r="9804" spans="2:3">
      <c r="B9804" s="12"/>
      <c r="C9804" s="12"/>
    </row>
    <row r="9805" spans="2:3">
      <c r="B9805" s="12"/>
      <c r="C9805" s="12"/>
    </row>
    <row r="9806" spans="2:3">
      <c r="B9806" s="12"/>
      <c r="C9806" s="12"/>
    </row>
    <row r="9807" spans="2:3">
      <c r="B9807" s="12"/>
      <c r="C9807" s="12"/>
    </row>
    <row r="9808" spans="2:3">
      <c r="B9808" s="12"/>
      <c r="C9808" s="12"/>
    </row>
    <row r="9809" spans="2:3">
      <c r="B9809" s="12"/>
      <c r="C9809" s="12"/>
    </row>
    <row r="9810" spans="2:3">
      <c r="B9810" s="12"/>
      <c r="C9810" s="12"/>
    </row>
    <row r="9811" spans="2:3">
      <c r="B9811" s="12"/>
      <c r="C9811" s="12"/>
    </row>
    <row r="9812" spans="2:3">
      <c r="B9812" s="12"/>
      <c r="C9812" s="12"/>
    </row>
    <row r="9813" spans="2:3">
      <c r="B9813" s="12"/>
      <c r="C9813" s="12"/>
    </row>
    <row r="9814" spans="2:3">
      <c r="B9814" s="12"/>
      <c r="C9814" s="12"/>
    </row>
    <row r="9815" spans="2:3">
      <c r="B9815" s="12"/>
      <c r="C9815" s="12"/>
    </row>
    <row r="9816" spans="2:3">
      <c r="B9816" s="12"/>
      <c r="C9816" s="12"/>
    </row>
    <row r="9817" spans="2:3">
      <c r="B9817" s="12"/>
      <c r="C9817" s="12"/>
    </row>
    <row r="9818" spans="2:3">
      <c r="B9818" s="12"/>
      <c r="C9818" s="12"/>
    </row>
    <row r="9819" spans="2:3">
      <c r="B9819" s="12"/>
      <c r="C9819" s="12"/>
    </row>
    <row r="9820" spans="2:3">
      <c r="B9820" s="12"/>
      <c r="C9820" s="12"/>
    </row>
    <row r="9821" spans="2:3">
      <c r="B9821" s="12"/>
      <c r="C9821" s="12"/>
    </row>
    <row r="9822" spans="2:3">
      <c r="B9822" s="12"/>
      <c r="C9822" s="12"/>
    </row>
    <row r="9823" spans="2:3">
      <c r="B9823" s="12"/>
      <c r="C9823" s="12"/>
    </row>
    <row r="9824" spans="2:3">
      <c r="B9824" s="12"/>
      <c r="C9824" s="12"/>
    </row>
    <row r="9825" spans="2:3">
      <c r="B9825" s="12"/>
      <c r="C9825" s="12"/>
    </row>
    <row r="9826" spans="2:3">
      <c r="B9826" s="12"/>
      <c r="C9826" s="12"/>
    </row>
    <row r="9827" spans="2:3">
      <c r="B9827" s="12"/>
      <c r="C9827" s="12"/>
    </row>
    <row r="9828" spans="2:3">
      <c r="B9828" s="12"/>
      <c r="C9828" s="12"/>
    </row>
    <row r="9829" spans="2:3">
      <c r="B9829" s="12"/>
      <c r="C9829" s="12"/>
    </row>
    <row r="9830" spans="2:3">
      <c r="B9830" s="12"/>
      <c r="C9830" s="12"/>
    </row>
    <row r="9831" spans="2:3">
      <c r="B9831" s="12"/>
      <c r="C9831" s="12"/>
    </row>
    <row r="9832" spans="2:3">
      <c r="B9832" s="12"/>
      <c r="C9832" s="12"/>
    </row>
    <row r="9833" spans="2:3">
      <c r="B9833" s="12"/>
      <c r="C9833" s="12"/>
    </row>
    <row r="9834" spans="2:3">
      <c r="B9834" s="12"/>
      <c r="C9834" s="12"/>
    </row>
    <row r="9835" spans="2:3">
      <c r="B9835" s="12"/>
      <c r="C9835" s="12"/>
    </row>
    <row r="9836" spans="2:3">
      <c r="B9836" s="12"/>
      <c r="C9836" s="12"/>
    </row>
    <row r="9837" spans="2:3">
      <c r="B9837" s="12"/>
      <c r="C9837" s="12"/>
    </row>
    <row r="9838" spans="2:3">
      <c r="B9838" s="12"/>
      <c r="C9838" s="12"/>
    </row>
    <row r="9839" spans="2:3">
      <c r="B9839" s="12"/>
      <c r="C9839" s="12"/>
    </row>
    <row r="9840" spans="2:3">
      <c r="B9840" s="12"/>
      <c r="C9840" s="12"/>
    </row>
    <row r="9841" spans="2:3">
      <c r="B9841" s="12"/>
      <c r="C9841" s="12"/>
    </row>
    <row r="9842" spans="2:3">
      <c r="B9842" s="12"/>
      <c r="C9842" s="12"/>
    </row>
    <row r="9843" spans="2:3">
      <c r="B9843" s="12"/>
      <c r="C9843" s="12"/>
    </row>
    <row r="9844" spans="2:3">
      <c r="B9844" s="12"/>
      <c r="C9844" s="12"/>
    </row>
    <row r="9845" spans="2:3">
      <c r="B9845" s="12"/>
      <c r="C9845" s="12"/>
    </row>
    <row r="9846" spans="2:3">
      <c r="B9846" s="12"/>
      <c r="C9846" s="12"/>
    </row>
    <row r="9847" spans="2:3">
      <c r="B9847" s="12"/>
      <c r="C9847" s="12"/>
    </row>
    <row r="9848" spans="2:3">
      <c r="B9848" s="12"/>
      <c r="C9848" s="12"/>
    </row>
    <row r="9849" spans="2:3">
      <c r="B9849" s="12"/>
      <c r="C9849" s="12"/>
    </row>
    <row r="9850" spans="2:3">
      <c r="B9850" s="12"/>
      <c r="C9850" s="12"/>
    </row>
    <row r="9851" spans="2:3">
      <c r="B9851" s="12"/>
      <c r="C9851" s="12"/>
    </row>
    <row r="9852" spans="2:3">
      <c r="B9852" s="12"/>
      <c r="C9852" s="12"/>
    </row>
    <row r="9853" spans="2:3">
      <c r="B9853" s="12"/>
      <c r="C9853" s="12"/>
    </row>
    <row r="9854" spans="2:3">
      <c r="B9854" s="12"/>
      <c r="C9854" s="12"/>
    </row>
    <row r="9855" spans="2:3">
      <c r="B9855" s="12"/>
      <c r="C9855" s="12"/>
    </row>
    <row r="9856" spans="2:3">
      <c r="B9856" s="12"/>
      <c r="C9856" s="12"/>
    </row>
    <row r="9857" spans="2:3">
      <c r="B9857" s="12"/>
      <c r="C9857" s="12"/>
    </row>
    <row r="9858" spans="2:3">
      <c r="B9858" s="12"/>
      <c r="C9858" s="12"/>
    </row>
    <row r="9859" spans="2:3">
      <c r="B9859" s="12"/>
      <c r="C9859" s="12"/>
    </row>
    <row r="9860" spans="2:3">
      <c r="B9860" s="12"/>
      <c r="C9860" s="12"/>
    </row>
    <row r="9861" spans="2:3">
      <c r="B9861" s="12"/>
      <c r="C9861" s="12"/>
    </row>
    <row r="9862" spans="2:3">
      <c r="B9862" s="12"/>
      <c r="C9862" s="12"/>
    </row>
    <row r="9863" spans="2:3">
      <c r="B9863" s="12"/>
      <c r="C9863" s="12"/>
    </row>
    <row r="9864" spans="2:3">
      <c r="B9864" s="12"/>
      <c r="C9864" s="12"/>
    </row>
    <row r="9865" spans="2:3">
      <c r="B9865" s="12"/>
      <c r="C9865" s="12"/>
    </row>
    <row r="9866" spans="2:3">
      <c r="B9866" s="12"/>
      <c r="C9866" s="12"/>
    </row>
    <row r="9867" spans="2:3">
      <c r="B9867" s="12"/>
      <c r="C9867" s="12"/>
    </row>
    <row r="9868" spans="2:3">
      <c r="B9868" s="12"/>
      <c r="C9868" s="12"/>
    </row>
    <row r="9869" spans="2:3">
      <c r="B9869" s="12"/>
      <c r="C9869" s="12"/>
    </row>
    <row r="9870" spans="2:3">
      <c r="B9870" s="12"/>
      <c r="C9870" s="12"/>
    </row>
    <row r="9871" spans="2:3">
      <c r="B9871" s="12"/>
      <c r="C9871" s="12"/>
    </row>
    <row r="9872" spans="2:3">
      <c r="B9872" s="12"/>
      <c r="C9872" s="12"/>
    </row>
    <row r="9873" spans="2:3">
      <c r="B9873" s="12"/>
      <c r="C9873" s="12"/>
    </row>
    <row r="9874" spans="2:3">
      <c r="B9874" s="12"/>
      <c r="C9874" s="12"/>
    </row>
    <row r="9875" spans="2:3">
      <c r="B9875" s="12"/>
      <c r="C9875" s="12"/>
    </row>
    <row r="9876" spans="2:3">
      <c r="B9876" s="12"/>
      <c r="C9876" s="12"/>
    </row>
    <row r="9877" spans="2:3">
      <c r="B9877" s="12"/>
      <c r="C9877" s="12"/>
    </row>
    <row r="9878" spans="2:3">
      <c r="B9878" s="12"/>
      <c r="C9878" s="12"/>
    </row>
    <row r="9879" spans="2:3">
      <c r="B9879" s="12"/>
      <c r="C9879" s="12"/>
    </row>
    <row r="9880" spans="2:3">
      <c r="B9880" s="12"/>
      <c r="C9880" s="12"/>
    </row>
    <row r="9881" spans="2:3">
      <c r="B9881" s="12"/>
      <c r="C9881" s="12"/>
    </row>
    <row r="9882" spans="2:3">
      <c r="B9882" s="12"/>
      <c r="C9882" s="12"/>
    </row>
    <row r="9883" spans="2:3">
      <c r="B9883" s="12"/>
      <c r="C9883" s="12"/>
    </row>
    <row r="9884" spans="2:3">
      <c r="B9884" s="12"/>
      <c r="C9884" s="12"/>
    </row>
    <row r="9885" spans="2:3">
      <c r="B9885" s="12"/>
      <c r="C9885" s="12"/>
    </row>
    <row r="9886" spans="2:3">
      <c r="B9886" s="12"/>
      <c r="C9886" s="12"/>
    </row>
    <row r="9887" spans="2:3">
      <c r="B9887" s="12"/>
      <c r="C9887" s="12"/>
    </row>
    <row r="9888" spans="2:3">
      <c r="B9888" s="12"/>
      <c r="C9888" s="12"/>
    </row>
    <row r="9889" spans="2:3">
      <c r="B9889" s="12"/>
      <c r="C9889" s="12"/>
    </row>
    <row r="9890" spans="2:3">
      <c r="B9890" s="12"/>
      <c r="C9890" s="12"/>
    </row>
    <row r="9891" spans="2:3">
      <c r="B9891" s="12"/>
      <c r="C9891" s="12"/>
    </row>
    <row r="9892" spans="2:3">
      <c r="B9892" s="12"/>
      <c r="C9892" s="12"/>
    </row>
    <row r="9893" spans="2:3">
      <c r="B9893" s="12"/>
      <c r="C9893" s="12"/>
    </row>
    <row r="9894" spans="2:3">
      <c r="B9894" s="12"/>
      <c r="C9894" s="12"/>
    </row>
    <row r="9895" spans="2:3">
      <c r="B9895" s="12"/>
      <c r="C9895" s="12"/>
    </row>
    <row r="9896" spans="2:3">
      <c r="B9896" s="12"/>
      <c r="C9896" s="12"/>
    </row>
    <row r="9897" spans="2:3">
      <c r="B9897" s="12"/>
      <c r="C9897" s="12"/>
    </row>
    <row r="9898" spans="2:3">
      <c r="B9898" s="12"/>
      <c r="C9898" s="12"/>
    </row>
    <row r="9899" spans="2:3">
      <c r="B9899" s="12"/>
      <c r="C9899" s="12"/>
    </row>
    <row r="9900" spans="2:3">
      <c r="B9900" s="12"/>
      <c r="C9900" s="12"/>
    </row>
    <row r="9901" spans="2:3">
      <c r="B9901" s="12"/>
      <c r="C9901" s="12"/>
    </row>
    <row r="9902" spans="2:3">
      <c r="B9902" s="12"/>
      <c r="C9902" s="12"/>
    </row>
    <row r="9903" spans="2:3">
      <c r="B9903" s="12"/>
      <c r="C9903" s="12"/>
    </row>
    <row r="9904" spans="2:3">
      <c r="B9904" s="12"/>
      <c r="C9904" s="12"/>
    </row>
    <row r="9905" spans="2:3">
      <c r="B9905" s="12"/>
      <c r="C9905" s="12"/>
    </row>
    <row r="9906" spans="2:3">
      <c r="B9906" s="12"/>
      <c r="C9906" s="12"/>
    </row>
    <row r="9907" spans="2:3">
      <c r="B9907" s="12"/>
      <c r="C9907" s="12"/>
    </row>
    <row r="9908" spans="2:3">
      <c r="B9908" s="12"/>
      <c r="C9908" s="12"/>
    </row>
    <row r="9909" spans="2:3">
      <c r="B9909" s="12"/>
      <c r="C9909" s="12"/>
    </row>
    <row r="9910" spans="2:3">
      <c r="B9910" s="12"/>
      <c r="C9910" s="12"/>
    </row>
    <row r="9911" spans="2:3">
      <c r="B9911" s="12"/>
      <c r="C9911" s="12"/>
    </row>
    <row r="9912" spans="2:3">
      <c r="B9912" s="12"/>
      <c r="C9912" s="12"/>
    </row>
    <row r="9913" spans="2:3">
      <c r="B9913" s="12"/>
      <c r="C9913" s="12"/>
    </row>
    <row r="9914" spans="2:3">
      <c r="B9914" s="12"/>
      <c r="C9914" s="12"/>
    </row>
    <row r="9915" spans="2:3">
      <c r="B9915" s="12"/>
      <c r="C9915" s="12"/>
    </row>
    <row r="9916" spans="2:3">
      <c r="B9916" s="12"/>
      <c r="C9916" s="12"/>
    </row>
    <row r="9917" spans="2:3">
      <c r="B9917" s="12"/>
      <c r="C9917" s="12"/>
    </row>
    <row r="9918" spans="2:3">
      <c r="B9918" s="12"/>
      <c r="C9918" s="12"/>
    </row>
    <row r="9919" spans="2:3">
      <c r="B9919" s="12"/>
      <c r="C9919" s="12"/>
    </row>
    <row r="9920" spans="2:3">
      <c r="B9920" s="12"/>
      <c r="C9920" s="12"/>
    </row>
    <row r="9921" spans="2:3">
      <c r="B9921" s="12"/>
      <c r="C9921" s="12"/>
    </row>
    <row r="9922" spans="2:3">
      <c r="B9922" s="12"/>
      <c r="C9922" s="12"/>
    </row>
    <row r="9923" spans="2:3">
      <c r="B9923" s="12"/>
      <c r="C9923" s="12"/>
    </row>
    <row r="9924" spans="2:3">
      <c r="B9924" s="12"/>
      <c r="C9924" s="12"/>
    </row>
    <row r="9925" spans="2:3">
      <c r="B9925" s="12"/>
      <c r="C9925" s="12"/>
    </row>
    <row r="9926" spans="2:3">
      <c r="B9926" s="12"/>
      <c r="C9926" s="12"/>
    </row>
    <row r="9927" spans="2:3">
      <c r="B9927" s="12"/>
      <c r="C9927" s="12"/>
    </row>
    <row r="9928" spans="2:3">
      <c r="B9928" s="12"/>
      <c r="C9928" s="12"/>
    </row>
    <row r="9929" spans="2:3">
      <c r="B9929" s="12"/>
      <c r="C9929" s="12"/>
    </row>
    <row r="9930" spans="2:3">
      <c r="B9930" s="12"/>
      <c r="C9930" s="12"/>
    </row>
    <row r="9931" spans="2:3">
      <c r="B9931" s="12"/>
      <c r="C9931" s="12"/>
    </row>
    <row r="9932" spans="2:3">
      <c r="B9932" s="12"/>
      <c r="C9932" s="12"/>
    </row>
    <row r="9933" spans="2:3">
      <c r="B9933" s="12"/>
      <c r="C9933" s="12"/>
    </row>
    <row r="9934" spans="2:3">
      <c r="B9934" s="12"/>
      <c r="C9934" s="12"/>
    </row>
    <row r="9935" spans="2:3">
      <c r="B9935" s="12"/>
      <c r="C9935" s="12"/>
    </row>
    <row r="9936" spans="2:3">
      <c r="B9936" s="12"/>
      <c r="C9936" s="12"/>
    </row>
    <row r="9937" spans="2:3">
      <c r="B9937" s="12"/>
      <c r="C9937" s="12"/>
    </row>
    <row r="9938" spans="2:3">
      <c r="B9938" s="12"/>
      <c r="C9938" s="12"/>
    </row>
    <row r="9939" spans="2:3">
      <c r="B9939" s="12"/>
      <c r="C9939" s="12"/>
    </row>
    <row r="9940" spans="2:3">
      <c r="B9940" s="12"/>
      <c r="C9940" s="12"/>
    </row>
    <row r="9941" spans="2:3">
      <c r="B9941" s="12"/>
      <c r="C9941" s="12"/>
    </row>
    <row r="9942" spans="2:3">
      <c r="B9942" s="12"/>
      <c r="C9942" s="12"/>
    </row>
    <row r="9943" spans="2:3">
      <c r="B9943" s="12"/>
      <c r="C9943" s="12"/>
    </row>
    <row r="9944" spans="2:3">
      <c r="B9944" s="12"/>
      <c r="C9944" s="12"/>
    </row>
    <row r="9945" spans="2:3">
      <c r="B9945" s="12"/>
      <c r="C9945" s="12"/>
    </row>
    <row r="9946" spans="2:3">
      <c r="B9946" s="12"/>
      <c r="C9946" s="12"/>
    </row>
    <row r="9947" spans="2:3">
      <c r="B9947" s="12"/>
      <c r="C9947" s="12"/>
    </row>
    <row r="9948" spans="2:3">
      <c r="B9948" s="12"/>
      <c r="C9948" s="12"/>
    </row>
    <row r="9949" spans="2:3">
      <c r="B9949" s="12"/>
      <c r="C9949" s="12"/>
    </row>
    <row r="9950" spans="2:3">
      <c r="B9950" s="12"/>
      <c r="C9950" s="12"/>
    </row>
    <row r="9951" spans="2:3">
      <c r="B9951" s="12"/>
      <c r="C9951" s="12"/>
    </row>
    <row r="9952" spans="2:3">
      <c r="B9952" s="12"/>
      <c r="C9952" s="12"/>
    </row>
    <row r="9953" spans="2:3">
      <c r="B9953" s="12"/>
      <c r="C9953" s="12"/>
    </row>
    <row r="9954" spans="2:3">
      <c r="B9954" s="12"/>
      <c r="C9954" s="12"/>
    </row>
    <row r="9955" spans="2:3">
      <c r="B9955" s="12"/>
      <c r="C9955" s="12"/>
    </row>
    <row r="9956" spans="2:3">
      <c r="B9956" s="12"/>
      <c r="C9956" s="12"/>
    </row>
    <row r="9957" spans="2:3">
      <c r="B9957" s="12"/>
      <c r="C9957" s="12"/>
    </row>
    <row r="9958" spans="2:3">
      <c r="B9958" s="12"/>
      <c r="C9958" s="12"/>
    </row>
    <row r="9959" spans="2:3">
      <c r="B9959" s="12"/>
      <c r="C9959" s="12"/>
    </row>
    <row r="9960" spans="2:3">
      <c r="B9960" s="12"/>
      <c r="C9960" s="12"/>
    </row>
    <row r="9961" spans="2:3">
      <c r="B9961" s="12"/>
      <c r="C9961" s="12"/>
    </row>
    <row r="9962" spans="2:3">
      <c r="B9962" s="12"/>
      <c r="C9962" s="12"/>
    </row>
    <row r="9963" spans="2:3">
      <c r="B9963" s="12"/>
      <c r="C9963" s="12"/>
    </row>
    <row r="9964" spans="2:3">
      <c r="B9964" s="12"/>
      <c r="C9964" s="12"/>
    </row>
    <row r="9965" spans="2:3">
      <c r="B9965" s="12"/>
      <c r="C9965" s="12"/>
    </row>
    <row r="9966" spans="2:3">
      <c r="B9966" s="12"/>
      <c r="C9966" s="12"/>
    </row>
    <row r="9967" spans="2:3">
      <c r="B9967" s="12"/>
      <c r="C9967" s="12"/>
    </row>
    <row r="9968" spans="2:3">
      <c r="B9968" s="12"/>
      <c r="C9968" s="12"/>
    </row>
    <row r="9969" spans="2:3">
      <c r="B9969" s="12"/>
      <c r="C9969" s="12"/>
    </row>
    <row r="9970" spans="2:3">
      <c r="B9970" s="12"/>
      <c r="C9970" s="12"/>
    </row>
    <row r="9971" spans="2:3">
      <c r="B9971" s="12"/>
      <c r="C9971" s="12"/>
    </row>
    <row r="9972" spans="2:3">
      <c r="B9972" s="12"/>
      <c r="C9972" s="12"/>
    </row>
    <row r="9973" spans="2:3">
      <c r="B9973" s="12"/>
      <c r="C9973" s="12"/>
    </row>
    <row r="9974" spans="2:3">
      <c r="B9974" s="12"/>
      <c r="C9974" s="12"/>
    </row>
    <row r="9975" spans="2:3">
      <c r="B9975" s="12"/>
      <c r="C9975" s="12"/>
    </row>
    <row r="9976" spans="2:3">
      <c r="B9976" s="12"/>
      <c r="C9976" s="12"/>
    </row>
    <row r="9977" spans="2:3">
      <c r="B9977" s="12"/>
      <c r="C9977" s="12"/>
    </row>
    <row r="9978" spans="2:3">
      <c r="B9978" s="12"/>
      <c r="C9978" s="12"/>
    </row>
    <row r="9979" spans="2:3">
      <c r="B9979" s="12"/>
      <c r="C9979" s="12"/>
    </row>
    <row r="9980" spans="2:3">
      <c r="B9980" s="12"/>
      <c r="C9980" s="12"/>
    </row>
    <row r="9981" spans="2:3">
      <c r="B9981" s="12"/>
      <c r="C9981" s="12"/>
    </row>
    <row r="9982" spans="2:3">
      <c r="B9982" s="12"/>
      <c r="C9982" s="12"/>
    </row>
    <row r="9983" spans="2:3">
      <c r="B9983" s="12"/>
      <c r="C9983" s="12"/>
    </row>
    <row r="9984" spans="2:3">
      <c r="B9984" s="12"/>
      <c r="C9984" s="12"/>
    </row>
    <row r="9985" spans="2:3">
      <c r="B9985" s="12"/>
      <c r="C9985" s="12"/>
    </row>
    <row r="9986" spans="2:3">
      <c r="B9986" s="12"/>
      <c r="C9986" s="12"/>
    </row>
    <row r="9987" spans="2:3">
      <c r="B9987" s="12"/>
      <c r="C9987" s="12"/>
    </row>
    <row r="9988" spans="2:3">
      <c r="B9988" s="12"/>
      <c r="C9988" s="12"/>
    </row>
    <row r="9989" spans="2:3">
      <c r="B9989" s="12"/>
      <c r="C9989" s="12"/>
    </row>
    <row r="9990" spans="2:3">
      <c r="B9990" s="12"/>
      <c r="C9990" s="12"/>
    </row>
    <row r="9991" spans="2:3">
      <c r="B9991" s="12"/>
      <c r="C9991" s="12"/>
    </row>
    <row r="9992" spans="2:3">
      <c r="B9992" s="12"/>
      <c r="C9992" s="12"/>
    </row>
    <row r="9993" spans="2:3">
      <c r="B9993" s="12"/>
      <c r="C9993" s="12"/>
    </row>
    <row r="9994" spans="2:3">
      <c r="B9994" s="12"/>
      <c r="C9994" s="12"/>
    </row>
    <row r="9995" spans="2:3">
      <c r="B9995" s="12"/>
      <c r="C9995" s="12"/>
    </row>
    <row r="9996" spans="2:3">
      <c r="B9996" s="12"/>
      <c r="C9996" s="12"/>
    </row>
    <row r="9997" spans="2:3">
      <c r="B9997" s="12"/>
      <c r="C9997" s="12"/>
    </row>
    <row r="9998" spans="2:3">
      <c r="B9998" s="12"/>
      <c r="C9998" s="12"/>
    </row>
    <row r="9999" spans="2:3">
      <c r="B9999" s="12"/>
      <c r="C9999" s="12"/>
    </row>
    <row r="10000" spans="2:3">
      <c r="B10000" s="12"/>
      <c r="C10000" s="12"/>
    </row>
    <row r="10001" spans="2:3">
      <c r="B10001" s="12"/>
      <c r="C10001" s="12"/>
    </row>
    <row r="10002" spans="2:3">
      <c r="B10002" s="12"/>
      <c r="C10002" s="12"/>
    </row>
    <row r="10003" spans="2:3">
      <c r="B10003" s="12"/>
      <c r="C10003" s="12"/>
    </row>
    <row r="10004" spans="2:3">
      <c r="B10004" s="12"/>
      <c r="C10004" s="12"/>
    </row>
    <row r="10005" spans="2:3">
      <c r="B10005" s="12"/>
      <c r="C10005" s="12"/>
    </row>
    <row r="10006" spans="2:3">
      <c r="B10006" s="12"/>
      <c r="C10006" s="12"/>
    </row>
    <row r="10007" spans="2:3">
      <c r="B10007" s="12"/>
      <c r="C10007" s="12"/>
    </row>
    <row r="10008" spans="2:3">
      <c r="B10008" s="12"/>
      <c r="C10008" s="12"/>
    </row>
    <row r="10009" spans="2:3">
      <c r="B10009" s="12"/>
      <c r="C10009" s="12"/>
    </row>
    <row r="10010" spans="2:3">
      <c r="B10010" s="12"/>
      <c r="C10010" s="12"/>
    </row>
    <row r="10011" spans="2:3">
      <c r="B10011" s="12"/>
      <c r="C10011" s="12"/>
    </row>
    <row r="10012" spans="2:3">
      <c r="B10012" s="12"/>
      <c r="C10012" s="12"/>
    </row>
    <row r="10013" spans="2:3">
      <c r="B10013" s="12"/>
      <c r="C10013" s="12"/>
    </row>
    <row r="10014" spans="2:3">
      <c r="B10014" s="12"/>
      <c r="C10014" s="12"/>
    </row>
    <row r="10015" spans="2:3">
      <c r="B10015" s="12"/>
      <c r="C10015" s="12"/>
    </row>
    <row r="10016" spans="2:3">
      <c r="B10016" s="12"/>
      <c r="C10016" s="12"/>
    </row>
    <row r="10017" spans="2:3">
      <c r="B10017" s="12"/>
      <c r="C10017" s="12"/>
    </row>
    <row r="10018" spans="2:3">
      <c r="B10018" s="12"/>
      <c r="C10018" s="12"/>
    </row>
    <row r="10019" spans="2:3">
      <c r="B10019" s="12"/>
      <c r="C10019" s="12"/>
    </row>
    <row r="10020" spans="2:3">
      <c r="B10020" s="12"/>
      <c r="C10020" s="12"/>
    </row>
    <row r="10021" spans="2:3">
      <c r="B10021" s="12"/>
      <c r="C10021" s="12"/>
    </row>
    <row r="10022" spans="2:3">
      <c r="B10022" s="12"/>
      <c r="C10022" s="12"/>
    </row>
    <row r="10023" spans="2:3">
      <c r="B10023" s="12"/>
      <c r="C10023" s="12"/>
    </row>
    <row r="10024" spans="2:3">
      <c r="B10024" s="12"/>
      <c r="C10024" s="12"/>
    </row>
    <row r="10025" spans="2:3">
      <c r="B10025" s="12"/>
      <c r="C10025" s="12"/>
    </row>
    <row r="10026" spans="2:3">
      <c r="B10026" s="12"/>
      <c r="C10026" s="12"/>
    </row>
    <row r="10027" spans="2:3">
      <c r="B10027" s="12"/>
      <c r="C10027" s="12"/>
    </row>
    <row r="10028" spans="2:3">
      <c r="B10028" s="12"/>
      <c r="C10028" s="12"/>
    </row>
    <row r="10029" spans="2:3">
      <c r="B10029" s="12"/>
      <c r="C10029" s="12"/>
    </row>
    <row r="10030" spans="2:3">
      <c r="B10030" s="12"/>
      <c r="C10030" s="12"/>
    </row>
    <row r="10031" spans="2:3">
      <c r="B10031" s="12"/>
      <c r="C10031" s="12"/>
    </row>
    <row r="10032" spans="2:3">
      <c r="B10032" s="12"/>
      <c r="C10032" s="12"/>
    </row>
    <row r="10033" spans="2:3">
      <c r="B10033" s="12"/>
      <c r="C10033" s="12"/>
    </row>
    <row r="10034" spans="2:3">
      <c r="B10034" s="12"/>
      <c r="C10034" s="12"/>
    </row>
    <row r="10035" spans="2:3">
      <c r="B10035" s="12"/>
      <c r="C10035" s="12"/>
    </row>
    <row r="10036" spans="2:3">
      <c r="B10036" s="12"/>
      <c r="C10036" s="12"/>
    </row>
    <row r="10037" spans="2:3">
      <c r="B10037" s="12"/>
      <c r="C10037" s="12"/>
    </row>
    <row r="10038" spans="2:3">
      <c r="B10038" s="12"/>
      <c r="C10038" s="12"/>
    </row>
    <row r="10039" spans="2:3">
      <c r="B10039" s="12"/>
      <c r="C10039" s="12"/>
    </row>
    <row r="10040" spans="2:3">
      <c r="B10040" s="12"/>
      <c r="C10040" s="12"/>
    </row>
    <row r="10041" spans="2:3">
      <c r="B10041" s="12"/>
      <c r="C10041" s="12"/>
    </row>
    <row r="10042" spans="2:3">
      <c r="B10042" s="12"/>
      <c r="C10042" s="12"/>
    </row>
    <row r="10043" spans="2:3">
      <c r="B10043" s="12"/>
      <c r="C10043" s="12"/>
    </row>
    <row r="10044" spans="2:3">
      <c r="B10044" s="12"/>
      <c r="C10044" s="12"/>
    </row>
    <row r="10045" spans="2:3">
      <c r="B10045" s="12"/>
      <c r="C10045" s="12"/>
    </row>
    <row r="10046" spans="2:3">
      <c r="B10046" s="12"/>
      <c r="C10046" s="12"/>
    </row>
    <row r="10047" spans="2:3">
      <c r="B10047" s="12"/>
      <c r="C10047" s="12"/>
    </row>
    <row r="10048" spans="2:3">
      <c r="B10048" s="12"/>
      <c r="C10048" s="12"/>
    </row>
    <row r="10049" spans="2:3">
      <c r="B10049" s="12"/>
      <c r="C10049" s="12"/>
    </row>
    <row r="10050" spans="2:3">
      <c r="B10050" s="12"/>
      <c r="C10050" s="12"/>
    </row>
    <row r="10051" spans="2:3">
      <c r="B10051" s="12"/>
      <c r="C10051" s="12"/>
    </row>
    <row r="10052" spans="2:3">
      <c r="B10052" s="12"/>
      <c r="C10052" s="12"/>
    </row>
    <row r="10053" spans="2:3">
      <c r="B10053" s="12"/>
      <c r="C10053" s="12"/>
    </row>
    <row r="10054" spans="2:3">
      <c r="B10054" s="12"/>
      <c r="C10054" s="12"/>
    </row>
    <row r="10055" spans="2:3">
      <c r="B10055" s="12"/>
      <c r="C10055" s="12"/>
    </row>
    <row r="10056" spans="2:3">
      <c r="B10056" s="12"/>
      <c r="C10056" s="12"/>
    </row>
    <row r="10057" spans="2:3">
      <c r="B10057" s="12"/>
      <c r="C10057" s="12"/>
    </row>
    <row r="10058" spans="2:3">
      <c r="B10058" s="12"/>
      <c r="C10058" s="12"/>
    </row>
    <row r="10059" spans="2:3">
      <c r="B10059" s="12"/>
      <c r="C10059" s="12"/>
    </row>
    <row r="10060" spans="2:3">
      <c r="B10060" s="12"/>
      <c r="C10060" s="12"/>
    </row>
    <row r="10061" spans="2:3">
      <c r="B10061" s="12"/>
      <c r="C10061" s="12"/>
    </row>
    <row r="10062" spans="2:3">
      <c r="B10062" s="12"/>
      <c r="C10062" s="12"/>
    </row>
    <row r="10063" spans="2:3">
      <c r="B10063" s="12"/>
      <c r="C10063" s="12"/>
    </row>
    <row r="10064" spans="2:3">
      <c r="B10064" s="12"/>
      <c r="C10064" s="12"/>
    </row>
    <row r="10065" spans="2:3">
      <c r="B10065" s="12"/>
      <c r="C10065" s="12"/>
    </row>
    <row r="10066" spans="2:3">
      <c r="B10066" s="12"/>
      <c r="C10066" s="12"/>
    </row>
    <row r="10067" spans="2:3">
      <c r="B10067" s="12"/>
      <c r="C10067" s="12"/>
    </row>
    <row r="10068" spans="2:3">
      <c r="B10068" s="12"/>
      <c r="C10068" s="12"/>
    </row>
    <row r="10069" spans="2:3">
      <c r="B10069" s="12"/>
      <c r="C10069" s="12"/>
    </row>
    <row r="10070" spans="2:3">
      <c r="B10070" s="12"/>
      <c r="C10070" s="12"/>
    </row>
    <row r="10071" spans="2:3">
      <c r="B10071" s="12"/>
      <c r="C10071" s="12"/>
    </row>
    <row r="10072" spans="2:3">
      <c r="B10072" s="12"/>
      <c r="C10072" s="12"/>
    </row>
    <row r="10073" spans="2:3">
      <c r="B10073" s="12"/>
      <c r="C10073" s="12"/>
    </row>
    <row r="10074" spans="2:3">
      <c r="B10074" s="12"/>
      <c r="C10074" s="12"/>
    </row>
    <row r="10075" spans="2:3">
      <c r="B10075" s="12"/>
      <c r="C10075" s="12"/>
    </row>
    <row r="10076" spans="2:3">
      <c r="B10076" s="12"/>
      <c r="C10076" s="12"/>
    </row>
    <row r="10077" spans="2:3">
      <c r="B10077" s="12"/>
      <c r="C10077" s="12"/>
    </row>
    <row r="10078" spans="2:3">
      <c r="B10078" s="12"/>
      <c r="C10078" s="12"/>
    </row>
    <row r="10079" spans="2:3">
      <c r="B10079" s="12"/>
      <c r="C10079" s="12"/>
    </row>
    <row r="10080" spans="2:3">
      <c r="B10080" s="12"/>
      <c r="C10080" s="12"/>
    </row>
    <row r="10081" spans="2:3">
      <c r="B10081" s="12"/>
      <c r="C10081" s="12"/>
    </row>
    <row r="10082" spans="2:3">
      <c r="B10082" s="12"/>
      <c r="C10082" s="12"/>
    </row>
    <row r="10083" spans="2:3">
      <c r="B10083" s="12"/>
      <c r="C10083" s="12"/>
    </row>
    <row r="10084" spans="2:3">
      <c r="B10084" s="12"/>
      <c r="C10084" s="12"/>
    </row>
    <row r="10085" spans="2:3">
      <c r="B10085" s="12"/>
      <c r="C10085" s="12"/>
    </row>
    <row r="10086" spans="2:3">
      <c r="B10086" s="12"/>
      <c r="C10086" s="12"/>
    </row>
    <row r="10087" spans="2:3">
      <c r="B10087" s="12"/>
      <c r="C10087" s="12"/>
    </row>
    <row r="10088" spans="2:3">
      <c r="B10088" s="12"/>
      <c r="C10088" s="12"/>
    </row>
    <row r="10089" spans="2:3">
      <c r="B10089" s="12"/>
      <c r="C10089" s="12"/>
    </row>
    <row r="10090" spans="2:3">
      <c r="B10090" s="12"/>
      <c r="C10090" s="12"/>
    </row>
    <row r="10091" spans="2:3">
      <c r="B10091" s="12"/>
      <c r="C10091" s="12"/>
    </row>
    <row r="10092" spans="2:3">
      <c r="B10092" s="12"/>
      <c r="C10092" s="12"/>
    </row>
    <row r="10093" spans="2:3">
      <c r="B10093" s="12"/>
      <c r="C10093" s="12"/>
    </row>
    <row r="10094" spans="2:3">
      <c r="B10094" s="12"/>
      <c r="C10094" s="12"/>
    </row>
    <row r="10095" spans="2:3">
      <c r="B10095" s="12"/>
      <c r="C10095" s="12"/>
    </row>
    <row r="10096" spans="2:3">
      <c r="B10096" s="12"/>
      <c r="C10096" s="12"/>
    </row>
    <row r="10097" spans="2:3">
      <c r="B10097" s="12"/>
      <c r="C10097" s="12"/>
    </row>
    <row r="10098" spans="2:3">
      <c r="B10098" s="12"/>
      <c r="C10098" s="12"/>
    </row>
    <row r="10099" spans="2:3">
      <c r="B10099" s="12"/>
      <c r="C10099" s="12"/>
    </row>
    <row r="10100" spans="2:3">
      <c r="B10100" s="12"/>
      <c r="C10100" s="12"/>
    </row>
    <row r="10101" spans="2:3">
      <c r="B10101" s="12"/>
      <c r="C10101" s="12"/>
    </row>
    <row r="10102" spans="2:3">
      <c r="B10102" s="12"/>
      <c r="C10102" s="12"/>
    </row>
    <row r="10103" spans="2:3">
      <c r="B10103" s="12"/>
      <c r="C10103" s="12"/>
    </row>
    <row r="10104" spans="2:3">
      <c r="B10104" s="12"/>
      <c r="C10104" s="12"/>
    </row>
    <row r="10105" spans="2:3">
      <c r="B10105" s="12"/>
      <c r="C10105" s="12"/>
    </row>
    <row r="10106" spans="2:3">
      <c r="B10106" s="12"/>
      <c r="C10106" s="12"/>
    </row>
    <row r="10107" spans="2:3">
      <c r="B10107" s="12"/>
      <c r="C10107" s="12"/>
    </row>
    <row r="10108" spans="2:3">
      <c r="B10108" s="12"/>
      <c r="C10108" s="12"/>
    </row>
    <row r="10109" spans="2:3">
      <c r="B10109" s="12"/>
      <c r="C10109" s="12"/>
    </row>
    <row r="10110" spans="2:3">
      <c r="B10110" s="12"/>
      <c r="C10110" s="12"/>
    </row>
    <row r="10111" spans="2:3">
      <c r="B10111" s="12"/>
      <c r="C10111" s="12"/>
    </row>
    <row r="10112" spans="2:3">
      <c r="B10112" s="12"/>
      <c r="C10112" s="12"/>
    </row>
    <row r="10113" spans="2:3">
      <c r="B10113" s="12"/>
      <c r="C10113" s="12"/>
    </row>
    <row r="10114" spans="2:3">
      <c r="B10114" s="12"/>
      <c r="C10114" s="12"/>
    </row>
    <row r="10115" spans="2:3">
      <c r="B10115" s="12"/>
      <c r="C10115" s="12"/>
    </row>
    <row r="10116" spans="2:3">
      <c r="B10116" s="12"/>
      <c r="C10116" s="12"/>
    </row>
    <row r="10117" spans="2:3">
      <c r="B10117" s="12"/>
      <c r="C10117" s="12"/>
    </row>
    <row r="10118" spans="2:3">
      <c r="B10118" s="12"/>
      <c r="C10118" s="12"/>
    </row>
    <row r="10119" spans="2:3">
      <c r="B10119" s="12"/>
      <c r="C10119" s="12"/>
    </row>
    <row r="10120" spans="2:3">
      <c r="B10120" s="12"/>
      <c r="C10120" s="12"/>
    </row>
    <row r="10121" spans="2:3">
      <c r="B10121" s="12"/>
      <c r="C10121" s="12"/>
    </row>
    <row r="10122" spans="2:3">
      <c r="B10122" s="12"/>
      <c r="C10122" s="12"/>
    </row>
    <row r="10123" spans="2:3">
      <c r="B10123" s="12"/>
      <c r="C10123" s="12"/>
    </row>
    <row r="10124" spans="2:3">
      <c r="B10124" s="12"/>
      <c r="C10124" s="12"/>
    </row>
    <row r="10125" spans="2:3">
      <c r="B10125" s="12"/>
      <c r="C10125" s="12"/>
    </row>
    <row r="10126" spans="2:3">
      <c r="B10126" s="12"/>
      <c r="C10126" s="12"/>
    </row>
    <row r="10127" spans="2:3">
      <c r="B10127" s="12"/>
      <c r="C10127" s="12"/>
    </row>
    <row r="10128" spans="2:3">
      <c r="B10128" s="12"/>
      <c r="C10128" s="12"/>
    </row>
    <row r="10129" spans="2:3">
      <c r="B10129" s="12"/>
      <c r="C10129" s="12"/>
    </row>
    <row r="10130" spans="2:3">
      <c r="B10130" s="12"/>
      <c r="C10130" s="12"/>
    </row>
    <row r="10131" spans="2:3">
      <c r="B10131" s="12"/>
      <c r="C10131" s="12"/>
    </row>
    <row r="10132" spans="2:3">
      <c r="B10132" s="12"/>
      <c r="C10132" s="12"/>
    </row>
    <row r="10133" spans="2:3">
      <c r="B10133" s="12"/>
      <c r="C10133" s="12"/>
    </row>
    <row r="10134" spans="2:3">
      <c r="B10134" s="12"/>
      <c r="C10134" s="12"/>
    </row>
    <row r="10135" spans="2:3">
      <c r="B10135" s="12"/>
      <c r="C10135" s="12"/>
    </row>
    <row r="10136" spans="2:3">
      <c r="B10136" s="12"/>
      <c r="C10136" s="12"/>
    </row>
    <row r="10137" spans="2:3">
      <c r="B10137" s="12"/>
      <c r="C10137" s="12"/>
    </row>
    <row r="10138" spans="2:3">
      <c r="B10138" s="12"/>
      <c r="C10138" s="12"/>
    </row>
    <row r="10139" spans="2:3">
      <c r="B10139" s="12"/>
      <c r="C10139" s="12"/>
    </row>
    <row r="10140" spans="2:3">
      <c r="B10140" s="12"/>
      <c r="C10140" s="12"/>
    </row>
    <row r="10141" spans="2:3">
      <c r="B10141" s="12"/>
      <c r="C10141" s="12"/>
    </row>
    <row r="10142" spans="2:3">
      <c r="B10142" s="12"/>
      <c r="C10142" s="12"/>
    </row>
    <row r="10143" spans="2:3">
      <c r="B10143" s="12"/>
      <c r="C10143" s="12"/>
    </row>
    <row r="10144" spans="2:3">
      <c r="B10144" s="12"/>
      <c r="C10144" s="12"/>
    </row>
    <row r="10145" spans="2:3">
      <c r="B10145" s="12"/>
      <c r="C10145" s="12"/>
    </row>
    <row r="10146" spans="2:3">
      <c r="B10146" s="12"/>
      <c r="C10146" s="12"/>
    </row>
    <row r="10147" spans="2:3">
      <c r="B10147" s="12"/>
      <c r="C10147" s="12"/>
    </row>
    <row r="10148" spans="2:3">
      <c r="B10148" s="12"/>
      <c r="C10148" s="12"/>
    </row>
    <row r="10149" spans="2:3">
      <c r="B10149" s="12"/>
      <c r="C10149" s="12"/>
    </row>
    <row r="10150" spans="2:3">
      <c r="B10150" s="12"/>
      <c r="C10150" s="12"/>
    </row>
    <row r="10151" spans="2:3">
      <c r="B10151" s="12"/>
      <c r="C10151" s="12"/>
    </row>
    <row r="10152" spans="2:3">
      <c r="B10152" s="12"/>
      <c r="C10152" s="12"/>
    </row>
    <row r="10153" spans="2:3">
      <c r="B10153" s="12"/>
      <c r="C10153" s="12"/>
    </row>
    <row r="10154" spans="2:3">
      <c r="B10154" s="12"/>
      <c r="C10154" s="12"/>
    </row>
    <row r="10155" spans="2:3">
      <c r="B10155" s="12"/>
      <c r="C10155" s="12"/>
    </row>
    <row r="10156" spans="2:3">
      <c r="B10156" s="12"/>
      <c r="C10156" s="12"/>
    </row>
    <row r="10157" spans="2:3">
      <c r="B10157" s="12"/>
      <c r="C10157" s="12"/>
    </row>
    <row r="10158" spans="2:3">
      <c r="B10158" s="12"/>
      <c r="C10158" s="12"/>
    </row>
    <row r="10159" spans="2:3">
      <c r="B10159" s="12"/>
      <c r="C10159" s="12"/>
    </row>
    <row r="10160" spans="2:3">
      <c r="B10160" s="12"/>
      <c r="C10160" s="12"/>
    </row>
    <row r="10161" spans="2:3">
      <c r="B10161" s="12"/>
      <c r="C10161" s="12"/>
    </row>
    <row r="10162" spans="2:3">
      <c r="B10162" s="12"/>
      <c r="C10162" s="12"/>
    </row>
    <row r="10163" spans="2:3">
      <c r="B10163" s="12"/>
      <c r="C10163" s="12"/>
    </row>
    <row r="10164" spans="2:3">
      <c r="B10164" s="12"/>
      <c r="C10164" s="12"/>
    </row>
    <row r="10165" spans="2:3">
      <c r="B10165" s="12"/>
      <c r="C10165" s="12"/>
    </row>
    <row r="10166" spans="2:3">
      <c r="B10166" s="12"/>
      <c r="C10166" s="12"/>
    </row>
    <row r="10167" spans="2:3">
      <c r="B10167" s="12"/>
      <c r="C10167" s="12"/>
    </row>
    <row r="10168" spans="2:3">
      <c r="B10168" s="12"/>
      <c r="C10168" s="12"/>
    </row>
    <row r="10169" spans="2:3">
      <c r="B10169" s="12"/>
      <c r="C10169" s="12"/>
    </row>
    <row r="10170" spans="2:3">
      <c r="B10170" s="12"/>
      <c r="C10170" s="12"/>
    </row>
    <row r="10171" spans="2:3">
      <c r="B10171" s="12"/>
      <c r="C10171" s="12"/>
    </row>
    <row r="10172" spans="2:3">
      <c r="B10172" s="12"/>
      <c r="C10172" s="12"/>
    </row>
    <row r="10173" spans="2:3">
      <c r="B10173" s="12"/>
      <c r="C10173" s="12"/>
    </row>
    <row r="10174" spans="2:3">
      <c r="B10174" s="12"/>
      <c r="C10174" s="12"/>
    </row>
    <row r="10175" spans="2:3">
      <c r="B10175" s="12"/>
      <c r="C10175" s="12"/>
    </row>
    <row r="10176" spans="2:3">
      <c r="B10176" s="12"/>
      <c r="C10176" s="12"/>
    </row>
    <row r="10177" spans="2:3">
      <c r="B10177" s="12"/>
      <c r="C10177" s="12"/>
    </row>
    <row r="10178" spans="2:3">
      <c r="B10178" s="12"/>
      <c r="C10178" s="12"/>
    </row>
    <row r="10179" spans="2:3">
      <c r="B10179" s="12"/>
      <c r="C10179" s="12"/>
    </row>
    <row r="10180" spans="2:3">
      <c r="B10180" s="12"/>
      <c r="C10180" s="12"/>
    </row>
    <row r="10181" spans="2:3">
      <c r="B10181" s="12"/>
      <c r="C10181" s="12"/>
    </row>
    <row r="10182" spans="2:3">
      <c r="B10182" s="12"/>
      <c r="C10182" s="12"/>
    </row>
    <row r="10183" spans="2:3">
      <c r="B10183" s="12"/>
      <c r="C10183" s="12"/>
    </row>
    <row r="10184" spans="2:3">
      <c r="B10184" s="12"/>
      <c r="C10184" s="12"/>
    </row>
    <row r="10185" spans="2:3">
      <c r="B10185" s="12"/>
      <c r="C10185" s="12"/>
    </row>
    <row r="10186" spans="2:3">
      <c r="B10186" s="12"/>
      <c r="C10186" s="12"/>
    </row>
    <row r="10187" spans="2:3">
      <c r="B10187" s="12"/>
      <c r="C10187" s="12"/>
    </row>
    <row r="10188" spans="2:3">
      <c r="B10188" s="12"/>
      <c r="C10188" s="12"/>
    </row>
    <row r="10189" spans="2:3">
      <c r="B10189" s="12"/>
      <c r="C10189" s="12"/>
    </row>
    <row r="10190" spans="2:3">
      <c r="B10190" s="12"/>
      <c r="C10190" s="12"/>
    </row>
    <row r="10191" spans="2:3">
      <c r="B10191" s="12"/>
      <c r="C10191" s="12"/>
    </row>
    <row r="10192" spans="2:3">
      <c r="B10192" s="12"/>
      <c r="C10192" s="12"/>
    </row>
    <row r="10193" spans="2:3">
      <c r="B10193" s="12"/>
      <c r="C10193" s="12"/>
    </row>
    <row r="10194" spans="2:3">
      <c r="B10194" s="12"/>
      <c r="C10194" s="12"/>
    </row>
    <row r="10195" spans="2:3">
      <c r="B10195" s="12"/>
      <c r="C10195" s="12"/>
    </row>
    <row r="10196" spans="2:3">
      <c r="B10196" s="12"/>
      <c r="C10196" s="12"/>
    </row>
    <row r="10197" spans="2:3">
      <c r="B10197" s="12"/>
      <c r="C10197" s="12"/>
    </row>
    <row r="10198" spans="2:3">
      <c r="B10198" s="12"/>
      <c r="C10198" s="12"/>
    </row>
    <row r="10199" spans="2:3">
      <c r="B10199" s="12"/>
      <c r="C10199" s="12"/>
    </row>
    <row r="10200" spans="2:3">
      <c r="B10200" s="12"/>
      <c r="C10200" s="12"/>
    </row>
    <row r="10201" spans="2:3">
      <c r="B10201" s="12"/>
      <c r="C10201" s="12"/>
    </row>
    <row r="10202" spans="2:3">
      <c r="B10202" s="12"/>
      <c r="C10202" s="12"/>
    </row>
    <row r="10203" spans="2:3">
      <c r="B10203" s="12"/>
      <c r="C10203" s="12"/>
    </row>
    <row r="10204" spans="2:3">
      <c r="B10204" s="12"/>
      <c r="C10204" s="12"/>
    </row>
    <row r="10205" spans="2:3">
      <c r="B10205" s="12"/>
      <c r="C10205" s="12"/>
    </row>
    <row r="10206" spans="2:3">
      <c r="B10206" s="12"/>
      <c r="C10206" s="12"/>
    </row>
    <row r="10207" spans="2:3">
      <c r="B10207" s="12"/>
      <c r="C10207" s="12"/>
    </row>
    <row r="10208" spans="2:3">
      <c r="B10208" s="12"/>
      <c r="C10208" s="12"/>
    </row>
    <row r="10209" spans="2:3">
      <c r="B10209" s="12"/>
      <c r="C10209" s="12"/>
    </row>
    <row r="10210" spans="2:3">
      <c r="B10210" s="12"/>
      <c r="C10210" s="12"/>
    </row>
    <row r="10211" spans="2:3">
      <c r="B10211" s="12"/>
      <c r="C10211" s="12"/>
    </row>
    <row r="10212" spans="2:3">
      <c r="B10212" s="12"/>
      <c r="C10212" s="12"/>
    </row>
    <row r="10213" spans="2:3">
      <c r="B10213" s="12"/>
      <c r="C10213" s="12"/>
    </row>
    <row r="10214" spans="2:3">
      <c r="B10214" s="12"/>
      <c r="C10214" s="12"/>
    </row>
    <row r="10215" spans="2:3">
      <c r="B10215" s="12"/>
      <c r="C10215" s="12"/>
    </row>
    <row r="10216" spans="2:3">
      <c r="B10216" s="12"/>
      <c r="C10216" s="12"/>
    </row>
    <row r="10217" spans="2:3">
      <c r="B10217" s="12"/>
      <c r="C10217" s="12"/>
    </row>
    <row r="10218" spans="2:3">
      <c r="B10218" s="12"/>
      <c r="C10218" s="12"/>
    </row>
    <row r="10219" spans="2:3">
      <c r="B10219" s="12"/>
      <c r="C10219" s="12"/>
    </row>
    <row r="10220" spans="2:3">
      <c r="B10220" s="12"/>
      <c r="C10220" s="12"/>
    </row>
    <row r="10221" spans="2:3">
      <c r="B10221" s="12"/>
      <c r="C10221" s="12"/>
    </row>
    <row r="10222" spans="2:3">
      <c r="B10222" s="12"/>
      <c r="C10222" s="12"/>
    </row>
    <row r="10223" spans="2:3">
      <c r="B10223" s="12"/>
      <c r="C10223" s="12"/>
    </row>
    <row r="10224" spans="2:3">
      <c r="B10224" s="12"/>
      <c r="C10224" s="12"/>
    </row>
    <row r="10225" spans="2:3">
      <c r="B10225" s="12"/>
      <c r="C10225" s="12"/>
    </row>
    <row r="10226" spans="2:3">
      <c r="B10226" s="12"/>
      <c r="C10226" s="12"/>
    </row>
    <row r="10227" spans="2:3">
      <c r="B10227" s="12"/>
      <c r="C10227" s="12"/>
    </row>
    <row r="10228" spans="2:3">
      <c r="B10228" s="12"/>
      <c r="C10228" s="12"/>
    </row>
    <row r="10229" spans="2:3">
      <c r="B10229" s="12"/>
      <c r="C10229" s="12"/>
    </row>
    <row r="10230" spans="2:3">
      <c r="B10230" s="12"/>
      <c r="C10230" s="12"/>
    </row>
    <row r="10231" spans="2:3">
      <c r="B10231" s="12"/>
      <c r="C10231" s="12"/>
    </row>
    <row r="10232" spans="2:3">
      <c r="B10232" s="12"/>
      <c r="C10232" s="12"/>
    </row>
    <row r="10233" spans="2:3">
      <c r="B10233" s="12"/>
      <c r="C10233" s="12"/>
    </row>
    <row r="10234" spans="2:3">
      <c r="B10234" s="12"/>
      <c r="C10234" s="12"/>
    </row>
    <row r="10235" spans="2:3">
      <c r="B10235" s="12"/>
      <c r="C10235" s="12"/>
    </row>
    <row r="10236" spans="2:3">
      <c r="B10236" s="12"/>
      <c r="C10236" s="12"/>
    </row>
    <row r="10237" spans="2:3">
      <c r="B10237" s="12"/>
      <c r="C10237" s="12"/>
    </row>
    <row r="10238" spans="2:3">
      <c r="B10238" s="12"/>
      <c r="C10238" s="12"/>
    </row>
    <row r="10239" spans="2:3">
      <c r="B10239" s="12"/>
      <c r="C10239" s="12"/>
    </row>
    <row r="10240" spans="2:3">
      <c r="B10240" s="12"/>
      <c r="C10240" s="12"/>
    </row>
    <row r="10241" spans="2:3">
      <c r="B10241" s="12"/>
      <c r="C10241" s="12"/>
    </row>
    <row r="10242" spans="2:3">
      <c r="B10242" s="12"/>
      <c r="C10242" s="12"/>
    </row>
    <row r="10243" spans="2:3">
      <c r="B10243" s="12"/>
      <c r="C10243" s="12"/>
    </row>
    <row r="10244" spans="2:3">
      <c r="B10244" s="12"/>
      <c r="C10244" s="12"/>
    </row>
    <row r="10245" spans="2:3">
      <c r="B10245" s="12"/>
      <c r="C10245" s="12"/>
    </row>
    <row r="10246" spans="2:3">
      <c r="B10246" s="12"/>
      <c r="C10246" s="12"/>
    </row>
    <row r="10247" spans="2:3">
      <c r="B10247" s="12"/>
      <c r="C10247" s="12"/>
    </row>
    <row r="10248" spans="2:3">
      <c r="B10248" s="12"/>
      <c r="C10248" s="12"/>
    </row>
    <row r="10249" spans="2:3">
      <c r="B10249" s="12"/>
      <c r="C10249" s="12"/>
    </row>
    <row r="10250" spans="2:3">
      <c r="B10250" s="12"/>
      <c r="C10250" s="12"/>
    </row>
    <row r="10251" spans="2:3">
      <c r="B10251" s="12"/>
      <c r="C10251" s="12"/>
    </row>
    <row r="10252" spans="2:3">
      <c r="B10252" s="12"/>
      <c r="C10252" s="12"/>
    </row>
    <row r="10253" spans="2:3">
      <c r="B10253" s="12"/>
      <c r="C10253" s="12"/>
    </row>
    <row r="10254" spans="2:3">
      <c r="B10254" s="12"/>
      <c r="C10254" s="12"/>
    </row>
    <row r="10255" spans="2:3">
      <c r="B10255" s="12"/>
      <c r="C10255" s="12"/>
    </row>
    <row r="10256" spans="2:3">
      <c r="B10256" s="12"/>
      <c r="C10256" s="12"/>
    </row>
    <row r="10257" spans="2:3">
      <c r="B10257" s="12"/>
      <c r="C10257" s="12"/>
    </row>
    <row r="10258" spans="2:3">
      <c r="B10258" s="12"/>
      <c r="C10258" s="12"/>
    </row>
    <row r="10259" spans="2:3">
      <c r="B10259" s="12"/>
      <c r="C10259" s="12"/>
    </row>
    <row r="10260" spans="2:3">
      <c r="B10260" s="12"/>
      <c r="C10260" s="12"/>
    </row>
    <row r="10261" spans="2:3">
      <c r="B10261" s="12"/>
      <c r="C10261" s="12"/>
    </row>
    <row r="10262" spans="2:3">
      <c r="B10262" s="12"/>
      <c r="C10262" s="12"/>
    </row>
    <row r="10263" spans="2:3">
      <c r="B10263" s="12"/>
      <c r="C10263" s="12"/>
    </row>
    <row r="10264" spans="2:3">
      <c r="B10264" s="12"/>
      <c r="C10264" s="12"/>
    </row>
    <row r="10265" spans="2:3">
      <c r="B10265" s="12"/>
      <c r="C10265" s="12"/>
    </row>
    <row r="10266" spans="2:3">
      <c r="B10266" s="12"/>
      <c r="C10266" s="12"/>
    </row>
    <row r="10267" spans="2:3">
      <c r="B10267" s="12"/>
      <c r="C10267" s="12"/>
    </row>
    <row r="10268" spans="2:3">
      <c r="B10268" s="12"/>
      <c r="C10268" s="12"/>
    </row>
    <row r="10269" spans="2:3">
      <c r="B10269" s="12"/>
      <c r="C10269" s="12"/>
    </row>
    <row r="10270" spans="2:3">
      <c r="B10270" s="12"/>
      <c r="C10270" s="12"/>
    </row>
    <row r="10271" spans="2:3">
      <c r="B10271" s="12"/>
      <c r="C10271" s="12"/>
    </row>
    <row r="10272" spans="2:3">
      <c r="B10272" s="12"/>
      <c r="C10272" s="12"/>
    </row>
    <row r="10273" spans="2:3">
      <c r="B10273" s="12"/>
      <c r="C10273" s="12"/>
    </row>
    <row r="10274" spans="2:3">
      <c r="B10274" s="12"/>
      <c r="C10274" s="12"/>
    </row>
    <row r="10275" spans="2:3">
      <c r="B10275" s="12"/>
      <c r="C10275" s="12"/>
    </row>
    <row r="10276" spans="2:3">
      <c r="B10276" s="12"/>
      <c r="C10276" s="12"/>
    </row>
    <row r="10277" spans="2:3">
      <c r="B10277" s="12"/>
      <c r="C10277" s="12"/>
    </row>
    <row r="10278" spans="2:3">
      <c r="B10278" s="12"/>
      <c r="C10278" s="12"/>
    </row>
    <row r="10279" spans="2:3">
      <c r="B10279" s="12"/>
      <c r="C10279" s="12"/>
    </row>
    <row r="10280" spans="2:3">
      <c r="B10280" s="12"/>
      <c r="C10280" s="12"/>
    </row>
    <row r="10281" spans="2:3">
      <c r="B10281" s="12"/>
      <c r="C10281" s="12"/>
    </row>
    <row r="10282" spans="2:3">
      <c r="B10282" s="12"/>
      <c r="C10282" s="12"/>
    </row>
    <row r="10283" spans="2:3">
      <c r="B10283" s="12"/>
      <c r="C10283" s="12"/>
    </row>
    <row r="10284" spans="2:3">
      <c r="B10284" s="12"/>
      <c r="C10284" s="12"/>
    </row>
    <row r="10285" spans="2:3">
      <c r="B10285" s="12"/>
      <c r="C10285" s="12"/>
    </row>
    <row r="10286" spans="2:3">
      <c r="B10286" s="12"/>
      <c r="C10286" s="12"/>
    </row>
    <row r="10287" spans="2:3">
      <c r="B10287" s="12"/>
      <c r="C10287" s="12"/>
    </row>
    <row r="10288" spans="2:3">
      <c r="B10288" s="12"/>
      <c r="C10288" s="12"/>
    </row>
    <row r="10289" spans="2:3">
      <c r="B10289" s="12"/>
      <c r="C10289" s="12"/>
    </row>
    <row r="10290" spans="2:3">
      <c r="B10290" s="12"/>
      <c r="C10290" s="12"/>
    </row>
    <row r="10291" spans="2:3">
      <c r="B10291" s="12"/>
      <c r="C10291" s="12"/>
    </row>
    <row r="10292" spans="2:3">
      <c r="B10292" s="12"/>
      <c r="C10292" s="12"/>
    </row>
    <row r="10293" spans="2:3">
      <c r="B10293" s="12"/>
      <c r="C10293" s="12"/>
    </row>
    <row r="10294" spans="2:3">
      <c r="B10294" s="12"/>
      <c r="C10294" s="12"/>
    </row>
    <row r="10295" spans="2:3">
      <c r="B10295" s="12"/>
      <c r="C10295" s="12"/>
    </row>
    <row r="10296" spans="2:3">
      <c r="B10296" s="12"/>
      <c r="C10296" s="12"/>
    </row>
    <row r="10297" spans="2:3">
      <c r="B10297" s="12"/>
      <c r="C10297" s="12"/>
    </row>
    <row r="10298" spans="2:3">
      <c r="B10298" s="12"/>
      <c r="C10298" s="12"/>
    </row>
    <row r="10299" spans="2:3">
      <c r="B10299" s="12"/>
      <c r="C10299" s="12"/>
    </row>
    <row r="10300" spans="2:3">
      <c r="B10300" s="12"/>
      <c r="C10300" s="12"/>
    </row>
    <row r="10301" spans="2:3">
      <c r="B10301" s="12"/>
      <c r="C10301" s="12"/>
    </row>
    <row r="10302" spans="2:3">
      <c r="B10302" s="12"/>
      <c r="C10302" s="12"/>
    </row>
    <row r="10303" spans="2:3">
      <c r="B10303" s="12"/>
      <c r="C10303" s="12"/>
    </row>
    <row r="10304" spans="2:3">
      <c r="B10304" s="12"/>
      <c r="C10304" s="12"/>
    </row>
    <row r="10305" spans="2:3">
      <c r="B10305" s="12"/>
      <c r="C10305" s="12"/>
    </row>
    <row r="10306" spans="2:3">
      <c r="B10306" s="12"/>
      <c r="C10306" s="12"/>
    </row>
    <row r="10307" spans="2:3">
      <c r="B10307" s="12"/>
      <c r="C10307" s="12"/>
    </row>
    <row r="10308" spans="2:3">
      <c r="B10308" s="12"/>
      <c r="C10308" s="12"/>
    </row>
    <row r="10309" spans="2:3">
      <c r="B10309" s="12"/>
      <c r="C10309" s="12"/>
    </row>
    <row r="10310" spans="2:3">
      <c r="B10310" s="12"/>
      <c r="C10310" s="12"/>
    </row>
    <row r="10311" spans="2:3">
      <c r="B10311" s="12"/>
      <c r="C10311" s="12"/>
    </row>
    <row r="10312" spans="2:3">
      <c r="B10312" s="12"/>
      <c r="C10312" s="12"/>
    </row>
    <row r="10313" spans="2:3">
      <c r="B10313" s="12"/>
      <c r="C10313" s="12"/>
    </row>
    <row r="10314" spans="2:3">
      <c r="B10314" s="12"/>
      <c r="C10314" s="12"/>
    </row>
    <row r="10315" spans="2:3">
      <c r="B10315" s="12"/>
      <c r="C10315" s="12"/>
    </row>
    <row r="10316" spans="2:3">
      <c r="B10316" s="12"/>
      <c r="C10316" s="12"/>
    </row>
    <row r="10317" spans="2:3">
      <c r="B10317" s="12"/>
      <c r="C10317" s="12"/>
    </row>
    <row r="10318" spans="2:3">
      <c r="B10318" s="12"/>
      <c r="C10318" s="12"/>
    </row>
    <row r="10319" spans="2:3">
      <c r="B10319" s="12"/>
      <c r="C10319" s="12"/>
    </row>
    <row r="10320" spans="2:3">
      <c r="B10320" s="12"/>
      <c r="C10320" s="12"/>
    </row>
    <row r="10321" spans="2:3">
      <c r="B10321" s="12"/>
      <c r="C10321" s="12"/>
    </row>
    <row r="10322" spans="2:3">
      <c r="B10322" s="12"/>
      <c r="C10322" s="12"/>
    </row>
    <row r="10323" spans="2:3">
      <c r="B10323" s="12"/>
      <c r="C10323" s="12"/>
    </row>
    <row r="10324" spans="2:3">
      <c r="B10324" s="12"/>
      <c r="C10324" s="12"/>
    </row>
    <row r="10325" spans="2:3">
      <c r="B10325" s="12"/>
      <c r="C10325" s="12"/>
    </row>
    <row r="10326" spans="2:3">
      <c r="B10326" s="12"/>
      <c r="C10326" s="12"/>
    </row>
    <row r="10327" spans="2:3">
      <c r="B10327" s="12"/>
      <c r="C10327" s="12"/>
    </row>
    <row r="10328" spans="2:3">
      <c r="B10328" s="12"/>
      <c r="C10328" s="12"/>
    </row>
    <row r="10329" spans="2:3">
      <c r="B10329" s="12"/>
      <c r="C10329" s="12"/>
    </row>
    <row r="10330" spans="2:3">
      <c r="B10330" s="12"/>
      <c r="C10330" s="12"/>
    </row>
    <row r="10331" spans="2:3">
      <c r="B10331" s="12"/>
      <c r="C10331" s="12"/>
    </row>
    <row r="10332" spans="2:3">
      <c r="B10332" s="12"/>
      <c r="C10332" s="12"/>
    </row>
    <row r="10333" spans="2:3">
      <c r="B10333" s="12"/>
      <c r="C10333" s="12"/>
    </row>
    <row r="10334" spans="2:3">
      <c r="B10334" s="12"/>
      <c r="C10334" s="12"/>
    </row>
    <row r="10335" spans="2:3">
      <c r="B10335" s="12"/>
      <c r="C10335" s="12"/>
    </row>
    <row r="10336" spans="2:3">
      <c r="B10336" s="12"/>
      <c r="C10336" s="12"/>
    </row>
    <row r="10337" spans="2:3">
      <c r="B10337" s="12"/>
      <c r="C10337" s="12"/>
    </row>
    <row r="10338" spans="2:3">
      <c r="B10338" s="12"/>
      <c r="C10338" s="12"/>
    </row>
    <row r="10339" spans="2:3">
      <c r="B10339" s="12"/>
      <c r="C10339" s="12"/>
    </row>
    <row r="10340" spans="2:3">
      <c r="B10340" s="12"/>
      <c r="C10340" s="12"/>
    </row>
    <row r="10341" spans="2:3">
      <c r="B10341" s="12"/>
      <c r="C10341" s="12"/>
    </row>
    <row r="10342" spans="2:3">
      <c r="B10342" s="12"/>
      <c r="C10342" s="12"/>
    </row>
    <row r="10343" spans="2:3">
      <c r="B10343" s="12"/>
      <c r="C10343" s="12"/>
    </row>
    <row r="10344" spans="2:3">
      <c r="B10344" s="12"/>
      <c r="C10344" s="12"/>
    </row>
    <row r="10345" spans="2:3">
      <c r="B10345" s="12"/>
      <c r="C10345" s="12"/>
    </row>
    <row r="10346" spans="2:3">
      <c r="B10346" s="12"/>
      <c r="C10346" s="12"/>
    </row>
    <row r="10347" spans="2:3">
      <c r="B10347" s="12"/>
      <c r="C10347" s="12"/>
    </row>
    <row r="10348" spans="2:3">
      <c r="B10348" s="12"/>
      <c r="C10348" s="12"/>
    </row>
    <row r="10349" spans="2:3">
      <c r="B10349" s="12"/>
      <c r="C10349" s="12"/>
    </row>
    <row r="10350" spans="2:3">
      <c r="B10350" s="12"/>
      <c r="C10350" s="12"/>
    </row>
    <row r="10351" spans="2:3">
      <c r="B10351" s="12"/>
      <c r="C10351" s="12"/>
    </row>
    <row r="10352" spans="2:3">
      <c r="B10352" s="12"/>
      <c r="C10352" s="12"/>
    </row>
    <row r="10353" spans="2:3">
      <c r="B10353" s="12"/>
      <c r="C10353" s="12"/>
    </row>
    <row r="10354" spans="2:3">
      <c r="B10354" s="12"/>
      <c r="C10354" s="12"/>
    </row>
    <row r="10355" spans="2:3">
      <c r="B10355" s="12"/>
      <c r="C10355" s="12"/>
    </row>
    <row r="10356" spans="2:3">
      <c r="B10356" s="12"/>
      <c r="C10356" s="12"/>
    </row>
    <row r="10357" spans="2:3">
      <c r="B10357" s="12"/>
      <c r="C10357" s="12"/>
    </row>
    <row r="10358" spans="2:3">
      <c r="B10358" s="12"/>
      <c r="C10358" s="12"/>
    </row>
    <row r="10359" spans="2:3">
      <c r="B10359" s="12"/>
      <c r="C10359" s="12"/>
    </row>
    <row r="10360" spans="2:3">
      <c r="B10360" s="12"/>
      <c r="C10360" s="12"/>
    </row>
    <row r="10361" spans="2:3">
      <c r="B10361" s="12"/>
      <c r="C10361" s="12"/>
    </row>
    <row r="10362" spans="2:3">
      <c r="B10362" s="12"/>
      <c r="C10362" s="12"/>
    </row>
    <row r="10363" spans="2:3">
      <c r="B10363" s="12"/>
      <c r="C10363" s="12"/>
    </row>
    <row r="10364" spans="2:3">
      <c r="B10364" s="12"/>
      <c r="C10364" s="12"/>
    </row>
    <row r="10365" spans="2:3">
      <c r="B10365" s="12"/>
      <c r="C10365" s="12"/>
    </row>
    <row r="10366" spans="2:3">
      <c r="B10366" s="12"/>
      <c r="C10366" s="12"/>
    </row>
    <row r="10367" spans="2:3">
      <c r="B10367" s="12"/>
      <c r="C10367" s="12"/>
    </row>
    <row r="10368" spans="2:3">
      <c r="B10368" s="12"/>
      <c r="C10368" s="12"/>
    </row>
    <row r="10369" spans="2:3">
      <c r="B10369" s="12"/>
      <c r="C10369" s="12"/>
    </row>
    <row r="10370" spans="2:3">
      <c r="B10370" s="12"/>
      <c r="C10370" s="12"/>
    </row>
    <row r="10371" spans="2:3">
      <c r="B10371" s="12"/>
      <c r="C10371" s="12"/>
    </row>
    <row r="10372" spans="2:3">
      <c r="B10372" s="12"/>
      <c r="C10372" s="12"/>
    </row>
    <row r="10373" spans="2:3">
      <c r="B10373" s="12"/>
      <c r="C10373" s="12"/>
    </row>
    <row r="10374" spans="2:3">
      <c r="B10374" s="12"/>
      <c r="C10374" s="12"/>
    </row>
    <row r="10375" spans="2:3">
      <c r="B10375" s="12"/>
      <c r="C10375" s="12"/>
    </row>
    <row r="10376" spans="2:3">
      <c r="B10376" s="12"/>
      <c r="C10376" s="12"/>
    </row>
    <row r="10377" spans="2:3">
      <c r="B10377" s="12"/>
      <c r="C10377" s="12"/>
    </row>
    <row r="10378" spans="2:3">
      <c r="B10378" s="12"/>
      <c r="C10378" s="12"/>
    </row>
    <row r="10379" spans="2:3">
      <c r="B10379" s="12"/>
      <c r="C10379" s="12"/>
    </row>
    <row r="10380" spans="2:3">
      <c r="B10380" s="12"/>
      <c r="C10380" s="12"/>
    </row>
    <row r="10381" spans="2:3">
      <c r="B10381" s="12"/>
      <c r="C10381" s="12"/>
    </row>
    <row r="10382" spans="2:3">
      <c r="B10382" s="12"/>
      <c r="C10382" s="12"/>
    </row>
    <row r="10383" spans="2:3">
      <c r="B10383" s="12"/>
      <c r="C10383" s="12"/>
    </row>
    <row r="10384" spans="2:3">
      <c r="B10384" s="12"/>
      <c r="C10384" s="12"/>
    </row>
    <row r="10385" spans="2:3">
      <c r="B10385" s="12"/>
      <c r="C10385" s="12"/>
    </row>
    <row r="10386" spans="2:3">
      <c r="B10386" s="12"/>
      <c r="C10386" s="12"/>
    </row>
    <row r="10387" spans="2:3">
      <c r="B10387" s="12"/>
      <c r="C10387" s="12"/>
    </row>
    <row r="10388" spans="2:3">
      <c r="B10388" s="12"/>
      <c r="C10388" s="12"/>
    </row>
    <row r="10389" spans="2:3">
      <c r="B10389" s="12"/>
      <c r="C10389" s="12"/>
    </row>
    <row r="10390" spans="2:3">
      <c r="B10390" s="12"/>
      <c r="C10390" s="12"/>
    </row>
    <row r="10391" spans="2:3">
      <c r="B10391" s="12"/>
      <c r="C10391" s="12"/>
    </row>
    <row r="10392" spans="2:3">
      <c r="B10392" s="12"/>
      <c r="C10392" s="12"/>
    </row>
    <row r="10393" spans="2:3">
      <c r="B10393" s="12"/>
      <c r="C10393" s="12"/>
    </row>
    <row r="10394" spans="2:3">
      <c r="B10394" s="12"/>
      <c r="C10394" s="12"/>
    </row>
    <row r="10395" spans="2:3">
      <c r="B10395" s="12"/>
      <c r="C10395" s="12"/>
    </row>
    <row r="10396" spans="2:3">
      <c r="B10396" s="12"/>
      <c r="C10396" s="12"/>
    </row>
    <row r="10397" spans="2:3">
      <c r="B10397" s="12"/>
      <c r="C10397" s="12"/>
    </row>
    <row r="10398" spans="2:3">
      <c r="B10398" s="12"/>
      <c r="C10398" s="12"/>
    </row>
    <row r="10399" spans="2:3">
      <c r="B10399" s="12"/>
      <c r="C10399" s="12"/>
    </row>
    <row r="10400" spans="2:3">
      <c r="B10400" s="12"/>
      <c r="C10400" s="12"/>
    </row>
    <row r="10401" spans="2:3">
      <c r="B10401" s="12"/>
      <c r="C10401" s="12"/>
    </row>
    <row r="10402" spans="2:3">
      <c r="B10402" s="12"/>
      <c r="C10402" s="12"/>
    </row>
    <row r="10403" spans="2:3">
      <c r="B10403" s="12"/>
      <c r="C10403" s="12"/>
    </row>
    <row r="10404" spans="2:3">
      <c r="B10404" s="12"/>
      <c r="C10404" s="12"/>
    </row>
    <row r="10405" spans="2:3">
      <c r="B10405" s="12"/>
      <c r="C10405" s="12"/>
    </row>
    <row r="10406" spans="2:3">
      <c r="B10406" s="12"/>
      <c r="C10406" s="12"/>
    </row>
    <row r="10407" spans="2:3">
      <c r="B10407" s="12"/>
      <c r="C10407" s="12"/>
    </row>
    <row r="10408" spans="2:3">
      <c r="B10408" s="12"/>
      <c r="C10408" s="12"/>
    </row>
    <row r="10409" spans="2:3">
      <c r="B10409" s="12"/>
      <c r="C10409" s="12"/>
    </row>
    <row r="10410" spans="2:3">
      <c r="B10410" s="12"/>
      <c r="C10410" s="12"/>
    </row>
    <row r="10411" spans="2:3">
      <c r="B10411" s="12"/>
      <c r="C10411" s="12"/>
    </row>
    <row r="10412" spans="2:3">
      <c r="B10412" s="12"/>
      <c r="C10412" s="12"/>
    </row>
    <row r="10413" spans="2:3">
      <c r="B10413" s="12"/>
      <c r="C10413" s="12"/>
    </row>
    <row r="10414" spans="2:3">
      <c r="B10414" s="12"/>
      <c r="C10414" s="12"/>
    </row>
    <row r="10415" spans="2:3">
      <c r="B10415" s="12"/>
      <c r="C10415" s="12"/>
    </row>
    <row r="10416" spans="2:3">
      <c r="B10416" s="12"/>
      <c r="C10416" s="12"/>
    </row>
    <row r="10417" spans="2:3">
      <c r="B10417" s="12"/>
      <c r="C10417" s="12"/>
    </row>
    <row r="10418" spans="2:3">
      <c r="B10418" s="12"/>
      <c r="C10418" s="12"/>
    </row>
    <row r="10419" spans="2:3">
      <c r="B10419" s="12"/>
      <c r="C10419" s="12"/>
    </row>
    <row r="10420" spans="2:3">
      <c r="B10420" s="12"/>
      <c r="C10420" s="12"/>
    </row>
    <row r="10421" spans="2:3">
      <c r="B10421" s="12"/>
      <c r="C10421" s="12"/>
    </row>
    <row r="10422" spans="2:3">
      <c r="B10422" s="12"/>
      <c r="C10422" s="12"/>
    </row>
    <row r="10423" spans="2:3">
      <c r="B10423" s="12"/>
      <c r="C10423" s="12"/>
    </row>
    <row r="10424" spans="2:3">
      <c r="B10424" s="12"/>
      <c r="C10424" s="12"/>
    </row>
    <row r="10425" spans="2:3">
      <c r="B10425" s="12"/>
      <c r="C10425" s="12"/>
    </row>
    <row r="10426" spans="2:3">
      <c r="B10426" s="12"/>
      <c r="C10426" s="12"/>
    </row>
    <row r="10427" spans="2:3">
      <c r="B10427" s="12"/>
      <c r="C10427" s="12"/>
    </row>
    <row r="10428" spans="2:3">
      <c r="B10428" s="12"/>
      <c r="C10428" s="12"/>
    </row>
    <row r="10429" spans="2:3">
      <c r="B10429" s="12"/>
      <c r="C10429" s="12"/>
    </row>
    <row r="10430" spans="2:3">
      <c r="B10430" s="12"/>
      <c r="C10430" s="12"/>
    </row>
    <row r="10431" spans="2:3">
      <c r="B10431" s="12"/>
      <c r="C10431" s="12"/>
    </row>
    <row r="10432" spans="2:3">
      <c r="B10432" s="12"/>
      <c r="C10432" s="12"/>
    </row>
    <row r="10433" spans="2:3">
      <c r="B10433" s="12"/>
      <c r="C10433" s="12"/>
    </row>
    <row r="10434" spans="2:3">
      <c r="B10434" s="12"/>
      <c r="C10434" s="12"/>
    </row>
    <row r="10435" spans="2:3">
      <c r="B10435" s="12"/>
      <c r="C10435" s="12"/>
    </row>
    <row r="10436" spans="2:3">
      <c r="B10436" s="12"/>
      <c r="C10436" s="12"/>
    </row>
    <row r="10437" spans="2:3">
      <c r="B10437" s="12"/>
      <c r="C10437" s="12"/>
    </row>
    <row r="10438" spans="2:3">
      <c r="B10438" s="12"/>
      <c r="C10438" s="12"/>
    </row>
    <row r="10439" spans="2:3">
      <c r="B10439" s="12"/>
      <c r="C10439" s="12"/>
    </row>
    <row r="10440" spans="2:3">
      <c r="B10440" s="12"/>
      <c r="C10440" s="12"/>
    </row>
    <row r="10441" spans="2:3">
      <c r="B10441" s="12"/>
      <c r="C10441" s="12"/>
    </row>
    <row r="10442" spans="2:3">
      <c r="B10442" s="12"/>
      <c r="C10442" s="12"/>
    </row>
    <row r="10443" spans="2:3">
      <c r="B10443" s="12"/>
      <c r="C10443" s="12"/>
    </row>
    <row r="10444" spans="2:3">
      <c r="B10444" s="12"/>
      <c r="C10444" s="12"/>
    </row>
    <row r="10445" spans="2:3">
      <c r="B10445" s="12"/>
      <c r="C10445" s="12"/>
    </row>
    <row r="10446" spans="2:3">
      <c r="B10446" s="12"/>
      <c r="C10446" s="12"/>
    </row>
    <row r="10447" spans="2:3">
      <c r="B10447" s="12"/>
      <c r="C10447" s="12"/>
    </row>
    <row r="10448" spans="2:3">
      <c r="B10448" s="12"/>
      <c r="C10448" s="12"/>
    </row>
    <row r="10449" spans="2:3">
      <c r="B10449" s="12"/>
      <c r="C10449" s="12"/>
    </row>
    <row r="10450" spans="2:3">
      <c r="B10450" s="12"/>
      <c r="C10450" s="12"/>
    </row>
    <row r="10451" spans="2:3">
      <c r="B10451" s="12"/>
      <c r="C10451" s="12"/>
    </row>
    <row r="10452" spans="2:3">
      <c r="B10452" s="12"/>
      <c r="C10452" s="12"/>
    </row>
    <row r="10453" spans="2:3">
      <c r="B10453" s="12"/>
      <c r="C10453" s="12"/>
    </row>
    <row r="10454" spans="2:3">
      <c r="B10454" s="12"/>
      <c r="C10454" s="12"/>
    </row>
    <row r="10455" spans="2:3">
      <c r="B10455" s="12"/>
      <c r="C10455" s="12"/>
    </row>
    <row r="10456" spans="2:3">
      <c r="B10456" s="12"/>
      <c r="C10456" s="12"/>
    </row>
    <row r="10457" spans="2:3">
      <c r="B10457" s="12"/>
      <c r="C10457" s="12"/>
    </row>
    <row r="10458" spans="2:3">
      <c r="B10458" s="12"/>
      <c r="C10458" s="12"/>
    </row>
    <row r="10459" spans="2:3">
      <c r="B10459" s="12"/>
      <c r="C10459" s="12"/>
    </row>
    <row r="10460" spans="2:3">
      <c r="B10460" s="12"/>
      <c r="C10460" s="12"/>
    </row>
    <row r="10461" spans="2:3">
      <c r="B10461" s="12"/>
      <c r="C10461" s="12"/>
    </row>
    <row r="10462" spans="2:3">
      <c r="B10462" s="12"/>
      <c r="C10462" s="12"/>
    </row>
    <row r="10463" spans="2:3">
      <c r="B10463" s="12"/>
      <c r="C10463" s="12"/>
    </row>
    <row r="10464" spans="2:3">
      <c r="B10464" s="12"/>
      <c r="C10464" s="12"/>
    </row>
    <row r="10465" spans="2:3">
      <c r="B10465" s="12"/>
      <c r="C10465" s="12"/>
    </row>
    <row r="10466" spans="2:3">
      <c r="B10466" s="12"/>
      <c r="C10466" s="12"/>
    </row>
    <row r="10467" spans="2:3">
      <c r="B10467" s="12"/>
      <c r="C10467" s="12"/>
    </row>
    <row r="10468" spans="2:3">
      <c r="B10468" s="12"/>
      <c r="C10468" s="12"/>
    </row>
    <row r="10469" spans="2:3">
      <c r="B10469" s="12"/>
      <c r="C10469" s="12"/>
    </row>
    <row r="10470" spans="2:3">
      <c r="B10470" s="12"/>
      <c r="C10470" s="12"/>
    </row>
    <row r="10471" spans="2:3">
      <c r="B10471" s="12"/>
      <c r="C10471" s="12"/>
    </row>
    <row r="10472" spans="2:3">
      <c r="B10472" s="12"/>
      <c r="C10472" s="12"/>
    </row>
    <row r="10473" spans="2:3">
      <c r="B10473" s="12"/>
      <c r="C10473" s="12"/>
    </row>
    <row r="10474" spans="2:3">
      <c r="B10474" s="12"/>
      <c r="C10474" s="12"/>
    </row>
    <row r="10475" spans="2:3">
      <c r="B10475" s="12"/>
      <c r="C10475" s="12"/>
    </row>
    <row r="10476" spans="2:3">
      <c r="B10476" s="12"/>
      <c r="C10476" s="12"/>
    </row>
    <row r="10477" spans="2:3">
      <c r="B10477" s="12"/>
      <c r="C10477" s="12"/>
    </row>
    <row r="10478" spans="2:3">
      <c r="B10478" s="12"/>
      <c r="C10478" s="12"/>
    </row>
    <row r="10479" spans="2:3">
      <c r="B10479" s="12"/>
      <c r="C10479" s="12"/>
    </row>
    <row r="10480" spans="2:3">
      <c r="B10480" s="12"/>
      <c r="C10480" s="12"/>
    </row>
    <row r="10481" spans="2:3">
      <c r="B10481" s="12"/>
      <c r="C10481" s="12"/>
    </row>
    <row r="10482" spans="2:3">
      <c r="B10482" s="12"/>
      <c r="C10482" s="12"/>
    </row>
    <row r="10483" spans="2:3">
      <c r="B10483" s="12"/>
      <c r="C10483" s="12"/>
    </row>
    <row r="10484" spans="2:3">
      <c r="B10484" s="12"/>
      <c r="C10484" s="12"/>
    </row>
    <row r="10485" spans="2:3">
      <c r="B10485" s="12"/>
      <c r="C10485" s="12"/>
    </row>
    <row r="10486" spans="2:3">
      <c r="B10486" s="12"/>
      <c r="C10486" s="12"/>
    </row>
    <row r="10487" spans="2:3">
      <c r="B10487" s="12"/>
      <c r="C10487" s="12"/>
    </row>
    <row r="10488" spans="2:3">
      <c r="B10488" s="12"/>
      <c r="C10488" s="12"/>
    </row>
    <row r="10489" spans="2:3">
      <c r="B10489" s="12"/>
      <c r="C10489" s="12"/>
    </row>
    <row r="10490" spans="2:3">
      <c r="B10490" s="12"/>
      <c r="C10490" s="12"/>
    </row>
    <row r="10491" spans="2:3">
      <c r="B10491" s="12"/>
      <c r="C10491" s="12"/>
    </row>
    <row r="10492" spans="2:3">
      <c r="B10492" s="12"/>
      <c r="C10492" s="12"/>
    </row>
    <row r="10493" spans="2:3">
      <c r="B10493" s="12"/>
      <c r="C10493" s="12"/>
    </row>
    <row r="10494" spans="2:3">
      <c r="B10494" s="12"/>
      <c r="C10494" s="12"/>
    </row>
    <row r="10495" spans="2:3">
      <c r="B10495" s="12"/>
      <c r="C10495" s="12"/>
    </row>
    <row r="10496" spans="2:3">
      <c r="B10496" s="12"/>
      <c r="C10496" s="12"/>
    </row>
    <row r="10497" spans="2:3">
      <c r="B10497" s="12"/>
      <c r="C10497" s="12"/>
    </row>
    <row r="10498" spans="2:3">
      <c r="B10498" s="12"/>
      <c r="C10498" s="12"/>
    </row>
    <row r="10499" spans="2:3">
      <c r="B10499" s="12"/>
      <c r="C10499" s="12"/>
    </row>
    <row r="10500" spans="2:3">
      <c r="B10500" s="12"/>
      <c r="C10500" s="12"/>
    </row>
    <row r="10501" spans="2:3">
      <c r="B10501" s="12"/>
      <c r="C10501" s="12"/>
    </row>
    <row r="10502" spans="2:3">
      <c r="B10502" s="12"/>
      <c r="C10502" s="12"/>
    </row>
    <row r="10503" spans="2:3">
      <c r="B10503" s="12"/>
      <c r="C10503" s="12"/>
    </row>
    <row r="10504" spans="2:3">
      <c r="B10504" s="12"/>
      <c r="C10504" s="12"/>
    </row>
    <row r="10505" spans="2:3">
      <c r="B10505" s="12"/>
      <c r="C10505" s="12"/>
    </row>
    <row r="10506" spans="2:3">
      <c r="B10506" s="12"/>
      <c r="C10506" s="12"/>
    </row>
    <row r="10507" spans="2:3">
      <c r="B10507" s="12"/>
      <c r="C10507" s="12"/>
    </row>
    <row r="10508" spans="2:3">
      <c r="B10508" s="12"/>
      <c r="C10508" s="12"/>
    </row>
    <row r="10509" spans="2:3">
      <c r="B10509" s="12"/>
      <c r="C10509" s="12"/>
    </row>
    <row r="10510" spans="2:3">
      <c r="B10510" s="12"/>
      <c r="C10510" s="12"/>
    </row>
    <row r="10511" spans="2:3">
      <c r="B10511" s="12"/>
      <c r="C10511" s="12"/>
    </row>
    <row r="10512" spans="2:3">
      <c r="B10512" s="12"/>
      <c r="C10512" s="12"/>
    </row>
    <row r="10513" spans="2:3">
      <c r="B10513" s="12"/>
      <c r="C10513" s="12"/>
    </row>
    <row r="10514" spans="2:3">
      <c r="B10514" s="12"/>
      <c r="C10514" s="12"/>
    </row>
    <row r="10515" spans="2:3">
      <c r="B10515" s="12"/>
      <c r="C10515" s="12"/>
    </row>
    <row r="10516" spans="2:3">
      <c r="B10516" s="12"/>
      <c r="C10516" s="12"/>
    </row>
    <row r="10517" spans="2:3">
      <c r="B10517" s="12"/>
      <c r="C10517" s="12"/>
    </row>
    <row r="10518" spans="2:3">
      <c r="B10518" s="12"/>
      <c r="C10518" s="12"/>
    </row>
    <row r="10519" spans="2:3">
      <c r="B10519" s="12"/>
      <c r="C10519" s="12"/>
    </row>
    <row r="10520" spans="2:3">
      <c r="B10520" s="12"/>
      <c r="C10520" s="12"/>
    </row>
    <row r="10521" spans="2:3">
      <c r="B10521" s="12"/>
      <c r="C10521" s="12"/>
    </row>
    <row r="10522" spans="2:3">
      <c r="B10522" s="12"/>
      <c r="C10522" s="12"/>
    </row>
    <row r="10523" spans="2:3">
      <c r="B10523" s="12"/>
      <c r="C10523" s="12"/>
    </row>
    <row r="10524" spans="2:3">
      <c r="B10524" s="12"/>
      <c r="C10524" s="12"/>
    </row>
    <row r="10525" spans="2:3">
      <c r="B10525" s="12"/>
      <c r="C10525" s="12"/>
    </row>
    <row r="10526" spans="2:3">
      <c r="B10526" s="12"/>
      <c r="C10526" s="12"/>
    </row>
    <row r="10527" spans="2:3">
      <c r="B10527" s="12"/>
      <c r="C10527" s="12"/>
    </row>
    <row r="10528" spans="2:3">
      <c r="B10528" s="12"/>
      <c r="C10528" s="12"/>
    </row>
    <row r="10529" spans="2:3">
      <c r="B10529" s="12"/>
      <c r="C10529" s="12"/>
    </row>
    <row r="10530" spans="2:3">
      <c r="B10530" s="12"/>
      <c r="C10530" s="12"/>
    </row>
    <row r="10531" spans="2:3">
      <c r="B10531" s="12"/>
      <c r="C10531" s="12"/>
    </row>
    <row r="10532" spans="2:3">
      <c r="B10532" s="12"/>
      <c r="C10532" s="12"/>
    </row>
    <row r="10533" spans="2:3">
      <c r="B10533" s="12"/>
      <c r="C10533" s="12"/>
    </row>
    <row r="10534" spans="2:3">
      <c r="B10534" s="12"/>
      <c r="C10534" s="12"/>
    </row>
    <row r="10535" spans="2:3">
      <c r="B10535" s="12"/>
      <c r="C10535" s="12"/>
    </row>
    <row r="10536" spans="2:3">
      <c r="B10536" s="12"/>
      <c r="C10536" s="12"/>
    </row>
    <row r="10537" spans="2:3">
      <c r="B10537" s="12"/>
      <c r="C10537" s="12"/>
    </row>
    <row r="10538" spans="2:3">
      <c r="B10538" s="12"/>
      <c r="C10538" s="12"/>
    </row>
    <row r="10539" spans="2:3">
      <c r="B10539" s="12"/>
      <c r="C10539" s="12"/>
    </row>
    <row r="10540" spans="2:3">
      <c r="B10540" s="12"/>
      <c r="C10540" s="12"/>
    </row>
    <row r="10541" spans="2:3">
      <c r="B10541" s="12"/>
      <c r="C10541" s="12"/>
    </row>
    <row r="10542" spans="2:3">
      <c r="B10542" s="12"/>
      <c r="C10542" s="12"/>
    </row>
    <row r="10543" spans="2:3">
      <c r="B10543" s="12"/>
      <c r="C10543" s="12"/>
    </row>
    <row r="10544" spans="2:3">
      <c r="B10544" s="12"/>
      <c r="C10544" s="12"/>
    </row>
    <row r="10545" spans="2:3">
      <c r="B10545" s="12"/>
      <c r="C10545" s="12"/>
    </row>
    <row r="10546" spans="2:3">
      <c r="B10546" s="12"/>
      <c r="C10546" s="12"/>
    </row>
    <row r="10547" spans="2:3">
      <c r="B10547" s="12"/>
      <c r="C10547" s="12"/>
    </row>
    <row r="10548" spans="2:3">
      <c r="B10548" s="12"/>
      <c r="C10548" s="12"/>
    </row>
    <row r="10549" spans="2:3">
      <c r="B10549" s="12"/>
      <c r="C10549" s="12"/>
    </row>
    <row r="10550" spans="2:3">
      <c r="B10550" s="12"/>
      <c r="C10550" s="12"/>
    </row>
    <row r="10551" spans="2:3">
      <c r="B10551" s="12"/>
      <c r="C10551" s="12"/>
    </row>
    <row r="10552" spans="2:3">
      <c r="B10552" s="12"/>
      <c r="C10552" s="12"/>
    </row>
    <row r="10553" spans="2:3">
      <c r="B10553" s="12"/>
      <c r="C10553" s="12"/>
    </row>
    <row r="10554" spans="2:3">
      <c r="B10554" s="12"/>
      <c r="C10554" s="12"/>
    </row>
    <row r="10555" spans="2:3">
      <c r="B10555" s="12"/>
      <c r="C10555" s="12"/>
    </row>
    <row r="10556" spans="2:3">
      <c r="B10556" s="12"/>
      <c r="C10556" s="12"/>
    </row>
    <row r="10557" spans="2:3">
      <c r="B10557" s="12"/>
      <c r="C10557" s="12"/>
    </row>
    <row r="10558" spans="2:3">
      <c r="B10558" s="12"/>
      <c r="C10558" s="12"/>
    </row>
    <row r="10559" spans="2:3">
      <c r="B10559" s="12"/>
      <c r="C10559" s="12"/>
    </row>
    <row r="10560" spans="2:3">
      <c r="B10560" s="12"/>
      <c r="C10560" s="12"/>
    </row>
    <row r="10561" spans="2:3">
      <c r="B10561" s="12"/>
      <c r="C10561" s="12"/>
    </row>
    <row r="10562" spans="2:3">
      <c r="B10562" s="12"/>
      <c r="C10562" s="12"/>
    </row>
    <row r="10563" spans="2:3">
      <c r="B10563" s="12"/>
      <c r="C10563" s="12"/>
    </row>
    <row r="10564" spans="2:3">
      <c r="B10564" s="12"/>
      <c r="C10564" s="12"/>
    </row>
    <row r="10565" spans="2:3">
      <c r="B10565" s="12"/>
      <c r="C10565" s="12"/>
    </row>
    <row r="10566" spans="2:3">
      <c r="B10566" s="12"/>
      <c r="C10566" s="12"/>
    </row>
    <row r="10567" spans="2:3">
      <c r="B10567" s="12"/>
      <c r="C10567" s="12"/>
    </row>
    <row r="10568" spans="2:3">
      <c r="B10568" s="12"/>
      <c r="C10568" s="12"/>
    </row>
    <row r="10569" spans="2:3">
      <c r="B10569" s="12"/>
      <c r="C10569" s="12"/>
    </row>
    <row r="10570" spans="2:3">
      <c r="B10570" s="12"/>
      <c r="C10570" s="12"/>
    </row>
    <row r="10571" spans="2:3">
      <c r="B10571" s="12"/>
      <c r="C10571" s="12"/>
    </row>
    <row r="10572" spans="2:3">
      <c r="B10572" s="12"/>
      <c r="C10572" s="12"/>
    </row>
    <row r="10573" spans="2:3">
      <c r="B10573" s="12"/>
      <c r="C10573" s="12"/>
    </row>
    <row r="10574" spans="2:3">
      <c r="B10574" s="12"/>
      <c r="C10574" s="12"/>
    </row>
    <row r="10575" spans="2:3">
      <c r="B10575" s="12"/>
      <c r="C10575" s="12"/>
    </row>
    <row r="10576" spans="2:3">
      <c r="B10576" s="12"/>
      <c r="C10576" s="12"/>
    </row>
    <row r="10577" spans="2:3">
      <c r="B10577" s="12"/>
      <c r="C10577" s="12"/>
    </row>
    <row r="10578" spans="2:3">
      <c r="B10578" s="12"/>
      <c r="C10578" s="12"/>
    </row>
    <row r="10579" spans="2:3">
      <c r="B10579" s="12"/>
      <c r="C10579" s="12"/>
    </row>
    <row r="10580" spans="2:3">
      <c r="B10580" s="12"/>
      <c r="C10580" s="12"/>
    </row>
    <row r="10581" spans="2:3">
      <c r="B10581" s="12"/>
      <c r="C10581" s="12"/>
    </row>
    <row r="10582" spans="2:3">
      <c r="B10582" s="12"/>
      <c r="C10582" s="12"/>
    </row>
    <row r="10583" spans="2:3">
      <c r="B10583" s="12"/>
      <c r="C10583" s="12"/>
    </row>
    <row r="10584" spans="2:3">
      <c r="B10584" s="12"/>
      <c r="C10584" s="12"/>
    </row>
    <row r="10585" spans="2:3">
      <c r="B10585" s="12"/>
      <c r="C10585" s="12"/>
    </row>
    <row r="10586" spans="2:3">
      <c r="B10586" s="12"/>
      <c r="C10586" s="12"/>
    </row>
    <row r="10587" spans="2:3">
      <c r="B10587" s="12"/>
      <c r="C10587" s="12"/>
    </row>
    <row r="10588" spans="2:3">
      <c r="B10588" s="12"/>
      <c r="C10588" s="12"/>
    </row>
    <row r="10589" spans="2:3">
      <c r="B10589" s="12"/>
      <c r="C10589" s="12"/>
    </row>
    <row r="10590" spans="2:3">
      <c r="B10590" s="12"/>
      <c r="C10590" s="12"/>
    </row>
    <row r="10591" spans="2:3">
      <c r="B10591" s="12"/>
      <c r="C10591" s="12"/>
    </row>
    <row r="10592" spans="2:3">
      <c r="B10592" s="12"/>
      <c r="C10592" s="12"/>
    </row>
    <row r="10593" spans="2:3">
      <c r="B10593" s="12"/>
      <c r="C10593" s="12"/>
    </row>
    <row r="10594" spans="2:3">
      <c r="B10594" s="12"/>
      <c r="C10594" s="12"/>
    </row>
    <row r="10595" spans="2:3">
      <c r="B10595" s="12"/>
      <c r="C10595" s="12"/>
    </row>
    <row r="10596" spans="2:3">
      <c r="B10596" s="12"/>
      <c r="C10596" s="12"/>
    </row>
    <row r="10597" spans="2:3">
      <c r="B10597" s="12"/>
      <c r="C10597" s="12"/>
    </row>
    <row r="10598" spans="2:3">
      <c r="B10598" s="12"/>
      <c r="C10598" s="12"/>
    </row>
    <row r="10599" spans="2:3">
      <c r="B10599" s="12"/>
      <c r="C10599" s="12"/>
    </row>
    <row r="10600" spans="2:3">
      <c r="B10600" s="12"/>
      <c r="C10600" s="12"/>
    </row>
    <row r="10601" spans="2:3">
      <c r="B10601" s="12"/>
      <c r="C10601" s="12"/>
    </row>
    <row r="10602" spans="2:3">
      <c r="B10602" s="12"/>
      <c r="C10602" s="12"/>
    </row>
    <row r="10603" spans="2:3">
      <c r="B10603" s="12"/>
      <c r="C10603" s="12"/>
    </row>
    <row r="10604" spans="2:3">
      <c r="B10604" s="12"/>
      <c r="C10604" s="12"/>
    </row>
    <row r="10605" spans="2:3">
      <c r="B10605" s="12"/>
      <c r="C10605" s="12"/>
    </row>
    <row r="10606" spans="2:3">
      <c r="B10606" s="12"/>
      <c r="C10606" s="12"/>
    </row>
    <row r="10607" spans="2:3">
      <c r="B10607" s="12"/>
      <c r="C10607" s="12"/>
    </row>
    <row r="10608" spans="2:3">
      <c r="B10608" s="12"/>
      <c r="C10608" s="12"/>
    </row>
    <row r="10609" spans="2:3">
      <c r="B10609" s="12"/>
      <c r="C10609" s="12"/>
    </row>
    <row r="10610" spans="2:3">
      <c r="B10610" s="12"/>
      <c r="C10610" s="12"/>
    </row>
    <row r="10611" spans="2:3">
      <c r="B10611" s="12"/>
      <c r="C10611" s="12"/>
    </row>
    <row r="10612" spans="2:3">
      <c r="B10612" s="12"/>
      <c r="C10612" s="12"/>
    </row>
    <row r="10613" spans="2:3">
      <c r="B10613" s="12"/>
      <c r="C10613" s="12"/>
    </row>
    <row r="10614" spans="2:3">
      <c r="B10614" s="12"/>
      <c r="C10614" s="12"/>
    </row>
    <row r="10615" spans="2:3">
      <c r="B10615" s="12"/>
      <c r="C10615" s="12"/>
    </row>
    <row r="10616" spans="2:3">
      <c r="B10616" s="12"/>
      <c r="C10616" s="12"/>
    </row>
    <row r="10617" spans="2:3">
      <c r="B10617" s="12"/>
      <c r="C10617" s="12"/>
    </row>
    <row r="10618" spans="2:3">
      <c r="B10618" s="12"/>
      <c r="C10618" s="12"/>
    </row>
    <row r="10619" spans="2:3">
      <c r="B10619" s="12"/>
      <c r="C10619" s="12"/>
    </row>
    <row r="10620" spans="2:3">
      <c r="B10620" s="12"/>
      <c r="C10620" s="12"/>
    </row>
    <row r="10621" spans="2:3">
      <c r="B10621" s="12"/>
      <c r="C10621" s="12"/>
    </row>
    <row r="10622" spans="2:3">
      <c r="B10622" s="12"/>
      <c r="C10622" s="12"/>
    </row>
    <row r="10623" spans="2:3">
      <c r="B10623" s="12"/>
      <c r="C10623" s="12"/>
    </row>
    <row r="10624" spans="2:3">
      <c r="B10624" s="12"/>
      <c r="C10624" s="12"/>
    </row>
    <row r="10625" spans="2:3">
      <c r="B10625" s="12"/>
      <c r="C10625" s="12"/>
    </row>
    <row r="10626" spans="2:3">
      <c r="B10626" s="12"/>
      <c r="C10626" s="12"/>
    </row>
    <row r="10627" spans="2:3">
      <c r="B10627" s="12"/>
      <c r="C10627" s="12"/>
    </row>
    <row r="10628" spans="2:3">
      <c r="B10628" s="12"/>
      <c r="C10628" s="12"/>
    </row>
    <row r="10629" spans="2:3">
      <c r="B10629" s="12"/>
      <c r="C10629" s="12"/>
    </row>
    <row r="10630" spans="2:3">
      <c r="B10630" s="12"/>
      <c r="C10630" s="12"/>
    </row>
    <row r="10631" spans="2:3">
      <c r="B10631" s="12"/>
      <c r="C10631" s="12"/>
    </row>
    <row r="10632" spans="2:3">
      <c r="B10632" s="12"/>
      <c r="C10632" s="12"/>
    </row>
    <row r="10633" spans="2:3">
      <c r="B10633" s="12"/>
      <c r="C10633" s="12"/>
    </row>
    <row r="10634" spans="2:3">
      <c r="B10634" s="12"/>
      <c r="C10634" s="12"/>
    </row>
    <row r="10635" spans="2:3">
      <c r="B10635" s="12"/>
      <c r="C10635" s="12"/>
    </row>
    <row r="10636" spans="2:3">
      <c r="B10636" s="12"/>
      <c r="C10636" s="12"/>
    </row>
    <row r="10637" spans="2:3">
      <c r="B10637" s="12"/>
      <c r="C10637" s="12"/>
    </row>
    <row r="10638" spans="2:3">
      <c r="B10638" s="12"/>
      <c r="C10638" s="12"/>
    </row>
    <row r="10639" spans="2:3">
      <c r="B10639" s="12"/>
      <c r="C10639" s="12"/>
    </row>
    <row r="10640" spans="2:3">
      <c r="B10640" s="12"/>
      <c r="C10640" s="12"/>
    </row>
    <row r="10641" spans="2:3">
      <c r="B10641" s="12"/>
      <c r="C10641" s="12"/>
    </row>
    <row r="10642" spans="2:3">
      <c r="B10642" s="12"/>
      <c r="C10642" s="12"/>
    </row>
    <row r="10643" spans="2:3">
      <c r="B10643" s="12"/>
      <c r="C10643" s="12"/>
    </row>
    <row r="10644" spans="2:3">
      <c r="B10644" s="12"/>
      <c r="C10644" s="12"/>
    </row>
    <row r="10645" spans="2:3">
      <c r="B10645" s="12"/>
      <c r="C10645" s="12"/>
    </row>
    <row r="10646" spans="2:3">
      <c r="B10646" s="12"/>
      <c r="C10646" s="12"/>
    </row>
    <row r="10647" spans="2:3">
      <c r="B10647" s="12"/>
      <c r="C10647" s="12"/>
    </row>
    <row r="10648" spans="2:3">
      <c r="B10648" s="12"/>
      <c r="C10648" s="12"/>
    </row>
    <row r="10649" spans="2:3">
      <c r="B10649" s="12"/>
      <c r="C10649" s="12"/>
    </row>
    <row r="10650" spans="2:3">
      <c r="B10650" s="12"/>
      <c r="C10650" s="12"/>
    </row>
    <row r="10651" spans="2:3">
      <c r="B10651" s="12"/>
      <c r="C10651" s="12"/>
    </row>
    <row r="10652" spans="2:3">
      <c r="B10652" s="12"/>
      <c r="C10652" s="12"/>
    </row>
    <row r="10653" spans="2:3">
      <c r="B10653" s="12"/>
      <c r="C10653" s="12"/>
    </row>
    <row r="10654" spans="2:3">
      <c r="B10654" s="12"/>
      <c r="C10654" s="12"/>
    </row>
    <row r="10655" spans="2:3">
      <c r="B10655" s="12"/>
      <c r="C10655" s="12"/>
    </row>
    <row r="10656" spans="2:3">
      <c r="B10656" s="12"/>
      <c r="C10656" s="12"/>
    </row>
    <row r="10657" spans="2:3">
      <c r="B10657" s="12"/>
      <c r="C10657" s="12"/>
    </row>
    <row r="10658" spans="2:3">
      <c r="B10658" s="12"/>
      <c r="C10658" s="12"/>
    </row>
    <row r="10659" spans="2:3">
      <c r="B10659" s="12"/>
      <c r="C10659" s="12"/>
    </row>
    <row r="10660" spans="2:3">
      <c r="B10660" s="12"/>
      <c r="C10660" s="12"/>
    </row>
    <row r="10661" spans="2:3">
      <c r="B10661" s="12"/>
      <c r="C10661" s="12"/>
    </row>
    <row r="10662" spans="2:3">
      <c r="B10662" s="12"/>
      <c r="C10662" s="12"/>
    </row>
    <row r="10663" spans="2:3">
      <c r="B10663" s="12"/>
      <c r="C10663" s="12"/>
    </row>
    <row r="10664" spans="2:3">
      <c r="B10664" s="12"/>
      <c r="C10664" s="12"/>
    </row>
    <row r="10665" spans="2:3">
      <c r="B10665" s="12"/>
      <c r="C10665" s="12"/>
    </row>
    <row r="10666" spans="2:3">
      <c r="B10666" s="12"/>
      <c r="C10666" s="12"/>
    </row>
    <row r="10667" spans="2:3">
      <c r="B10667" s="12"/>
      <c r="C10667" s="12"/>
    </row>
    <row r="10668" spans="2:3">
      <c r="B10668" s="12"/>
      <c r="C10668" s="12"/>
    </row>
    <row r="10669" spans="2:3">
      <c r="B10669" s="12"/>
      <c r="C10669" s="12"/>
    </row>
    <row r="10670" spans="2:3">
      <c r="B10670" s="12"/>
      <c r="C10670" s="12"/>
    </row>
    <row r="10671" spans="2:3">
      <c r="B10671" s="12"/>
      <c r="C10671" s="12"/>
    </row>
    <row r="10672" spans="2:3">
      <c r="B10672" s="12"/>
      <c r="C10672" s="12"/>
    </row>
    <row r="10673" spans="2:3">
      <c r="B10673" s="12"/>
      <c r="C10673" s="12"/>
    </row>
    <row r="10674" spans="2:3">
      <c r="B10674" s="12"/>
      <c r="C10674" s="12"/>
    </row>
    <row r="10675" spans="2:3">
      <c r="B10675" s="12"/>
      <c r="C10675" s="12"/>
    </row>
    <row r="10676" spans="2:3">
      <c r="B10676" s="12"/>
      <c r="C10676" s="12"/>
    </row>
    <row r="10677" spans="2:3">
      <c r="B10677" s="12"/>
      <c r="C10677" s="12"/>
    </row>
    <row r="10678" spans="2:3">
      <c r="B10678" s="12"/>
      <c r="C10678" s="12"/>
    </row>
    <row r="10679" spans="2:3">
      <c r="B10679" s="12"/>
      <c r="C10679" s="12"/>
    </row>
    <row r="10680" spans="2:3">
      <c r="B10680" s="12"/>
      <c r="C10680" s="12"/>
    </row>
    <row r="10681" spans="2:3">
      <c r="B10681" s="12"/>
      <c r="C10681" s="12"/>
    </row>
    <row r="10682" spans="2:3">
      <c r="B10682" s="12"/>
      <c r="C10682" s="12"/>
    </row>
    <row r="10683" spans="2:3">
      <c r="B10683" s="12"/>
      <c r="C10683" s="12"/>
    </row>
    <row r="10684" spans="2:3">
      <c r="B10684" s="12"/>
      <c r="C10684" s="12"/>
    </row>
    <row r="10685" spans="2:3">
      <c r="B10685" s="12"/>
      <c r="C10685" s="12"/>
    </row>
    <row r="10686" spans="2:3">
      <c r="B10686" s="12"/>
      <c r="C10686" s="12"/>
    </row>
    <row r="10687" spans="2:3">
      <c r="B10687" s="12"/>
      <c r="C10687" s="12"/>
    </row>
    <row r="10688" spans="2:3">
      <c r="B10688" s="12"/>
      <c r="C10688" s="12"/>
    </row>
    <row r="10689" spans="2:3">
      <c r="B10689" s="12"/>
      <c r="C10689" s="12"/>
    </row>
    <row r="10690" spans="2:3">
      <c r="B10690" s="12"/>
      <c r="C10690" s="12"/>
    </row>
    <row r="10691" spans="2:3">
      <c r="B10691" s="12"/>
      <c r="C10691" s="12"/>
    </row>
    <row r="10692" spans="2:3">
      <c r="B10692" s="12"/>
      <c r="C10692" s="12"/>
    </row>
    <row r="10693" spans="2:3">
      <c r="B10693" s="12"/>
      <c r="C10693" s="12"/>
    </row>
    <row r="10694" spans="2:3">
      <c r="B10694" s="12"/>
      <c r="C10694" s="12"/>
    </row>
    <row r="10695" spans="2:3">
      <c r="B10695" s="12"/>
      <c r="C10695" s="12"/>
    </row>
    <row r="10696" spans="2:3">
      <c r="B10696" s="12"/>
      <c r="C10696" s="12"/>
    </row>
    <row r="10697" spans="2:3">
      <c r="B10697" s="12"/>
      <c r="C10697" s="12"/>
    </row>
    <row r="10698" spans="2:3">
      <c r="B10698" s="12"/>
      <c r="C10698" s="12"/>
    </row>
    <row r="10699" spans="2:3">
      <c r="B10699" s="12"/>
      <c r="C10699" s="12"/>
    </row>
    <row r="10700" spans="2:3">
      <c r="B10700" s="12"/>
      <c r="C10700" s="12"/>
    </row>
    <row r="10701" spans="2:3">
      <c r="B10701" s="12"/>
      <c r="C10701" s="12"/>
    </row>
    <row r="10702" spans="2:3">
      <c r="B10702" s="12"/>
      <c r="C10702" s="12"/>
    </row>
    <row r="10703" spans="2:3">
      <c r="B10703" s="12"/>
      <c r="C10703" s="12"/>
    </row>
    <row r="10704" spans="2:3">
      <c r="B10704" s="12"/>
      <c r="C10704" s="12"/>
    </row>
    <row r="10705" spans="2:3">
      <c r="B10705" s="12"/>
      <c r="C10705" s="12"/>
    </row>
    <row r="10706" spans="2:3">
      <c r="B10706" s="12"/>
      <c r="C10706" s="12"/>
    </row>
    <row r="10707" spans="2:3">
      <c r="B10707" s="12"/>
      <c r="C10707" s="12"/>
    </row>
    <row r="10708" spans="2:3">
      <c r="B10708" s="12"/>
      <c r="C10708" s="12"/>
    </row>
    <row r="10709" spans="2:3">
      <c r="B10709" s="12"/>
      <c r="C10709" s="12"/>
    </row>
    <row r="10710" spans="2:3">
      <c r="B10710" s="12"/>
      <c r="C10710" s="12"/>
    </row>
    <row r="10711" spans="2:3">
      <c r="B10711" s="12"/>
      <c r="C10711" s="12"/>
    </row>
    <row r="10712" spans="2:3">
      <c r="B10712" s="12"/>
      <c r="C10712" s="12"/>
    </row>
    <row r="10713" spans="2:3">
      <c r="B10713" s="12"/>
      <c r="C10713" s="12"/>
    </row>
    <row r="10714" spans="2:3">
      <c r="B10714" s="12"/>
      <c r="C10714" s="12"/>
    </row>
    <row r="10715" spans="2:3">
      <c r="B10715" s="12"/>
      <c r="C10715" s="12"/>
    </row>
    <row r="10716" spans="2:3">
      <c r="B10716" s="12"/>
      <c r="C10716" s="12"/>
    </row>
    <row r="10717" spans="2:3">
      <c r="B10717" s="12"/>
      <c r="C10717" s="12"/>
    </row>
    <row r="10718" spans="2:3">
      <c r="B10718" s="12"/>
      <c r="C10718" s="12"/>
    </row>
    <row r="10719" spans="2:3">
      <c r="B10719" s="12"/>
      <c r="C10719" s="12"/>
    </row>
    <row r="10720" spans="2:3">
      <c r="B10720" s="12"/>
      <c r="C10720" s="12"/>
    </row>
    <row r="10721" spans="2:3">
      <c r="B10721" s="12"/>
      <c r="C10721" s="12"/>
    </row>
    <row r="10722" spans="2:3">
      <c r="B10722" s="12"/>
      <c r="C10722" s="12"/>
    </row>
    <row r="10723" spans="2:3">
      <c r="B10723" s="12"/>
      <c r="C10723" s="12"/>
    </row>
    <row r="10724" spans="2:3">
      <c r="B10724" s="12"/>
      <c r="C10724" s="12"/>
    </row>
    <row r="10725" spans="2:3">
      <c r="B10725" s="12"/>
      <c r="C10725" s="12"/>
    </row>
    <row r="10726" spans="2:3">
      <c r="B10726" s="12"/>
      <c r="C10726" s="12"/>
    </row>
    <row r="10727" spans="2:3">
      <c r="B10727" s="12"/>
      <c r="C10727" s="12"/>
    </row>
    <row r="10728" spans="2:3">
      <c r="B10728" s="12"/>
      <c r="C10728" s="12"/>
    </row>
    <row r="10729" spans="2:3">
      <c r="B10729" s="12"/>
      <c r="C10729" s="12"/>
    </row>
    <row r="10730" spans="2:3">
      <c r="B10730" s="12"/>
      <c r="C10730" s="12"/>
    </row>
    <row r="10731" spans="2:3">
      <c r="B10731" s="12"/>
      <c r="C10731" s="12"/>
    </row>
    <row r="10732" spans="2:3">
      <c r="B10732" s="12"/>
      <c r="C10732" s="12"/>
    </row>
    <row r="10733" spans="2:3">
      <c r="B10733" s="12"/>
      <c r="C10733" s="12"/>
    </row>
    <row r="10734" spans="2:3">
      <c r="B10734" s="12"/>
      <c r="C10734" s="12"/>
    </row>
    <row r="10735" spans="2:3">
      <c r="B10735" s="12"/>
      <c r="C10735" s="12"/>
    </row>
    <row r="10736" spans="2:3">
      <c r="B10736" s="12"/>
      <c r="C10736" s="12"/>
    </row>
    <row r="10737" spans="2:3">
      <c r="B10737" s="12"/>
      <c r="C10737" s="12"/>
    </row>
    <row r="10738" spans="2:3">
      <c r="B10738" s="12"/>
      <c r="C10738" s="12"/>
    </row>
    <row r="10739" spans="2:3">
      <c r="B10739" s="12"/>
      <c r="C10739" s="12"/>
    </row>
    <row r="10740" spans="2:3">
      <c r="B10740" s="12"/>
      <c r="C10740" s="12"/>
    </row>
    <row r="10741" spans="2:3">
      <c r="B10741" s="12"/>
      <c r="C10741" s="12"/>
    </row>
    <row r="10742" spans="2:3">
      <c r="B10742" s="12"/>
      <c r="C10742" s="12"/>
    </row>
    <row r="10743" spans="2:3">
      <c r="B10743" s="12"/>
      <c r="C10743" s="12"/>
    </row>
    <row r="10744" spans="2:3">
      <c r="B10744" s="12"/>
      <c r="C10744" s="12"/>
    </row>
    <row r="10745" spans="2:3">
      <c r="B10745" s="12"/>
      <c r="C10745" s="12"/>
    </row>
    <row r="10746" spans="2:3">
      <c r="B10746" s="12"/>
      <c r="C10746" s="12"/>
    </row>
    <row r="10747" spans="2:3">
      <c r="B10747" s="12"/>
      <c r="C10747" s="12"/>
    </row>
    <row r="10748" spans="2:3">
      <c r="B10748" s="12"/>
      <c r="C10748" s="12"/>
    </row>
    <row r="10749" spans="2:3">
      <c r="B10749" s="12"/>
      <c r="C10749" s="12"/>
    </row>
    <row r="10750" spans="2:3">
      <c r="B10750" s="12"/>
      <c r="C10750" s="12"/>
    </row>
    <row r="10751" spans="2:3">
      <c r="B10751" s="12"/>
      <c r="C10751" s="12"/>
    </row>
    <row r="10752" spans="2:3">
      <c r="B10752" s="12"/>
      <c r="C10752" s="12"/>
    </row>
    <row r="10753" spans="2:3">
      <c r="B10753" s="12"/>
      <c r="C10753" s="12"/>
    </row>
    <row r="10754" spans="2:3">
      <c r="B10754" s="12"/>
      <c r="C10754" s="12"/>
    </row>
    <row r="10755" spans="2:3">
      <c r="B10755" s="12"/>
      <c r="C10755" s="12"/>
    </row>
    <row r="10756" spans="2:3">
      <c r="B10756" s="12"/>
      <c r="C10756" s="12"/>
    </row>
    <row r="10757" spans="2:3">
      <c r="B10757" s="12"/>
      <c r="C10757" s="12"/>
    </row>
    <row r="10758" spans="2:3">
      <c r="B10758" s="12"/>
      <c r="C10758" s="12"/>
    </row>
    <row r="10759" spans="2:3">
      <c r="B10759" s="12"/>
      <c r="C10759" s="12"/>
    </row>
    <row r="10760" spans="2:3">
      <c r="B10760" s="12"/>
      <c r="C10760" s="12"/>
    </row>
    <row r="10761" spans="2:3">
      <c r="B10761" s="12"/>
      <c r="C10761" s="12"/>
    </row>
    <row r="10762" spans="2:3">
      <c r="B10762" s="12"/>
      <c r="C10762" s="12"/>
    </row>
    <row r="10763" spans="2:3">
      <c r="B10763" s="12"/>
      <c r="C10763" s="12"/>
    </row>
    <row r="10764" spans="2:3">
      <c r="B10764" s="12"/>
      <c r="C10764" s="12"/>
    </row>
    <row r="10765" spans="2:3">
      <c r="B10765" s="12"/>
      <c r="C10765" s="12"/>
    </row>
    <row r="10766" spans="2:3">
      <c r="B10766" s="12"/>
      <c r="C10766" s="12"/>
    </row>
    <row r="10767" spans="2:3">
      <c r="B10767" s="12"/>
      <c r="C10767" s="12"/>
    </row>
    <row r="10768" spans="2:3">
      <c r="B10768" s="12"/>
      <c r="C10768" s="12"/>
    </row>
    <row r="10769" spans="2:3">
      <c r="B10769" s="12"/>
      <c r="C10769" s="12"/>
    </row>
    <row r="10770" spans="2:3">
      <c r="B10770" s="12"/>
      <c r="C10770" s="12"/>
    </row>
    <row r="10771" spans="2:3">
      <c r="B10771" s="12"/>
      <c r="C10771" s="12"/>
    </row>
    <row r="10772" spans="2:3">
      <c r="B10772" s="12"/>
      <c r="C10772" s="12"/>
    </row>
    <row r="10773" spans="2:3">
      <c r="B10773" s="12"/>
      <c r="C10773" s="12"/>
    </row>
    <row r="10774" spans="2:3">
      <c r="B10774" s="12"/>
      <c r="C10774" s="12"/>
    </row>
    <row r="10775" spans="2:3">
      <c r="B10775" s="12"/>
      <c r="C10775" s="12"/>
    </row>
    <row r="10776" spans="2:3">
      <c r="B10776" s="12"/>
      <c r="C10776" s="12"/>
    </row>
    <row r="10777" spans="2:3">
      <c r="B10777" s="12"/>
      <c r="C10777" s="12"/>
    </row>
    <row r="10778" spans="2:3">
      <c r="B10778" s="12"/>
      <c r="C10778" s="12"/>
    </row>
    <row r="10779" spans="2:3">
      <c r="B10779" s="12"/>
      <c r="C10779" s="12"/>
    </row>
    <row r="10780" spans="2:3">
      <c r="B10780" s="12"/>
      <c r="C10780" s="12"/>
    </row>
    <row r="10781" spans="2:3">
      <c r="B10781" s="12"/>
      <c r="C10781" s="12"/>
    </row>
    <row r="10782" spans="2:3">
      <c r="B10782" s="12"/>
      <c r="C10782" s="12"/>
    </row>
    <row r="10783" spans="2:3">
      <c r="B10783" s="12"/>
      <c r="C10783" s="12"/>
    </row>
    <row r="10784" spans="2:3">
      <c r="B10784" s="12"/>
      <c r="C10784" s="12"/>
    </row>
    <row r="10785" spans="2:3">
      <c r="B10785" s="12"/>
      <c r="C10785" s="12"/>
    </row>
    <row r="10786" spans="2:3">
      <c r="B10786" s="12"/>
      <c r="C10786" s="12"/>
    </row>
    <row r="10787" spans="2:3">
      <c r="B10787" s="12"/>
      <c r="C10787" s="12"/>
    </row>
    <row r="10788" spans="2:3">
      <c r="B10788" s="12"/>
      <c r="C10788" s="12"/>
    </row>
    <row r="10789" spans="2:3">
      <c r="B10789" s="12"/>
      <c r="C10789" s="12"/>
    </row>
    <row r="10790" spans="2:3">
      <c r="B10790" s="12"/>
      <c r="C10790" s="12"/>
    </row>
    <row r="10791" spans="2:3">
      <c r="B10791" s="12"/>
      <c r="C10791" s="12"/>
    </row>
    <row r="10792" spans="2:3">
      <c r="B10792" s="12"/>
      <c r="C10792" s="12"/>
    </row>
    <row r="10793" spans="2:3">
      <c r="B10793" s="12"/>
      <c r="C10793" s="12"/>
    </row>
    <row r="10794" spans="2:3">
      <c r="B10794" s="12"/>
      <c r="C10794" s="12"/>
    </row>
    <row r="10795" spans="2:3">
      <c r="B10795" s="12"/>
      <c r="C10795" s="12"/>
    </row>
    <row r="10796" spans="2:3">
      <c r="B10796" s="12"/>
      <c r="C10796" s="12"/>
    </row>
    <row r="10797" spans="2:3">
      <c r="B10797" s="12"/>
      <c r="C10797" s="12"/>
    </row>
    <row r="10798" spans="2:3">
      <c r="B10798" s="12"/>
      <c r="C10798" s="12"/>
    </row>
    <row r="10799" spans="2:3">
      <c r="B10799" s="12"/>
      <c r="C10799" s="12"/>
    </row>
    <row r="10800" spans="2:3">
      <c r="B10800" s="12"/>
      <c r="C10800" s="12"/>
    </row>
    <row r="10801" spans="2:3">
      <c r="B10801" s="12"/>
      <c r="C10801" s="12"/>
    </row>
    <row r="10802" spans="2:3">
      <c r="B10802" s="12"/>
      <c r="C10802" s="12"/>
    </row>
    <row r="10803" spans="2:3">
      <c r="B10803" s="12"/>
      <c r="C10803" s="12"/>
    </row>
    <row r="10804" spans="2:3">
      <c r="B10804" s="12"/>
      <c r="C10804" s="12"/>
    </row>
    <row r="10805" spans="2:3">
      <c r="B10805" s="12"/>
      <c r="C10805" s="12"/>
    </row>
    <row r="10806" spans="2:3">
      <c r="B10806" s="12"/>
      <c r="C10806" s="12"/>
    </row>
    <row r="10807" spans="2:3">
      <c r="B10807" s="12"/>
      <c r="C10807" s="12"/>
    </row>
    <row r="10808" spans="2:3">
      <c r="B10808" s="12"/>
      <c r="C10808" s="12"/>
    </row>
    <row r="10809" spans="2:3">
      <c r="B10809" s="12"/>
      <c r="C10809" s="12"/>
    </row>
    <row r="10810" spans="2:3">
      <c r="B10810" s="12"/>
      <c r="C10810" s="12"/>
    </row>
    <row r="10811" spans="2:3">
      <c r="B10811" s="12"/>
      <c r="C10811" s="12"/>
    </row>
    <row r="10812" spans="2:3">
      <c r="B10812" s="12"/>
      <c r="C10812" s="12"/>
    </row>
    <row r="10813" spans="2:3">
      <c r="B10813" s="12"/>
      <c r="C10813" s="12"/>
    </row>
    <row r="10814" spans="2:3">
      <c r="B10814" s="12"/>
      <c r="C10814" s="12"/>
    </row>
    <row r="10815" spans="2:3">
      <c r="B10815" s="12"/>
      <c r="C10815" s="12"/>
    </row>
    <row r="10816" spans="2:3">
      <c r="B10816" s="12"/>
      <c r="C10816" s="12"/>
    </row>
    <row r="10817" spans="2:3">
      <c r="B10817" s="12"/>
      <c r="C10817" s="12"/>
    </row>
    <row r="10818" spans="2:3">
      <c r="B10818" s="12"/>
      <c r="C10818" s="12"/>
    </row>
    <row r="10819" spans="2:3">
      <c r="B10819" s="12"/>
      <c r="C10819" s="12"/>
    </row>
    <row r="10820" spans="2:3">
      <c r="B10820" s="12"/>
      <c r="C10820" s="12"/>
    </row>
    <row r="10821" spans="2:3">
      <c r="B10821" s="12"/>
      <c r="C10821" s="12"/>
    </row>
    <row r="10822" spans="2:3">
      <c r="B10822" s="12"/>
      <c r="C10822" s="12"/>
    </row>
    <row r="10823" spans="2:3">
      <c r="B10823" s="12"/>
      <c r="C10823" s="12"/>
    </row>
    <row r="10824" spans="2:3">
      <c r="B10824" s="12"/>
      <c r="C10824" s="12"/>
    </row>
    <row r="10825" spans="2:3">
      <c r="B10825" s="12"/>
      <c r="C10825" s="12"/>
    </row>
    <row r="10826" spans="2:3">
      <c r="B10826" s="12"/>
      <c r="C10826" s="12"/>
    </row>
    <row r="10827" spans="2:3">
      <c r="B10827" s="12"/>
      <c r="C10827" s="12"/>
    </row>
    <row r="10828" spans="2:3">
      <c r="B10828" s="12"/>
      <c r="C10828" s="12"/>
    </row>
    <row r="10829" spans="2:3">
      <c r="B10829" s="12"/>
      <c r="C10829" s="12"/>
    </row>
    <row r="10830" spans="2:3">
      <c r="B10830" s="12"/>
      <c r="C10830" s="12"/>
    </row>
    <row r="10831" spans="2:3">
      <c r="B10831" s="12"/>
      <c r="C10831" s="12"/>
    </row>
    <row r="10832" spans="2:3">
      <c r="B10832" s="12"/>
      <c r="C10832" s="12"/>
    </row>
    <row r="10833" spans="2:3">
      <c r="B10833" s="12"/>
      <c r="C10833" s="12"/>
    </row>
    <row r="10834" spans="2:3">
      <c r="B10834" s="12"/>
      <c r="C10834" s="12"/>
    </row>
    <row r="10835" spans="2:3">
      <c r="B10835" s="12"/>
      <c r="C10835" s="12"/>
    </row>
    <row r="10836" spans="2:3">
      <c r="B10836" s="12"/>
      <c r="C10836" s="12"/>
    </row>
    <row r="10837" spans="2:3">
      <c r="B10837" s="12"/>
      <c r="C10837" s="12"/>
    </row>
    <row r="10838" spans="2:3">
      <c r="B10838" s="12"/>
      <c r="C10838" s="12"/>
    </row>
    <row r="10839" spans="2:3">
      <c r="B10839" s="12"/>
      <c r="C10839" s="12"/>
    </row>
    <row r="10840" spans="2:3">
      <c r="B10840" s="12"/>
      <c r="C10840" s="12"/>
    </row>
    <row r="10841" spans="2:3">
      <c r="B10841" s="12"/>
      <c r="C10841" s="12"/>
    </row>
    <row r="10842" spans="2:3">
      <c r="B10842" s="12"/>
      <c r="C10842" s="12"/>
    </row>
    <row r="10843" spans="2:3">
      <c r="B10843" s="12"/>
      <c r="C10843" s="12"/>
    </row>
    <row r="10844" spans="2:3">
      <c r="B10844" s="12"/>
      <c r="C10844" s="12"/>
    </row>
    <row r="10845" spans="2:3">
      <c r="B10845" s="12"/>
      <c r="C10845" s="12"/>
    </row>
    <row r="10846" spans="2:3">
      <c r="B10846" s="12"/>
      <c r="C10846" s="12"/>
    </row>
    <row r="10847" spans="2:3">
      <c r="B10847" s="12"/>
      <c r="C10847" s="12"/>
    </row>
    <row r="10848" spans="2:3">
      <c r="B10848" s="12"/>
      <c r="C10848" s="12"/>
    </row>
    <row r="10849" spans="2:3">
      <c r="B10849" s="12"/>
      <c r="C10849" s="12"/>
    </row>
    <row r="10850" spans="2:3">
      <c r="B10850" s="12"/>
      <c r="C10850" s="12"/>
    </row>
    <row r="10851" spans="2:3">
      <c r="B10851" s="12"/>
      <c r="C10851" s="12"/>
    </row>
    <row r="10852" spans="2:3">
      <c r="B10852" s="12"/>
      <c r="C10852" s="12"/>
    </row>
    <row r="10853" spans="2:3">
      <c r="B10853" s="12"/>
      <c r="C10853" s="12"/>
    </row>
    <row r="10854" spans="2:3">
      <c r="B10854" s="12"/>
      <c r="C10854" s="12"/>
    </row>
    <row r="10855" spans="2:3">
      <c r="B10855" s="12"/>
      <c r="C10855" s="12"/>
    </row>
    <row r="10856" spans="2:3">
      <c r="B10856" s="12"/>
      <c r="C10856" s="12"/>
    </row>
    <row r="10857" spans="2:3">
      <c r="B10857" s="12"/>
      <c r="C10857" s="12"/>
    </row>
    <row r="10858" spans="2:3">
      <c r="B10858" s="12"/>
      <c r="C10858" s="12"/>
    </row>
    <row r="10859" spans="2:3">
      <c r="B10859" s="12"/>
      <c r="C10859" s="12"/>
    </row>
    <row r="10860" spans="2:3">
      <c r="B10860" s="12"/>
      <c r="C10860" s="12"/>
    </row>
    <row r="10861" spans="2:3">
      <c r="B10861" s="12"/>
      <c r="C10861" s="12"/>
    </row>
    <row r="10862" spans="2:3">
      <c r="B10862" s="12"/>
      <c r="C10862" s="12"/>
    </row>
    <row r="10863" spans="2:3">
      <c r="B10863" s="12"/>
      <c r="C10863" s="12"/>
    </row>
    <row r="10864" spans="2:3">
      <c r="B10864" s="12"/>
      <c r="C10864" s="12"/>
    </row>
    <row r="10865" spans="2:3">
      <c r="B10865" s="12"/>
      <c r="C10865" s="12"/>
    </row>
    <row r="10866" spans="2:3">
      <c r="B10866" s="12"/>
      <c r="C10866" s="12"/>
    </row>
    <row r="10867" spans="2:3">
      <c r="B10867" s="12"/>
      <c r="C10867" s="12"/>
    </row>
    <row r="10868" spans="2:3">
      <c r="B10868" s="12"/>
      <c r="C10868" s="12"/>
    </row>
    <row r="10869" spans="2:3">
      <c r="B10869" s="12"/>
      <c r="C10869" s="12"/>
    </row>
    <row r="10870" spans="2:3">
      <c r="B10870" s="12"/>
      <c r="C10870" s="12"/>
    </row>
    <row r="10871" spans="2:3">
      <c r="B10871" s="12"/>
      <c r="C10871" s="12"/>
    </row>
    <row r="10872" spans="2:3">
      <c r="B10872" s="12"/>
      <c r="C10872" s="12"/>
    </row>
    <row r="10873" spans="2:3">
      <c r="B10873" s="12"/>
      <c r="C10873" s="12"/>
    </row>
    <row r="10874" spans="2:3">
      <c r="B10874" s="12"/>
      <c r="C10874" s="12"/>
    </row>
    <row r="10875" spans="2:3">
      <c r="B10875" s="12"/>
      <c r="C10875" s="12"/>
    </row>
    <row r="10876" spans="2:3">
      <c r="B10876" s="12"/>
      <c r="C10876" s="12"/>
    </row>
    <row r="10877" spans="2:3">
      <c r="B10877" s="12"/>
      <c r="C10877" s="12"/>
    </row>
    <row r="10878" spans="2:3">
      <c r="B10878" s="12"/>
      <c r="C10878" s="12"/>
    </row>
    <row r="10879" spans="2:3">
      <c r="B10879" s="12"/>
      <c r="C10879" s="12"/>
    </row>
    <row r="10880" spans="2:3">
      <c r="B10880" s="12"/>
      <c r="C10880" s="12"/>
    </row>
    <row r="10881" spans="2:3">
      <c r="B10881" s="12"/>
      <c r="C10881" s="12"/>
    </row>
    <row r="10882" spans="2:3">
      <c r="B10882" s="12"/>
      <c r="C10882" s="12"/>
    </row>
    <row r="10883" spans="2:3">
      <c r="B10883" s="12"/>
      <c r="C10883" s="12"/>
    </row>
    <row r="10884" spans="2:3">
      <c r="B10884" s="12"/>
      <c r="C10884" s="12"/>
    </row>
    <row r="10885" spans="2:3">
      <c r="B10885" s="12"/>
      <c r="C10885" s="12"/>
    </row>
    <row r="10886" spans="2:3">
      <c r="B10886" s="12"/>
      <c r="C10886" s="12"/>
    </row>
    <row r="10887" spans="2:3">
      <c r="B10887" s="12"/>
      <c r="C10887" s="12"/>
    </row>
    <row r="10888" spans="2:3">
      <c r="B10888" s="12"/>
      <c r="C10888" s="12"/>
    </row>
    <row r="10889" spans="2:3">
      <c r="B10889" s="12"/>
      <c r="C10889" s="12"/>
    </row>
    <row r="10890" spans="2:3">
      <c r="B10890" s="12"/>
      <c r="C10890" s="12"/>
    </row>
    <row r="10891" spans="2:3">
      <c r="B10891" s="12"/>
      <c r="C10891" s="12"/>
    </row>
    <row r="10892" spans="2:3">
      <c r="B10892" s="12"/>
      <c r="C10892" s="12"/>
    </row>
    <row r="10893" spans="2:3">
      <c r="B10893" s="12"/>
      <c r="C10893" s="12"/>
    </row>
    <row r="10894" spans="2:3">
      <c r="B10894" s="12"/>
      <c r="C10894" s="12"/>
    </row>
    <row r="10895" spans="2:3">
      <c r="B10895" s="12"/>
      <c r="C10895" s="12"/>
    </row>
    <row r="10896" spans="2:3">
      <c r="B10896" s="12"/>
      <c r="C10896" s="12"/>
    </row>
    <row r="10897" spans="2:3">
      <c r="B10897" s="12"/>
      <c r="C10897" s="12"/>
    </row>
    <row r="10898" spans="2:3">
      <c r="B10898" s="12"/>
      <c r="C10898" s="12"/>
    </row>
    <row r="10899" spans="2:3">
      <c r="B10899" s="12"/>
      <c r="C10899" s="12"/>
    </row>
    <row r="10900" spans="2:3">
      <c r="B10900" s="12"/>
      <c r="C10900" s="12"/>
    </row>
    <row r="10901" spans="2:3">
      <c r="B10901" s="12"/>
      <c r="C10901" s="12"/>
    </row>
    <row r="10902" spans="2:3">
      <c r="B10902" s="12"/>
      <c r="C10902" s="12"/>
    </row>
    <row r="10903" spans="2:3">
      <c r="B10903" s="12"/>
      <c r="C10903" s="12"/>
    </row>
    <row r="10904" spans="2:3">
      <c r="B10904" s="12"/>
      <c r="C10904" s="12"/>
    </row>
    <row r="10905" spans="2:3">
      <c r="B10905" s="12"/>
      <c r="C10905" s="12"/>
    </row>
    <row r="10906" spans="2:3">
      <c r="B10906" s="12"/>
      <c r="C10906" s="12"/>
    </row>
    <row r="10907" spans="2:3">
      <c r="B10907" s="12"/>
      <c r="C10907" s="12"/>
    </row>
    <row r="10908" spans="2:3">
      <c r="B10908" s="12"/>
      <c r="C10908" s="12"/>
    </row>
    <row r="10909" spans="2:3">
      <c r="B10909" s="12"/>
      <c r="C10909" s="12"/>
    </row>
    <row r="10910" spans="2:3">
      <c r="B10910" s="12"/>
      <c r="C10910" s="12"/>
    </row>
    <row r="10911" spans="2:3">
      <c r="B10911" s="12"/>
      <c r="C10911" s="12"/>
    </row>
    <row r="10912" spans="2:3">
      <c r="B10912" s="12"/>
      <c r="C10912" s="12"/>
    </row>
    <row r="10913" spans="2:3">
      <c r="B10913" s="12"/>
      <c r="C10913" s="12"/>
    </row>
    <row r="10914" spans="2:3">
      <c r="B10914" s="12"/>
      <c r="C10914" s="12"/>
    </row>
    <row r="10915" spans="2:3">
      <c r="B10915" s="12"/>
      <c r="C10915" s="12"/>
    </row>
    <row r="10916" spans="2:3">
      <c r="B10916" s="12"/>
      <c r="C10916" s="12"/>
    </row>
    <row r="10917" spans="2:3">
      <c r="B10917" s="12"/>
      <c r="C10917" s="12"/>
    </row>
    <row r="10918" spans="2:3">
      <c r="B10918" s="12"/>
      <c r="C10918" s="12"/>
    </row>
    <row r="10919" spans="2:3">
      <c r="B10919" s="12"/>
      <c r="C10919" s="12"/>
    </row>
    <row r="10920" spans="2:3">
      <c r="B10920" s="12"/>
      <c r="C10920" s="12"/>
    </row>
    <row r="10921" spans="2:3">
      <c r="B10921" s="12"/>
      <c r="C10921" s="12"/>
    </row>
    <row r="10922" spans="2:3">
      <c r="B10922" s="12"/>
      <c r="C10922" s="12"/>
    </row>
    <row r="10923" spans="2:3">
      <c r="B10923" s="12"/>
      <c r="C10923" s="12"/>
    </row>
    <row r="10924" spans="2:3">
      <c r="B10924" s="12"/>
      <c r="C10924" s="12"/>
    </row>
    <row r="10925" spans="2:3">
      <c r="B10925" s="12"/>
      <c r="C10925" s="12"/>
    </row>
    <row r="10926" spans="2:3">
      <c r="B10926" s="12"/>
      <c r="C10926" s="12"/>
    </row>
    <row r="10927" spans="2:3">
      <c r="B10927" s="12"/>
      <c r="C10927" s="12"/>
    </row>
    <row r="10928" spans="2:3">
      <c r="B10928" s="12"/>
      <c r="C10928" s="12"/>
    </row>
    <row r="10929" spans="2:3">
      <c r="B10929" s="12"/>
      <c r="C10929" s="12"/>
    </row>
    <row r="10930" spans="2:3">
      <c r="B10930" s="12"/>
      <c r="C10930" s="12"/>
    </row>
    <row r="10931" spans="2:3">
      <c r="B10931" s="12"/>
      <c r="C10931" s="12"/>
    </row>
    <row r="10932" spans="2:3">
      <c r="B10932" s="12"/>
      <c r="C10932" s="12"/>
    </row>
    <row r="10933" spans="2:3">
      <c r="B10933" s="12"/>
      <c r="C10933" s="12"/>
    </row>
    <row r="10934" spans="2:3">
      <c r="B10934" s="12"/>
      <c r="C10934" s="12"/>
    </row>
    <row r="10935" spans="2:3">
      <c r="B10935" s="12"/>
      <c r="C10935" s="12"/>
    </row>
    <row r="10936" spans="2:3">
      <c r="B10936" s="12"/>
      <c r="C10936" s="12"/>
    </row>
    <row r="10937" spans="2:3">
      <c r="B10937" s="12"/>
      <c r="C10937" s="12"/>
    </row>
    <row r="10938" spans="2:3">
      <c r="B10938" s="12"/>
      <c r="C10938" s="12"/>
    </row>
    <row r="10939" spans="2:3">
      <c r="B10939" s="12"/>
      <c r="C10939" s="12"/>
    </row>
    <row r="10940" spans="2:3">
      <c r="B10940" s="12"/>
      <c r="C10940" s="12"/>
    </row>
    <row r="10941" spans="2:3">
      <c r="B10941" s="12"/>
      <c r="C10941" s="12"/>
    </row>
    <row r="10942" spans="2:3">
      <c r="B10942" s="12"/>
      <c r="C10942" s="12"/>
    </row>
    <row r="10943" spans="2:3">
      <c r="B10943" s="12"/>
      <c r="C10943" s="12"/>
    </row>
    <row r="10944" spans="2:3">
      <c r="B10944" s="12"/>
      <c r="C10944" s="12"/>
    </row>
    <row r="10945" spans="2:3">
      <c r="B10945" s="12"/>
      <c r="C10945" s="12"/>
    </row>
    <row r="10946" spans="2:3">
      <c r="B10946" s="12"/>
      <c r="C10946" s="12"/>
    </row>
    <row r="10947" spans="2:3">
      <c r="B10947" s="12"/>
      <c r="C10947" s="12"/>
    </row>
    <row r="10948" spans="2:3">
      <c r="B10948" s="12"/>
      <c r="C10948" s="12"/>
    </row>
    <row r="10949" spans="2:3">
      <c r="B10949" s="12"/>
      <c r="C10949" s="12"/>
    </row>
    <row r="10950" spans="2:3">
      <c r="B10950" s="12"/>
      <c r="C10950" s="12"/>
    </row>
    <row r="10951" spans="2:3">
      <c r="B10951" s="12"/>
      <c r="C10951" s="12"/>
    </row>
    <row r="10952" spans="2:3">
      <c r="B10952" s="12"/>
      <c r="C10952" s="12"/>
    </row>
    <row r="10953" spans="2:3">
      <c r="B10953" s="12"/>
      <c r="C10953" s="12"/>
    </row>
    <row r="10954" spans="2:3">
      <c r="B10954" s="12"/>
      <c r="C10954" s="12"/>
    </row>
    <row r="10955" spans="2:3">
      <c r="B10955" s="12"/>
      <c r="C10955" s="12"/>
    </row>
    <row r="10956" spans="2:3">
      <c r="B10956" s="12"/>
      <c r="C10956" s="12"/>
    </row>
    <row r="10957" spans="2:3">
      <c r="B10957" s="12"/>
      <c r="C10957" s="12"/>
    </row>
    <row r="10958" spans="2:3">
      <c r="B10958" s="12"/>
      <c r="C10958" s="12"/>
    </row>
    <row r="10959" spans="2:3">
      <c r="B10959" s="12"/>
      <c r="C10959" s="12"/>
    </row>
    <row r="10960" spans="2:3">
      <c r="B10960" s="12"/>
      <c r="C10960" s="12"/>
    </row>
    <row r="10961" spans="2:3">
      <c r="B10961" s="12"/>
      <c r="C10961" s="12"/>
    </row>
    <row r="10962" spans="2:3">
      <c r="B10962" s="12"/>
      <c r="C10962" s="12"/>
    </row>
    <row r="10963" spans="2:3">
      <c r="B10963" s="12"/>
      <c r="C10963" s="12"/>
    </row>
    <row r="10964" spans="2:3">
      <c r="B10964" s="12"/>
      <c r="C10964" s="12"/>
    </row>
    <row r="10965" spans="2:3">
      <c r="B10965" s="12"/>
      <c r="C10965" s="12"/>
    </row>
    <row r="10966" spans="2:3">
      <c r="B10966" s="12"/>
      <c r="C10966" s="12"/>
    </row>
    <row r="10967" spans="2:3">
      <c r="B10967" s="12"/>
      <c r="C10967" s="12"/>
    </row>
    <row r="10968" spans="2:3">
      <c r="B10968" s="12"/>
      <c r="C10968" s="12"/>
    </row>
    <row r="10969" spans="2:3">
      <c r="B10969" s="12"/>
      <c r="C10969" s="12"/>
    </row>
    <row r="10970" spans="2:3">
      <c r="B10970" s="12"/>
      <c r="C10970" s="12"/>
    </row>
    <row r="10971" spans="2:3">
      <c r="B10971" s="12"/>
      <c r="C10971" s="12"/>
    </row>
    <row r="10972" spans="2:3">
      <c r="B10972" s="12"/>
      <c r="C10972" s="12"/>
    </row>
    <row r="10973" spans="2:3">
      <c r="B10973" s="12"/>
      <c r="C10973" s="12"/>
    </row>
    <row r="10974" spans="2:3">
      <c r="B10974" s="12"/>
      <c r="C10974" s="12"/>
    </row>
    <row r="10975" spans="2:3">
      <c r="B10975" s="12"/>
      <c r="C10975" s="12"/>
    </row>
    <row r="10976" spans="2:3">
      <c r="B10976" s="12"/>
      <c r="C10976" s="12"/>
    </row>
    <row r="10977" spans="2:3">
      <c r="B10977" s="12"/>
      <c r="C10977" s="12"/>
    </row>
    <row r="10978" spans="2:3">
      <c r="B10978" s="12"/>
      <c r="C10978" s="12"/>
    </row>
    <row r="10979" spans="2:3">
      <c r="B10979" s="12"/>
      <c r="C10979" s="12"/>
    </row>
    <row r="10980" spans="2:3">
      <c r="B10980" s="12"/>
      <c r="C10980" s="12"/>
    </row>
    <row r="10981" spans="2:3">
      <c r="B10981" s="12"/>
      <c r="C10981" s="12"/>
    </row>
    <row r="10982" spans="2:3">
      <c r="B10982" s="12"/>
      <c r="C10982" s="12"/>
    </row>
    <row r="10983" spans="2:3">
      <c r="B10983" s="12"/>
      <c r="C10983" s="12"/>
    </row>
    <row r="10984" spans="2:3">
      <c r="B10984" s="12"/>
      <c r="C10984" s="12"/>
    </row>
    <row r="10985" spans="2:3">
      <c r="B10985" s="12"/>
      <c r="C10985" s="12"/>
    </row>
    <row r="10986" spans="2:3">
      <c r="B10986" s="12"/>
      <c r="C10986" s="12"/>
    </row>
    <row r="10987" spans="2:3">
      <c r="B10987" s="12"/>
      <c r="C10987" s="12"/>
    </row>
    <row r="10988" spans="2:3">
      <c r="B10988" s="12"/>
      <c r="C10988" s="12"/>
    </row>
    <row r="10989" spans="2:3">
      <c r="B10989" s="12"/>
      <c r="C10989" s="12"/>
    </row>
    <row r="10990" spans="2:3">
      <c r="B10990" s="12"/>
      <c r="C10990" s="12"/>
    </row>
    <row r="10991" spans="2:3">
      <c r="B10991" s="12"/>
      <c r="C10991" s="12"/>
    </row>
    <row r="10992" spans="2:3">
      <c r="B10992" s="12"/>
      <c r="C10992" s="12"/>
    </row>
    <row r="10993" spans="2:3">
      <c r="B10993" s="12"/>
      <c r="C10993" s="12"/>
    </row>
    <row r="10994" spans="2:3">
      <c r="B10994" s="12"/>
      <c r="C10994" s="12"/>
    </row>
    <row r="10995" spans="2:3">
      <c r="B10995" s="12"/>
      <c r="C10995" s="12"/>
    </row>
    <row r="10996" spans="2:3">
      <c r="B10996" s="12"/>
      <c r="C10996" s="12"/>
    </row>
    <row r="10997" spans="2:3">
      <c r="B10997" s="12"/>
      <c r="C10997" s="12"/>
    </row>
    <row r="10998" spans="2:3">
      <c r="B10998" s="12"/>
      <c r="C10998" s="12"/>
    </row>
    <row r="10999" spans="2:3">
      <c r="B10999" s="12"/>
      <c r="C10999" s="12"/>
    </row>
    <row r="11000" spans="2:3">
      <c r="B11000" s="12"/>
      <c r="C11000" s="12"/>
    </row>
    <row r="11001" spans="2:3">
      <c r="B11001" s="12"/>
      <c r="C11001" s="12"/>
    </row>
    <row r="11002" spans="2:3">
      <c r="B11002" s="12"/>
      <c r="C11002" s="12"/>
    </row>
    <row r="11003" spans="2:3">
      <c r="B11003" s="12"/>
      <c r="C11003" s="12"/>
    </row>
    <row r="11004" spans="2:3">
      <c r="B11004" s="12"/>
      <c r="C11004" s="12"/>
    </row>
    <row r="11005" spans="2:3">
      <c r="B11005" s="12"/>
      <c r="C11005" s="12"/>
    </row>
    <row r="11006" spans="2:3">
      <c r="B11006" s="12"/>
      <c r="C11006" s="12"/>
    </row>
    <row r="11007" spans="2:3">
      <c r="B11007" s="12"/>
      <c r="C11007" s="12"/>
    </row>
    <row r="11008" spans="2:3">
      <c r="B11008" s="12"/>
      <c r="C11008" s="12"/>
    </row>
    <row r="11009" spans="2:3">
      <c r="B11009" s="12"/>
      <c r="C11009" s="12"/>
    </row>
    <row r="11010" spans="2:3">
      <c r="B11010" s="12"/>
      <c r="C11010" s="12"/>
    </row>
    <row r="11011" spans="2:3">
      <c r="B11011" s="12"/>
      <c r="C11011" s="12"/>
    </row>
    <row r="11012" spans="2:3">
      <c r="B11012" s="12"/>
      <c r="C11012" s="12"/>
    </row>
    <row r="11013" spans="2:3">
      <c r="B11013" s="12"/>
      <c r="C11013" s="12"/>
    </row>
    <row r="11014" spans="2:3">
      <c r="B11014" s="12"/>
      <c r="C11014" s="12"/>
    </row>
    <row r="11015" spans="2:3">
      <c r="B11015" s="12"/>
      <c r="C11015" s="12"/>
    </row>
    <row r="11016" spans="2:3">
      <c r="B11016" s="12"/>
      <c r="C11016" s="12"/>
    </row>
    <row r="11017" spans="2:3">
      <c r="B11017" s="12"/>
      <c r="C11017" s="12"/>
    </row>
    <row r="11018" spans="2:3">
      <c r="B11018" s="12"/>
      <c r="C11018" s="12"/>
    </row>
    <row r="11019" spans="2:3">
      <c r="B11019" s="12"/>
      <c r="C11019" s="12"/>
    </row>
    <row r="11020" spans="2:3">
      <c r="B11020" s="12"/>
      <c r="C11020" s="12"/>
    </row>
    <row r="11021" spans="2:3">
      <c r="B11021" s="12"/>
      <c r="C11021" s="12"/>
    </row>
    <row r="11022" spans="2:3">
      <c r="B11022" s="12"/>
      <c r="C11022" s="12"/>
    </row>
    <row r="11023" spans="2:3">
      <c r="B11023" s="12"/>
      <c r="C11023" s="12"/>
    </row>
    <row r="11024" spans="2:3">
      <c r="B11024" s="12"/>
      <c r="C11024" s="12"/>
    </row>
    <row r="11025" spans="2:3">
      <c r="B11025" s="12"/>
      <c r="C11025" s="12"/>
    </row>
    <row r="11026" spans="2:3">
      <c r="B11026" s="12"/>
      <c r="C11026" s="12"/>
    </row>
    <row r="11027" spans="2:3">
      <c r="B11027" s="12"/>
      <c r="C11027" s="12"/>
    </row>
    <row r="11028" spans="2:3">
      <c r="B11028" s="12"/>
      <c r="C11028" s="12"/>
    </row>
    <row r="11029" spans="2:3">
      <c r="B11029" s="12"/>
      <c r="C11029" s="12"/>
    </row>
    <row r="11030" spans="2:3">
      <c r="B11030" s="12"/>
      <c r="C11030" s="12"/>
    </row>
    <row r="11031" spans="2:3">
      <c r="B11031" s="12"/>
      <c r="C11031" s="12"/>
    </row>
    <row r="11032" spans="2:3">
      <c r="B11032" s="12"/>
      <c r="C11032" s="12"/>
    </row>
    <row r="11033" spans="2:3">
      <c r="B11033" s="12"/>
      <c r="C11033" s="12"/>
    </row>
    <row r="11034" spans="2:3">
      <c r="B11034" s="12"/>
      <c r="C11034" s="12"/>
    </row>
    <row r="11035" spans="2:3">
      <c r="B11035" s="12"/>
      <c r="C11035" s="12"/>
    </row>
    <row r="11036" spans="2:3">
      <c r="B11036" s="12"/>
      <c r="C11036" s="12"/>
    </row>
    <row r="11037" spans="2:3">
      <c r="B11037" s="12"/>
      <c r="C11037" s="12"/>
    </row>
    <row r="11038" spans="2:3">
      <c r="B11038" s="12"/>
      <c r="C11038" s="12"/>
    </row>
    <row r="11039" spans="2:3">
      <c r="B11039" s="12"/>
      <c r="C11039" s="12"/>
    </row>
    <row r="11040" spans="2:3">
      <c r="B11040" s="12"/>
      <c r="C11040" s="12"/>
    </row>
    <row r="11041" spans="2:3">
      <c r="B11041" s="12"/>
      <c r="C11041" s="12"/>
    </row>
    <row r="11042" spans="2:3">
      <c r="B11042" s="12"/>
      <c r="C11042" s="12"/>
    </row>
    <row r="11043" spans="2:3">
      <c r="B11043" s="12"/>
      <c r="C11043" s="12"/>
    </row>
    <row r="11044" spans="2:3">
      <c r="B11044" s="12"/>
      <c r="C11044" s="12"/>
    </row>
    <row r="11045" spans="2:3">
      <c r="B11045" s="12"/>
      <c r="C11045" s="12"/>
    </row>
    <row r="11046" spans="2:3">
      <c r="B11046" s="12"/>
      <c r="C11046" s="12"/>
    </row>
    <row r="11047" spans="2:3">
      <c r="B11047" s="12"/>
      <c r="C11047" s="12"/>
    </row>
    <row r="11048" spans="2:3">
      <c r="B11048" s="12"/>
      <c r="C11048" s="12"/>
    </row>
    <row r="11049" spans="2:3">
      <c r="B11049" s="12"/>
      <c r="C11049" s="12"/>
    </row>
    <row r="11050" spans="2:3">
      <c r="B11050" s="12"/>
      <c r="C11050" s="12"/>
    </row>
    <row r="11051" spans="2:3">
      <c r="B11051" s="12"/>
      <c r="C11051" s="12"/>
    </row>
    <row r="11052" spans="2:3">
      <c r="B11052" s="12"/>
      <c r="C11052" s="12"/>
    </row>
    <row r="11053" spans="2:3">
      <c r="B11053" s="12"/>
      <c r="C11053" s="12"/>
    </row>
    <row r="11054" spans="2:3">
      <c r="B11054" s="12"/>
      <c r="C11054" s="12"/>
    </row>
    <row r="11055" spans="2:3">
      <c r="B11055" s="12"/>
      <c r="C11055" s="12"/>
    </row>
    <row r="11056" spans="2:3">
      <c r="B11056" s="12"/>
      <c r="C11056" s="12"/>
    </row>
    <row r="11057" spans="2:3">
      <c r="B11057" s="12"/>
      <c r="C11057" s="12"/>
    </row>
    <row r="11058" spans="2:3">
      <c r="B11058" s="12"/>
      <c r="C11058" s="12"/>
    </row>
    <row r="11059" spans="2:3">
      <c r="B11059" s="12"/>
      <c r="C11059" s="12"/>
    </row>
    <row r="11060" spans="2:3">
      <c r="B11060" s="12"/>
      <c r="C11060" s="12"/>
    </row>
    <row r="11061" spans="2:3">
      <c r="B11061" s="12"/>
      <c r="C11061" s="12"/>
    </row>
    <row r="11062" spans="2:3">
      <c r="B11062" s="12"/>
      <c r="C11062" s="12"/>
    </row>
    <row r="11063" spans="2:3">
      <c r="B11063" s="12"/>
      <c r="C11063" s="12"/>
    </row>
    <row r="11064" spans="2:3">
      <c r="B11064" s="12"/>
      <c r="C11064" s="12"/>
    </row>
    <row r="11065" spans="2:3">
      <c r="B11065" s="12"/>
      <c r="C11065" s="12"/>
    </row>
    <row r="11066" spans="2:3">
      <c r="B11066" s="12"/>
      <c r="C11066" s="12"/>
    </row>
    <row r="11067" spans="2:3">
      <c r="B11067" s="12"/>
      <c r="C11067" s="12"/>
    </row>
    <row r="11068" spans="2:3">
      <c r="B11068" s="12"/>
      <c r="C11068" s="12"/>
    </row>
    <row r="11069" spans="2:3">
      <c r="B11069" s="12"/>
      <c r="C11069" s="12"/>
    </row>
    <row r="11070" spans="2:3">
      <c r="B11070" s="12"/>
      <c r="C11070" s="12"/>
    </row>
    <row r="11071" spans="2:3">
      <c r="B11071" s="12"/>
      <c r="C11071" s="12"/>
    </row>
    <row r="11072" spans="2:3">
      <c r="B11072" s="12"/>
      <c r="C11072" s="12"/>
    </row>
    <row r="11073" spans="2:3">
      <c r="B11073" s="12"/>
      <c r="C11073" s="12"/>
    </row>
    <row r="11074" spans="2:3">
      <c r="B11074" s="12"/>
      <c r="C11074" s="12"/>
    </row>
    <row r="11075" spans="2:3">
      <c r="B11075" s="12"/>
      <c r="C11075" s="12"/>
    </row>
    <row r="11076" spans="2:3">
      <c r="B11076" s="12"/>
      <c r="C11076" s="12"/>
    </row>
    <row r="11077" spans="2:3">
      <c r="B11077" s="12"/>
      <c r="C11077" s="12"/>
    </row>
    <row r="11078" spans="2:3">
      <c r="B11078" s="12"/>
      <c r="C11078" s="12"/>
    </row>
    <row r="11079" spans="2:3">
      <c r="B11079" s="12"/>
      <c r="C11079" s="12"/>
    </row>
    <row r="11080" spans="2:3">
      <c r="B11080" s="12"/>
      <c r="C11080" s="12"/>
    </row>
    <row r="11081" spans="2:3">
      <c r="B11081" s="12"/>
      <c r="C11081" s="12"/>
    </row>
    <row r="11082" spans="2:3">
      <c r="B11082" s="12"/>
      <c r="C11082" s="12"/>
    </row>
    <row r="11083" spans="2:3">
      <c r="B11083" s="12"/>
      <c r="C11083" s="12"/>
    </row>
    <row r="11084" spans="2:3">
      <c r="B11084" s="12"/>
      <c r="C11084" s="12"/>
    </row>
    <row r="11085" spans="2:3">
      <c r="B11085" s="12"/>
      <c r="C11085" s="12"/>
    </row>
    <row r="11086" spans="2:3">
      <c r="B11086" s="12"/>
      <c r="C11086" s="12"/>
    </row>
    <row r="11087" spans="2:3">
      <c r="B11087" s="12"/>
      <c r="C11087" s="12"/>
    </row>
    <row r="11088" spans="2:3">
      <c r="B11088" s="12"/>
      <c r="C11088" s="12"/>
    </row>
    <row r="11089" spans="2:3">
      <c r="B11089" s="12"/>
      <c r="C11089" s="12"/>
    </row>
    <row r="11090" spans="2:3">
      <c r="B11090" s="12"/>
      <c r="C11090" s="12"/>
    </row>
    <row r="11091" spans="2:3">
      <c r="B11091" s="12"/>
      <c r="C11091" s="12"/>
    </row>
    <row r="11092" spans="2:3">
      <c r="B11092" s="12"/>
      <c r="C11092" s="12"/>
    </row>
    <row r="11093" spans="2:3">
      <c r="B11093" s="12"/>
      <c r="C11093" s="12"/>
    </row>
    <row r="11094" spans="2:3">
      <c r="B11094" s="12"/>
      <c r="C11094" s="12"/>
    </row>
    <row r="11095" spans="2:3">
      <c r="B11095" s="12"/>
      <c r="C11095" s="12"/>
    </row>
    <row r="11096" spans="2:3">
      <c r="B11096" s="12"/>
      <c r="C11096" s="12"/>
    </row>
    <row r="11097" spans="2:3">
      <c r="B11097" s="12"/>
      <c r="C11097" s="12"/>
    </row>
    <row r="11098" spans="2:3">
      <c r="B11098" s="12"/>
      <c r="C11098" s="12"/>
    </row>
    <row r="11099" spans="2:3">
      <c r="B11099" s="12"/>
      <c r="C11099" s="12"/>
    </row>
    <row r="11100" spans="2:3">
      <c r="B11100" s="12"/>
      <c r="C11100" s="12"/>
    </row>
    <row r="11101" spans="2:3">
      <c r="B11101" s="12"/>
      <c r="C11101" s="12"/>
    </row>
    <row r="11102" spans="2:3">
      <c r="B11102" s="12"/>
      <c r="C11102" s="12"/>
    </row>
    <row r="11103" spans="2:3">
      <c r="B11103" s="12"/>
      <c r="C11103" s="12"/>
    </row>
    <row r="11104" spans="2:3">
      <c r="B11104" s="12"/>
      <c r="C11104" s="12"/>
    </row>
    <row r="11105" spans="2:3">
      <c r="B11105" s="12"/>
      <c r="C11105" s="12"/>
    </row>
    <row r="11106" spans="2:3">
      <c r="B11106" s="12"/>
      <c r="C11106" s="12"/>
    </row>
    <row r="11107" spans="2:3">
      <c r="B11107" s="12"/>
      <c r="C11107" s="12"/>
    </row>
    <row r="11108" spans="2:3">
      <c r="B11108" s="12"/>
      <c r="C11108" s="12"/>
    </row>
    <row r="11109" spans="2:3">
      <c r="B11109" s="12"/>
      <c r="C11109" s="12"/>
    </row>
    <row r="11110" spans="2:3">
      <c r="B11110" s="12"/>
      <c r="C11110" s="12"/>
    </row>
    <row r="11111" spans="2:3">
      <c r="B11111" s="12"/>
      <c r="C11111" s="12"/>
    </row>
    <row r="11112" spans="2:3">
      <c r="B11112" s="12"/>
      <c r="C11112" s="12"/>
    </row>
    <row r="11113" spans="2:3">
      <c r="B11113" s="12"/>
      <c r="C11113" s="12"/>
    </row>
    <row r="11114" spans="2:3">
      <c r="B11114" s="12"/>
      <c r="C11114" s="12"/>
    </row>
    <row r="11115" spans="2:3">
      <c r="B11115" s="12"/>
      <c r="C11115" s="12"/>
    </row>
    <row r="11116" spans="2:3">
      <c r="B11116" s="12"/>
      <c r="C11116" s="12"/>
    </row>
    <row r="11117" spans="2:3">
      <c r="B11117" s="12"/>
      <c r="C11117" s="12"/>
    </row>
    <row r="11118" spans="2:3">
      <c r="B11118" s="12"/>
      <c r="C11118" s="12"/>
    </row>
    <row r="11119" spans="2:3">
      <c r="B11119" s="12"/>
      <c r="C11119" s="12"/>
    </row>
    <row r="11120" spans="2:3">
      <c r="B11120" s="12"/>
      <c r="C11120" s="12"/>
    </row>
    <row r="11121" spans="2:3">
      <c r="B11121" s="12"/>
      <c r="C11121" s="12"/>
    </row>
    <row r="11122" spans="2:3">
      <c r="B11122" s="12"/>
      <c r="C11122" s="12"/>
    </row>
    <row r="11123" spans="2:3">
      <c r="B11123" s="12"/>
      <c r="C11123" s="12"/>
    </row>
    <row r="11124" spans="2:3">
      <c r="B11124" s="12"/>
      <c r="C11124" s="12"/>
    </row>
    <row r="11125" spans="2:3">
      <c r="B11125" s="12"/>
      <c r="C11125" s="12"/>
    </row>
    <row r="11126" spans="2:3">
      <c r="B11126" s="12"/>
      <c r="C11126" s="12"/>
    </row>
    <row r="11127" spans="2:3">
      <c r="B11127" s="12"/>
      <c r="C11127" s="12"/>
    </row>
    <row r="11128" spans="2:3">
      <c r="B11128" s="12"/>
      <c r="C11128" s="12"/>
    </row>
    <row r="11129" spans="2:3">
      <c r="B11129" s="12"/>
      <c r="C11129" s="12"/>
    </row>
    <row r="11130" spans="2:3">
      <c r="B11130" s="12"/>
      <c r="C11130" s="12"/>
    </row>
    <row r="11131" spans="2:3">
      <c r="B11131" s="12"/>
      <c r="C11131" s="12"/>
    </row>
    <row r="11132" spans="2:3">
      <c r="B11132" s="12"/>
      <c r="C11132" s="12"/>
    </row>
    <row r="11133" spans="2:3">
      <c r="B11133" s="12"/>
      <c r="C11133" s="12"/>
    </row>
    <row r="11134" spans="2:3">
      <c r="B11134" s="12"/>
      <c r="C11134" s="12"/>
    </row>
    <row r="11135" spans="2:3">
      <c r="B11135" s="12"/>
      <c r="C11135" s="12"/>
    </row>
    <row r="11136" spans="2:3">
      <c r="B11136" s="12"/>
      <c r="C11136" s="12"/>
    </row>
    <row r="11137" spans="2:3">
      <c r="B11137" s="12"/>
      <c r="C11137" s="12"/>
    </row>
    <row r="11138" spans="2:3">
      <c r="B11138" s="12"/>
      <c r="C11138" s="12"/>
    </row>
    <row r="11139" spans="2:3">
      <c r="B11139" s="12"/>
      <c r="C11139" s="12"/>
    </row>
    <row r="11140" spans="2:3">
      <c r="B11140" s="12"/>
      <c r="C11140" s="12"/>
    </row>
    <row r="11141" spans="2:3">
      <c r="B11141" s="12"/>
      <c r="C11141" s="12"/>
    </row>
    <row r="11142" spans="2:3">
      <c r="B11142" s="12"/>
      <c r="C11142" s="12"/>
    </row>
    <row r="11143" spans="2:3">
      <c r="B11143" s="12"/>
      <c r="C11143" s="12"/>
    </row>
    <row r="11144" spans="2:3">
      <c r="B11144" s="12"/>
      <c r="C11144" s="12"/>
    </row>
    <row r="11145" spans="2:3">
      <c r="B11145" s="12"/>
      <c r="C11145" s="12"/>
    </row>
    <row r="11146" spans="2:3">
      <c r="B11146" s="12"/>
      <c r="C11146" s="12"/>
    </row>
    <row r="11147" spans="2:3">
      <c r="B11147" s="12"/>
      <c r="C11147" s="12"/>
    </row>
    <row r="11148" spans="2:3">
      <c r="B11148" s="12"/>
      <c r="C11148" s="12"/>
    </row>
    <row r="11149" spans="2:3">
      <c r="B11149" s="12"/>
      <c r="C11149" s="12"/>
    </row>
    <row r="11150" spans="2:3">
      <c r="B11150" s="12"/>
      <c r="C11150" s="12"/>
    </row>
    <row r="11151" spans="2:3">
      <c r="B11151" s="12"/>
      <c r="C11151" s="12"/>
    </row>
    <row r="11152" spans="2:3">
      <c r="B11152" s="12"/>
      <c r="C11152" s="12"/>
    </row>
    <row r="11153" spans="2:3">
      <c r="B11153" s="12"/>
      <c r="C11153" s="12"/>
    </row>
    <row r="11154" spans="2:3">
      <c r="B11154" s="12"/>
      <c r="C11154" s="12"/>
    </row>
    <row r="11155" spans="2:3">
      <c r="B11155" s="12"/>
      <c r="C11155" s="12"/>
    </row>
    <row r="11156" spans="2:3">
      <c r="B11156" s="12"/>
      <c r="C11156" s="12"/>
    </row>
    <row r="11157" spans="2:3">
      <c r="B11157" s="12"/>
      <c r="C11157" s="12"/>
    </row>
    <row r="11158" spans="2:3">
      <c r="B11158" s="12"/>
      <c r="C11158" s="12"/>
    </row>
    <row r="11159" spans="2:3">
      <c r="B11159" s="12"/>
      <c r="C11159" s="12"/>
    </row>
    <row r="11160" spans="2:3">
      <c r="B11160" s="12"/>
      <c r="C11160" s="12"/>
    </row>
    <row r="11161" spans="2:3">
      <c r="B11161" s="12"/>
      <c r="C11161" s="12"/>
    </row>
    <row r="11162" spans="2:3">
      <c r="B11162" s="12"/>
      <c r="C11162" s="12"/>
    </row>
    <row r="11163" spans="2:3">
      <c r="B11163" s="12"/>
      <c r="C11163" s="12"/>
    </row>
    <row r="11164" spans="2:3">
      <c r="B11164" s="12"/>
      <c r="C11164" s="12"/>
    </row>
    <row r="11165" spans="2:3">
      <c r="B11165" s="12"/>
      <c r="C11165" s="12"/>
    </row>
    <row r="11166" spans="2:3">
      <c r="B11166" s="12"/>
      <c r="C11166" s="12"/>
    </row>
    <row r="11167" spans="2:3">
      <c r="B11167" s="12"/>
      <c r="C11167" s="12"/>
    </row>
    <row r="11168" spans="2:3">
      <c r="B11168" s="12"/>
      <c r="C11168" s="12"/>
    </row>
    <row r="11169" spans="2:3">
      <c r="B11169" s="12"/>
      <c r="C11169" s="12"/>
    </row>
    <row r="11170" spans="2:3">
      <c r="B11170" s="12"/>
      <c r="C11170" s="12"/>
    </row>
    <row r="11171" spans="2:3">
      <c r="B11171" s="12"/>
      <c r="C11171" s="12"/>
    </row>
    <row r="11172" spans="2:3">
      <c r="B11172" s="12"/>
      <c r="C11172" s="12"/>
    </row>
    <row r="11173" spans="2:3">
      <c r="B11173" s="12"/>
      <c r="C11173" s="12"/>
    </row>
    <row r="11174" spans="2:3">
      <c r="B11174" s="12"/>
      <c r="C11174" s="12"/>
    </row>
    <row r="11175" spans="2:3">
      <c r="B11175" s="12"/>
      <c r="C11175" s="12"/>
    </row>
    <row r="11176" spans="2:3">
      <c r="B11176" s="12"/>
      <c r="C11176" s="12"/>
    </row>
    <row r="11177" spans="2:3">
      <c r="B11177" s="12"/>
      <c r="C11177" s="12"/>
    </row>
    <row r="11178" spans="2:3">
      <c r="B11178" s="12"/>
      <c r="C11178" s="12"/>
    </row>
    <row r="11179" spans="2:3">
      <c r="B11179" s="12"/>
      <c r="C11179" s="12"/>
    </row>
    <row r="11180" spans="2:3">
      <c r="B11180" s="12"/>
      <c r="C11180" s="12"/>
    </row>
    <row r="11181" spans="2:3">
      <c r="B11181" s="12"/>
      <c r="C11181" s="12"/>
    </row>
    <row r="11182" spans="2:3">
      <c r="B11182" s="12"/>
      <c r="C11182" s="12"/>
    </row>
    <row r="11183" spans="2:3">
      <c r="B11183" s="12"/>
      <c r="C11183" s="12"/>
    </row>
    <row r="11184" spans="2:3">
      <c r="B11184" s="12"/>
      <c r="C11184" s="12"/>
    </row>
    <row r="11185" spans="2:3">
      <c r="B11185" s="12"/>
      <c r="C11185" s="12"/>
    </row>
    <row r="11186" spans="2:3">
      <c r="B11186" s="12"/>
      <c r="C11186" s="12"/>
    </row>
    <row r="11187" spans="2:3">
      <c r="B11187" s="12"/>
      <c r="C11187" s="12"/>
    </row>
    <row r="11188" spans="2:3">
      <c r="B11188" s="12"/>
      <c r="C11188" s="12"/>
    </row>
    <row r="11189" spans="2:3">
      <c r="B11189" s="12"/>
      <c r="C11189" s="12"/>
    </row>
    <row r="11190" spans="2:3">
      <c r="B11190" s="12"/>
      <c r="C11190" s="12"/>
    </row>
    <row r="11191" spans="2:3">
      <c r="B11191" s="12"/>
      <c r="C11191" s="12"/>
    </row>
    <row r="11192" spans="2:3">
      <c r="B11192" s="12"/>
      <c r="C11192" s="12"/>
    </row>
    <row r="11193" spans="2:3">
      <c r="B11193" s="12"/>
      <c r="C11193" s="12"/>
    </row>
    <row r="11194" spans="2:3">
      <c r="B11194" s="12"/>
      <c r="C11194" s="12"/>
    </row>
    <row r="11195" spans="2:3">
      <c r="B11195" s="12"/>
      <c r="C11195" s="12"/>
    </row>
    <row r="11196" spans="2:3">
      <c r="B11196" s="12"/>
      <c r="C11196" s="12"/>
    </row>
    <row r="11197" spans="2:3">
      <c r="B11197" s="12"/>
      <c r="C11197" s="12"/>
    </row>
    <row r="11198" spans="2:3">
      <c r="B11198" s="12"/>
      <c r="C11198" s="12"/>
    </row>
    <row r="11199" spans="2:3">
      <c r="B11199" s="12"/>
      <c r="C11199" s="12"/>
    </row>
    <row r="11200" spans="2:3">
      <c r="B11200" s="12"/>
      <c r="C11200" s="12"/>
    </row>
    <row r="11201" spans="2:3">
      <c r="B11201" s="12"/>
      <c r="C11201" s="12"/>
    </row>
    <row r="11202" spans="2:3">
      <c r="B11202" s="12"/>
      <c r="C11202" s="12"/>
    </row>
    <row r="11203" spans="2:3">
      <c r="B11203" s="12"/>
      <c r="C11203" s="12"/>
    </row>
    <row r="11204" spans="2:3">
      <c r="B11204" s="12"/>
      <c r="C11204" s="12"/>
    </row>
    <row r="11205" spans="2:3">
      <c r="B11205" s="12"/>
      <c r="C11205" s="12"/>
    </row>
    <row r="11206" spans="2:3">
      <c r="B11206" s="12"/>
      <c r="C11206" s="12"/>
    </row>
    <row r="11207" spans="2:3">
      <c r="B11207" s="12"/>
      <c r="C11207" s="12"/>
    </row>
    <row r="11208" spans="2:3">
      <c r="B11208" s="12"/>
      <c r="C11208" s="12"/>
    </row>
    <row r="11209" spans="2:3">
      <c r="B11209" s="12"/>
      <c r="C11209" s="12"/>
    </row>
    <row r="11210" spans="2:3">
      <c r="B11210" s="12"/>
      <c r="C11210" s="12"/>
    </row>
    <row r="11211" spans="2:3">
      <c r="B11211" s="12"/>
      <c r="C11211" s="12"/>
    </row>
    <row r="11212" spans="2:3">
      <c r="B11212" s="12"/>
      <c r="C11212" s="12"/>
    </row>
    <row r="11213" spans="2:3">
      <c r="B11213" s="12"/>
      <c r="C11213" s="12"/>
    </row>
    <row r="11214" spans="2:3">
      <c r="B11214" s="12"/>
      <c r="C11214" s="12"/>
    </row>
    <row r="11215" spans="2:3">
      <c r="B11215" s="12"/>
      <c r="C11215" s="12"/>
    </row>
    <row r="11216" spans="2:3">
      <c r="B11216" s="12"/>
      <c r="C11216" s="12"/>
    </row>
    <row r="11217" spans="2:3">
      <c r="B11217" s="12"/>
      <c r="C11217" s="12"/>
    </row>
    <row r="11218" spans="2:3">
      <c r="B11218" s="12"/>
      <c r="C11218" s="12"/>
    </row>
    <row r="11219" spans="2:3">
      <c r="B11219" s="12"/>
      <c r="C11219" s="12"/>
    </row>
    <row r="11220" spans="2:3">
      <c r="B11220" s="12"/>
      <c r="C11220" s="12"/>
    </row>
    <row r="11221" spans="2:3">
      <c r="B11221" s="12"/>
      <c r="C11221" s="12"/>
    </row>
    <row r="11222" spans="2:3">
      <c r="B11222" s="12"/>
      <c r="C11222" s="12"/>
    </row>
    <row r="11223" spans="2:3">
      <c r="B11223" s="12"/>
      <c r="C11223" s="12"/>
    </row>
    <row r="11224" spans="2:3">
      <c r="B11224" s="12"/>
      <c r="C11224" s="12"/>
    </row>
    <row r="11225" spans="2:3">
      <c r="B11225" s="12"/>
      <c r="C11225" s="12"/>
    </row>
    <row r="11226" spans="2:3">
      <c r="B11226" s="12"/>
      <c r="C11226" s="12"/>
    </row>
    <row r="11227" spans="2:3">
      <c r="B11227" s="12"/>
      <c r="C11227" s="12"/>
    </row>
    <row r="11228" spans="2:3">
      <c r="B11228" s="12"/>
      <c r="C11228" s="12"/>
    </row>
    <row r="11229" spans="2:3">
      <c r="B11229" s="12"/>
      <c r="C11229" s="12"/>
    </row>
    <row r="11230" spans="2:3">
      <c r="B11230" s="12"/>
      <c r="C11230" s="12"/>
    </row>
    <row r="11231" spans="2:3">
      <c r="B11231" s="12"/>
      <c r="C11231" s="12"/>
    </row>
    <row r="11232" spans="2:3">
      <c r="B11232" s="12"/>
      <c r="C11232" s="12"/>
    </row>
    <row r="11233" spans="2:3">
      <c r="B11233" s="12"/>
      <c r="C11233" s="12"/>
    </row>
    <row r="11234" spans="2:3">
      <c r="B11234" s="12"/>
      <c r="C11234" s="12"/>
    </row>
    <row r="11235" spans="2:3">
      <c r="B11235" s="12"/>
      <c r="C11235" s="12"/>
    </row>
    <row r="11236" spans="2:3">
      <c r="B11236" s="12"/>
      <c r="C11236" s="12"/>
    </row>
    <row r="11237" spans="2:3">
      <c r="B11237" s="12"/>
      <c r="C11237" s="12"/>
    </row>
    <row r="11238" spans="2:3">
      <c r="B11238" s="12"/>
      <c r="C11238" s="12"/>
    </row>
    <row r="11239" spans="2:3">
      <c r="B11239" s="12"/>
      <c r="C11239" s="12"/>
    </row>
    <row r="11240" spans="2:3">
      <c r="B11240" s="12"/>
      <c r="C11240" s="12"/>
    </row>
    <row r="11241" spans="2:3">
      <c r="B11241" s="12"/>
      <c r="C11241" s="12"/>
    </row>
    <row r="11242" spans="2:3">
      <c r="B11242" s="12"/>
      <c r="C11242" s="12"/>
    </row>
    <row r="11243" spans="2:3">
      <c r="B11243" s="12"/>
      <c r="C11243" s="12"/>
    </row>
    <row r="11244" spans="2:3">
      <c r="B11244" s="12"/>
      <c r="C11244" s="12"/>
    </row>
    <row r="11245" spans="2:3">
      <c r="B11245" s="12"/>
      <c r="C11245" s="12"/>
    </row>
    <row r="11246" spans="2:3">
      <c r="B11246" s="12"/>
      <c r="C11246" s="12"/>
    </row>
    <row r="11247" spans="2:3">
      <c r="B11247" s="12"/>
      <c r="C11247" s="12"/>
    </row>
    <row r="11248" spans="2:3">
      <c r="B11248" s="12"/>
      <c r="C11248" s="12"/>
    </row>
    <row r="11249" spans="2:3">
      <c r="B11249" s="12"/>
      <c r="C11249" s="12"/>
    </row>
    <row r="11250" spans="2:3">
      <c r="B11250" s="12"/>
      <c r="C11250" s="12"/>
    </row>
    <row r="11251" spans="2:3">
      <c r="B11251" s="12"/>
      <c r="C11251" s="12"/>
    </row>
    <row r="11252" spans="2:3">
      <c r="B11252" s="12"/>
      <c r="C11252" s="12"/>
    </row>
    <row r="11253" spans="2:3">
      <c r="B11253" s="12"/>
      <c r="C11253" s="12"/>
    </row>
    <row r="11254" spans="2:3">
      <c r="B11254" s="12"/>
      <c r="C11254" s="12"/>
    </row>
    <row r="11255" spans="2:3">
      <c r="B11255" s="12"/>
      <c r="C11255" s="12"/>
    </row>
    <row r="11256" spans="2:3">
      <c r="B11256" s="12"/>
      <c r="C11256" s="12"/>
    </row>
    <row r="11257" spans="2:3">
      <c r="B11257" s="12"/>
      <c r="C11257" s="12"/>
    </row>
    <row r="11258" spans="2:3">
      <c r="B11258" s="12"/>
      <c r="C11258" s="12"/>
    </row>
    <row r="11259" spans="2:3">
      <c r="B11259" s="12"/>
      <c r="C11259" s="12"/>
    </row>
    <row r="11260" spans="2:3">
      <c r="B11260" s="12"/>
      <c r="C11260" s="12"/>
    </row>
    <row r="11261" spans="2:3">
      <c r="B11261" s="12"/>
      <c r="C11261" s="12"/>
    </row>
    <row r="11262" spans="2:3">
      <c r="B11262" s="12"/>
      <c r="C11262" s="12"/>
    </row>
    <row r="11263" spans="2:3">
      <c r="B11263" s="12"/>
      <c r="C11263" s="12"/>
    </row>
    <row r="11264" spans="2:3">
      <c r="B11264" s="12"/>
      <c r="C11264" s="12"/>
    </row>
    <row r="11265" spans="2:3">
      <c r="B11265" s="12"/>
      <c r="C11265" s="12"/>
    </row>
    <row r="11266" spans="2:3">
      <c r="B11266" s="12"/>
      <c r="C11266" s="12"/>
    </row>
    <row r="11267" spans="2:3">
      <c r="B11267" s="12"/>
      <c r="C11267" s="12"/>
    </row>
    <row r="11268" spans="2:3">
      <c r="B11268" s="12"/>
      <c r="C11268" s="12"/>
    </row>
    <row r="11269" spans="2:3">
      <c r="B11269" s="12"/>
      <c r="C11269" s="12"/>
    </row>
    <row r="11270" spans="2:3">
      <c r="B11270" s="12"/>
      <c r="C11270" s="12"/>
    </row>
    <row r="11271" spans="2:3">
      <c r="B11271" s="12"/>
      <c r="C11271" s="12"/>
    </row>
    <row r="11272" spans="2:3">
      <c r="B11272" s="12"/>
      <c r="C11272" s="12"/>
    </row>
    <row r="11273" spans="2:3">
      <c r="B11273" s="12"/>
      <c r="C11273" s="12"/>
    </row>
    <row r="11274" spans="2:3">
      <c r="B11274" s="12"/>
      <c r="C11274" s="12"/>
    </row>
    <row r="11275" spans="2:3">
      <c r="B11275" s="12"/>
      <c r="C11275" s="12"/>
    </row>
    <row r="11276" spans="2:3">
      <c r="B11276" s="12"/>
      <c r="C11276" s="12"/>
    </row>
    <row r="11277" spans="2:3">
      <c r="B11277" s="12"/>
      <c r="C11277" s="12"/>
    </row>
    <row r="11278" spans="2:3">
      <c r="B11278" s="12"/>
      <c r="C11278" s="12"/>
    </row>
    <row r="11279" spans="2:3">
      <c r="B11279" s="12"/>
      <c r="C11279" s="12"/>
    </row>
    <row r="11280" spans="2:3">
      <c r="B11280" s="12"/>
      <c r="C11280" s="12"/>
    </row>
    <row r="11281" spans="2:3">
      <c r="B11281" s="12"/>
      <c r="C11281" s="12"/>
    </row>
    <row r="11282" spans="2:3">
      <c r="B11282" s="12"/>
      <c r="C11282" s="12"/>
    </row>
    <row r="11283" spans="2:3">
      <c r="B11283" s="12"/>
      <c r="C11283" s="12"/>
    </row>
    <row r="11284" spans="2:3">
      <c r="B11284" s="12"/>
      <c r="C11284" s="12"/>
    </row>
    <row r="11285" spans="2:3">
      <c r="B11285" s="12"/>
      <c r="C11285" s="12"/>
    </row>
    <row r="11286" spans="2:3">
      <c r="B11286" s="12"/>
      <c r="C11286" s="12"/>
    </row>
    <row r="11287" spans="2:3">
      <c r="B11287" s="12"/>
      <c r="C11287" s="12"/>
    </row>
    <row r="11288" spans="2:3">
      <c r="B11288" s="12"/>
      <c r="C11288" s="12"/>
    </row>
    <row r="11289" spans="2:3">
      <c r="B11289" s="12"/>
      <c r="C11289" s="12"/>
    </row>
    <row r="11290" spans="2:3">
      <c r="B11290" s="12"/>
      <c r="C11290" s="12"/>
    </row>
    <row r="11291" spans="2:3">
      <c r="B11291" s="12"/>
      <c r="C11291" s="12"/>
    </row>
    <row r="11292" spans="2:3">
      <c r="B11292" s="12"/>
      <c r="C11292" s="12"/>
    </row>
    <row r="11293" spans="2:3">
      <c r="B11293" s="12"/>
      <c r="C11293" s="12"/>
    </row>
    <row r="11294" spans="2:3">
      <c r="B11294" s="12"/>
      <c r="C11294" s="12"/>
    </row>
    <row r="11295" spans="2:3">
      <c r="B11295" s="12"/>
      <c r="C11295" s="12"/>
    </row>
    <row r="11296" spans="2:3">
      <c r="B11296" s="12"/>
      <c r="C11296" s="12"/>
    </row>
    <row r="11297" spans="2:3">
      <c r="B11297" s="12"/>
      <c r="C11297" s="12"/>
    </row>
    <row r="11298" spans="2:3">
      <c r="B11298" s="12"/>
      <c r="C11298" s="12"/>
    </row>
    <row r="11299" spans="2:3">
      <c r="B11299" s="12"/>
      <c r="C11299" s="12"/>
    </row>
    <row r="11300" spans="2:3">
      <c r="B11300" s="12"/>
      <c r="C11300" s="12"/>
    </row>
    <row r="11301" spans="2:3">
      <c r="B11301" s="12"/>
      <c r="C11301" s="12"/>
    </row>
    <row r="11302" spans="2:3">
      <c r="B11302" s="12"/>
      <c r="C11302" s="12"/>
    </row>
    <row r="11303" spans="2:3">
      <c r="B11303" s="12"/>
      <c r="C11303" s="12"/>
    </row>
    <row r="11304" spans="2:3">
      <c r="B11304" s="12"/>
      <c r="C11304" s="12"/>
    </row>
    <row r="11305" spans="2:3">
      <c r="B11305" s="12"/>
      <c r="C11305" s="12"/>
    </row>
    <row r="11306" spans="2:3">
      <c r="B11306" s="12"/>
      <c r="C11306" s="12"/>
    </row>
    <row r="11307" spans="2:3">
      <c r="B11307" s="12"/>
      <c r="C11307" s="12"/>
    </row>
    <row r="11308" spans="2:3">
      <c r="B11308" s="12"/>
      <c r="C11308" s="12"/>
    </row>
    <row r="11309" spans="2:3">
      <c r="B11309" s="12"/>
      <c r="C11309" s="12"/>
    </row>
    <row r="11310" spans="2:3">
      <c r="B11310" s="12"/>
      <c r="C11310" s="12"/>
    </row>
    <row r="11311" spans="2:3">
      <c r="B11311" s="12"/>
      <c r="C11311" s="12"/>
    </row>
    <row r="11312" spans="2:3">
      <c r="B11312" s="12"/>
      <c r="C11312" s="12"/>
    </row>
    <row r="11313" spans="2:3">
      <c r="B11313" s="12"/>
      <c r="C11313" s="12"/>
    </row>
    <row r="11314" spans="2:3">
      <c r="B11314" s="12"/>
      <c r="C11314" s="12"/>
    </row>
    <row r="11315" spans="2:3">
      <c r="B11315" s="12"/>
      <c r="C11315" s="12"/>
    </row>
    <row r="11316" spans="2:3">
      <c r="B11316" s="12"/>
      <c r="C11316" s="12"/>
    </row>
    <row r="11317" spans="2:3">
      <c r="B11317" s="12"/>
      <c r="C11317" s="12"/>
    </row>
    <row r="11318" spans="2:3">
      <c r="B11318" s="12"/>
      <c r="C11318" s="12"/>
    </row>
    <row r="11319" spans="2:3">
      <c r="B11319" s="12"/>
      <c r="C11319" s="12"/>
    </row>
    <row r="11320" spans="2:3">
      <c r="B11320" s="12"/>
      <c r="C11320" s="12"/>
    </row>
    <row r="11321" spans="2:3">
      <c r="B11321" s="12"/>
      <c r="C11321" s="12"/>
    </row>
    <row r="11322" spans="2:3">
      <c r="B11322" s="12"/>
      <c r="C11322" s="12"/>
    </row>
    <row r="11323" spans="2:3">
      <c r="B11323" s="12"/>
      <c r="C11323" s="12"/>
    </row>
    <row r="11324" spans="2:3">
      <c r="B11324" s="12"/>
      <c r="C11324" s="12"/>
    </row>
    <row r="11325" spans="2:3">
      <c r="B11325" s="12"/>
      <c r="C11325" s="12"/>
    </row>
    <row r="11326" spans="2:3">
      <c r="B11326" s="12"/>
      <c r="C11326" s="12"/>
    </row>
    <row r="11327" spans="2:3">
      <c r="B11327" s="12"/>
      <c r="C11327" s="12"/>
    </row>
    <row r="11328" spans="2:3">
      <c r="B11328" s="12"/>
      <c r="C11328" s="12"/>
    </row>
    <row r="11329" spans="2:3">
      <c r="B11329" s="12"/>
      <c r="C11329" s="12"/>
    </row>
    <row r="11330" spans="2:3">
      <c r="B11330" s="12"/>
      <c r="C11330" s="12"/>
    </row>
    <row r="11331" spans="2:3">
      <c r="B11331" s="12"/>
      <c r="C11331" s="12"/>
    </row>
    <row r="11332" spans="2:3">
      <c r="B11332" s="12"/>
      <c r="C11332" s="12"/>
    </row>
    <row r="11333" spans="2:3">
      <c r="B11333" s="12"/>
      <c r="C11333" s="12"/>
    </row>
    <row r="11334" spans="2:3">
      <c r="B11334" s="12"/>
      <c r="C11334" s="12"/>
    </row>
    <row r="11335" spans="2:3">
      <c r="B11335" s="12"/>
      <c r="C11335" s="12"/>
    </row>
    <row r="11336" spans="2:3">
      <c r="B11336" s="12"/>
      <c r="C11336" s="12"/>
    </row>
    <row r="11337" spans="2:3">
      <c r="B11337" s="12"/>
      <c r="C11337" s="12"/>
    </row>
    <row r="11338" spans="2:3">
      <c r="B11338" s="12"/>
      <c r="C11338" s="12"/>
    </row>
    <row r="11339" spans="2:3">
      <c r="B11339" s="12"/>
      <c r="C11339" s="12"/>
    </row>
    <row r="11340" spans="2:3">
      <c r="B11340" s="12"/>
      <c r="C11340" s="12"/>
    </row>
    <row r="11341" spans="2:3">
      <c r="B11341" s="12"/>
      <c r="C11341" s="12"/>
    </row>
    <row r="11342" spans="2:3">
      <c r="B11342" s="12"/>
      <c r="C11342" s="12"/>
    </row>
    <row r="11343" spans="2:3">
      <c r="B11343" s="12"/>
      <c r="C11343" s="12"/>
    </row>
    <row r="11344" spans="2:3">
      <c r="B11344" s="12"/>
      <c r="C11344" s="12"/>
    </row>
    <row r="11345" spans="2:3">
      <c r="B11345" s="12"/>
      <c r="C11345" s="12"/>
    </row>
    <row r="11346" spans="2:3">
      <c r="B11346" s="12"/>
      <c r="C11346" s="12"/>
    </row>
    <row r="11347" spans="2:3">
      <c r="B11347" s="12"/>
      <c r="C11347" s="12"/>
    </row>
    <row r="11348" spans="2:3">
      <c r="B11348" s="12"/>
      <c r="C11348" s="12"/>
    </row>
    <row r="11349" spans="2:3">
      <c r="B11349" s="12"/>
      <c r="C11349" s="12"/>
    </row>
    <row r="11350" spans="2:3">
      <c r="B11350" s="12"/>
      <c r="C11350" s="12"/>
    </row>
    <row r="11351" spans="2:3">
      <c r="B11351" s="12"/>
      <c r="C11351" s="12"/>
    </row>
    <row r="11352" spans="2:3">
      <c r="B11352" s="12"/>
      <c r="C11352" s="12"/>
    </row>
    <row r="11353" spans="2:3">
      <c r="B11353" s="12"/>
      <c r="C11353" s="12"/>
    </row>
    <row r="11354" spans="2:3">
      <c r="B11354" s="12"/>
      <c r="C11354" s="12"/>
    </row>
    <row r="11355" spans="2:3">
      <c r="B11355" s="12"/>
      <c r="C11355" s="12"/>
    </row>
    <row r="11356" spans="2:3">
      <c r="B11356" s="12"/>
      <c r="C11356" s="12"/>
    </row>
    <row r="11357" spans="2:3">
      <c r="B11357" s="12"/>
      <c r="C11357" s="12"/>
    </row>
    <row r="11358" spans="2:3">
      <c r="B11358" s="12"/>
      <c r="C11358" s="12"/>
    </row>
    <row r="11359" spans="2:3">
      <c r="B11359" s="12"/>
      <c r="C11359" s="12"/>
    </row>
    <row r="11360" spans="2:3">
      <c r="B11360" s="12"/>
      <c r="C11360" s="12"/>
    </row>
    <row r="11361" spans="2:3">
      <c r="B11361" s="12"/>
      <c r="C11361" s="12"/>
    </row>
    <row r="11362" spans="2:3">
      <c r="B11362" s="12"/>
      <c r="C11362" s="12"/>
    </row>
    <row r="11363" spans="2:3">
      <c r="B11363" s="12"/>
      <c r="C11363" s="12"/>
    </row>
    <row r="11364" spans="2:3">
      <c r="B11364" s="12"/>
      <c r="C11364" s="12"/>
    </row>
    <row r="11365" spans="2:3">
      <c r="B11365" s="12"/>
      <c r="C11365" s="12"/>
    </row>
    <row r="11366" spans="2:3">
      <c r="B11366" s="12"/>
      <c r="C11366" s="12"/>
    </row>
    <row r="11367" spans="2:3">
      <c r="B11367" s="12"/>
      <c r="C11367" s="12"/>
    </row>
    <row r="11368" spans="2:3">
      <c r="B11368" s="12"/>
      <c r="C11368" s="12"/>
    </row>
    <row r="11369" spans="2:3">
      <c r="B11369" s="12"/>
      <c r="C11369" s="12"/>
    </row>
    <row r="11370" spans="2:3">
      <c r="B11370" s="12"/>
      <c r="C11370" s="12"/>
    </row>
    <row r="11371" spans="2:3">
      <c r="B11371" s="12"/>
      <c r="C11371" s="12"/>
    </row>
    <row r="11372" spans="2:3">
      <c r="B11372" s="12"/>
      <c r="C11372" s="12"/>
    </row>
    <row r="11373" spans="2:3">
      <c r="B11373" s="12"/>
      <c r="C11373" s="12"/>
    </row>
    <row r="11374" spans="2:3">
      <c r="B11374" s="12"/>
      <c r="C11374" s="12"/>
    </row>
    <row r="11375" spans="2:3">
      <c r="B11375" s="12"/>
      <c r="C11375" s="12"/>
    </row>
    <row r="11376" spans="2:3">
      <c r="B11376" s="12"/>
      <c r="C11376" s="12"/>
    </row>
    <row r="11377" spans="2:3">
      <c r="B11377" s="12"/>
      <c r="C11377" s="12"/>
    </row>
    <row r="11378" spans="2:3">
      <c r="B11378" s="12"/>
      <c r="C11378" s="12"/>
    </row>
    <row r="11379" spans="2:3">
      <c r="B11379" s="12"/>
      <c r="C11379" s="12"/>
    </row>
    <row r="11380" spans="2:3">
      <c r="B11380" s="12"/>
      <c r="C11380" s="12"/>
    </row>
    <row r="11381" spans="2:3">
      <c r="B11381" s="12"/>
      <c r="C11381" s="12"/>
    </row>
    <row r="11382" spans="2:3">
      <c r="B11382" s="12"/>
      <c r="C11382" s="12"/>
    </row>
    <row r="11383" spans="2:3">
      <c r="B11383" s="12"/>
      <c r="C11383" s="12"/>
    </row>
    <row r="11384" spans="2:3">
      <c r="B11384" s="12"/>
      <c r="C11384" s="12"/>
    </row>
    <row r="11385" spans="2:3">
      <c r="B11385" s="12"/>
      <c r="C11385" s="12"/>
    </row>
    <row r="11386" spans="2:3">
      <c r="B11386" s="12"/>
      <c r="C11386" s="12"/>
    </row>
    <row r="11387" spans="2:3">
      <c r="B11387" s="12"/>
      <c r="C11387" s="12"/>
    </row>
    <row r="11388" spans="2:3">
      <c r="B11388" s="12"/>
      <c r="C11388" s="12"/>
    </row>
    <row r="11389" spans="2:3">
      <c r="B11389" s="12"/>
      <c r="C11389" s="12"/>
    </row>
    <row r="11390" spans="2:3">
      <c r="B11390" s="12"/>
      <c r="C11390" s="12"/>
    </row>
    <row r="11391" spans="2:3">
      <c r="B11391" s="12"/>
      <c r="C11391" s="12"/>
    </row>
    <row r="11392" spans="2:3">
      <c r="B11392" s="12"/>
      <c r="C11392" s="12"/>
    </row>
    <row r="11393" spans="2:3">
      <c r="B11393" s="12"/>
      <c r="C11393" s="12"/>
    </row>
    <row r="11394" spans="2:3">
      <c r="B11394" s="12"/>
      <c r="C11394" s="12"/>
    </row>
    <row r="11395" spans="2:3">
      <c r="B11395" s="12"/>
      <c r="C11395" s="12"/>
    </row>
    <row r="11396" spans="2:3">
      <c r="B11396" s="12"/>
      <c r="C11396" s="12"/>
    </row>
    <row r="11397" spans="2:3">
      <c r="B11397" s="12"/>
      <c r="C11397" s="12"/>
    </row>
    <row r="11398" spans="2:3">
      <c r="B11398" s="12"/>
      <c r="C11398" s="12"/>
    </row>
    <row r="11399" spans="2:3">
      <c r="B11399" s="12"/>
      <c r="C11399" s="12"/>
    </row>
    <row r="11400" spans="2:3">
      <c r="B11400" s="12"/>
      <c r="C11400" s="12"/>
    </row>
    <row r="11401" spans="2:3">
      <c r="B11401" s="12"/>
      <c r="C11401" s="12"/>
    </row>
    <row r="11402" spans="2:3">
      <c r="B11402" s="12"/>
      <c r="C11402" s="12"/>
    </row>
    <row r="11403" spans="2:3">
      <c r="B11403" s="12"/>
      <c r="C11403" s="12"/>
    </row>
    <row r="11404" spans="2:3">
      <c r="B11404" s="12"/>
      <c r="C11404" s="12"/>
    </row>
    <row r="11405" spans="2:3">
      <c r="B11405" s="12"/>
      <c r="C11405" s="12"/>
    </row>
    <row r="11406" spans="2:3">
      <c r="B11406" s="12"/>
      <c r="C11406" s="12"/>
    </row>
    <row r="11407" spans="2:3">
      <c r="B11407" s="12"/>
      <c r="C11407" s="12"/>
    </row>
    <row r="11408" spans="2:3">
      <c r="B11408" s="12"/>
      <c r="C11408" s="12"/>
    </row>
    <row r="11409" spans="2:3">
      <c r="B11409" s="12"/>
      <c r="C11409" s="12"/>
    </row>
    <row r="11410" spans="2:3">
      <c r="B11410" s="12"/>
      <c r="C11410" s="12"/>
    </row>
    <row r="11411" spans="2:3">
      <c r="B11411" s="12"/>
      <c r="C11411" s="12"/>
    </row>
    <row r="11412" spans="2:3">
      <c r="B11412" s="12"/>
      <c r="C11412" s="12"/>
    </row>
    <row r="11413" spans="2:3">
      <c r="B11413" s="12"/>
      <c r="C11413" s="12"/>
    </row>
    <row r="11414" spans="2:3">
      <c r="B11414" s="12"/>
      <c r="C11414" s="12"/>
    </row>
    <row r="11415" spans="2:3">
      <c r="B11415" s="12"/>
      <c r="C11415" s="12"/>
    </row>
    <row r="11416" spans="2:3">
      <c r="B11416" s="12"/>
      <c r="C11416" s="12"/>
    </row>
    <row r="11417" spans="2:3">
      <c r="B11417" s="12"/>
      <c r="C11417" s="12"/>
    </row>
    <row r="11418" spans="2:3">
      <c r="B11418" s="12"/>
      <c r="C11418" s="12"/>
    </row>
    <row r="11419" spans="2:3">
      <c r="B11419" s="12"/>
      <c r="C11419" s="12"/>
    </row>
    <row r="11420" spans="2:3">
      <c r="B11420" s="12"/>
      <c r="C11420" s="12"/>
    </row>
    <row r="11421" spans="2:3">
      <c r="B11421" s="12"/>
      <c r="C11421" s="12"/>
    </row>
    <row r="11422" spans="2:3">
      <c r="B11422" s="12"/>
      <c r="C11422" s="12"/>
    </row>
    <row r="11423" spans="2:3">
      <c r="B11423" s="12"/>
      <c r="C11423" s="12"/>
    </row>
    <row r="11424" spans="2:3">
      <c r="B11424" s="12"/>
      <c r="C11424" s="12"/>
    </row>
    <row r="11425" spans="2:3">
      <c r="B11425" s="12"/>
      <c r="C11425" s="12"/>
    </row>
    <row r="11426" spans="2:3">
      <c r="B11426" s="12"/>
      <c r="C11426" s="12"/>
    </row>
    <row r="11427" spans="2:3">
      <c r="B11427" s="12"/>
      <c r="C11427" s="12"/>
    </row>
    <row r="11428" spans="2:3">
      <c r="B11428" s="12"/>
      <c r="C11428" s="12"/>
    </row>
    <row r="11429" spans="2:3">
      <c r="B11429" s="12"/>
      <c r="C11429" s="12"/>
    </row>
    <row r="11430" spans="2:3">
      <c r="B11430" s="12"/>
      <c r="C11430" s="12"/>
    </row>
    <row r="11431" spans="2:3">
      <c r="B11431" s="12"/>
      <c r="C11431" s="12"/>
    </row>
    <row r="11432" spans="2:3">
      <c r="B11432" s="12"/>
      <c r="C11432" s="12"/>
    </row>
    <row r="11433" spans="2:3">
      <c r="B11433" s="12"/>
      <c r="C11433" s="12"/>
    </row>
    <row r="11434" spans="2:3">
      <c r="B11434" s="12"/>
      <c r="C11434" s="12"/>
    </row>
    <row r="11435" spans="2:3">
      <c r="B11435" s="12"/>
      <c r="C11435" s="12"/>
    </row>
    <row r="11436" spans="2:3">
      <c r="B11436" s="12"/>
      <c r="C11436" s="12"/>
    </row>
    <row r="11437" spans="2:3">
      <c r="B11437" s="12"/>
      <c r="C11437" s="12"/>
    </row>
    <row r="11438" spans="2:3">
      <c r="B11438" s="12"/>
      <c r="C11438" s="12"/>
    </row>
    <row r="11439" spans="2:3">
      <c r="B11439" s="12"/>
      <c r="C11439" s="12"/>
    </row>
    <row r="11440" spans="2:3">
      <c r="B11440" s="12"/>
      <c r="C11440" s="12"/>
    </row>
    <row r="11441" spans="2:3">
      <c r="B11441" s="12"/>
      <c r="C11441" s="12"/>
    </row>
    <row r="11442" spans="2:3">
      <c r="B11442" s="12"/>
      <c r="C11442" s="12"/>
    </row>
    <row r="11443" spans="2:3">
      <c r="B11443" s="12"/>
      <c r="C11443" s="12"/>
    </row>
    <row r="11444" spans="2:3">
      <c r="B11444" s="12"/>
      <c r="C11444" s="12"/>
    </row>
    <row r="11445" spans="2:3">
      <c r="B11445" s="12"/>
      <c r="C11445" s="12"/>
    </row>
    <row r="11446" spans="2:3">
      <c r="B11446" s="12"/>
      <c r="C11446" s="12"/>
    </row>
    <row r="11447" spans="2:3">
      <c r="B11447" s="12"/>
      <c r="C11447" s="12"/>
    </row>
    <row r="11448" spans="2:3">
      <c r="B11448" s="12"/>
      <c r="C11448" s="12"/>
    </row>
    <row r="11449" spans="2:3">
      <c r="B11449" s="12"/>
      <c r="C11449" s="12"/>
    </row>
    <row r="11450" spans="2:3">
      <c r="B11450" s="12"/>
      <c r="C11450" s="12"/>
    </row>
    <row r="11451" spans="2:3">
      <c r="B11451" s="12"/>
      <c r="C11451" s="12"/>
    </row>
    <row r="11452" spans="2:3">
      <c r="B11452" s="12"/>
      <c r="C11452" s="12"/>
    </row>
    <row r="11453" spans="2:3">
      <c r="B11453" s="12"/>
      <c r="C11453" s="12"/>
    </row>
    <row r="11454" spans="2:3">
      <c r="B11454" s="12"/>
      <c r="C11454" s="12"/>
    </row>
    <row r="11455" spans="2:3">
      <c r="B11455" s="12"/>
      <c r="C11455" s="12"/>
    </row>
    <row r="11456" spans="2:3">
      <c r="B11456" s="12"/>
      <c r="C11456" s="12"/>
    </row>
    <row r="11457" spans="2:3">
      <c r="B11457" s="12"/>
      <c r="C11457" s="12"/>
    </row>
    <row r="11458" spans="2:3">
      <c r="B11458" s="12"/>
      <c r="C11458" s="12"/>
    </row>
    <row r="11459" spans="2:3">
      <c r="B11459" s="12"/>
      <c r="C11459" s="12"/>
    </row>
    <row r="11460" spans="2:3">
      <c r="B11460" s="12"/>
      <c r="C11460" s="12"/>
    </row>
    <row r="11461" spans="2:3">
      <c r="B11461" s="12"/>
      <c r="C11461" s="12"/>
    </row>
    <row r="11462" spans="2:3">
      <c r="B11462" s="12"/>
      <c r="C11462" s="12"/>
    </row>
    <row r="11463" spans="2:3">
      <c r="B11463" s="12"/>
      <c r="C11463" s="12"/>
    </row>
    <row r="11464" spans="2:3">
      <c r="B11464" s="12"/>
      <c r="C11464" s="12"/>
    </row>
    <row r="11465" spans="2:3">
      <c r="B11465" s="12"/>
      <c r="C11465" s="12"/>
    </row>
    <row r="11466" spans="2:3">
      <c r="B11466" s="12"/>
      <c r="C11466" s="12"/>
    </row>
    <row r="11467" spans="2:3">
      <c r="B11467" s="12"/>
      <c r="C11467" s="12"/>
    </row>
    <row r="11468" spans="2:3">
      <c r="B11468" s="12"/>
      <c r="C11468" s="12"/>
    </row>
    <row r="11469" spans="2:3">
      <c r="B11469" s="12"/>
      <c r="C11469" s="12"/>
    </row>
    <row r="11470" spans="2:3">
      <c r="B11470" s="12"/>
      <c r="C11470" s="12"/>
    </row>
    <row r="11471" spans="2:3">
      <c r="B11471" s="12"/>
      <c r="C11471" s="12"/>
    </row>
    <row r="11472" spans="2:3">
      <c r="B11472" s="12"/>
      <c r="C11472" s="12"/>
    </row>
    <row r="11473" spans="2:3">
      <c r="B11473" s="12"/>
      <c r="C11473" s="12"/>
    </row>
    <row r="11474" spans="2:3">
      <c r="B11474" s="12"/>
      <c r="C11474" s="12"/>
    </row>
    <row r="11475" spans="2:3">
      <c r="B11475" s="12"/>
      <c r="C11475" s="12"/>
    </row>
    <row r="11476" spans="2:3">
      <c r="B11476" s="12"/>
      <c r="C11476" s="12"/>
    </row>
    <row r="11477" spans="2:3">
      <c r="B11477" s="12"/>
      <c r="C11477" s="12"/>
    </row>
    <row r="11478" spans="2:3">
      <c r="B11478" s="12"/>
      <c r="C11478" s="12"/>
    </row>
    <row r="11479" spans="2:3">
      <c r="B11479" s="12"/>
      <c r="C11479" s="12"/>
    </row>
    <row r="11480" spans="2:3">
      <c r="B11480" s="12"/>
      <c r="C11480" s="12"/>
    </row>
    <row r="11481" spans="2:3">
      <c r="B11481" s="12"/>
      <c r="C11481" s="12"/>
    </row>
    <row r="11482" spans="2:3">
      <c r="B11482" s="12"/>
      <c r="C11482" s="12"/>
    </row>
    <row r="11483" spans="2:3">
      <c r="B11483" s="12"/>
      <c r="C11483" s="12"/>
    </row>
    <row r="11484" spans="2:3">
      <c r="B11484" s="12"/>
      <c r="C11484" s="12"/>
    </row>
    <row r="11485" spans="2:3">
      <c r="B11485" s="12"/>
      <c r="C11485" s="12"/>
    </row>
    <row r="11486" spans="2:3">
      <c r="B11486" s="12"/>
      <c r="C11486" s="12"/>
    </row>
    <row r="11487" spans="2:3">
      <c r="B11487" s="12"/>
      <c r="C11487" s="12"/>
    </row>
    <row r="11488" spans="2:3">
      <c r="B11488" s="12"/>
      <c r="C11488" s="12"/>
    </row>
    <row r="11489" spans="2:3">
      <c r="B11489" s="12"/>
      <c r="C11489" s="12"/>
    </row>
    <row r="11490" spans="2:3">
      <c r="B11490" s="12"/>
      <c r="C11490" s="12"/>
    </row>
    <row r="11491" spans="2:3">
      <c r="B11491" s="12"/>
      <c r="C11491" s="12"/>
    </row>
    <row r="11492" spans="2:3">
      <c r="B11492" s="12"/>
      <c r="C11492" s="12"/>
    </row>
    <row r="11493" spans="2:3">
      <c r="B11493" s="12"/>
      <c r="C11493" s="12"/>
    </row>
    <row r="11494" spans="2:3">
      <c r="B11494" s="12"/>
      <c r="C11494" s="12"/>
    </row>
    <row r="11495" spans="2:3">
      <c r="B11495" s="12"/>
      <c r="C11495" s="12"/>
    </row>
    <row r="11496" spans="2:3">
      <c r="B11496" s="12"/>
      <c r="C11496" s="12"/>
    </row>
    <row r="11497" spans="2:3">
      <c r="B11497" s="12"/>
      <c r="C11497" s="12"/>
    </row>
    <row r="11498" spans="2:3">
      <c r="B11498" s="12"/>
      <c r="C11498" s="12"/>
    </row>
    <row r="11499" spans="2:3">
      <c r="B11499" s="12"/>
      <c r="C11499" s="12"/>
    </row>
    <row r="11500" spans="2:3">
      <c r="B11500" s="12"/>
      <c r="C11500" s="12"/>
    </row>
    <row r="11501" spans="2:3">
      <c r="B11501" s="12"/>
      <c r="C11501" s="12"/>
    </row>
    <row r="11502" spans="2:3">
      <c r="B11502" s="12"/>
      <c r="C11502" s="12"/>
    </row>
    <row r="11503" spans="2:3">
      <c r="B11503" s="12"/>
      <c r="C11503" s="12"/>
    </row>
    <row r="11504" spans="2:3">
      <c r="B11504" s="12"/>
      <c r="C11504" s="12"/>
    </row>
    <row r="11505" spans="2:3">
      <c r="B11505" s="12"/>
      <c r="C11505" s="12"/>
    </row>
    <row r="11506" spans="2:3">
      <c r="B11506" s="12"/>
      <c r="C11506" s="12"/>
    </row>
    <row r="11507" spans="2:3">
      <c r="B11507" s="12"/>
      <c r="C11507" s="12"/>
    </row>
    <row r="11508" spans="2:3">
      <c r="B11508" s="12"/>
      <c r="C11508" s="12"/>
    </row>
    <row r="11509" spans="2:3">
      <c r="B11509" s="12"/>
      <c r="C11509" s="12"/>
    </row>
    <row r="11510" spans="2:3">
      <c r="B11510" s="12"/>
      <c r="C11510" s="12"/>
    </row>
    <row r="11511" spans="2:3">
      <c r="B11511" s="12"/>
      <c r="C11511" s="12"/>
    </row>
    <row r="11512" spans="2:3">
      <c r="B11512" s="12"/>
      <c r="C11512" s="12"/>
    </row>
    <row r="11513" spans="2:3">
      <c r="B11513" s="12"/>
      <c r="C11513" s="12"/>
    </row>
    <row r="11514" spans="2:3">
      <c r="B11514" s="12"/>
      <c r="C11514" s="12"/>
    </row>
    <row r="11515" spans="2:3">
      <c r="B11515" s="12"/>
      <c r="C11515" s="12"/>
    </row>
    <row r="11516" spans="2:3">
      <c r="B11516" s="12"/>
      <c r="C11516" s="12"/>
    </row>
    <row r="11517" spans="2:3">
      <c r="B11517" s="12"/>
      <c r="C11517" s="12"/>
    </row>
    <row r="11518" spans="2:3">
      <c r="B11518" s="12"/>
      <c r="C11518" s="12"/>
    </row>
    <row r="11519" spans="2:3">
      <c r="B11519" s="12"/>
      <c r="C11519" s="12"/>
    </row>
    <row r="11520" spans="2:3">
      <c r="B11520" s="12"/>
      <c r="C11520" s="12"/>
    </row>
    <row r="11521" spans="2:3">
      <c r="B11521" s="12"/>
      <c r="C11521" s="12"/>
    </row>
    <row r="11522" spans="2:3">
      <c r="B11522" s="12"/>
      <c r="C11522" s="12"/>
    </row>
    <row r="11523" spans="2:3">
      <c r="B11523" s="12"/>
      <c r="C11523" s="12"/>
    </row>
    <row r="11524" spans="2:3">
      <c r="B11524" s="12"/>
      <c r="C11524" s="12"/>
    </row>
    <row r="11525" spans="2:3">
      <c r="B11525" s="12"/>
      <c r="C11525" s="12"/>
    </row>
    <row r="11526" spans="2:3">
      <c r="B11526" s="12"/>
      <c r="C11526" s="12"/>
    </row>
    <row r="11527" spans="2:3">
      <c r="B11527" s="12"/>
      <c r="C11527" s="12"/>
    </row>
    <row r="11528" spans="2:3">
      <c r="B11528" s="12"/>
      <c r="C11528" s="12"/>
    </row>
    <row r="11529" spans="2:3">
      <c r="B11529" s="12"/>
      <c r="C11529" s="12"/>
    </row>
    <row r="11530" spans="2:3">
      <c r="B11530" s="12"/>
      <c r="C11530" s="12"/>
    </row>
    <row r="11531" spans="2:3">
      <c r="B11531" s="12"/>
      <c r="C11531" s="12"/>
    </row>
    <row r="11532" spans="2:3">
      <c r="B11532" s="12"/>
      <c r="C11532" s="12"/>
    </row>
    <row r="11533" spans="2:3">
      <c r="B11533" s="12"/>
      <c r="C11533" s="12"/>
    </row>
    <row r="11534" spans="2:3">
      <c r="B11534" s="12"/>
      <c r="C11534" s="12"/>
    </row>
    <row r="11535" spans="2:3">
      <c r="B11535" s="12"/>
      <c r="C11535" s="12"/>
    </row>
    <row r="11536" spans="2:3">
      <c r="B11536" s="12"/>
      <c r="C11536" s="12"/>
    </row>
    <row r="11537" spans="2:3">
      <c r="B11537" s="12"/>
      <c r="C11537" s="12"/>
    </row>
    <row r="11538" spans="2:3">
      <c r="B11538" s="12"/>
      <c r="C11538" s="12"/>
    </row>
    <row r="11539" spans="2:3">
      <c r="B11539" s="12"/>
      <c r="C11539" s="12"/>
    </row>
    <row r="11540" spans="2:3">
      <c r="B11540" s="12"/>
      <c r="C11540" s="12"/>
    </row>
    <row r="11541" spans="2:3">
      <c r="B11541" s="12"/>
      <c r="C11541" s="12"/>
    </row>
    <row r="11542" spans="2:3">
      <c r="B11542" s="12"/>
      <c r="C11542" s="12"/>
    </row>
    <row r="11543" spans="2:3">
      <c r="B11543" s="12"/>
      <c r="C11543" s="12"/>
    </row>
    <row r="11544" spans="2:3">
      <c r="B11544" s="12"/>
      <c r="C11544" s="12"/>
    </row>
    <row r="11545" spans="2:3">
      <c r="B11545" s="12"/>
      <c r="C11545" s="12"/>
    </row>
    <row r="11546" spans="2:3">
      <c r="B11546" s="12"/>
      <c r="C11546" s="12"/>
    </row>
    <row r="11547" spans="2:3">
      <c r="B11547" s="12"/>
      <c r="C11547" s="12"/>
    </row>
    <row r="11548" spans="2:3">
      <c r="B11548" s="12"/>
      <c r="C11548" s="12"/>
    </row>
    <row r="11549" spans="2:3">
      <c r="B11549" s="12"/>
      <c r="C11549" s="12"/>
    </row>
    <row r="11550" spans="2:3">
      <c r="B11550" s="12"/>
      <c r="C11550" s="12"/>
    </row>
    <row r="11551" spans="2:3">
      <c r="B11551" s="12"/>
      <c r="C11551" s="12"/>
    </row>
    <row r="11552" spans="2:3">
      <c r="B11552" s="12"/>
      <c r="C11552" s="12"/>
    </row>
    <row r="11553" spans="2:3">
      <c r="B11553" s="12"/>
      <c r="C11553" s="12"/>
    </row>
    <row r="11554" spans="2:3">
      <c r="B11554" s="12"/>
      <c r="C11554" s="12"/>
    </row>
    <row r="11555" spans="2:3">
      <c r="B11555" s="12"/>
      <c r="C11555" s="12"/>
    </row>
    <row r="11556" spans="2:3">
      <c r="B11556" s="12"/>
      <c r="C11556" s="12"/>
    </row>
    <row r="11557" spans="2:3">
      <c r="B11557" s="12"/>
      <c r="C11557" s="12"/>
    </row>
    <row r="11558" spans="2:3">
      <c r="B11558" s="12"/>
      <c r="C11558" s="12"/>
    </row>
    <row r="11559" spans="2:3">
      <c r="B11559" s="12"/>
      <c r="C11559" s="12"/>
    </row>
    <row r="11560" spans="2:3">
      <c r="B11560" s="12"/>
      <c r="C11560" s="12"/>
    </row>
    <row r="11561" spans="2:3">
      <c r="B11561" s="12"/>
      <c r="C11561" s="12"/>
    </row>
    <row r="11562" spans="2:3">
      <c r="B11562" s="12"/>
      <c r="C11562" s="12"/>
    </row>
    <row r="11563" spans="2:3">
      <c r="B11563" s="12"/>
      <c r="C11563" s="12"/>
    </row>
    <row r="11564" spans="2:3">
      <c r="B11564" s="12"/>
      <c r="C11564" s="12"/>
    </row>
    <row r="11565" spans="2:3">
      <c r="B11565" s="12"/>
      <c r="C11565" s="12"/>
    </row>
    <row r="11566" spans="2:3">
      <c r="B11566" s="12"/>
      <c r="C11566" s="12"/>
    </row>
    <row r="11567" spans="2:3">
      <c r="B11567" s="12"/>
      <c r="C11567" s="12"/>
    </row>
    <row r="11568" spans="2:3">
      <c r="B11568" s="12"/>
      <c r="C11568" s="12"/>
    </row>
    <row r="11569" spans="2:3">
      <c r="B11569" s="12"/>
      <c r="C11569" s="12"/>
    </row>
    <row r="11570" spans="2:3">
      <c r="B11570" s="12"/>
      <c r="C11570" s="12"/>
    </row>
    <row r="11571" spans="2:3">
      <c r="B11571" s="12"/>
      <c r="C11571" s="12"/>
    </row>
    <row r="11572" spans="2:3">
      <c r="B11572" s="12"/>
      <c r="C11572" s="12"/>
    </row>
    <row r="11573" spans="2:3">
      <c r="B11573" s="12"/>
      <c r="C11573" s="12"/>
    </row>
    <row r="11574" spans="2:3">
      <c r="B11574" s="12"/>
      <c r="C11574" s="12"/>
    </row>
    <row r="11575" spans="2:3">
      <c r="B11575" s="12"/>
      <c r="C11575" s="12"/>
    </row>
    <row r="11576" spans="2:3">
      <c r="B11576" s="12"/>
      <c r="C11576" s="12"/>
    </row>
    <row r="11577" spans="2:3">
      <c r="B11577" s="12"/>
      <c r="C11577" s="12"/>
    </row>
    <row r="11578" spans="2:3">
      <c r="B11578" s="12"/>
      <c r="C11578" s="12"/>
    </row>
    <row r="11579" spans="2:3">
      <c r="B11579" s="12"/>
      <c r="C11579" s="12"/>
    </row>
    <row r="11580" spans="2:3">
      <c r="B11580" s="12"/>
      <c r="C11580" s="12"/>
    </row>
    <row r="11581" spans="2:3">
      <c r="B11581" s="12"/>
      <c r="C11581" s="12"/>
    </row>
    <row r="11582" spans="2:3">
      <c r="B11582" s="12"/>
      <c r="C11582" s="12"/>
    </row>
    <row r="11583" spans="2:3">
      <c r="B11583" s="12"/>
      <c r="C11583" s="12"/>
    </row>
    <row r="11584" spans="2:3">
      <c r="B11584" s="12"/>
      <c r="C11584" s="12"/>
    </row>
    <row r="11585" spans="2:3">
      <c r="B11585" s="12"/>
      <c r="C11585" s="12"/>
    </row>
    <row r="11586" spans="2:3">
      <c r="B11586" s="12"/>
      <c r="C11586" s="12"/>
    </row>
    <row r="11587" spans="2:3">
      <c r="B11587" s="12"/>
      <c r="C11587" s="12"/>
    </row>
    <row r="11588" spans="2:3">
      <c r="B11588" s="12"/>
      <c r="C11588" s="12"/>
    </row>
    <row r="11589" spans="2:3">
      <c r="B11589" s="12"/>
      <c r="C11589" s="12"/>
    </row>
    <row r="11590" spans="2:3">
      <c r="B11590" s="12"/>
      <c r="C11590" s="12"/>
    </row>
    <row r="11591" spans="2:3">
      <c r="B11591" s="12"/>
      <c r="C11591" s="12"/>
    </row>
    <row r="11592" spans="2:3">
      <c r="B11592" s="12"/>
      <c r="C11592" s="12"/>
    </row>
    <row r="11593" spans="2:3">
      <c r="B11593" s="12"/>
      <c r="C11593" s="12"/>
    </row>
    <row r="11594" spans="2:3">
      <c r="B11594" s="12"/>
      <c r="C11594" s="12"/>
    </row>
    <row r="11595" spans="2:3">
      <c r="B11595" s="12"/>
      <c r="C11595" s="12"/>
    </row>
    <row r="11596" spans="2:3">
      <c r="B11596" s="12"/>
      <c r="C11596" s="12"/>
    </row>
    <row r="11597" spans="2:3">
      <c r="B11597" s="12"/>
      <c r="C11597" s="12"/>
    </row>
    <row r="11598" spans="2:3">
      <c r="B11598" s="12"/>
      <c r="C11598" s="12"/>
    </row>
    <row r="11599" spans="2:3">
      <c r="B11599" s="12"/>
      <c r="C11599" s="12"/>
    </row>
    <row r="11600" spans="2:3">
      <c r="B11600" s="12"/>
      <c r="C11600" s="12"/>
    </row>
    <row r="11601" spans="2:3">
      <c r="B11601" s="12"/>
      <c r="C11601" s="12"/>
    </row>
    <row r="11602" spans="2:3">
      <c r="B11602" s="12"/>
      <c r="C11602" s="12"/>
    </row>
    <row r="11603" spans="2:3">
      <c r="B11603" s="12"/>
      <c r="C11603" s="12"/>
    </row>
    <row r="11604" spans="2:3">
      <c r="B11604" s="12"/>
      <c r="C11604" s="12"/>
    </row>
    <row r="11605" spans="2:3">
      <c r="B11605" s="12"/>
      <c r="C11605" s="12"/>
    </row>
    <row r="11606" spans="2:3">
      <c r="B11606" s="12"/>
      <c r="C11606" s="12"/>
    </row>
    <row r="11607" spans="2:3">
      <c r="B11607" s="12"/>
      <c r="C11607" s="12"/>
    </row>
    <row r="11608" spans="2:3">
      <c r="B11608" s="12"/>
      <c r="C11608" s="12"/>
    </row>
    <row r="11609" spans="2:3">
      <c r="B11609" s="12"/>
      <c r="C11609" s="12"/>
    </row>
    <row r="11610" spans="2:3">
      <c r="B11610" s="12"/>
      <c r="C11610" s="12"/>
    </row>
    <row r="11611" spans="2:3">
      <c r="B11611" s="12"/>
      <c r="C11611" s="12"/>
    </row>
    <row r="11612" spans="2:3">
      <c r="B11612" s="12"/>
      <c r="C11612" s="12"/>
    </row>
    <row r="11613" spans="2:3">
      <c r="B11613" s="12"/>
      <c r="C11613" s="12"/>
    </row>
    <row r="11614" spans="2:3">
      <c r="B11614" s="12"/>
      <c r="C11614" s="12"/>
    </row>
    <row r="11615" spans="2:3">
      <c r="B11615" s="12"/>
      <c r="C11615" s="12"/>
    </row>
    <row r="11616" spans="2:3">
      <c r="B11616" s="12"/>
      <c r="C11616" s="12"/>
    </row>
    <row r="11617" spans="2:3">
      <c r="B11617" s="12"/>
      <c r="C11617" s="12"/>
    </row>
    <row r="11618" spans="2:3">
      <c r="B11618" s="12"/>
      <c r="C11618" s="12"/>
    </row>
    <row r="11619" spans="2:3">
      <c r="B11619" s="12"/>
      <c r="C11619" s="12"/>
    </row>
    <row r="11620" spans="2:3">
      <c r="B11620" s="12"/>
      <c r="C11620" s="12"/>
    </row>
    <row r="11621" spans="2:3">
      <c r="B11621" s="12"/>
      <c r="C11621" s="12"/>
    </row>
    <row r="11622" spans="2:3">
      <c r="B11622" s="12"/>
      <c r="C11622" s="12"/>
    </row>
    <row r="11623" spans="2:3">
      <c r="B11623" s="12"/>
      <c r="C11623" s="12"/>
    </row>
    <row r="11624" spans="2:3">
      <c r="B11624" s="12"/>
      <c r="C11624" s="12"/>
    </row>
    <row r="11625" spans="2:3">
      <c r="B11625" s="12"/>
      <c r="C11625" s="12"/>
    </row>
    <row r="11626" spans="2:3">
      <c r="B11626" s="12"/>
      <c r="C11626" s="12"/>
    </row>
    <row r="11627" spans="2:3">
      <c r="B11627" s="12"/>
      <c r="C11627" s="12"/>
    </row>
    <row r="11628" spans="2:3">
      <c r="B11628" s="12"/>
      <c r="C11628" s="12"/>
    </row>
    <row r="11629" spans="2:3">
      <c r="B11629" s="12"/>
      <c r="C11629" s="12"/>
    </row>
    <row r="11630" spans="2:3">
      <c r="B11630" s="12"/>
      <c r="C11630" s="12"/>
    </row>
    <row r="11631" spans="2:3">
      <c r="B11631" s="12"/>
      <c r="C11631" s="12"/>
    </row>
    <row r="11632" spans="2:3">
      <c r="B11632" s="12"/>
      <c r="C11632" s="12"/>
    </row>
    <row r="11633" spans="2:3">
      <c r="B11633" s="12"/>
      <c r="C11633" s="12"/>
    </row>
    <row r="11634" spans="2:3">
      <c r="B11634" s="12"/>
      <c r="C11634" s="12"/>
    </row>
    <row r="11635" spans="2:3">
      <c r="B11635" s="12"/>
      <c r="C11635" s="12"/>
    </row>
    <row r="11636" spans="2:3">
      <c r="B11636" s="12"/>
      <c r="C11636" s="12"/>
    </row>
    <row r="11637" spans="2:3">
      <c r="B11637" s="12"/>
      <c r="C11637" s="12"/>
    </row>
    <row r="11638" spans="2:3">
      <c r="B11638" s="12"/>
      <c r="C11638" s="12"/>
    </row>
    <row r="11639" spans="2:3">
      <c r="B11639" s="12"/>
      <c r="C11639" s="12"/>
    </row>
    <row r="11640" spans="2:3">
      <c r="B11640" s="12"/>
      <c r="C11640" s="12"/>
    </row>
    <row r="11641" spans="2:3">
      <c r="B11641" s="12"/>
      <c r="C11641" s="12"/>
    </row>
    <row r="11642" spans="2:3">
      <c r="B11642" s="12"/>
      <c r="C11642" s="12"/>
    </row>
    <row r="11643" spans="2:3">
      <c r="B11643" s="12"/>
      <c r="C11643" s="12"/>
    </row>
    <row r="11644" spans="2:3">
      <c r="B11644" s="12"/>
      <c r="C11644" s="12"/>
    </row>
    <row r="11645" spans="2:3">
      <c r="B11645" s="12"/>
      <c r="C11645" s="12"/>
    </row>
    <row r="11646" spans="2:3">
      <c r="B11646" s="12"/>
      <c r="C11646" s="12"/>
    </row>
    <row r="11647" spans="2:3">
      <c r="B11647" s="12"/>
      <c r="C11647" s="12"/>
    </row>
    <row r="11648" spans="2:3">
      <c r="B11648" s="12"/>
      <c r="C11648" s="12"/>
    </row>
    <row r="11649" spans="2:3">
      <c r="B11649" s="12"/>
      <c r="C11649" s="12"/>
    </row>
    <row r="11650" spans="2:3">
      <c r="B11650" s="12"/>
      <c r="C11650" s="12"/>
    </row>
    <row r="11651" spans="2:3">
      <c r="B11651" s="12"/>
      <c r="C11651" s="12"/>
    </row>
    <row r="11652" spans="2:3">
      <c r="B11652" s="12"/>
      <c r="C11652" s="12"/>
    </row>
    <row r="11653" spans="2:3">
      <c r="B11653" s="12"/>
      <c r="C11653" s="12"/>
    </row>
    <row r="11654" spans="2:3">
      <c r="B11654" s="12"/>
      <c r="C11654" s="12"/>
    </row>
    <row r="11655" spans="2:3">
      <c r="B11655" s="12"/>
      <c r="C11655" s="12"/>
    </row>
    <row r="11656" spans="2:3">
      <c r="B11656" s="12"/>
      <c r="C11656" s="12"/>
    </row>
    <row r="11657" spans="2:3">
      <c r="B11657" s="12"/>
      <c r="C11657" s="12"/>
    </row>
    <row r="11658" spans="2:3">
      <c r="B11658" s="12"/>
      <c r="C11658" s="12"/>
    </row>
    <row r="11659" spans="2:3">
      <c r="B11659" s="12"/>
      <c r="C11659" s="12"/>
    </row>
    <row r="11660" spans="2:3">
      <c r="B11660" s="12"/>
      <c r="C11660" s="12"/>
    </row>
    <row r="11661" spans="2:3">
      <c r="B11661" s="12"/>
      <c r="C11661" s="12"/>
    </row>
    <row r="11662" spans="2:3">
      <c r="B11662" s="12"/>
      <c r="C11662" s="12"/>
    </row>
    <row r="11663" spans="2:3">
      <c r="B11663" s="12"/>
      <c r="C11663" s="12"/>
    </row>
    <row r="11664" spans="2:3">
      <c r="B11664" s="12"/>
      <c r="C11664" s="12"/>
    </row>
    <row r="11665" spans="2:3">
      <c r="B11665" s="12"/>
      <c r="C11665" s="12"/>
    </row>
    <row r="11666" spans="2:3">
      <c r="B11666" s="12"/>
      <c r="C11666" s="12"/>
    </row>
    <row r="11667" spans="2:3">
      <c r="B11667" s="12"/>
      <c r="C11667" s="12"/>
    </row>
    <row r="11668" spans="2:3">
      <c r="B11668" s="12"/>
      <c r="C11668" s="12"/>
    </row>
    <row r="11669" spans="2:3">
      <c r="B11669" s="12"/>
      <c r="C11669" s="12"/>
    </row>
    <row r="11670" spans="2:3">
      <c r="B11670" s="12"/>
      <c r="C11670" s="12"/>
    </row>
    <row r="11671" spans="2:3">
      <c r="B11671" s="12"/>
      <c r="C11671" s="12"/>
    </row>
    <row r="11672" spans="2:3">
      <c r="B11672" s="12"/>
      <c r="C11672" s="12"/>
    </row>
    <row r="11673" spans="2:3">
      <c r="B11673" s="12"/>
      <c r="C11673" s="12"/>
    </row>
    <row r="11674" spans="2:3">
      <c r="B11674" s="12"/>
      <c r="C11674" s="12"/>
    </row>
    <row r="11675" spans="2:3">
      <c r="B11675" s="12"/>
      <c r="C11675" s="12"/>
    </row>
    <row r="11676" spans="2:3">
      <c r="B11676" s="12"/>
      <c r="C11676" s="12"/>
    </row>
    <row r="11677" spans="2:3">
      <c r="B11677" s="12"/>
      <c r="C11677" s="12"/>
    </row>
    <row r="11678" spans="2:3">
      <c r="B11678" s="12"/>
      <c r="C11678" s="12"/>
    </row>
    <row r="11679" spans="2:3">
      <c r="B11679" s="12"/>
      <c r="C11679" s="12"/>
    </row>
    <row r="11680" spans="2:3">
      <c r="B11680" s="12"/>
      <c r="C11680" s="12"/>
    </row>
    <row r="11681" spans="2:3">
      <c r="B11681" s="12"/>
      <c r="C11681" s="12"/>
    </row>
    <row r="11682" spans="2:3">
      <c r="B11682" s="12"/>
      <c r="C11682" s="12"/>
    </row>
    <row r="11683" spans="2:3">
      <c r="B11683" s="12"/>
      <c r="C11683" s="12"/>
    </row>
    <row r="11684" spans="2:3">
      <c r="B11684" s="12"/>
      <c r="C11684" s="12"/>
    </row>
    <row r="11685" spans="2:3">
      <c r="B11685" s="12"/>
      <c r="C11685" s="12"/>
    </row>
    <row r="11686" spans="2:3">
      <c r="B11686" s="12"/>
      <c r="C11686" s="12"/>
    </row>
    <row r="11687" spans="2:3">
      <c r="B11687" s="12"/>
      <c r="C11687" s="12"/>
    </row>
    <row r="11688" spans="2:3">
      <c r="B11688" s="12"/>
      <c r="C11688" s="12"/>
    </row>
    <row r="11689" spans="2:3">
      <c r="B11689" s="12"/>
      <c r="C11689" s="12"/>
    </row>
    <row r="11690" spans="2:3">
      <c r="B11690" s="12"/>
      <c r="C11690" s="12"/>
    </row>
    <row r="11691" spans="2:3">
      <c r="B11691" s="12"/>
      <c r="C11691" s="12"/>
    </row>
    <row r="11692" spans="2:3">
      <c r="B11692" s="12"/>
      <c r="C11692" s="12"/>
    </row>
    <row r="11693" spans="2:3">
      <c r="B11693" s="12"/>
      <c r="C11693" s="12"/>
    </row>
    <row r="11694" spans="2:3">
      <c r="B11694" s="12"/>
      <c r="C11694" s="12"/>
    </row>
    <row r="11695" spans="2:3">
      <c r="B11695" s="12"/>
      <c r="C11695" s="12"/>
    </row>
    <row r="11696" spans="2:3">
      <c r="B11696" s="12"/>
      <c r="C11696" s="12"/>
    </row>
    <row r="11697" spans="2:3">
      <c r="B11697" s="12"/>
      <c r="C11697" s="12"/>
    </row>
    <row r="11698" spans="2:3">
      <c r="B11698" s="12"/>
      <c r="C11698" s="12"/>
    </row>
    <row r="11699" spans="2:3">
      <c r="B11699" s="12"/>
      <c r="C11699" s="12"/>
    </row>
    <row r="11700" spans="2:3">
      <c r="B11700" s="12"/>
      <c r="C11700" s="12"/>
    </row>
    <row r="11701" spans="2:3">
      <c r="B11701" s="12"/>
      <c r="C11701" s="12"/>
    </row>
    <row r="11702" spans="2:3">
      <c r="B11702" s="12"/>
      <c r="C11702" s="12"/>
    </row>
    <row r="11703" spans="2:3">
      <c r="B11703" s="12"/>
      <c r="C11703" s="12"/>
    </row>
    <row r="11704" spans="2:3">
      <c r="B11704" s="12"/>
      <c r="C11704" s="12"/>
    </row>
    <row r="11705" spans="2:3">
      <c r="B11705" s="12"/>
      <c r="C11705" s="12"/>
    </row>
    <row r="11706" spans="2:3">
      <c r="B11706" s="12"/>
      <c r="C11706" s="12"/>
    </row>
    <row r="11707" spans="2:3">
      <c r="B11707" s="12"/>
      <c r="C11707" s="12"/>
    </row>
    <row r="11708" spans="2:3">
      <c r="B11708" s="12"/>
      <c r="C11708" s="12"/>
    </row>
    <row r="11709" spans="2:3">
      <c r="B11709" s="12"/>
      <c r="C11709" s="12"/>
    </row>
    <row r="11710" spans="2:3">
      <c r="B11710" s="12"/>
      <c r="C11710" s="12"/>
    </row>
    <row r="11711" spans="2:3">
      <c r="B11711" s="12"/>
      <c r="C11711" s="12"/>
    </row>
    <row r="11712" spans="2:3">
      <c r="B11712" s="12"/>
      <c r="C11712" s="12"/>
    </row>
    <row r="11713" spans="2:3">
      <c r="B11713" s="12"/>
      <c r="C11713" s="12"/>
    </row>
    <row r="11714" spans="2:3">
      <c r="B11714" s="12"/>
      <c r="C11714" s="12"/>
    </row>
    <row r="11715" spans="2:3">
      <c r="B11715" s="12"/>
      <c r="C11715" s="12"/>
    </row>
    <row r="11716" spans="2:3">
      <c r="B11716" s="12"/>
      <c r="C11716" s="12"/>
    </row>
    <row r="11717" spans="2:3">
      <c r="B11717" s="12"/>
      <c r="C11717" s="12"/>
    </row>
    <row r="11718" spans="2:3">
      <c r="B11718" s="12"/>
      <c r="C11718" s="12"/>
    </row>
    <row r="11719" spans="2:3">
      <c r="B11719" s="12"/>
      <c r="C11719" s="12"/>
    </row>
    <row r="11720" spans="2:3">
      <c r="B11720" s="12"/>
      <c r="C11720" s="12"/>
    </row>
    <row r="11721" spans="2:3">
      <c r="B11721" s="12"/>
      <c r="C11721" s="12"/>
    </row>
    <row r="11722" spans="2:3">
      <c r="B11722" s="12"/>
      <c r="C11722" s="12"/>
    </row>
    <row r="11723" spans="2:3">
      <c r="B11723" s="12"/>
      <c r="C11723" s="12"/>
    </row>
    <row r="11724" spans="2:3">
      <c r="B11724" s="12"/>
      <c r="C11724" s="12"/>
    </row>
    <row r="11725" spans="2:3">
      <c r="B11725" s="12"/>
      <c r="C11725" s="12"/>
    </row>
    <row r="11726" spans="2:3">
      <c r="B11726" s="12"/>
      <c r="C11726" s="12"/>
    </row>
    <row r="11727" spans="2:3">
      <c r="B11727" s="12"/>
      <c r="C11727" s="12"/>
    </row>
    <row r="11728" spans="2:3">
      <c r="B11728" s="12"/>
      <c r="C11728" s="12"/>
    </row>
    <row r="11729" spans="2:3">
      <c r="B11729" s="12"/>
      <c r="C11729" s="12"/>
    </row>
    <row r="11730" spans="2:3">
      <c r="B11730" s="12"/>
      <c r="C11730" s="12"/>
    </row>
    <row r="11731" spans="2:3">
      <c r="B11731" s="12"/>
      <c r="C11731" s="12"/>
    </row>
    <row r="11732" spans="2:3">
      <c r="B11732" s="12"/>
      <c r="C11732" s="12"/>
    </row>
    <row r="11733" spans="2:3">
      <c r="B11733" s="12"/>
      <c r="C11733" s="12"/>
    </row>
    <row r="11734" spans="2:3">
      <c r="B11734" s="12"/>
      <c r="C11734" s="12"/>
    </row>
    <row r="11735" spans="2:3">
      <c r="B11735" s="12"/>
      <c r="C11735" s="12"/>
    </row>
    <row r="11736" spans="2:3">
      <c r="B11736" s="12"/>
      <c r="C11736" s="12"/>
    </row>
    <row r="11737" spans="2:3">
      <c r="B11737" s="12"/>
      <c r="C11737" s="12"/>
    </row>
    <row r="11738" spans="2:3">
      <c r="B11738" s="12"/>
      <c r="C11738" s="12"/>
    </row>
    <row r="11739" spans="2:3">
      <c r="B11739" s="12"/>
      <c r="C11739" s="12"/>
    </row>
    <row r="11740" spans="2:3">
      <c r="B11740" s="12"/>
      <c r="C11740" s="12"/>
    </row>
    <row r="11741" spans="2:3">
      <c r="B11741" s="12"/>
      <c r="C11741" s="12"/>
    </row>
    <row r="11742" spans="2:3">
      <c r="B11742" s="12"/>
      <c r="C11742" s="12"/>
    </row>
    <row r="11743" spans="2:3">
      <c r="B11743" s="12"/>
      <c r="C11743" s="12"/>
    </row>
    <row r="11744" spans="2:3">
      <c r="B11744" s="12"/>
      <c r="C11744" s="12"/>
    </row>
    <row r="11745" spans="2:3">
      <c r="B11745" s="12"/>
      <c r="C11745" s="12"/>
    </row>
    <row r="11746" spans="2:3">
      <c r="B11746" s="12"/>
      <c r="C11746" s="12"/>
    </row>
    <row r="11747" spans="2:3">
      <c r="B11747" s="12"/>
      <c r="C11747" s="12"/>
    </row>
    <row r="11748" spans="2:3">
      <c r="B11748" s="12"/>
      <c r="C11748" s="12"/>
    </row>
    <row r="11749" spans="2:3">
      <c r="B11749" s="12"/>
      <c r="C11749" s="12"/>
    </row>
    <row r="11750" spans="2:3">
      <c r="B11750" s="12"/>
      <c r="C11750" s="12"/>
    </row>
    <row r="11751" spans="2:3">
      <c r="B11751" s="12"/>
      <c r="C11751" s="12"/>
    </row>
    <row r="11752" spans="2:3">
      <c r="B11752" s="12"/>
      <c r="C11752" s="12"/>
    </row>
    <row r="11753" spans="2:3">
      <c r="B11753" s="12"/>
      <c r="C11753" s="12"/>
    </row>
    <row r="11754" spans="2:3">
      <c r="B11754" s="12"/>
      <c r="C11754" s="12"/>
    </row>
    <row r="11755" spans="2:3">
      <c r="B11755" s="12"/>
      <c r="C11755" s="12"/>
    </row>
    <row r="11756" spans="2:3">
      <c r="B11756" s="12"/>
      <c r="C11756" s="12"/>
    </row>
    <row r="11757" spans="2:3">
      <c r="B11757" s="12"/>
      <c r="C11757" s="12"/>
    </row>
    <row r="11758" spans="2:3">
      <c r="B11758" s="12"/>
      <c r="C11758" s="12"/>
    </row>
    <row r="11759" spans="2:3">
      <c r="B11759" s="12"/>
      <c r="C11759" s="12"/>
    </row>
    <row r="11760" spans="2:3">
      <c r="B11760" s="12"/>
      <c r="C11760" s="12"/>
    </row>
    <row r="11761" spans="2:3">
      <c r="B11761" s="12"/>
      <c r="C11761" s="12"/>
    </row>
    <row r="11762" spans="2:3">
      <c r="B11762" s="12"/>
      <c r="C11762" s="12"/>
    </row>
    <row r="11763" spans="2:3">
      <c r="B11763" s="12"/>
      <c r="C11763" s="12"/>
    </row>
    <row r="11764" spans="2:3">
      <c r="B11764" s="12"/>
      <c r="C11764" s="12"/>
    </row>
    <row r="11765" spans="2:3">
      <c r="B11765" s="12"/>
      <c r="C11765" s="12"/>
    </row>
    <row r="11766" spans="2:3">
      <c r="B11766" s="12"/>
      <c r="C11766" s="12"/>
    </row>
    <row r="11767" spans="2:3">
      <c r="B11767" s="12"/>
      <c r="C11767" s="12"/>
    </row>
    <row r="11768" spans="2:3">
      <c r="B11768" s="12"/>
      <c r="C11768" s="12"/>
    </row>
    <row r="11769" spans="2:3">
      <c r="B11769" s="12"/>
      <c r="C11769" s="12"/>
    </row>
    <row r="11770" spans="2:3">
      <c r="B11770" s="12"/>
      <c r="C11770" s="12"/>
    </row>
    <row r="11771" spans="2:3">
      <c r="B11771" s="12"/>
      <c r="C11771" s="12"/>
    </row>
    <row r="11772" spans="2:3">
      <c r="B11772" s="12"/>
      <c r="C11772" s="12"/>
    </row>
    <row r="11773" spans="2:3">
      <c r="B11773" s="12"/>
      <c r="C11773" s="12"/>
    </row>
    <row r="11774" spans="2:3">
      <c r="B11774" s="12"/>
      <c r="C11774" s="12"/>
    </row>
    <row r="11775" spans="2:3">
      <c r="B11775" s="12"/>
      <c r="C11775" s="12"/>
    </row>
    <row r="11776" spans="2:3">
      <c r="B11776" s="12"/>
      <c r="C11776" s="12"/>
    </row>
    <row r="11777" spans="2:3">
      <c r="B11777" s="12"/>
      <c r="C11777" s="12"/>
    </row>
    <row r="11778" spans="2:3">
      <c r="B11778" s="12"/>
      <c r="C11778" s="12"/>
    </row>
    <row r="11779" spans="2:3">
      <c r="B11779" s="12"/>
      <c r="C11779" s="12"/>
    </row>
    <row r="11780" spans="2:3">
      <c r="B11780" s="12"/>
      <c r="C11780" s="12"/>
    </row>
    <row r="11781" spans="2:3">
      <c r="B11781" s="12"/>
      <c r="C11781" s="12"/>
    </row>
    <row r="11782" spans="2:3">
      <c r="B11782" s="12"/>
      <c r="C11782" s="12"/>
    </row>
    <row r="11783" spans="2:3">
      <c r="B11783" s="12"/>
      <c r="C11783" s="12"/>
    </row>
    <row r="11784" spans="2:3">
      <c r="B11784" s="12"/>
      <c r="C11784" s="12"/>
    </row>
    <row r="11785" spans="2:3">
      <c r="B11785" s="12"/>
      <c r="C11785" s="12"/>
    </row>
    <row r="11786" spans="2:3">
      <c r="B11786" s="12"/>
      <c r="C11786" s="12"/>
    </row>
    <row r="11787" spans="2:3">
      <c r="B11787" s="12"/>
      <c r="C11787" s="12"/>
    </row>
    <row r="11788" spans="2:3">
      <c r="B11788" s="12"/>
      <c r="C11788" s="12"/>
    </row>
    <row r="11789" spans="2:3">
      <c r="B11789" s="12"/>
      <c r="C11789" s="12"/>
    </row>
    <row r="11790" spans="2:3">
      <c r="B11790" s="12"/>
      <c r="C11790" s="12"/>
    </row>
    <row r="11791" spans="2:3">
      <c r="B11791" s="12"/>
      <c r="C11791" s="12"/>
    </row>
    <row r="11792" spans="2:3">
      <c r="B11792" s="12"/>
      <c r="C11792" s="12"/>
    </row>
    <row r="11793" spans="2:3">
      <c r="B11793" s="12"/>
      <c r="C11793" s="12"/>
    </row>
    <row r="11794" spans="2:3">
      <c r="B11794" s="12"/>
      <c r="C11794" s="12"/>
    </row>
    <row r="11795" spans="2:3">
      <c r="B11795" s="12"/>
      <c r="C11795" s="12"/>
    </row>
    <row r="11796" spans="2:3">
      <c r="B11796" s="12"/>
      <c r="C11796" s="12"/>
    </row>
    <row r="11797" spans="2:3">
      <c r="B11797" s="12"/>
      <c r="C11797" s="12"/>
    </row>
    <row r="11798" spans="2:3">
      <c r="B11798" s="12"/>
      <c r="C11798" s="12"/>
    </row>
    <row r="11799" spans="2:3">
      <c r="B11799" s="12"/>
      <c r="C11799" s="12"/>
    </row>
    <row r="11800" spans="2:3">
      <c r="B11800" s="12"/>
      <c r="C11800" s="12"/>
    </row>
    <row r="11801" spans="2:3">
      <c r="B11801" s="12"/>
      <c r="C11801" s="12"/>
    </row>
    <row r="11802" spans="2:3">
      <c r="B11802" s="12"/>
      <c r="C11802" s="12"/>
    </row>
    <row r="11803" spans="2:3">
      <c r="B11803" s="12"/>
      <c r="C11803" s="12"/>
    </row>
    <row r="11804" spans="2:3">
      <c r="B11804" s="12"/>
      <c r="C11804" s="12"/>
    </row>
    <row r="11805" spans="2:3">
      <c r="B11805" s="12"/>
      <c r="C11805" s="12"/>
    </row>
    <row r="11806" spans="2:3">
      <c r="B11806" s="12"/>
      <c r="C11806" s="12"/>
    </row>
    <row r="11807" spans="2:3">
      <c r="B11807" s="12"/>
      <c r="C11807" s="12"/>
    </row>
    <row r="11808" spans="2:3">
      <c r="B11808" s="12"/>
      <c r="C11808" s="12"/>
    </row>
    <row r="11809" spans="2:3">
      <c r="B11809" s="12"/>
      <c r="C11809" s="12"/>
    </row>
    <row r="11810" spans="2:3">
      <c r="B11810" s="12"/>
      <c r="C11810" s="12"/>
    </row>
    <row r="11811" spans="2:3">
      <c r="B11811" s="12"/>
      <c r="C11811" s="12"/>
    </row>
    <row r="11812" spans="2:3">
      <c r="B11812" s="12"/>
      <c r="C11812" s="12"/>
    </row>
    <row r="11813" spans="2:3">
      <c r="B11813" s="12"/>
      <c r="C11813" s="12"/>
    </row>
    <row r="11814" spans="2:3">
      <c r="B11814" s="12"/>
      <c r="C11814" s="12"/>
    </row>
    <row r="11815" spans="2:3">
      <c r="B11815" s="12"/>
      <c r="C11815" s="12"/>
    </row>
    <row r="11816" spans="2:3">
      <c r="B11816" s="12"/>
      <c r="C11816" s="12"/>
    </row>
    <row r="11817" spans="2:3">
      <c r="B11817" s="12"/>
      <c r="C11817" s="12"/>
    </row>
    <row r="11818" spans="2:3">
      <c r="B11818" s="12"/>
      <c r="C11818" s="12"/>
    </row>
    <row r="11819" spans="2:3">
      <c r="B11819" s="12"/>
      <c r="C11819" s="12"/>
    </row>
    <row r="11820" spans="2:3">
      <c r="B11820" s="12"/>
      <c r="C11820" s="12"/>
    </row>
    <row r="11821" spans="2:3">
      <c r="B11821" s="12"/>
      <c r="C11821" s="12"/>
    </row>
    <row r="11822" spans="2:3">
      <c r="B11822" s="12"/>
      <c r="C11822" s="12"/>
    </row>
    <row r="11823" spans="2:3">
      <c r="B11823" s="12"/>
      <c r="C11823" s="12"/>
    </row>
    <row r="11824" spans="2:3">
      <c r="B11824" s="12"/>
      <c r="C11824" s="12"/>
    </row>
    <row r="11825" spans="2:3">
      <c r="B11825" s="12"/>
      <c r="C11825" s="12"/>
    </row>
    <row r="11826" spans="2:3">
      <c r="B11826" s="12"/>
      <c r="C11826" s="12"/>
    </row>
    <row r="11827" spans="2:3">
      <c r="B11827" s="12"/>
      <c r="C11827" s="12"/>
    </row>
    <row r="11828" spans="2:3">
      <c r="B11828" s="12"/>
      <c r="C11828" s="12"/>
    </row>
    <row r="11829" spans="2:3">
      <c r="B11829" s="12"/>
      <c r="C11829" s="12"/>
    </row>
    <row r="11830" spans="2:3">
      <c r="B11830" s="12"/>
      <c r="C11830" s="12"/>
    </row>
    <row r="11831" spans="2:3">
      <c r="B11831" s="12"/>
      <c r="C11831" s="12"/>
    </row>
    <row r="11832" spans="2:3">
      <c r="B11832" s="12"/>
      <c r="C11832" s="12"/>
    </row>
    <row r="11833" spans="2:3">
      <c r="B11833" s="12"/>
      <c r="C11833" s="12"/>
    </row>
    <row r="11834" spans="2:3">
      <c r="B11834" s="12"/>
      <c r="C11834" s="12"/>
    </row>
    <row r="11835" spans="2:3">
      <c r="B11835" s="12"/>
      <c r="C11835" s="12"/>
    </row>
    <row r="11836" spans="2:3">
      <c r="B11836" s="12"/>
      <c r="C11836" s="12"/>
    </row>
    <row r="11837" spans="2:3">
      <c r="B11837" s="12"/>
      <c r="C11837" s="12"/>
    </row>
    <row r="11838" spans="2:3">
      <c r="B11838" s="12"/>
      <c r="C11838" s="12"/>
    </row>
    <row r="11839" spans="2:3">
      <c r="B11839" s="12"/>
      <c r="C11839" s="12"/>
    </row>
    <row r="11840" spans="2:3">
      <c r="B11840" s="12"/>
      <c r="C11840" s="12"/>
    </row>
    <row r="11841" spans="2:3">
      <c r="B11841" s="12"/>
      <c r="C11841" s="12"/>
    </row>
    <row r="11842" spans="2:3">
      <c r="B11842" s="12"/>
      <c r="C11842" s="12"/>
    </row>
    <row r="11843" spans="2:3">
      <c r="B11843" s="12"/>
      <c r="C11843" s="12"/>
    </row>
    <row r="11844" spans="2:3">
      <c r="B11844" s="12"/>
      <c r="C11844" s="12"/>
    </row>
    <row r="11845" spans="2:3">
      <c r="B11845" s="12"/>
      <c r="C11845" s="12"/>
    </row>
    <row r="11846" spans="2:3">
      <c r="B11846" s="12"/>
      <c r="C11846" s="12"/>
    </row>
    <row r="11847" spans="2:3">
      <c r="B11847" s="12"/>
      <c r="C11847" s="12"/>
    </row>
    <row r="11848" spans="2:3">
      <c r="B11848" s="12"/>
      <c r="C11848" s="12"/>
    </row>
    <row r="11849" spans="2:3">
      <c r="B11849" s="12"/>
      <c r="C11849" s="12"/>
    </row>
    <row r="11850" spans="2:3">
      <c r="B11850" s="12"/>
      <c r="C11850" s="12"/>
    </row>
    <row r="11851" spans="2:3">
      <c r="B11851" s="12"/>
      <c r="C11851" s="12"/>
    </row>
    <row r="11852" spans="2:3">
      <c r="B11852" s="12"/>
      <c r="C11852" s="12"/>
    </row>
    <row r="11853" spans="2:3">
      <c r="B11853" s="12"/>
      <c r="C11853" s="12"/>
    </row>
    <row r="11854" spans="2:3">
      <c r="B11854" s="12"/>
      <c r="C11854" s="12"/>
    </row>
    <row r="11855" spans="2:3">
      <c r="B11855" s="12"/>
      <c r="C11855" s="12"/>
    </row>
    <row r="11856" spans="2:3">
      <c r="B11856" s="12"/>
      <c r="C11856" s="12"/>
    </row>
    <row r="11857" spans="2:3">
      <c r="B11857" s="12"/>
      <c r="C11857" s="12"/>
    </row>
    <row r="11858" spans="2:3">
      <c r="B11858" s="12"/>
      <c r="C11858" s="12"/>
    </row>
    <row r="11859" spans="2:3">
      <c r="B11859" s="12"/>
      <c r="C11859" s="12"/>
    </row>
    <row r="11860" spans="2:3">
      <c r="B11860" s="12"/>
      <c r="C11860" s="12"/>
    </row>
    <row r="11861" spans="2:3">
      <c r="B11861" s="12"/>
      <c r="C11861" s="12"/>
    </row>
    <row r="11862" spans="2:3">
      <c r="B11862" s="12"/>
      <c r="C11862" s="12"/>
    </row>
    <row r="11863" spans="2:3">
      <c r="B11863" s="12"/>
      <c r="C11863" s="12"/>
    </row>
    <row r="11864" spans="2:3">
      <c r="B11864" s="12"/>
      <c r="C11864" s="12"/>
    </row>
    <row r="11865" spans="2:3">
      <c r="B11865" s="12"/>
      <c r="C11865" s="12"/>
    </row>
    <row r="11866" spans="2:3">
      <c r="B11866" s="12"/>
      <c r="C11866" s="12"/>
    </row>
    <row r="11867" spans="2:3">
      <c r="B11867" s="12"/>
      <c r="C11867" s="12"/>
    </row>
    <row r="11868" spans="2:3">
      <c r="B11868" s="12"/>
      <c r="C11868" s="12"/>
    </row>
    <row r="11869" spans="2:3">
      <c r="B11869" s="12"/>
      <c r="C11869" s="12"/>
    </row>
    <row r="11870" spans="2:3">
      <c r="B11870" s="12"/>
      <c r="C11870" s="12"/>
    </row>
    <row r="11871" spans="2:3">
      <c r="B11871" s="12"/>
      <c r="C11871" s="12"/>
    </row>
    <row r="11872" spans="2:3">
      <c r="B11872" s="12"/>
      <c r="C11872" s="12"/>
    </row>
    <row r="11873" spans="2:3">
      <c r="B11873" s="12"/>
      <c r="C11873" s="12"/>
    </row>
    <row r="11874" spans="2:3">
      <c r="B11874" s="12"/>
      <c r="C11874" s="12"/>
    </row>
    <row r="11875" spans="2:3">
      <c r="B11875" s="12"/>
      <c r="C11875" s="12"/>
    </row>
    <row r="11876" spans="2:3">
      <c r="B11876" s="12"/>
      <c r="C11876" s="12"/>
    </row>
    <row r="11877" spans="2:3">
      <c r="B11877" s="12"/>
      <c r="C11877" s="12"/>
    </row>
    <row r="11878" spans="2:3">
      <c r="B11878" s="12"/>
      <c r="C11878" s="12"/>
    </row>
    <row r="11879" spans="2:3">
      <c r="B11879" s="12"/>
      <c r="C11879" s="12"/>
    </row>
    <row r="11880" spans="2:3">
      <c r="B11880" s="12"/>
      <c r="C11880" s="12"/>
    </row>
    <row r="11881" spans="2:3">
      <c r="B11881" s="12"/>
      <c r="C11881" s="12"/>
    </row>
    <row r="11882" spans="2:3">
      <c r="B11882" s="12"/>
      <c r="C11882" s="12"/>
    </row>
    <row r="11883" spans="2:3">
      <c r="B11883" s="12"/>
      <c r="C11883" s="12"/>
    </row>
    <row r="11884" spans="2:3">
      <c r="B11884" s="12"/>
      <c r="C11884" s="12"/>
    </row>
    <row r="11885" spans="2:3">
      <c r="B11885" s="12"/>
      <c r="C11885" s="12"/>
    </row>
    <row r="11886" spans="2:3">
      <c r="B11886" s="12"/>
      <c r="C11886" s="12"/>
    </row>
    <row r="11887" spans="2:3">
      <c r="B11887" s="12"/>
      <c r="C11887" s="12"/>
    </row>
    <row r="11888" spans="2:3">
      <c r="B11888" s="12"/>
      <c r="C11888" s="12"/>
    </row>
    <row r="11889" spans="2:3">
      <c r="B11889" s="12"/>
      <c r="C11889" s="12"/>
    </row>
    <row r="11890" spans="2:3">
      <c r="B11890" s="12"/>
      <c r="C11890" s="12"/>
    </row>
    <row r="11891" spans="2:3">
      <c r="B11891" s="12"/>
      <c r="C11891" s="12"/>
    </row>
    <row r="11892" spans="2:3">
      <c r="B11892" s="12"/>
      <c r="C11892" s="12"/>
    </row>
    <row r="11893" spans="2:3">
      <c r="B11893" s="12"/>
      <c r="C11893" s="12"/>
    </row>
    <row r="11894" spans="2:3">
      <c r="B11894" s="12"/>
      <c r="C11894" s="12"/>
    </row>
    <row r="11895" spans="2:3">
      <c r="B11895" s="12"/>
      <c r="C11895" s="12"/>
    </row>
    <row r="11896" spans="2:3">
      <c r="B11896" s="12"/>
      <c r="C11896" s="12"/>
    </row>
    <row r="11897" spans="2:3">
      <c r="B11897" s="12"/>
      <c r="C11897" s="12"/>
    </row>
    <row r="11898" spans="2:3">
      <c r="B11898" s="12"/>
      <c r="C11898" s="12"/>
    </row>
    <row r="11899" spans="2:3">
      <c r="B11899" s="12"/>
      <c r="C11899" s="12"/>
    </row>
    <row r="11900" spans="2:3">
      <c r="B11900" s="12"/>
      <c r="C11900" s="12"/>
    </row>
    <row r="11901" spans="2:3">
      <c r="B11901" s="12"/>
      <c r="C11901" s="12"/>
    </row>
    <row r="11902" spans="2:3">
      <c r="B11902" s="12"/>
      <c r="C11902" s="12"/>
    </row>
    <row r="11903" spans="2:3">
      <c r="B11903" s="12"/>
      <c r="C11903" s="12"/>
    </row>
    <row r="11904" spans="2:3">
      <c r="B11904" s="12"/>
      <c r="C11904" s="12"/>
    </row>
    <row r="11905" spans="2:3">
      <c r="B11905" s="12"/>
      <c r="C11905" s="12"/>
    </row>
    <row r="11906" spans="2:3">
      <c r="B11906" s="12"/>
      <c r="C11906" s="12"/>
    </row>
    <row r="11907" spans="2:3">
      <c r="B11907" s="12"/>
      <c r="C11907" s="12"/>
    </row>
    <row r="11908" spans="2:3">
      <c r="B11908" s="12"/>
      <c r="C11908" s="12"/>
    </row>
    <row r="11909" spans="2:3">
      <c r="B11909" s="12"/>
      <c r="C11909" s="12"/>
    </row>
    <row r="11910" spans="2:3">
      <c r="B11910" s="12"/>
      <c r="C11910" s="12"/>
    </row>
    <row r="11911" spans="2:3">
      <c r="B11911" s="12"/>
      <c r="C11911" s="12"/>
    </row>
    <row r="11912" spans="2:3">
      <c r="B11912" s="12"/>
      <c r="C11912" s="12"/>
    </row>
    <row r="11913" spans="2:3">
      <c r="B11913" s="12"/>
      <c r="C11913" s="12"/>
    </row>
    <row r="11914" spans="2:3">
      <c r="B11914" s="12"/>
      <c r="C11914" s="12"/>
    </row>
    <row r="11915" spans="2:3">
      <c r="B11915" s="12"/>
      <c r="C11915" s="12"/>
    </row>
    <row r="11916" spans="2:3">
      <c r="B11916" s="12"/>
      <c r="C11916" s="12"/>
    </row>
    <row r="11917" spans="2:3">
      <c r="B11917" s="12"/>
      <c r="C11917" s="12"/>
    </row>
    <row r="11918" spans="2:3">
      <c r="B11918" s="12"/>
      <c r="C11918" s="12"/>
    </row>
    <row r="11919" spans="2:3">
      <c r="B11919" s="12"/>
      <c r="C11919" s="12"/>
    </row>
    <row r="11920" spans="2:3">
      <c r="B11920" s="12"/>
      <c r="C11920" s="12"/>
    </row>
    <row r="11921" spans="2:3">
      <c r="B11921" s="12"/>
      <c r="C11921" s="12"/>
    </row>
    <row r="11922" spans="2:3">
      <c r="B11922" s="12"/>
      <c r="C11922" s="12"/>
    </row>
    <row r="11923" spans="2:3">
      <c r="B11923" s="12"/>
      <c r="C11923" s="12"/>
    </row>
    <row r="11924" spans="2:3">
      <c r="B11924" s="12"/>
      <c r="C11924" s="12"/>
    </row>
    <row r="11925" spans="2:3">
      <c r="B11925" s="12"/>
      <c r="C11925" s="12"/>
    </row>
    <row r="11926" spans="2:3">
      <c r="B11926" s="12"/>
      <c r="C11926" s="12"/>
    </row>
    <row r="11927" spans="2:3">
      <c r="B11927" s="12"/>
      <c r="C11927" s="12"/>
    </row>
    <row r="11928" spans="2:3">
      <c r="B11928" s="12"/>
      <c r="C11928" s="12"/>
    </row>
    <row r="11929" spans="2:3">
      <c r="B11929" s="12"/>
      <c r="C11929" s="12"/>
    </row>
    <row r="11930" spans="2:3">
      <c r="B11930" s="12"/>
      <c r="C11930" s="12"/>
    </row>
    <row r="11931" spans="2:3">
      <c r="B11931" s="12"/>
      <c r="C11931" s="12"/>
    </row>
    <row r="11932" spans="2:3">
      <c r="B11932" s="12"/>
      <c r="C11932" s="12"/>
    </row>
    <row r="11933" spans="2:3">
      <c r="B11933" s="12"/>
      <c r="C11933" s="12"/>
    </row>
    <row r="11934" spans="2:3">
      <c r="B11934" s="12"/>
      <c r="C11934" s="12"/>
    </row>
    <row r="11935" spans="2:3">
      <c r="B11935" s="12"/>
      <c r="C11935" s="12"/>
    </row>
    <row r="11936" spans="2:3">
      <c r="B11936" s="12"/>
      <c r="C11936" s="12"/>
    </row>
    <row r="11937" spans="2:3">
      <c r="B11937" s="12"/>
      <c r="C11937" s="12"/>
    </row>
    <row r="11938" spans="2:3">
      <c r="B11938" s="12"/>
      <c r="C11938" s="12"/>
    </row>
    <row r="11939" spans="2:3">
      <c r="B11939" s="12"/>
      <c r="C11939" s="12"/>
    </row>
    <row r="11940" spans="2:3">
      <c r="B11940" s="12"/>
      <c r="C11940" s="12"/>
    </row>
    <row r="11941" spans="2:3">
      <c r="B11941" s="12"/>
      <c r="C11941" s="12"/>
    </row>
    <row r="11942" spans="2:3">
      <c r="B11942" s="12"/>
      <c r="C11942" s="12"/>
    </row>
    <row r="11943" spans="2:3">
      <c r="B11943" s="12"/>
      <c r="C11943" s="12"/>
    </row>
    <row r="11944" spans="2:3">
      <c r="B11944" s="12"/>
      <c r="C11944" s="12"/>
    </row>
    <row r="11945" spans="2:3">
      <c r="B11945" s="12"/>
      <c r="C11945" s="12"/>
    </row>
    <row r="11946" spans="2:3">
      <c r="B11946" s="12"/>
      <c r="C11946" s="12"/>
    </row>
    <row r="11947" spans="2:3">
      <c r="B11947" s="12"/>
      <c r="C11947" s="12"/>
    </row>
    <row r="11948" spans="2:3">
      <c r="B11948" s="12"/>
      <c r="C11948" s="12"/>
    </row>
    <row r="11949" spans="2:3">
      <c r="B11949" s="12"/>
      <c r="C11949" s="12"/>
    </row>
    <row r="11950" spans="2:3">
      <c r="B11950" s="12"/>
      <c r="C11950" s="12"/>
    </row>
    <row r="11951" spans="2:3">
      <c r="B11951" s="12"/>
      <c r="C11951" s="12"/>
    </row>
    <row r="11952" spans="2:3">
      <c r="B11952" s="12"/>
      <c r="C11952" s="12"/>
    </row>
    <row r="11953" spans="2:3">
      <c r="B11953" s="12"/>
      <c r="C11953" s="12"/>
    </row>
    <row r="11954" spans="2:3">
      <c r="B11954" s="12"/>
      <c r="C11954" s="12"/>
    </row>
    <row r="11955" spans="2:3">
      <c r="B11955" s="12"/>
      <c r="C11955" s="12"/>
    </row>
    <row r="11956" spans="2:3">
      <c r="B11956" s="12"/>
      <c r="C11956" s="12"/>
    </row>
    <row r="11957" spans="2:3">
      <c r="B11957" s="12"/>
      <c r="C11957" s="12"/>
    </row>
    <row r="11958" spans="2:3">
      <c r="B11958" s="12"/>
      <c r="C11958" s="12"/>
    </row>
    <row r="11959" spans="2:3">
      <c r="B11959" s="12"/>
      <c r="C11959" s="12"/>
    </row>
    <row r="11960" spans="2:3">
      <c r="B11960" s="12"/>
      <c r="C11960" s="12"/>
    </row>
    <row r="11961" spans="2:3">
      <c r="B11961" s="12"/>
      <c r="C11961" s="12"/>
    </row>
    <row r="11962" spans="2:3">
      <c r="B11962" s="12"/>
      <c r="C11962" s="12"/>
    </row>
    <row r="11963" spans="2:3">
      <c r="B11963" s="12"/>
      <c r="C11963" s="12"/>
    </row>
    <row r="11964" spans="2:3">
      <c r="B11964" s="12"/>
      <c r="C11964" s="12"/>
    </row>
    <row r="11965" spans="2:3">
      <c r="B11965" s="12"/>
      <c r="C11965" s="12"/>
    </row>
    <row r="11966" spans="2:3">
      <c r="B11966" s="12"/>
      <c r="C11966" s="12"/>
    </row>
    <row r="11967" spans="2:3">
      <c r="B11967" s="12"/>
      <c r="C11967" s="12"/>
    </row>
    <row r="11968" spans="2:3">
      <c r="B11968" s="12"/>
      <c r="C11968" s="12"/>
    </row>
    <row r="11969" spans="2:3">
      <c r="B11969" s="12"/>
      <c r="C11969" s="12"/>
    </row>
    <row r="11970" spans="2:3">
      <c r="B11970" s="12"/>
      <c r="C11970" s="12"/>
    </row>
    <row r="11971" spans="2:3">
      <c r="B11971" s="12"/>
      <c r="C11971" s="12"/>
    </row>
    <row r="11972" spans="2:3">
      <c r="B11972" s="12"/>
      <c r="C11972" s="12"/>
    </row>
    <row r="11973" spans="2:3">
      <c r="B11973" s="12"/>
      <c r="C11973" s="12"/>
    </row>
    <row r="11974" spans="2:3">
      <c r="B11974" s="12"/>
      <c r="C11974" s="12"/>
    </row>
    <row r="11975" spans="2:3">
      <c r="B11975" s="12"/>
      <c r="C11975" s="12"/>
    </row>
    <row r="11976" spans="2:3">
      <c r="B11976" s="12"/>
      <c r="C11976" s="12"/>
    </row>
    <row r="11977" spans="2:3">
      <c r="B11977" s="12"/>
      <c r="C11977" s="12"/>
    </row>
    <row r="11978" spans="2:3">
      <c r="B11978" s="12"/>
      <c r="C11978" s="12"/>
    </row>
    <row r="11979" spans="2:3">
      <c r="B11979" s="12"/>
      <c r="C11979" s="12"/>
    </row>
    <row r="11980" spans="2:3">
      <c r="B11980" s="12"/>
      <c r="C11980" s="12"/>
    </row>
    <row r="11981" spans="2:3">
      <c r="B11981" s="12"/>
      <c r="C11981" s="12"/>
    </row>
    <row r="11982" spans="2:3">
      <c r="B11982" s="12"/>
      <c r="C11982" s="12"/>
    </row>
    <row r="11983" spans="2:3">
      <c r="B11983" s="12"/>
      <c r="C11983" s="12"/>
    </row>
    <row r="11984" spans="2:3">
      <c r="B11984" s="12"/>
      <c r="C11984" s="12"/>
    </row>
    <row r="11985" spans="2:3">
      <c r="B11985" s="12"/>
      <c r="C11985" s="12"/>
    </row>
    <row r="11986" spans="2:3">
      <c r="B11986" s="12"/>
      <c r="C11986" s="12"/>
    </row>
    <row r="11987" spans="2:3">
      <c r="B11987" s="12"/>
      <c r="C11987" s="12"/>
    </row>
    <row r="11988" spans="2:3">
      <c r="B11988" s="12"/>
      <c r="C11988" s="12"/>
    </row>
    <row r="11989" spans="2:3">
      <c r="B11989" s="12"/>
      <c r="C11989" s="12"/>
    </row>
    <row r="11990" spans="2:3">
      <c r="B11990" s="12"/>
      <c r="C11990" s="12"/>
    </row>
    <row r="11991" spans="2:3">
      <c r="B11991" s="12"/>
      <c r="C11991" s="12"/>
    </row>
    <row r="11992" spans="2:3">
      <c r="B11992" s="12"/>
      <c r="C11992" s="12"/>
    </row>
    <row r="11993" spans="2:3">
      <c r="B11993" s="12"/>
      <c r="C11993" s="12"/>
    </row>
    <row r="11994" spans="2:3">
      <c r="B11994" s="12"/>
      <c r="C11994" s="12"/>
    </row>
    <row r="11995" spans="2:3">
      <c r="B11995" s="12"/>
      <c r="C11995" s="12"/>
    </row>
    <row r="11996" spans="2:3">
      <c r="B11996" s="12"/>
      <c r="C11996" s="12"/>
    </row>
    <row r="11997" spans="2:3">
      <c r="B11997" s="12"/>
      <c r="C11997" s="12"/>
    </row>
    <row r="11998" spans="2:3">
      <c r="B11998" s="12"/>
      <c r="C11998" s="12"/>
    </row>
    <row r="11999" spans="2:3">
      <c r="B11999" s="12"/>
      <c r="C11999" s="12"/>
    </row>
    <row r="12000" spans="2:3">
      <c r="B12000" s="12"/>
      <c r="C12000" s="12"/>
    </row>
    <row r="12001" spans="2:3">
      <c r="B12001" s="12"/>
      <c r="C12001" s="12"/>
    </row>
    <row r="12002" spans="2:3">
      <c r="B12002" s="12"/>
      <c r="C12002" s="12"/>
    </row>
    <row r="12003" spans="2:3">
      <c r="B12003" s="12"/>
      <c r="C12003" s="12"/>
    </row>
    <row r="12004" spans="2:3">
      <c r="B12004" s="12"/>
      <c r="C12004" s="12"/>
    </row>
    <row r="12005" spans="2:3">
      <c r="B12005" s="12"/>
      <c r="C12005" s="12"/>
    </row>
    <row r="12006" spans="2:3">
      <c r="B12006" s="12"/>
      <c r="C12006" s="12"/>
    </row>
    <row r="12007" spans="2:3">
      <c r="B12007" s="12"/>
      <c r="C12007" s="12"/>
    </row>
    <row r="12008" spans="2:3">
      <c r="B12008" s="12"/>
      <c r="C12008" s="12"/>
    </row>
    <row r="12009" spans="2:3">
      <c r="B12009" s="12"/>
      <c r="C12009" s="12"/>
    </row>
    <row r="12010" spans="2:3">
      <c r="B12010" s="12"/>
      <c r="C12010" s="12"/>
    </row>
    <row r="12011" spans="2:3">
      <c r="B12011" s="12"/>
      <c r="C12011" s="12"/>
    </row>
    <row r="12012" spans="2:3">
      <c r="B12012" s="12"/>
      <c r="C12012" s="12"/>
    </row>
    <row r="12013" spans="2:3">
      <c r="B12013" s="12"/>
      <c r="C12013" s="12"/>
    </row>
    <row r="12014" spans="2:3">
      <c r="B12014" s="12"/>
      <c r="C12014" s="12"/>
    </row>
    <row r="12015" spans="2:3">
      <c r="B12015" s="12"/>
      <c r="C12015" s="12"/>
    </row>
    <row r="12016" spans="2:3">
      <c r="B12016" s="12"/>
      <c r="C12016" s="12"/>
    </row>
    <row r="12017" spans="2:3">
      <c r="B12017" s="12"/>
      <c r="C12017" s="12"/>
    </row>
    <row r="12018" spans="2:3">
      <c r="B12018" s="12"/>
      <c r="C12018" s="12"/>
    </row>
    <row r="12019" spans="2:3">
      <c r="B12019" s="12"/>
      <c r="C12019" s="12"/>
    </row>
    <row r="12020" spans="2:3">
      <c r="B12020" s="12"/>
      <c r="C12020" s="12"/>
    </row>
    <row r="12021" spans="2:3">
      <c r="B12021" s="12"/>
      <c r="C12021" s="12"/>
    </row>
    <row r="12022" spans="2:3">
      <c r="B12022" s="12"/>
      <c r="C12022" s="12"/>
    </row>
    <row r="12023" spans="2:3">
      <c r="B12023" s="12"/>
      <c r="C12023" s="12"/>
    </row>
    <row r="12024" spans="2:3">
      <c r="B12024" s="12"/>
      <c r="C12024" s="12"/>
    </row>
    <row r="12025" spans="2:3">
      <c r="B12025" s="12"/>
      <c r="C12025" s="12"/>
    </row>
    <row r="12026" spans="2:3">
      <c r="B12026" s="12"/>
      <c r="C12026" s="12"/>
    </row>
    <row r="12027" spans="2:3">
      <c r="B12027" s="12"/>
      <c r="C12027" s="12"/>
    </row>
    <row r="12028" spans="2:3">
      <c r="B12028" s="12"/>
      <c r="C12028" s="12"/>
    </row>
    <row r="12029" spans="2:3">
      <c r="B12029" s="12"/>
      <c r="C12029" s="12"/>
    </row>
    <row r="12030" spans="2:3">
      <c r="B12030" s="12"/>
      <c r="C12030" s="12"/>
    </row>
    <row r="12031" spans="2:3">
      <c r="B12031" s="12"/>
      <c r="C12031" s="12"/>
    </row>
    <row r="12032" spans="2:3">
      <c r="B12032" s="12"/>
      <c r="C12032" s="12"/>
    </row>
    <row r="12033" spans="2:3">
      <c r="B12033" s="12"/>
      <c r="C12033" s="12"/>
    </row>
    <row r="12034" spans="2:3">
      <c r="B12034" s="12"/>
      <c r="C12034" s="12"/>
    </row>
    <row r="12035" spans="2:3">
      <c r="B12035" s="12"/>
      <c r="C12035" s="12"/>
    </row>
    <row r="12036" spans="2:3">
      <c r="B12036" s="12"/>
      <c r="C12036" s="12"/>
    </row>
    <row r="12037" spans="2:3">
      <c r="B12037" s="12"/>
      <c r="C12037" s="12"/>
    </row>
    <row r="12038" spans="2:3">
      <c r="B12038" s="12"/>
      <c r="C12038" s="12"/>
    </row>
    <row r="12039" spans="2:3">
      <c r="B12039" s="12"/>
      <c r="C12039" s="12"/>
    </row>
    <row r="12040" spans="2:3">
      <c r="B12040" s="12"/>
      <c r="C12040" s="12"/>
    </row>
    <row r="12041" spans="2:3">
      <c r="B12041" s="12"/>
      <c r="C12041" s="12"/>
    </row>
    <row r="12042" spans="2:3">
      <c r="B12042" s="12"/>
      <c r="C12042" s="12"/>
    </row>
    <row r="12043" spans="2:3">
      <c r="B12043" s="12"/>
      <c r="C12043" s="12"/>
    </row>
    <row r="12044" spans="2:3">
      <c r="B12044" s="12"/>
      <c r="C12044" s="12"/>
    </row>
    <row r="12045" spans="2:3">
      <c r="B12045" s="12"/>
      <c r="C12045" s="12"/>
    </row>
    <row r="12046" spans="2:3">
      <c r="B12046" s="12"/>
      <c r="C12046" s="12"/>
    </row>
    <row r="12047" spans="2:3">
      <c r="B12047" s="12"/>
      <c r="C12047" s="12"/>
    </row>
    <row r="12048" spans="2:3">
      <c r="B12048" s="12"/>
      <c r="C12048" s="12"/>
    </row>
    <row r="12049" spans="2:3">
      <c r="B12049" s="12"/>
      <c r="C12049" s="12"/>
    </row>
    <row r="12050" spans="2:3">
      <c r="B12050" s="12"/>
      <c r="C12050" s="12"/>
    </row>
    <row r="12051" spans="2:3">
      <c r="B12051" s="12"/>
      <c r="C12051" s="12"/>
    </row>
    <row r="12052" spans="2:3">
      <c r="B12052" s="12"/>
      <c r="C12052" s="12"/>
    </row>
    <row r="12053" spans="2:3">
      <c r="B12053" s="12"/>
      <c r="C12053" s="12"/>
    </row>
    <row r="12054" spans="2:3">
      <c r="B12054" s="12"/>
      <c r="C12054" s="12"/>
    </row>
    <row r="12055" spans="2:3">
      <c r="B12055" s="12"/>
      <c r="C12055" s="12"/>
    </row>
    <row r="12056" spans="2:3">
      <c r="B12056" s="12"/>
      <c r="C12056" s="12"/>
    </row>
    <row r="12057" spans="2:3">
      <c r="B12057" s="12"/>
      <c r="C12057" s="12"/>
    </row>
    <row r="12058" spans="2:3">
      <c r="B12058" s="12"/>
      <c r="C12058" s="12"/>
    </row>
    <row r="12059" spans="2:3">
      <c r="B12059" s="12"/>
      <c r="C12059" s="12"/>
    </row>
    <row r="12060" spans="2:3">
      <c r="B12060" s="12"/>
      <c r="C12060" s="12"/>
    </row>
    <row r="12061" spans="2:3">
      <c r="B12061" s="12"/>
      <c r="C12061" s="12"/>
    </row>
    <row r="12062" spans="2:3">
      <c r="B12062" s="12"/>
      <c r="C12062" s="12"/>
    </row>
    <row r="12063" spans="2:3">
      <c r="B12063" s="12"/>
      <c r="C12063" s="12"/>
    </row>
    <row r="12064" spans="2:3">
      <c r="B12064" s="12"/>
      <c r="C12064" s="12"/>
    </row>
    <row r="12065" spans="2:3">
      <c r="B12065" s="12"/>
      <c r="C12065" s="12"/>
    </row>
    <row r="12066" spans="2:3">
      <c r="B12066" s="12"/>
      <c r="C12066" s="12"/>
    </row>
    <row r="12067" spans="2:3">
      <c r="B12067" s="12"/>
      <c r="C12067" s="12"/>
    </row>
    <row r="12068" spans="2:3">
      <c r="B12068" s="12"/>
      <c r="C12068" s="12"/>
    </row>
    <row r="12069" spans="2:3">
      <c r="B12069" s="12"/>
      <c r="C12069" s="12"/>
    </row>
    <row r="12070" spans="2:3">
      <c r="B12070" s="12"/>
      <c r="C12070" s="12"/>
    </row>
    <row r="12071" spans="2:3">
      <c r="B12071" s="12"/>
      <c r="C12071" s="12"/>
    </row>
    <row r="12072" spans="2:3">
      <c r="B12072" s="12"/>
      <c r="C12072" s="12"/>
    </row>
    <row r="12073" spans="2:3">
      <c r="B12073" s="12"/>
      <c r="C12073" s="12"/>
    </row>
    <row r="12074" spans="2:3">
      <c r="B12074" s="12"/>
      <c r="C12074" s="12"/>
    </row>
    <row r="12075" spans="2:3">
      <c r="B12075" s="12"/>
      <c r="C12075" s="12"/>
    </row>
    <row r="12076" spans="2:3">
      <c r="B12076" s="12"/>
      <c r="C12076" s="12"/>
    </row>
    <row r="12077" spans="2:3">
      <c r="B12077" s="12"/>
      <c r="C12077" s="12"/>
    </row>
    <row r="12078" spans="2:3">
      <c r="B12078" s="12"/>
      <c r="C12078" s="12"/>
    </row>
    <row r="12079" spans="2:3">
      <c r="B12079" s="12"/>
      <c r="C12079" s="12"/>
    </row>
    <row r="12080" spans="2:3">
      <c r="B12080" s="12"/>
      <c r="C12080" s="12"/>
    </row>
    <row r="12081" spans="2:3">
      <c r="B12081" s="12"/>
      <c r="C12081" s="12"/>
    </row>
    <row r="12082" spans="2:3">
      <c r="B12082" s="12"/>
      <c r="C12082" s="12"/>
    </row>
    <row r="12083" spans="2:3">
      <c r="B12083" s="12"/>
      <c r="C12083" s="12"/>
    </row>
    <row r="12084" spans="2:3">
      <c r="B12084" s="12"/>
      <c r="C12084" s="12"/>
    </row>
    <row r="12085" spans="2:3">
      <c r="B12085" s="12"/>
      <c r="C12085" s="12"/>
    </row>
    <row r="12086" spans="2:3">
      <c r="B12086" s="12"/>
      <c r="C12086" s="12"/>
    </row>
    <row r="12087" spans="2:3">
      <c r="B12087" s="12"/>
      <c r="C12087" s="12"/>
    </row>
    <row r="12088" spans="2:3">
      <c r="B12088" s="12"/>
      <c r="C12088" s="12"/>
    </row>
    <row r="12089" spans="2:3">
      <c r="B12089" s="12"/>
      <c r="C12089" s="12"/>
    </row>
    <row r="12090" spans="2:3">
      <c r="B12090" s="12"/>
      <c r="C12090" s="12"/>
    </row>
    <row r="12091" spans="2:3">
      <c r="B12091" s="12"/>
      <c r="C12091" s="12"/>
    </row>
    <row r="12092" spans="2:3">
      <c r="B12092" s="12"/>
      <c r="C12092" s="12"/>
    </row>
    <row r="12093" spans="2:3">
      <c r="B12093" s="12"/>
      <c r="C12093" s="12"/>
    </row>
    <row r="12094" spans="2:3">
      <c r="B12094" s="12"/>
      <c r="C12094" s="12"/>
    </row>
    <row r="12095" spans="2:3">
      <c r="B12095" s="12"/>
      <c r="C12095" s="12"/>
    </row>
    <row r="12096" spans="2:3">
      <c r="B12096" s="12"/>
      <c r="C12096" s="12"/>
    </row>
    <row r="12097" spans="2:3">
      <c r="B12097" s="12"/>
      <c r="C12097" s="12"/>
    </row>
    <row r="12098" spans="2:3">
      <c r="B12098" s="12"/>
      <c r="C12098" s="12"/>
    </row>
    <row r="12099" spans="2:3">
      <c r="B12099" s="12"/>
      <c r="C12099" s="12"/>
    </row>
    <row r="12100" spans="2:3">
      <c r="B12100" s="12"/>
      <c r="C12100" s="12"/>
    </row>
    <row r="12101" spans="2:3">
      <c r="B12101" s="12"/>
      <c r="C12101" s="12"/>
    </row>
    <row r="12102" spans="2:3">
      <c r="B12102" s="12"/>
      <c r="C12102" s="12"/>
    </row>
    <row r="12103" spans="2:3">
      <c r="B12103" s="12"/>
      <c r="C12103" s="12"/>
    </row>
    <row r="12104" spans="2:3">
      <c r="B12104" s="12"/>
      <c r="C12104" s="12"/>
    </row>
    <row r="12105" spans="2:3">
      <c r="B12105" s="12"/>
      <c r="C12105" s="12"/>
    </row>
    <row r="12106" spans="2:3">
      <c r="B12106" s="12"/>
      <c r="C12106" s="12"/>
    </row>
    <row r="12107" spans="2:3">
      <c r="B12107" s="12"/>
      <c r="C12107" s="12"/>
    </row>
    <row r="12108" spans="2:3">
      <c r="B12108" s="12"/>
      <c r="C12108" s="12"/>
    </row>
    <row r="12109" spans="2:3">
      <c r="B12109" s="12"/>
      <c r="C12109" s="12"/>
    </row>
    <row r="12110" spans="2:3">
      <c r="B12110" s="12"/>
      <c r="C12110" s="12"/>
    </row>
    <row r="12111" spans="2:3">
      <c r="B12111" s="12"/>
      <c r="C12111" s="12"/>
    </row>
    <row r="12112" spans="2:3">
      <c r="B12112" s="12"/>
      <c r="C12112" s="12"/>
    </row>
    <row r="12113" spans="2:3">
      <c r="B12113" s="12"/>
      <c r="C12113" s="12"/>
    </row>
    <row r="12114" spans="2:3">
      <c r="B12114" s="12"/>
      <c r="C12114" s="12"/>
    </row>
    <row r="12115" spans="2:3">
      <c r="B12115" s="12"/>
      <c r="C12115" s="12"/>
    </row>
    <row r="12116" spans="2:3">
      <c r="B12116" s="12"/>
      <c r="C12116" s="12"/>
    </row>
    <row r="12117" spans="2:3">
      <c r="B12117" s="12"/>
      <c r="C12117" s="12"/>
    </row>
    <row r="12118" spans="2:3">
      <c r="B12118" s="12"/>
      <c r="C12118" s="12"/>
    </row>
    <row r="12119" spans="2:3">
      <c r="B12119" s="12"/>
      <c r="C12119" s="12"/>
    </row>
    <row r="12120" spans="2:3">
      <c r="B12120" s="12"/>
      <c r="C12120" s="12"/>
    </row>
    <row r="12121" spans="2:3">
      <c r="B12121" s="12"/>
      <c r="C12121" s="12"/>
    </row>
    <row r="12122" spans="2:3">
      <c r="B12122" s="12"/>
      <c r="C12122" s="12"/>
    </row>
    <row r="12123" spans="2:3">
      <c r="B12123" s="12"/>
      <c r="C12123" s="12"/>
    </row>
    <row r="12124" spans="2:3">
      <c r="B12124" s="12"/>
      <c r="C12124" s="12"/>
    </row>
    <row r="12125" spans="2:3">
      <c r="B12125" s="12"/>
      <c r="C12125" s="12"/>
    </row>
    <row r="12126" spans="2:3">
      <c r="B12126" s="12"/>
      <c r="C12126" s="12"/>
    </row>
    <row r="12127" spans="2:3">
      <c r="B12127" s="12"/>
      <c r="C12127" s="12"/>
    </row>
    <row r="12128" spans="2:3">
      <c r="B12128" s="12"/>
      <c r="C12128" s="12"/>
    </row>
    <row r="12129" spans="2:3">
      <c r="B12129" s="12"/>
      <c r="C12129" s="12"/>
    </row>
    <row r="12130" spans="2:3">
      <c r="B12130" s="12"/>
      <c r="C12130" s="12"/>
    </row>
    <row r="12131" spans="2:3">
      <c r="B12131" s="12"/>
      <c r="C12131" s="12"/>
    </row>
    <row r="12132" spans="2:3">
      <c r="B12132" s="12"/>
      <c r="C12132" s="12"/>
    </row>
    <row r="12133" spans="2:3">
      <c r="B12133" s="12"/>
      <c r="C12133" s="12"/>
    </row>
    <row r="12134" spans="2:3">
      <c r="B12134" s="12"/>
      <c r="C12134" s="12"/>
    </row>
    <row r="12135" spans="2:3">
      <c r="B12135" s="12"/>
      <c r="C12135" s="12"/>
    </row>
    <row r="12136" spans="2:3">
      <c r="B12136" s="12"/>
      <c r="C12136" s="12"/>
    </row>
    <row r="12137" spans="2:3">
      <c r="B12137" s="12"/>
      <c r="C12137" s="12"/>
    </row>
    <row r="12138" spans="2:3">
      <c r="B12138" s="12"/>
      <c r="C12138" s="12"/>
    </row>
    <row r="12139" spans="2:3">
      <c r="B12139" s="12"/>
      <c r="C12139" s="12"/>
    </row>
    <row r="12140" spans="2:3">
      <c r="B12140" s="12"/>
      <c r="C12140" s="12"/>
    </row>
    <row r="12141" spans="2:3">
      <c r="B12141" s="12"/>
      <c r="C12141" s="12"/>
    </row>
    <row r="12142" spans="2:3">
      <c r="B12142" s="12"/>
      <c r="C12142" s="12"/>
    </row>
    <row r="12143" spans="2:3">
      <c r="B12143" s="12"/>
      <c r="C12143" s="12"/>
    </row>
    <row r="12144" spans="2:3">
      <c r="B12144" s="12"/>
      <c r="C12144" s="12"/>
    </row>
    <row r="12145" spans="2:3">
      <c r="B12145" s="12"/>
      <c r="C12145" s="12"/>
    </row>
    <row r="12146" spans="2:3">
      <c r="B12146" s="12"/>
      <c r="C12146" s="12"/>
    </row>
    <row r="12147" spans="2:3">
      <c r="B12147" s="12"/>
      <c r="C12147" s="12"/>
    </row>
    <row r="12148" spans="2:3">
      <c r="B12148" s="12"/>
      <c r="C12148" s="12"/>
    </row>
    <row r="12149" spans="2:3">
      <c r="B12149" s="12"/>
      <c r="C12149" s="12"/>
    </row>
    <row r="12150" spans="2:3">
      <c r="B12150" s="12"/>
      <c r="C12150" s="12"/>
    </row>
    <row r="12151" spans="2:3">
      <c r="B12151" s="12"/>
      <c r="C12151" s="12"/>
    </row>
    <row r="12152" spans="2:3">
      <c r="B12152" s="12"/>
      <c r="C12152" s="12"/>
    </row>
    <row r="12153" spans="2:3">
      <c r="B12153" s="12"/>
      <c r="C12153" s="12"/>
    </row>
    <row r="12154" spans="2:3">
      <c r="B12154" s="12"/>
      <c r="C12154" s="12"/>
    </row>
    <row r="12155" spans="2:3">
      <c r="B12155" s="12"/>
      <c r="C12155" s="12"/>
    </row>
    <row r="12156" spans="2:3">
      <c r="B12156" s="12"/>
      <c r="C12156" s="12"/>
    </row>
    <row r="12157" spans="2:3">
      <c r="B12157" s="12"/>
      <c r="C12157" s="12"/>
    </row>
    <row r="12158" spans="2:3">
      <c r="B12158" s="12"/>
      <c r="C12158" s="12"/>
    </row>
    <row r="12159" spans="2:3">
      <c r="B12159" s="12"/>
      <c r="C12159" s="12"/>
    </row>
    <row r="12160" spans="2:3">
      <c r="B12160" s="12"/>
      <c r="C12160" s="12"/>
    </row>
    <row r="12161" spans="2:3">
      <c r="B12161" s="12"/>
      <c r="C12161" s="12"/>
    </row>
    <row r="12162" spans="2:3">
      <c r="B12162" s="12"/>
      <c r="C12162" s="12"/>
    </row>
    <row r="12163" spans="2:3">
      <c r="B12163" s="12"/>
      <c r="C12163" s="12"/>
    </row>
    <row r="12164" spans="2:3">
      <c r="B12164" s="12"/>
      <c r="C12164" s="12"/>
    </row>
    <row r="12165" spans="2:3">
      <c r="B12165" s="12"/>
      <c r="C12165" s="12"/>
    </row>
    <row r="12166" spans="2:3">
      <c r="B12166" s="12"/>
      <c r="C12166" s="12"/>
    </row>
    <row r="12167" spans="2:3">
      <c r="B12167" s="12"/>
      <c r="C12167" s="12"/>
    </row>
    <row r="12168" spans="2:3">
      <c r="B12168" s="12"/>
      <c r="C12168" s="12"/>
    </row>
    <row r="12169" spans="2:3">
      <c r="B12169" s="12"/>
      <c r="C12169" s="12"/>
    </row>
    <row r="12170" spans="2:3">
      <c r="B12170" s="12"/>
      <c r="C12170" s="12"/>
    </row>
    <row r="12171" spans="2:3">
      <c r="B12171" s="12"/>
      <c r="C12171" s="12"/>
    </row>
    <row r="12172" spans="2:3">
      <c r="B12172" s="12"/>
      <c r="C12172" s="12"/>
    </row>
    <row r="12173" spans="2:3">
      <c r="B12173" s="12"/>
      <c r="C12173" s="12"/>
    </row>
    <row r="12174" spans="2:3">
      <c r="B12174" s="12"/>
      <c r="C12174" s="12"/>
    </row>
    <row r="12175" spans="2:3">
      <c r="B12175" s="12"/>
      <c r="C12175" s="12"/>
    </row>
    <row r="12176" spans="2:3">
      <c r="B12176" s="12"/>
      <c r="C12176" s="12"/>
    </row>
    <row r="12177" spans="2:3">
      <c r="B12177" s="12"/>
      <c r="C12177" s="12"/>
    </row>
    <row r="12178" spans="2:3">
      <c r="B12178" s="12"/>
      <c r="C12178" s="12"/>
    </row>
    <row r="12179" spans="2:3">
      <c r="B12179" s="12"/>
      <c r="C12179" s="12"/>
    </row>
    <row r="12180" spans="2:3">
      <c r="B12180" s="12"/>
      <c r="C12180" s="12"/>
    </row>
    <row r="12181" spans="2:3">
      <c r="B12181" s="12"/>
      <c r="C12181" s="12"/>
    </row>
    <row r="12182" spans="2:3">
      <c r="B12182" s="12"/>
      <c r="C12182" s="12"/>
    </row>
    <row r="12183" spans="2:3">
      <c r="B12183" s="12"/>
      <c r="C12183" s="12"/>
    </row>
    <row r="12184" spans="2:3">
      <c r="B12184" s="12"/>
      <c r="C12184" s="12"/>
    </row>
    <row r="12185" spans="2:3">
      <c r="B12185" s="12"/>
      <c r="C12185" s="12"/>
    </row>
    <row r="12186" spans="2:3">
      <c r="B12186" s="12"/>
      <c r="C12186" s="12"/>
    </row>
    <row r="12187" spans="2:3">
      <c r="B12187" s="12"/>
      <c r="C12187" s="12"/>
    </row>
    <row r="12188" spans="2:3">
      <c r="B12188" s="12"/>
      <c r="C12188" s="12"/>
    </row>
    <row r="12189" spans="2:3">
      <c r="B12189" s="12"/>
      <c r="C12189" s="12"/>
    </row>
    <row r="12190" spans="2:3">
      <c r="B12190" s="12"/>
      <c r="C12190" s="12"/>
    </row>
    <row r="12191" spans="2:3">
      <c r="B12191" s="12"/>
      <c r="C12191" s="12"/>
    </row>
    <row r="12192" spans="2:3">
      <c r="B12192" s="12"/>
      <c r="C12192" s="12"/>
    </row>
    <row r="12193" spans="2:3">
      <c r="B12193" s="12"/>
      <c r="C12193" s="12"/>
    </row>
    <row r="12194" spans="2:3">
      <c r="B12194" s="12"/>
      <c r="C12194" s="12"/>
    </row>
    <row r="12195" spans="2:3">
      <c r="B12195" s="12"/>
      <c r="C12195" s="12"/>
    </row>
    <row r="12196" spans="2:3">
      <c r="B12196" s="12"/>
      <c r="C12196" s="12"/>
    </row>
    <row r="12197" spans="2:3">
      <c r="B12197" s="12"/>
      <c r="C12197" s="12"/>
    </row>
    <row r="12198" spans="2:3">
      <c r="B12198" s="12"/>
      <c r="C12198" s="12"/>
    </row>
    <row r="12199" spans="2:3">
      <c r="B12199" s="12"/>
      <c r="C12199" s="12"/>
    </row>
    <row r="12200" spans="2:3">
      <c r="B12200" s="12"/>
      <c r="C12200" s="12"/>
    </row>
    <row r="12201" spans="2:3">
      <c r="B12201" s="12"/>
      <c r="C12201" s="12"/>
    </row>
    <row r="12202" spans="2:3">
      <c r="B12202" s="12"/>
      <c r="C12202" s="12"/>
    </row>
    <row r="12203" spans="2:3">
      <c r="B12203" s="12"/>
      <c r="C12203" s="12"/>
    </row>
    <row r="12204" spans="2:3">
      <c r="B12204" s="12"/>
      <c r="C12204" s="12"/>
    </row>
    <row r="12205" spans="2:3">
      <c r="B12205" s="12"/>
      <c r="C12205" s="12"/>
    </row>
    <row r="12206" spans="2:3">
      <c r="B12206" s="12"/>
      <c r="C12206" s="12"/>
    </row>
    <row r="12207" spans="2:3">
      <c r="B12207" s="12"/>
      <c r="C12207" s="12"/>
    </row>
    <row r="12208" spans="2:3">
      <c r="B12208" s="12"/>
      <c r="C12208" s="12"/>
    </row>
    <row r="12209" spans="2:3">
      <c r="B12209" s="12"/>
      <c r="C12209" s="12"/>
    </row>
    <row r="12210" spans="2:3">
      <c r="B12210" s="12"/>
      <c r="C12210" s="12"/>
    </row>
    <row r="12211" spans="2:3">
      <c r="B12211" s="12"/>
      <c r="C12211" s="12"/>
    </row>
    <row r="12212" spans="2:3">
      <c r="B12212" s="12"/>
      <c r="C12212" s="12"/>
    </row>
    <row r="12213" spans="2:3">
      <c r="B12213" s="12"/>
      <c r="C12213" s="12"/>
    </row>
    <row r="12214" spans="2:3">
      <c r="B12214" s="12"/>
      <c r="C12214" s="12"/>
    </row>
    <row r="12215" spans="2:3">
      <c r="B12215" s="12"/>
      <c r="C12215" s="12"/>
    </row>
    <row r="12216" spans="2:3">
      <c r="B12216" s="12"/>
      <c r="C12216" s="12"/>
    </row>
    <row r="12217" spans="2:3">
      <c r="B12217" s="12"/>
      <c r="C12217" s="12"/>
    </row>
    <row r="12218" spans="2:3">
      <c r="B12218" s="12"/>
      <c r="C12218" s="12"/>
    </row>
    <row r="12219" spans="2:3">
      <c r="B12219" s="12"/>
      <c r="C12219" s="12"/>
    </row>
    <row r="12220" spans="2:3">
      <c r="B12220" s="12"/>
      <c r="C12220" s="12"/>
    </row>
    <row r="12221" spans="2:3">
      <c r="B12221" s="12"/>
      <c r="C12221" s="12"/>
    </row>
    <row r="12222" spans="2:3">
      <c r="B12222" s="12"/>
      <c r="C12222" s="12"/>
    </row>
    <row r="12223" spans="2:3">
      <c r="B12223" s="12"/>
      <c r="C12223" s="12"/>
    </row>
    <row r="12224" spans="2:3">
      <c r="B12224" s="12"/>
      <c r="C12224" s="12"/>
    </row>
    <row r="12225" spans="2:3">
      <c r="B12225" s="12"/>
      <c r="C12225" s="12"/>
    </row>
    <row r="12226" spans="2:3">
      <c r="B12226" s="12"/>
      <c r="C12226" s="12"/>
    </row>
    <row r="12227" spans="2:3">
      <c r="B12227" s="12"/>
      <c r="C12227" s="12"/>
    </row>
    <row r="12228" spans="2:3">
      <c r="B12228" s="12"/>
      <c r="C12228" s="12"/>
    </row>
    <row r="12229" spans="2:3">
      <c r="B12229" s="12"/>
      <c r="C12229" s="12"/>
    </row>
    <row r="12230" spans="2:3">
      <c r="B12230" s="12"/>
      <c r="C12230" s="12"/>
    </row>
    <row r="12231" spans="2:3">
      <c r="B12231" s="12"/>
      <c r="C12231" s="12"/>
    </row>
    <row r="12232" spans="2:3">
      <c r="B12232" s="12"/>
      <c r="C12232" s="12"/>
    </row>
    <row r="12233" spans="2:3">
      <c r="B12233" s="12"/>
      <c r="C12233" s="12"/>
    </row>
    <row r="12234" spans="2:3">
      <c r="B12234" s="12"/>
      <c r="C12234" s="12"/>
    </row>
    <row r="12235" spans="2:3">
      <c r="B12235" s="12"/>
      <c r="C12235" s="12"/>
    </row>
    <row r="12236" spans="2:3">
      <c r="B12236" s="12"/>
      <c r="C12236" s="12"/>
    </row>
    <row r="12237" spans="2:3">
      <c r="B12237" s="12"/>
      <c r="C12237" s="12"/>
    </row>
    <row r="12238" spans="2:3">
      <c r="B12238" s="12"/>
      <c r="C12238" s="12"/>
    </row>
    <row r="12239" spans="2:3">
      <c r="B12239" s="12"/>
      <c r="C12239" s="12"/>
    </row>
    <row r="12240" spans="2:3">
      <c r="B12240" s="12"/>
      <c r="C12240" s="12"/>
    </row>
    <row r="12241" spans="2:3">
      <c r="B12241" s="12"/>
      <c r="C12241" s="12"/>
    </row>
    <row r="12242" spans="2:3">
      <c r="B12242" s="12"/>
      <c r="C12242" s="12"/>
    </row>
    <row r="12243" spans="2:3">
      <c r="B12243" s="12"/>
      <c r="C12243" s="12"/>
    </row>
    <row r="12244" spans="2:3">
      <c r="B12244" s="12"/>
      <c r="C12244" s="12"/>
    </row>
    <row r="12245" spans="2:3">
      <c r="B12245" s="12"/>
      <c r="C12245" s="12"/>
    </row>
    <row r="12246" spans="2:3">
      <c r="B12246" s="12"/>
      <c r="C12246" s="12"/>
    </row>
    <row r="12247" spans="2:3">
      <c r="B12247" s="12"/>
      <c r="C12247" s="12"/>
    </row>
    <row r="12248" spans="2:3">
      <c r="B12248" s="12"/>
      <c r="C12248" s="12"/>
    </row>
    <row r="12249" spans="2:3">
      <c r="B12249" s="12"/>
      <c r="C12249" s="12"/>
    </row>
    <row r="12250" spans="2:3">
      <c r="B12250" s="12"/>
      <c r="C12250" s="12"/>
    </row>
    <row r="12251" spans="2:3">
      <c r="B12251" s="12"/>
      <c r="C12251" s="12"/>
    </row>
    <row r="12252" spans="2:3">
      <c r="B12252" s="12"/>
      <c r="C12252" s="12"/>
    </row>
    <row r="12253" spans="2:3">
      <c r="B12253" s="12"/>
      <c r="C12253" s="12"/>
    </row>
    <row r="12254" spans="2:3">
      <c r="B12254" s="12"/>
      <c r="C12254" s="12"/>
    </row>
    <row r="12255" spans="2:3">
      <c r="B12255" s="12"/>
      <c r="C12255" s="12"/>
    </row>
    <row r="12256" spans="2:3">
      <c r="B12256" s="12"/>
      <c r="C12256" s="12"/>
    </row>
    <row r="12257" spans="2:3">
      <c r="B12257" s="12"/>
      <c r="C12257" s="12"/>
    </row>
    <row r="12258" spans="2:3">
      <c r="B12258" s="12"/>
      <c r="C12258" s="12"/>
    </row>
    <row r="12259" spans="2:3">
      <c r="B12259" s="12"/>
      <c r="C12259" s="12"/>
    </row>
    <row r="12260" spans="2:3">
      <c r="B12260" s="12"/>
      <c r="C12260" s="12"/>
    </row>
    <row r="12261" spans="2:3">
      <c r="B12261" s="12"/>
      <c r="C12261" s="12"/>
    </row>
    <row r="12262" spans="2:3">
      <c r="B12262" s="12"/>
      <c r="C12262" s="12"/>
    </row>
    <row r="12263" spans="2:3">
      <c r="B12263" s="12"/>
      <c r="C12263" s="12"/>
    </row>
    <row r="12264" spans="2:3">
      <c r="B12264" s="12"/>
      <c r="C12264" s="12"/>
    </row>
    <row r="12265" spans="2:3">
      <c r="B12265" s="12"/>
      <c r="C12265" s="12"/>
    </row>
    <row r="12266" spans="2:3">
      <c r="B12266" s="12"/>
      <c r="C12266" s="12"/>
    </row>
    <row r="12267" spans="2:3">
      <c r="B12267" s="12"/>
      <c r="C12267" s="12"/>
    </row>
    <row r="12268" spans="2:3">
      <c r="B12268" s="12"/>
      <c r="C12268" s="12"/>
    </row>
    <row r="12269" spans="2:3">
      <c r="B12269" s="12"/>
      <c r="C12269" s="12"/>
    </row>
    <row r="12270" spans="2:3">
      <c r="B12270" s="12"/>
      <c r="C12270" s="12"/>
    </row>
    <row r="12271" spans="2:3">
      <c r="B12271" s="12"/>
      <c r="C12271" s="12"/>
    </row>
    <row r="12272" spans="2:3">
      <c r="B12272" s="12"/>
      <c r="C12272" s="12"/>
    </row>
    <row r="12273" spans="2:3">
      <c r="B12273" s="12"/>
      <c r="C12273" s="12"/>
    </row>
    <row r="12274" spans="2:3">
      <c r="B12274" s="12"/>
      <c r="C12274" s="12"/>
    </row>
    <row r="12275" spans="2:3">
      <c r="B12275" s="12"/>
      <c r="C12275" s="12"/>
    </row>
    <row r="12276" spans="2:3">
      <c r="B12276" s="12"/>
      <c r="C12276" s="12"/>
    </row>
    <row r="12277" spans="2:3">
      <c r="B12277" s="12"/>
      <c r="C12277" s="12"/>
    </row>
    <row r="12278" spans="2:3">
      <c r="B12278" s="12"/>
      <c r="C12278" s="12"/>
    </row>
    <row r="12279" spans="2:3">
      <c r="B12279" s="12"/>
      <c r="C12279" s="12"/>
    </row>
    <row r="12280" spans="2:3">
      <c r="B12280" s="12"/>
      <c r="C12280" s="12"/>
    </row>
    <row r="12281" spans="2:3">
      <c r="B12281" s="12"/>
      <c r="C12281" s="12"/>
    </row>
    <row r="12282" spans="2:3">
      <c r="B12282" s="12"/>
      <c r="C12282" s="12"/>
    </row>
    <row r="12283" spans="2:3">
      <c r="B12283" s="12"/>
      <c r="C12283" s="12"/>
    </row>
    <row r="12284" spans="2:3">
      <c r="B12284" s="12"/>
      <c r="C12284" s="12"/>
    </row>
    <row r="12285" spans="2:3">
      <c r="B12285" s="12"/>
      <c r="C12285" s="12"/>
    </row>
    <row r="12286" spans="2:3">
      <c r="B12286" s="12"/>
      <c r="C12286" s="12"/>
    </row>
    <row r="12287" spans="2:3">
      <c r="B12287" s="12"/>
      <c r="C12287" s="12"/>
    </row>
    <row r="12288" spans="2:3">
      <c r="B12288" s="12"/>
      <c r="C12288" s="12"/>
    </row>
    <row r="12289" spans="2:3">
      <c r="B12289" s="12"/>
      <c r="C12289" s="12"/>
    </row>
    <row r="12290" spans="2:3">
      <c r="B12290" s="12"/>
      <c r="C12290" s="12"/>
    </row>
    <row r="12291" spans="2:3">
      <c r="B12291" s="12"/>
      <c r="C12291" s="12"/>
    </row>
    <row r="12292" spans="2:3">
      <c r="B12292" s="12"/>
      <c r="C12292" s="12"/>
    </row>
    <row r="12293" spans="2:3">
      <c r="B12293" s="12"/>
      <c r="C12293" s="12"/>
    </row>
    <row r="12294" spans="2:3">
      <c r="B12294" s="12"/>
      <c r="C12294" s="12"/>
    </row>
    <row r="12295" spans="2:3">
      <c r="B12295" s="12"/>
      <c r="C12295" s="12"/>
    </row>
    <row r="12296" spans="2:3">
      <c r="B12296" s="12"/>
      <c r="C12296" s="12"/>
    </row>
    <row r="12297" spans="2:3">
      <c r="B12297" s="12"/>
      <c r="C12297" s="12"/>
    </row>
    <row r="12298" spans="2:3">
      <c r="B12298" s="12"/>
      <c r="C12298" s="12"/>
    </row>
    <row r="12299" spans="2:3">
      <c r="B12299" s="12"/>
      <c r="C12299" s="12"/>
    </row>
    <row r="12300" spans="2:3">
      <c r="B12300" s="12"/>
      <c r="C12300" s="12"/>
    </row>
    <row r="12301" spans="2:3">
      <c r="B12301" s="12"/>
      <c r="C12301" s="12"/>
    </row>
    <row r="12302" spans="2:3">
      <c r="B12302" s="12"/>
      <c r="C12302" s="12"/>
    </row>
    <row r="12303" spans="2:3">
      <c r="B12303" s="12"/>
      <c r="C12303" s="12"/>
    </row>
    <row r="12304" spans="2:3">
      <c r="B12304" s="12"/>
      <c r="C12304" s="12"/>
    </row>
    <row r="12305" spans="2:3">
      <c r="B12305" s="12"/>
      <c r="C12305" s="12"/>
    </row>
    <row r="12306" spans="2:3">
      <c r="B12306" s="12"/>
      <c r="C12306" s="12"/>
    </row>
    <row r="12307" spans="2:3">
      <c r="B12307" s="12"/>
      <c r="C12307" s="12"/>
    </row>
    <row r="12308" spans="2:3">
      <c r="B12308" s="12"/>
      <c r="C12308" s="12"/>
    </row>
    <row r="12309" spans="2:3">
      <c r="B12309" s="12"/>
      <c r="C12309" s="12"/>
    </row>
    <row r="12310" spans="2:3">
      <c r="B12310" s="12"/>
      <c r="C12310" s="12"/>
    </row>
    <row r="12311" spans="2:3">
      <c r="B12311" s="12"/>
      <c r="C12311" s="12"/>
    </row>
    <row r="12312" spans="2:3">
      <c r="B12312" s="12"/>
      <c r="C12312" s="12"/>
    </row>
    <row r="12313" spans="2:3">
      <c r="B12313" s="12"/>
      <c r="C12313" s="12"/>
    </row>
    <row r="12314" spans="2:3">
      <c r="B12314" s="12"/>
      <c r="C12314" s="12"/>
    </row>
    <row r="12315" spans="2:3">
      <c r="B12315" s="12"/>
      <c r="C12315" s="12"/>
    </row>
    <row r="12316" spans="2:3">
      <c r="B12316" s="12"/>
      <c r="C12316" s="12"/>
    </row>
    <row r="12317" spans="2:3">
      <c r="B12317" s="12"/>
      <c r="C12317" s="12"/>
    </row>
    <row r="12318" spans="2:3">
      <c r="B12318" s="12"/>
      <c r="C12318" s="12"/>
    </row>
    <row r="12319" spans="2:3">
      <c r="B12319" s="12"/>
      <c r="C12319" s="12"/>
    </row>
    <row r="12320" spans="2:3">
      <c r="B12320" s="12"/>
      <c r="C12320" s="12"/>
    </row>
    <row r="12321" spans="2:3">
      <c r="B12321" s="12"/>
      <c r="C12321" s="12"/>
    </row>
    <row r="12322" spans="2:3">
      <c r="B12322" s="12"/>
      <c r="C12322" s="12"/>
    </row>
    <row r="12323" spans="2:3">
      <c r="B12323" s="12"/>
      <c r="C12323" s="12"/>
    </row>
    <row r="12324" spans="2:3">
      <c r="B12324" s="12"/>
      <c r="C12324" s="12"/>
    </row>
    <row r="12325" spans="2:3">
      <c r="B12325" s="12"/>
      <c r="C12325" s="12"/>
    </row>
    <row r="12326" spans="2:3">
      <c r="B12326" s="12"/>
      <c r="C12326" s="12"/>
    </row>
    <row r="12327" spans="2:3">
      <c r="B12327" s="12"/>
      <c r="C12327" s="12"/>
    </row>
    <row r="12328" spans="2:3">
      <c r="B12328" s="12"/>
      <c r="C12328" s="12"/>
    </row>
    <row r="12329" spans="2:3">
      <c r="B12329" s="12"/>
      <c r="C12329" s="12"/>
    </row>
    <row r="12330" spans="2:3">
      <c r="B12330" s="12"/>
      <c r="C12330" s="12"/>
    </row>
    <row r="12331" spans="2:3">
      <c r="B12331" s="12"/>
      <c r="C12331" s="12"/>
    </row>
    <row r="12332" spans="2:3">
      <c r="B12332" s="12"/>
      <c r="C12332" s="12"/>
    </row>
    <row r="12333" spans="2:3">
      <c r="B12333" s="12"/>
      <c r="C12333" s="12"/>
    </row>
    <row r="12334" spans="2:3">
      <c r="B12334" s="12"/>
      <c r="C12334" s="12"/>
    </row>
    <row r="12335" spans="2:3">
      <c r="B12335" s="12"/>
      <c r="C12335" s="12"/>
    </row>
    <row r="12336" spans="2:3">
      <c r="B12336" s="12"/>
      <c r="C12336" s="12"/>
    </row>
    <row r="12337" spans="2:3">
      <c r="B12337" s="12"/>
      <c r="C12337" s="12"/>
    </row>
    <row r="12338" spans="2:3">
      <c r="B12338" s="12"/>
      <c r="C12338" s="12"/>
    </row>
    <row r="12339" spans="2:3">
      <c r="B12339" s="12"/>
      <c r="C12339" s="12"/>
    </row>
    <row r="12340" spans="2:3">
      <c r="B12340" s="12"/>
      <c r="C12340" s="12"/>
    </row>
    <row r="12341" spans="2:3">
      <c r="B12341" s="12"/>
      <c r="C12341" s="12"/>
    </row>
    <row r="12342" spans="2:3">
      <c r="B12342" s="12"/>
      <c r="C12342" s="12"/>
    </row>
    <row r="12343" spans="2:3">
      <c r="B12343" s="12"/>
      <c r="C12343" s="12"/>
    </row>
    <row r="12344" spans="2:3">
      <c r="B12344" s="12"/>
      <c r="C12344" s="12"/>
    </row>
    <row r="12345" spans="2:3">
      <c r="B12345" s="12"/>
      <c r="C12345" s="12"/>
    </row>
    <row r="12346" spans="2:3">
      <c r="B12346" s="12"/>
      <c r="C12346" s="12"/>
    </row>
    <row r="12347" spans="2:3">
      <c r="B12347" s="12"/>
      <c r="C12347" s="12"/>
    </row>
    <row r="12348" spans="2:3">
      <c r="B12348" s="12"/>
      <c r="C12348" s="12"/>
    </row>
    <row r="12349" spans="2:3">
      <c r="B12349" s="12"/>
      <c r="C12349" s="12"/>
    </row>
    <row r="12350" spans="2:3">
      <c r="B12350" s="12"/>
      <c r="C12350" s="12"/>
    </row>
    <row r="12351" spans="2:3">
      <c r="B12351" s="12"/>
      <c r="C12351" s="12"/>
    </row>
    <row r="12352" spans="2:3">
      <c r="B12352" s="12"/>
      <c r="C12352" s="12"/>
    </row>
    <row r="12353" spans="2:3">
      <c r="B12353" s="12"/>
      <c r="C12353" s="12"/>
    </row>
    <row r="12354" spans="2:3">
      <c r="B12354" s="12"/>
      <c r="C12354" s="12"/>
    </row>
    <row r="12355" spans="2:3">
      <c r="B12355" s="12"/>
      <c r="C12355" s="12"/>
    </row>
    <row r="12356" spans="2:3">
      <c r="B12356" s="12"/>
      <c r="C12356" s="12"/>
    </row>
    <row r="12357" spans="2:3">
      <c r="B12357" s="12"/>
      <c r="C12357" s="12"/>
    </row>
    <row r="12358" spans="2:3">
      <c r="B12358" s="12"/>
      <c r="C12358" s="12"/>
    </row>
    <row r="12359" spans="2:3">
      <c r="B12359" s="12"/>
      <c r="C12359" s="12"/>
    </row>
    <row r="12360" spans="2:3">
      <c r="B12360" s="12"/>
      <c r="C12360" s="12"/>
    </row>
    <row r="12361" spans="2:3">
      <c r="B12361" s="12"/>
      <c r="C12361" s="12"/>
    </row>
    <row r="12362" spans="2:3">
      <c r="B12362" s="12"/>
      <c r="C12362" s="12"/>
    </row>
    <row r="12363" spans="2:3">
      <c r="B12363" s="12"/>
      <c r="C12363" s="12"/>
    </row>
    <row r="12364" spans="2:3">
      <c r="B12364" s="12"/>
      <c r="C12364" s="12"/>
    </row>
    <row r="12365" spans="2:3">
      <c r="B12365" s="12"/>
      <c r="C12365" s="12"/>
    </row>
    <row r="12366" spans="2:3">
      <c r="B12366" s="12"/>
      <c r="C12366" s="12"/>
    </row>
    <row r="12367" spans="2:3">
      <c r="B12367" s="12"/>
      <c r="C12367" s="12"/>
    </row>
    <row r="12368" spans="2:3">
      <c r="B12368" s="12"/>
      <c r="C12368" s="12"/>
    </row>
    <row r="12369" spans="2:3">
      <c r="B12369" s="12"/>
      <c r="C12369" s="12"/>
    </row>
    <row r="12370" spans="2:3">
      <c r="B12370" s="12"/>
      <c r="C12370" s="12"/>
    </row>
    <row r="12371" spans="2:3">
      <c r="B12371" s="12"/>
      <c r="C12371" s="12"/>
    </row>
    <row r="12372" spans="2:3">
      <c r="B12372" s="12"/>
      <c r="C12372" s="12"/>
    </row>
    <row r="12373" spans="2:3">
      <c r="B12373" s="12"/>
      <c r="C12373" s="12"/>
    </row>
    <row r="12374" spans="2:3">
      <c r="B12374" s="12"/>
      <c r="C12374" s="12"/>
    </row>
    <row r="12375" spans="2:3">
      <c r="B12375" s="12"/>
      <c r="C12375" s="12"/>
    </row>
    <row r="12376" spans="2:3">
      <c r="B12376" s="12"/>
      <c r="C12376" s="12"/>
    </row>
    <row r="12377" spans="2:3">
      <c r="B12377" s="12"/>
      <c r="C12377" s="12"/>
    </row>
    <row r="12378" spans="2:3">
      <c r="B12378" s="12"/>
      <c r="C12378" s="12"/>
    </row>
    <row r="12379" spans="2:3">
      <c r="B12379" s="12"/>
      <c r="C12379" s="12"/>
    </row>
    <row r="12380" spans="2:3">
      <c r="B12380" s="12"/>
      <c r="C12380" s="12"/>
    </row>
    <row r="12381" spans="2:3">
      <c r="B12381" s="12"/>
      <c r="C12381" s="12"/>
    </row>
    <row r="12382" spans="2:3">
      <c r="B12382" s="12"/>
      <c r="C12382" s="12"/>
    </row>
    <row r="12383" spans="2:3">
      <c r="B12383" s="12"/>
      <c r="C12383" s="12"/>
    </row>
    <row r="12384" spans="2:3">
      <c r="B12384" s="12"/>
      <c r="C12384" s="12"/>
    </row>
    <row r="12385" spans="2:3">
      <c r="B12385" s="12"/>
      <c r="C12385" s="12"/>
    </row>
    <row r="12386" spans="2:3">
      <c r="B12386" s="12"/>
      <c r="C12386" s="12"/>
    </row>
    <row r="12387" spans="2:3">
      <c r="B12387" s="12"/>
      <c r="C12387" s="12"/>
    </row>
    <row r="12388" spans="2:3">
      <c r="B12388" s="12"/>
      <c r="C12388" s="12"/>
    </row>
    <row r="12389" spans="2:3">
      <c r="B12389" s="12"/>
      <c r="C12389" s="12"/>
    </row>
    <row r="12390" spans="2:3">
      <c r="B12390" s="12"/>
      <c r="C12390" s="12"/>
    </row>
    <row r="12391" spans="2:3">
      <c r="B12391" s="12"/>
      <c r="C12391" s="12"/>
    </row>
    <row r="12392" spans="2:3">
      <c r="B12392" s="12"/>
      <c r="C12392" s="12"/>
    </row>
    <row r="12393" spans="2:3">
      <c r="B12393" s="12"/>
      <c r="C12393" s="12"/>
    </row>
    <row r="12394" spans="2:3">
      <c r="B12394" s="12"/>
      <c r="C12394" s="12"/>
    </row>
    <row r="12395" spans="2:3">
      <c r="B12395" s="12"/>
      <c r="C12395" s="12"/>
    </row>
    <row r="12396" spans="2:3">
      <c r="B12396" s="12"/>
      <c r="C12396" s="12"/>
    </row>
    <row r="12397" spans="2:3">
      <c r="B12397" s="12"/>
      <c r="C12397" s="12"/>
    </row>
    <row r="12398" spans="2:3">
      <c r="B12398" s="12"/>
      <c r="C12398" s="12"/>
    </row>
    <row r="12399" spans="2:3">
      <c r="B12399" s="12"/>
      <c r="C12399" s="12"/>
    </row>
    <row r="12400" spans="2:3">
      <c r="B12400" s="12"/>
      <c r="C12400" s="12"/>
    </row>
    <row r="12401" spans="2:3">
      <c r="B12401" s="12"/>
      <c r="C12401" s="12"/>
    </row>
    <row r="12402" spans="2:3">
      <c r="B12402" s="12"/>
      <c r="C12402" s="12"/>
    </row>
    <row r="12403" spans="2:3">
      <c r="B12403" s="12"/>
      <c r="C12403" s="12"/>
    </row>
    <row r="12404" spans="2:3">
      <c r="B12404" s="12"/>
      <c r="C12404" s="12"/>
    </row>
    <row r="12405" spans="2:3">
      <c r="B12405" s="12"/>
      <c r="C12405" s="12"/>
    </row>
    <row r="12406" spans="2:3">
      <c r="B12406" s="12"/>
      <c r="C12406" s="12"/>
    </row>
    <row r="12407" spans="2:3">
      <c r="B12407" s="12"/>
      <c r="C12407" s="12"/>
    </row>
    <row r="12408" spans="2:3">
      <c r="B12408" s="12"/>
      <c r="C12408" s="12"/>
    </row>
    <row r="12409" spans="2:3">
      <c r="B12409" s="12"/>
      <c r="C12409" s="12"/>
    </row>
    <row r="12410" spans="2:3">
      <c r="B12410" s="12"/>
      <c r="C12410" s="12"/>
    </row>
    <row r="12411" spans="2:3">
      <c r="B12411" s="12"/>
      <c r="C12411" s="12"/>
    </row>
    <row r="12412" spans="2:3">
      <c r="B12412" s="12"/>
      <c r="C12412" s="12"/>
    </row>
    <row r="12413" spans="2:3">
      <c r="B12413" s="12"/>
      <c r="C12413" s="12"/>
    </row>
    <row r="12414" spans="2:3">
      <c r="B12414" s="12"/>
      <c r="C12414" s="12"/>
    </row>
    <row r="12415" spans="2:3">
      <c r="B12415" s="12"/>
      <c r="C12415" s="12"/>
    </row>
    <row r="12416" spans="2:3">
      <c r="B12416" s="12"/>
      <c r="C12416" s="12"/>
    </row>
    <row r="12417" spans="2:3">
      <c r="B12417" s="12"/>
      <c r="C12417" s="12"/>
    </row>
    <row r="12418" spans="2:3">
      <c r="B12418" s="12"/>
      <c r="C12418" s="12"/>
    </row>
    <row r="12419" spans="2:3">
      <c r="B12419" s="12"/>
      <c r="C12419" s="12"/>
    </row>
    <row r="12420" spans="2:3">
      <c r="B12420" s="12"/>
      <c r="C12420" s="12"/>
    </row>
    <row r="12421" spans="2:3">
      <c r="B12421" s="12"/>
      <c r="C12421" s="12"/>
    </row>
    <row r="12422" spans="2:3">
      <c r="B12422" s="12"/>
      <c r="C12422" s="12"/>
    </row>
    <row r="12423" spans="2:3">
      <c r="B12423" s="12"/>
      <c r="C12423" s="12"/>
    </row>
    <row r="12424" spans="2:3">
      <c r="B12424" s="12"/>
      <c r="C12424" s="12"/>
    </row>
    <row r="12425" spans="2:3">
      <c r="B12425" s="12"/>
      <c r="C12425" s="12"/>
    </row>
    <row r="12426" spans="2:3">
      <c r="B12426" s="12"/>
      <c r="C12426" s="12"/>
    </row>
    <row r="12427" spans="2:3">
      <c r="B12427" s="12"/>
      <c r="C12427" s="12"/>
    </row>
    <row r="12428" spans="2:3">
      <c r="B12428" s="12"/>
      <c r="C12428" s="12"/>
    </row>
    <row r="12429" spans="2:3">
      <c r="B12429" s="12"/>
      <c r="C12429" s="12"/>
    </row>
    <row r="12430" spans="2:3">
      <c r="B12430" s="12"/>
      <c r="C12430" s="12"/>
    </row>
    <row r="12431" spans="2:3">
      <c r="B12431" s="12"/>
      <c r="C12431" s="12"/>
    </row>
    <row r="12432" spans="2:3">
      <c r="B12432" s="12"/>
      <c r="C12432" s="12"/>
    </row>
    <row r="12433" spans="2:3">
      <c r="B12433" s="12"/>
      <c r="C12433" s="12"/>
    </row>
    <row r="12434" spans="2:3">
      <c r="B12434" s="12"/>
      <c r="C12434" s="12"/>
    </row>
    <row r="12435" spans="2:3">
      <c r="B12435" s="12"/>
      <c r="C12435" s="12"/>
    </row>
    <row r="12436" spans="2:3">
      <c r="B12436" s="12"/>
      <c r="C12436" s="12"/>
    </row>
    <row r="12437" spans="2:3">
      <c r="B12437" s="12"/>
      <c r="C12437" s="12"/>
    </row>
    <row r="12438" spans="2:3">
      <c r="B12438" s="12"/>
      <c r="C12438" s="12"/>
    </row>
    <row r="12439" spans="2:3">
      <c r="B12439" s="12"/>
      <c r="C12439" s="12"/>
    </row>
    <row r="12440" spans="2:3">
      <c r="B12440" s="12"/>
      <c r="C12440" s="12"/>
    </row>
    <row r="12441" spans="2:3">
      <c r="B12441" s="12"/>
      <c r="C12441" s="12"/>
    </row>
    <row r="12442" spans="2:3">
      <c r="B12442" s="12"/>
      <c r="C12442" s="12"/>
    </row>
    <row r="12443" spans="2:3">
      <c r="B12443" s="12"/>
      <c r="C12443" s="12"/>
    </row>
    <row r="12444" spans="2:3">
      <c r="B12444" s="12"/>
      <c r="C12444" s="12"/>
    </row>
    <row r="12445" spans="2:3">
      <c r="B12445" s="12"/>
      <c r="C12445" s="12"/>
    </row>
    <row r="12446" spans="2:3">
      <c r="B12446" s="12"/>
      <c r="C12446" s="12"/>
    </row>
    <row r="12447" spans="2:3">
      <c r="B12447" s="12"/>
      <c r="C12447" s="12"/>
    </row>
    <row r="12448" spans="2:3">
      <c r="B12448" s="12"/>
      <c r="C12448" s="12"/>
    </row>
    <row r="12449" spans="2:3">
      <c r="B12449" s="12"/>
      <c r="C12449" s="12"/>
    </row>
    <row r="12450" spans="2:3">
      <c r="B12450" s="12"/>
      <c r="C12450" s="12"/>
    </row>
    <row r="12451" spans="2:3">
      <c r="B12451" s="12"/>
      <c r="C12451" s="12"/>
    </row>
    <row r="12452" spans="2:3">
      <c r="B12452" s="12"/>
      <c r="C12452" s="12"/>
    </row>
    <row r="12453" spans="2:3">
      <c r="B12453" s="12"/>
      <c r="C12453" s="12"/>
    </row>
    <row r="12454" spans="2:3">
      <c r="B12454" s="12"/>
      <c r="C12454" s="12"/>
    </row>
    <row r="12455" spans="2:3">
      <c r="B12455" s="12"/>
      <c r="C12455" s="12"/>
    </row>
    <row r="12456" spans="2:3">
      <c r="B12456" s="12"/>
      <c r="C12456" s="12"/>
    </row>
    <row r="12457" spans="2:3">
      <c r="B12457" s="12"/>
      <c r="C12457" s="12"/>
    </row>
    <row r="12458" spans="2:3">
      <c r="B12458" s="12"/>
      <c r="C12458" s="12"/>
    </row>
    <row r="12459" spans="2:3">
      <c r="B12459" s="12"/>
      <c r="C12459" s="12"/>
    </row>
    <row r="12460" spans="2:3">
      <c r="B12460" s="12"/>
      <c r="C12460" s="12"/>
    </row>
    <row r="12461" spans="2:3">
      <c r="B12461" s="12"/>
      <c r="C12461" s="12"/>
    </row>
    <row r="12462" spans="2:3">
      <c r="B12462" s="12"/>
      <c r="C12462" s="12"/>
    </row>
    <row r="12463" spans="2:3">
      <c r="B12463" s="12"/>
      <c r="C12463" s="12"/>
    </row>
    <row r="12464" spans="2:3">
      <c r="B12464" s="12"/>
      <c r="C12464" s="12"/>
    </row>
    <row r="12465" spans="2:3">
      <c r="B12465" s="12"/>
      <c r="C12465" s="12"/>
    </row>
    <row r="12466" spans="2:3">
      <c r="B12466" s="12"/>
      <c r="C12466" s="12"/>
    </row>
    <row r="12467" spans="2:3">
      <c r="B12467" s="12"/>
      <c r="C12467" s="12"/>
    </row>
    <row r="12468" spans="2:3">
      <c r="B12468" s="12"/>
      <c r="C12468" s="12"/>
    </row>
    <row r="12469" spans="2:3">
      <c r="B12469" s="12"/>
      <c r="C12469" s="12"/>
    </row>
    <row r="12470" spans="2:3">
      <c r="B12470" s="12"/>
      <c r="C12470" s="12"/>
    </row>
    <row r="12471" spans="2:3">
      <c r="B12471" s="12"/>
      <c r="C12471" s="12"/>
    </row>
    <row r="12472" spans="2:3">
      <c r="B12472" s="12"/>
      <c r="C12472" s="12"/>
    </row>
    <row r="12473" spans="2:3">
      <c r="B12473" s="12"/>
      <c r="C12473" s="12"/>
    </row>
    <row r="12474" spans="2:3">
      <c r="B12474" s="12"/>
      <c r="C12474" s="12"/>
    </row>
    <row r="12475" spans="2:3">
      <c r="B12475" s="12"/>
      <c r="C12475" s="12"/>
    </row>
    <row r="12476" spans="2:3">
      <c r="B12476" s="12"/>
      <c r="C12476" s="12"/>
    </row>
    <row r="12477" spans="2:3">
      <c r="B12477" s="12"/>
      <c r="C12477" s="12"/>
    </row>
    <row r="12478" spans="2:3">
      <c r="B12478" s="12"/>
      <c r="C12478" s="12"/>
    </row>
    <row r="12479" spans="2:3">
      <c r="B12479" s="12"/>
      <c r="C12479" s="12"/>
    </row>
    <row r="12480" spans="2:3">
      <c r="B12480" s="12"/>
      <c r="C12480" s="12"/>
    </row>
    <row r="12481" spans="2:3">
      <c r="B12481" s="12"/>
      <c r="C12481" s="12"/>
    </row>
    <row r="12482" spans="2:3">
      <c r="B12482" s="12"/>
      <c r="C12482" s="12"/>
    </row>
    <row r="12483" spans="2:3">
      <c r="B12483" s="12"/>
      <c r="C12483" s="12"/>
    </row>
    <row r="12484" spans="2:3">
      <c r="B12484" s="12"/>
      <c r="C12484" s="12"/>
    </row>
    <row r="12485" spans="2:3">
      <c r="B12485" s="12"/>
      <c r="C12485" s="12"/>
    </row>
    <row r="12486" spans="2:3">
      <c r="B12486" s="12"/>
      <c r="C12486" s="12"/>
    </row>
    <row r="12487" spans="2:3">
      <c r="B12487" s="12"/>
      <c r="C12487" s="12"/>
    </row>
    <row r="12488" spans="2:3">
      <c r="B12488" s="12"/>
      <c r="C12488" s="12"/>
    </row>
    <row r="12489" spans="2:3">
      <c r="B12489" s="12"/>
      <c r="C12489" s="12"/>
    </row>
    <row r="12490" spans="2:3">
      <c r="B12490" s="12"/>
      <c r="C12490" s="12"/>
    </row>
    <row r="12491" spans="2:3">
      <c r="B12491" s="12"/>
      <c r="C12491" s="12"/>
    </row>
    <row r="12492" spans="2:3">
      <c r="B12492" s="12"/>
      <c r="C12492" s="12"/>
    </row>
    <row r="12493" spans="2:3">
      <c r="B12493" s="12"/>
      <c r="C12493" s="12"/>
    </row>
    <row r="12494" spans="2:3">
      <c r="B12494" s="12"/>
      <c r="C12494" s="12"/>
    </row>
    <row r="12495" spans="2:3">
      <c r="B12495" s="12"/>
      <c r="C12495" s="12"/>
    </row>
    <row r="12496" spans="2:3">
      <c r="B12496" s="12"/>
      <c r="C12496" s="12"/>
    </row>
    <row r="12497" spans="2:3">
      <c r="B12497" s="12"/>
      <c r="C12497" s="12"/>
    </row>
    <row r="12498" spans="2:3">
      <c r="B12498" s="12"/>
      <c r="C12498" s="12"/>
    </row>
    <row r="12499" spans="2:3">
      <c r="B12499" s="12"/>
      <c r="C12499" s="12"/>
    </row>
    <row r="12500" spans="2:3">
      <c r="B12500" s="12"/>
      <c r="C12500" s="12"/>
    </row>
    <row r="12501" spans="2:3">
      <c r="B12501" s="12"/>
      <c r="C12501" s="12"/>
    </row>
    <row r="12502" spans="2:3">
      <c r="B12502" s="12"/>
      <c r="C12502" s="12"/>
    </row>
    <row r="12503" spans="2:3">
      <c r="B12503" s="12"/>
      <c r="C12503" s="12"/>
    </row>
    <row r="12504" spans="2:3">
      <c r="B12504" s="12"/>
      <c r="C12504" s="12"/>
    </row>
    <row r="12505" spans="2:3">
      <c r="B12505" s="12"/>
      <c r="C12505" s="12"/>
    </row>
    <row r="12506" spans="2:3">
      <c r="B12506" s="12"/>
      <c r="C12506" s="12"/>
    </row>
    <row r="12507" spans="2:3">
      <c r="B12507" s="12"/>
      <c r="C12507" s="12"/>
    </row>
    <row r="12508" spans="2:3">
      <c r="B12508" s="12"/>
      <c r="C12508" s="12"/>
    </row>
    <row r="12509" spans="2:3">
      <c r="B12509" s="12"/>
      <c r="C12509" s="12"/>
    </row>
    <row r="12510" spans="2:3">
      <c r="B12510" s="12"/>
      <c r="C12510" s="12"/>
    </row>
    <row r="12511" spans="2:3">
      <c r="B12511" s="12"/>
      <c r="C12511" s="12"/>
    </row>
    <row r="12512" spans="2:3">
      <c r="B12512" s="12"/>
      <c r="C12512" s="12"/>
    </row>
    <row r="12513" spans="2:3">
      <c r="B12513" s="12"/>
      <c r="C12513" s="12"/>
    </row>
    <row r="12514" spans="2:3">
      <c r="B12514" s="12"/>
      <c r="C12514" s="12"/>
    </row>
    <row r="12515" spans="2:3">
      <c r="B12515" s="12"/>
      <c r="C12515" s="12"/>
    </row>
    <row r="12516" spans="2:3">
      <c r="B12516" s="12"/>
      <c r="C12516" s="12"/>
    </row>
    <row r="12517" spans="2:3">
      <c r="B12517" s="12"/>
      <c r="C12517" s="12"/>
    </row>
    <row r="12518" spans="2:3">
      <c r="B12518" s="12"/>
      <c r="C12518" s="12"/>
    </row>
    <row r="12519" spans="2:3">
      <c r="B12519" s="12"/>
      <c r="C12519" s="12"/>
    </row>
    <row r="12520" spans="2:3">
      <c r="B12520" s="12"/>
      <c r="C12520" s="12"/>
    </row>
    <row r="12521" spans="2:3">
      <c r="B12521" s="12"/>
      <c r="C12521" s="12"/>
    </row>
    <row r="12522" spans="2:3">
      <c r="B12522" s="12"/>
      <c r="C12522" s="12"/>
    </row>
    <row r="12523" spans="2:3">
      <c r="B12523" s="12"/>
      <c r="C12523" s="12"/>
    </row>
    <row r="12524" spans="2:3">
      <c r="B12524" s="12"/>
      <c r="C12524" s="12"/>
    </row>
    <row r="12525" spans="2:3">
      <c r="B12525" s="12"/>
      <c r="C12525" s="12"/>
    </row>
    <row r="12526" spans="2:3">
      <c r="B12526" s="12"/>
      <c r="C12526" s="12"/>
    </row>
    <row r="12527" spans="2:3">
      <c r="B12527" s="12"/>
      <c r="C12527" s="12"/>
    </row>
    <row r="12528" spans="2:3">
      <c r="B12528" s="12"/>
      <c r="C12528" s="12"/>
    </row>
    <row r="12529" spans="2:3">
      <c r="B12529" s="12"/>
      <c r="C12529" s="12"/>
    </row>
    <row r="12530" spans="2:3">
      <c r="B12530" s="12"/>
      <c r="C12530" s="12"/>
    </row>
    <row r="12531" spans="2:3">
      <c r="B12531" s="12"/>
      <c r="C12531" s="12"/>
    </row>
    <row r="12532" spans="2:3">
      <c r="B12532" s="12"/>
      <c r="C12532" s="12"/>
    </row>
    <row r="12533" spans="2:3">
      <c r="B12533" s="12"/>
      <c r="C12533" s="12"/>
    </row>
    <row r="12534" spans="2:3">
      <c r="B12534" s="12"/>
      <c r="C12534" s="12"/>
    </row>
    <row r="12535" spans="2:3">
      <c r="B12535" s="12"/>
      <c r="C12535" s="12"/>
    </row>
    <row r="12536" spans="2:3">
      <c r="B12536" s="12"/>
      <c r="C12536" s="12"/>
    </row>
    <row r="12537" spans="2:3">
      <c r="B12537" s="12"/>
      <c r="C12537" s="12"/>
    </row>
    <row r="12538" spans="2:3">
      <c r="B12538" s="12"/>
      <c r="C12538" s="12"/>
    </row>
    <row r="12539" spans="2:3">
      <c r="B12539" s="12"/>
      <c r="C12539" s="12"/>
    </row>
    <row r="12540" spans="2:3">
      <c r="B12540" s="12"/>
      <c r="C12540" s="12"/>
    </row>
    <row r="12541" spans="2:3">
      <c r="B12541" s="12"/>
      <c r="C12541" s="12"/>
    </row>
    <row r="12542" spans="2:3">
      <c r="B12542" s="12"/>
      <c r="C12542" s="12"/>
    </row>
    <row r="12543" spans="2:3">
      <c r="B12543" s="12"/>
      <c r="C12543" s="12"/>
    </row>
    <row r="12544" spans="2:3">
      <c r="B12544" s="12"/>
      <c r="C12544" s="12"/>
    </row>
    <row r="12545" spans="2:3">
      <c r="B12545" s="12"/>
      <c r="C12545" s="12"/>
    </row>
    <row r="12546" spans="2:3">
      <c r="B12546" s="12"/>
      <c r="C12546" s="12"/>
    </row>
    <row r="12547" spans="2:3">
      <c r="B12547" s="12"/>
      <c r="C12547" s="12"/>
    </row>
    <row r="12548" spans="2:3">
      <c r="B12548" s="12"/>
      <c r="C12548" s="12"/>
    </row>
    <row r="12549" spans="2:3">
      <c r="B12549" s="12"/>
      <c r="C12549" s="12"/>
    </row>
    <row r="12550" spans="2:3">
      <c r="B12550" s="12"/>
      <c r="C12550" s="12"/>
    </row>
    <row r="12551" spans="2:3">
      <c r="B12551" s="12"/>
      <c r="C12551" s="12"/>
    </row>
    <row r="12552" spans="2:3">
      <c r="B12552" s="12"/>
      <c r="C12552" s="12"/>
    </row>
    <row r="12553" spans="2:3">
      <c r="B12553" s="12"/>
      <c r="C12553" s="12"/>
    </row>
    <row r="12554" spans="2:3">
      <c r="B12554" s="12"/>
      <c r="C12554" s="12"/>
    </row>
    <row r="12555" spans="2:3">
      <c r="B12555" s="12"/>
      <c r="C12555" s="12"/>
    </row>
    <row r="12556" spans="2:3">
      <c r="B12556" s="12"/>
      <c r="C12556" s="12"/>
    </row>
    <row r="12557" spans="2:3">
      <c r="B12557" s="12"/>
      <c r="C12557" s="12"/>
    </row>
    <row r="12558" spans="2:3">
      <c r="B12558" s="12"/>
      <c r="C12558" s="12"/>
    </row>
    <row r="12559" spans="2:3">
      <c r="B12559" s="12"/>
      <c r="C12559" s="12"/>
    </row>
    <row r="12560" spans="2:3">
      <c r="B12560" s="12"/>
      <c r="C12560" s="12"/>
    </row>
    <row r="12561" spans="2:3">
      <c r="B12561" s="12"/>
      <c r="C12561" s="12"/>
    </row>
    <row r="12562" spans="2:3">
      <c r="B12562" s="12"/>
      <c r="C12562" s="12"/>
    </row>
    <row r="12563" spans="2:3">
      <c r="B12563" s="12"/>
      <c r="C12563" s="12"/>
    </row>
    <row r="12564" spans="2:3">
      <c r="B12564" s="12"/>
      <c r="C12564" s="12"/>
    </row>
    <row r="12565" spans="2:3">
      <c r="B12565" s="12"/>
      <c r="C12565" s="12"/>
    </row>
    <row r="12566" spans="2:3">
      <c r="B12566" s="12"/>
      <c r="C12566" s="12"/>
    </row>
    <row r="12567" spans="2:3">
      <c r="B12567" s="12"/>
      <c r="C12567" s="12"/>
    </row>
    <row r="12568" spans="2:3">
      <c r="B12568" s="12"/>
      <c r="C12568" s="12"/>
    </row>
    <row r="12569" spans="2:3">
      <c r="B12569" s="12"/>
      <c r="C12569" s="12"/>
    </row>
    <row r="12570" spans="2:3">
      <c r="B12570" s="12"/>
      <c r="C12570" s="12"/>
    </row>
    <row r="12571" spans="2:3">
      <c r="B12571" s="12"/>
      <c r="C12571" s="12"/>
    </row>
    <row r="12572" spans="2:3">
      <c r="B12572" s="12"/>
      <c r="C12572" s="12"/>
    </row>
    <row r="12573" spans="2:3">
      <c r="B12573" s="12"/>
      <c r="C12573" s="12"/>
    </row>
    <row r="12574" spans="2:3">
      <c r="B12574" s="12"/>
      <c r="C12574" s="12"/>
    </row>
    <row r="12575" spans="2:3">
      <c r="B12575" s="12"/>
      <c r="C12575" s="12"/>
    </row>
    <row r="12576" spans="2:3">
      <c r="B12576" s="12"/>
      <c r="C12576" s="12"/>
    </row>
    <row r="12577" spans="2:3">
      <c r="B12577" s="12"/>
      <c r="C12577" s="12"/>
    </row>
    <row r="12578" spans="2:3">
      <c r="B12578" s="12"/>
      <c r="C12578" s="12"/>
    </row>
    <row r="12579" spans="2:3">
      <c r="B12579" s="12"/>
      <c r="C12579" s="12"/>
    </row>
    <row r="12580" spans="2:3">
      <c r="B12580" s="12"/>
      <c r="C12580" s="12"/>
    </row>
    <row r="12581" spans="2:3">
      <c r="B12581" s="12"/>
      <c r="C12581" s="12"/>
    </row>
    <row r="12582" spans="2:3">
      <c r="B12582" s="12"/>
      <c r="C12582" s="12"/>
    </row>
    <row r="12583" spans="2:3">
      <c r="B12583" s="12"/>
      <c r="C12583" s="12"/>
    </row>
    <row r="12584" spans="2:3">
      <c r="B12584" s="12"/>
      <c r="C12584" s="12"/>
    </row>
    <row r="12585" spans="2:3">
      <c r="B12585" s="12"/>
      <c r="C12585" s="12"/>
    </row>
    <row r="12586" spans="2:3">
      <c r="B12586" s="12"/>
      <c r="C12586" s="12"/>
    </row>
    <row r="12587" spans="2:3">
      <c r="B12587" s="12"/>
      <c r="C12587" s="12"/>
    </row>
    <row r="12588" spans="2:3">
      <c r="B12588" s="12"/>
      <c r="C12588" s="12"/>
    </row>
    <row r="12589" spans="2:3">
      <c r="B12589" s="12"/>
      <c r="C12589" s="12"/>
    </row>
    <row r="12590" spans="2:3">
      <c r="B12590" s="12"/>
      <c r="C12590" s="12"/>
    </row>
    <row r="12591" spans="2:3">
      <c r="B12591" s="12"/>
      <c r="C12591" s="12"/>
    </row>
    <row r="12592" spans="2:3">
      <c r="B12592" s="12"/>
      <c r="C12592" s="12"/>
    </row>
    <row r="12593" spans="2:3">
      <c r="B12593" s="12"/>
      <c r="C12593" s="12"/>
    </row>
    <row r="12594" spans="2:3">
      <c r="B12594" s="12"/>
      <c r="C12594" s="12"/>
    </row>
    <row r="12595" spans="2:3">
      <c r="B12595" s="12"/>
      <c r="C12595" s="12"/>
    </row>
    <row r="12596" spans="2:3">
      <c r="B12596" s="12"/>
      <c r="C12596" s="12"/>
    </row>
    <row r="12597" spans="2:3">
      <c r="B12597" s="12"/>
      <c r="C12597" s="12"/>
    </row>
    <row r="12598" spans="2:3">
      <c r="B12598" s="12"/>
      <c r="C12598" s="12"/>
    </row>
    <row r="12599" spans="2:3">
      <c r="B12599" s="12"/>
      <c r="C12599" s="12"/>
    </row>
    <row r="12600" spans="2:3">
      <c r="B12600" s="12"/>
      <c r="C12600" s="12"/>
    </row>
    <row r="12601" spans="2:3">
      <c r="B12601" s="12"/>
      <c r="C12601" s="12"/>
    </row>
    <row r="12602" spans="2:3">
      <c r="B12602" s="12"/>
      <c r="C12602" s="12"/>
    </row>
    <row r="12603" spans="2:3">
      <c r="B12603" s="12"/>
      <c r="C12603" s="12"/>
    </row>
    <row r="12604" spans="2:3">
      <c r="B12604" s="12"/>
      <c r="C12604" s="12"/>
    </row>
    <row r="12605" spans="2:3">
      <c r="B12605" s="12"/>
      <c r="C12605" s="12"/>
    </row>
    <row r="12606" spans="2:3">
      <c r="B12606" s="12"/>
      <c r="C12606" s="12"/>
    </row>
    <row r="12607" spans="2:3">
      <c r="B12607" s="12"/>
      <c r="C12607" s="12"/>
    </row>
    <row r="12608" spans="2:3">
      <c r="B12608" s="12"/>
      <c r="C12608" s="12"/>
    </row>
    <row r="12609" spans="2:3">
      <c r="B12609" s="12"/>
      <c r="C12609" s="12"/>
    </row>
    <row r="12610" spans="2:3">
      <c r="B12610" s="12"/>
      <c r="C12610" s="12"/>
    </row>
    <row r="12611" spans="2:3">
      <c r="B12611" s="12"/>
      <c r="C12611" s="12"/>
    </row>
    <row r="12612" spans="2:3">
      <c r="B12612" s="12"/>
      <c r="C12612" s="12"/>
    </row>
    <row r="12613" spans="2:3">
      <c r="B12613" s="12"/>
      <c r="C12613" s="12"/>
    </row>
    <row r="12614" spans="2:3">
      <c r="B12614" s="12"/>
      <c r="C12614" s="12"/>
    </row>
    <row r="12615" spans="2:3">
      <c r="B12615" s="12"/>
      <c r="C12615" s="12"/>
    </row>
    <row r="12616" spans="2:3">
      <c r="B12616" s="12"/>
      <c r="C12616" s="12"/>
    </row>
    <row r="12617" spans="2:3">
      <c r="B12617" s="12"/>
      <c r="C12617" s="12"/>
    </row>
    <row r="12618" spans="2:3">
      <c r="B12618" s="12"/>
      <c r="C12618" s="12"/>
    </row>
    <row r="12619" spans="2:3">
      <c r="B12619" s="12"/>
      <c r="C12619" s="12"/>
    </row>
    <row r="12620" spans="2:3">
      <c r="B12620" s="12"/>
      <c r="C12620" s="12"/>
    </row>
    <row r="12621" spans="2:3">
      <c r="B12621" s="12"/>
      <c r="C12621" s="12"/>
    </row>
    <row r="12622" spans="2:3">
      <c r="B12622" s="12"/>
      <c r="C12622" s="12"/>
    </row>
    <row r="12623" spans="2:3">
      <c r="B12623" s="12"/>
      <c r="C12623" s="12"/>
    </row>
    <row r="12624" spans="2:3">
      <c r="B12624" s="12"/>
      <c r="C12624" s="12"/>
    </row>
    <row r="12625" spans="2:3">
      <c r="B12625" s="12"/>
      <c r="C12625" s="12"/>
    </row>
    <row r="12626" spans="2:3">
      <c r="B12626" s="12"/>
      <c r="C12626" s="12"/>
    </row>
    <row r="12627" spans="2:3">
      <c r="B12627" s="12"/>
      <c r="C12627" s="12"/>
    </row>
    <row r="12628" spans="2:3">
      <c r="B12628" s="12"/>
      <c r="C12628" s="12"/>
    </row>
    <row r="12629" spans="2:3">
      <c r="B12629" s="12"/>
      <c r="C12629" s="12"/>
    </row>
    <row r="12630" spans="2:3">
      <c r="B12630" s="12"/>
      <c r="C12630" s="12"/>
    </row>
    <row r="12631" spans="2:3">
      <c r="B12631" s="12"/>
      <c r="C12631" s="12"/>
    </row>
    <row r="12632" spans="2:3">
      <c r="B12632" s="12"/>
      <c r="C12632" s="12"/>
    </row>
    <row r="12633" spans="2:3">
      <c r="B12633" s="12"/>
      <c r="C12633" s="12"/>
    </row>
    <row r="12634" spans="2:3">
      <c r="B12634" s="12"/>
      <c r="C12634" s="12"/>
    </row>
    <row r="12635" spans="2:3">
      <c r="B12635" s="12"/>
      <c r="C12635" s="12"/>
    </row>
    <row r="12636" spans="2:3">
      <c r="B12636" s="12"/>
      <c r="C12636" s="12"/>
    </row>
    <row r="12637" spans="2:3">
      <c r="B12637" s="12"/>
      <c r="C12637" s="12"/>
    </row>
    <row r="12638" spans="2:3">
      <c r="B12638" s="12"/>
      <c r="C12638" s="12"/>
    </row>
    <row r="12639" spans="2:3">
      <c r="B12639" s="12"/>
      <c r="C12639" s="12"/>
    </row>
    <row r="12640" spans="2:3">
      <c r="B12640" s="12"/>
      <c r="C12640" s="12"/>
    </row>
    <row r="12641" spans="2:3">
      <c r="B12641" s="12"/>
      <c r="C12641" s="12"/>
    </row>
    <row r="12642" spans="2:3">
      <c r="B12642" s="12"/>
      <c r="C12642" s="12"/>
    </row>
    <row r="12643" spans="2:3">
      <c r="B12643" s="12"/>
      <c r="C12643" s="12"/>
    </row>
    <row r="12644" spans="2:3">
      <c r="B12644" s="12"/>
      <c r="C12644" s="12"/>
    </row>
    <row r="12645" spans="2:3">
      <c r="B12645" s="12"/>
      <c r="C12645" s="12"/>
    </row>
    <row r="12646" spans="2:3">
      <c r="B12646" s="12"/>
      <c r="C12646" s="12"/>
    </row>
    <row r="12647" spans="2:3">
      <c r="B12647" s="12"/>
      <c r="C12647" s="12"/>
    </row>
    <row r="12648" spans="2:3">
      <c r="B12648" s="12"/>
      <c r="C12648" s="12"/>
    </row>
    <row r="12649" spans="2:3">
      <c r="B12649" s="12"/>
      <c r="C12649" s="12"/>
    </row>
    <row r="12650" spans="2:3">
      <c r="B12650" s="12"/>
      <c r="C12650" s="12"/>
    </row>
    <row r="12651" spans="2:3">
      <c r="B12651" s="12"/>
      <c r="C12651" s="12"/>
    </row>
    <row r="12652" spans="2:3">
      <c r="B12652" s="12"/>
      <c r="C12652" s="12"/>
    </row>
    <row r="12653" spans="2:3">
      <c r="B12653" s="12"/>
      <c r="C12653" s="12"/>
    </row>
    <row r="12654" spans="2:3">
      <c r="B12654" s="12"/>
      <c r="C12654" s="12"/>
    </row>
    <row r="12655" spans="2:3">
      <c r="B12655" s="12"/>
      <c r="C12655" s="12"/>
    </row>
    <row r="12656" spans="2:3">
      <c r="B12656" s="12"/>
      <c r="C12656" s="12"/>
    </row>
    <row r="12657" spans="2:3">
      <c r="B12657" s="12"/>
      <c r="C12657" s="12"/>
    </row>
    <row r="12658" spans="2:3">
      <c r="B12658" s="12"/>
      <c r="C12658" s="12"/>
    </row>
    <row r="12659" spans="2:3">
      <c r="B12659" s="12"/>
      <c r="C12659" s="12"/>
    </row>
    <row r="12660" spans="2:3">
      <c r="B12660" s="12"/>
      <c r="C12660" s="12"/>
    </row>
    <row r="12661" spans="2:3">
      <c r="B12661" s="12"/>
      <c r="C12661" s="12"/>
    </row>
    <row r="12662" spans="2:3">
      <c r="B12662" s="12"/>
      <c r="C12662" s="12"/>
    </row>
    <row r="12663" spans="2:3">
      <c r="B12663" s="12"/>
      <c r="C12663" s="12"/>
    </row>
    <row r="12664" spans="2:3">
      <c r="B12664" s="12"/>
      <c r="C12664" s="12"/>
    </row>
    <row r="12665" spans="2:3">
      <c r="B12665" s="12"/>
      <c r="C12665" s="12"/>
    </row>
    <row r="12666" spans="2:3">
      <c r="B12666" s="12"/>
      <c r="C12666" s="12"/>
    </row>
    <row r="12667" spans="2:3">
      <c r="B12667" s="12"/>
      <c r="C12667" s="12"/>
    </row>
    <row r="12668" spans="2:3">
      <c r="B12668" s="12"/>
      <c r="C12668" s="12"/>
    </row>
    <row r="12669" spans="2:3">
      <c r="B12669" s="12"/>
      <c r="C12669" s="12"/>
    </row>
    <row r="12670" spans="2:3">
      <c r="B12670" s="12"/>
      <c r="C12670" s="12"/>
    </row>
    <row r="12671" spans="2:3">
      <c r="B12671" s="12"/>
      <c r="C12671" s="12"/>
    </row>
    <row r="12672" spans="2:3">
      <c r="B12672" s="12"/>
      <c r="C12672" s="12"/>
    </row>
    <row r="12673" spans="2:3">
      <c r="B12673" s="12"/>
      <c r="C12673" s="12"/>
    </row>
    <row r="12674" spans="2:3">
      <c r="B12674" s="12"/>
      <c r="C12674" s="12"/>
    </row>
    <row r="12675" spans="2:3">
      <c r="B12675" s="12"/>
      <c r="C12675" s="12"/>
    </row>
    <row r="12676" spans="2:3">
      <c r="B12676" s="12"/>
      <c r="C12676" s="12"/>
    </row>
    <row r="12677" spans="2:3">
      <c r="B12677" s="12"/>
      <c r="C12677" s="12"/>
    </row>
    <row r="12678" spans="2:3">
      <c r="B12678" s="12"/>
      <c r="C12678" s="12"/>
    </row>
    <row r="12679" spans="2:3">
      <c r="B12679" s="12"/>
      <c r="C12679" s="12"/>
    </row>
    <row r="12680" spans="2:3">
      <c r="B12680" s="12"/>
      <c r="C12680" s="12"/>
    </row>
    <row r="12681" spans="2:3">
      <c r="B12681" s="12"/>
      <c r="C12681" s="12"/>
    </row>
    <row r="12682" spans="2:3">
      <c r="B12682" s="12"/>
      <c r="C12682" s="12"/>
    </row>
    <row r="12683" spans="2:3">
      <c r="B12683" s="12"/>
      <c r="C12683" s="12"/>
    </row>
    <row r="12684" spans="2:3">
      <c r="B12684" s="12"/>
      <c r="C12684" s="12"/>
    </row>
    <row r="12685" spans="2:3">
      <c r="B12685" s="12"/>
      <c r="C12685" s="12"/>
    </row>
    <row r="12686" spans="2:3">
      <c r="B12686" s="12"/>
      <c r="C12686" s="12"/>
    </row>
    <row r="12687" spans="2:3">
      <c r="B12687" s="12"/>
      <c r="C12687" s="12"/>
    </row>
    <row r="12688" spans="2:3">
      <c r="B12688" s="12"/>
      <c r="C12688" s="12"/>
    </row>
    <row r="12689" spans="2:3">
      <c r="B12689" s="12"/>
      <c r="C12689" s="12"/>
    </row>
    <row r="12690" spans="2:3">
      <c r="B12690" s="12"/>
      <c r="C12690" s="12"/>
    </row>
    <row r="12691" spans="2:3">
      <c r="B12691" s="12"/>
      <c r="C12691" s="12"/>
    </row>
    <row r="12692" spans="2:3">
      <c r="B12692" s="12"/>
      <c r="C12692" s="12"/>
    </row>
    <row r="12693" spans="2:3">
      <c r="B12693" s="12"/>
      <c r="C12693" s="12"/>
    </row>
    <row r="12694" spans="2:3">
      <c r="B12694" s="12"/>
      <c r="C12694" s="12"/>
    </row>
    <row r="12695" spans="2:3">
      <c r="B12695" s="12"/>
      <c r="C12695" s="12"/>
    </row>
    <row r="12696" spans="2:3">
      <c r="B12696" s="12"/>
      <c r="C12696" s="12"/>
    </row>
    <row r="12697" spans="2:3">
      <c r="B12697" s="12"/>
      <c r="C12697" s="12"/>
    </row>
    <row r="12698" spans="2:3">
      <c r="B12698" s="12"/>
      <c r="C12698" s="12"/>
    </row>
    <row r="12699" spans="2:3">
      <c r="B12699" s="12"/>
      <c r="C12699" s="12"/>
    </row>
    <row r="12700" spans="2:3">
      <c r="B12700" s="12"/>
      <c r="C12700" s="12"/>
    </row>
    <row r="12701" spans="2:3">
      <c r="B12701" s="12"/>
      <c r="C12701" s="12"/>
    </row>
    <row r="12702" spans="2:3">
      <c r="B12702" s="12"/>
      <c r="C12702" s="12"/>
    </row>
    <row r="12703" spans="2:3">
      <c r="B12703" s="12"/>
      <c r="C12703" s="12"/>
    </row>
    <row r="12704" spans="2:3">
      <c r="B12704" s="12"/>
      <c r="C12704" s="12"/>
    </row>
    <row r="12705" spans="2:3">
      <c r="B12705" s="12"/>
      <c r="C12705" s="12"/>
    </row>
    <row r="12706" spans="2:3">
      <c r="B12706" s="12"/>
      <c r="C12706" s="12"/>
    </row>
    <row r="12707" spans="2:3">
      <c r="B12707" s="12"/>
      <c r="C12707" s="12"/>
    </row>
    <row r="12708" spans="2:3">
      <c r="B12708" s="12"/>
      <c r="C12708" s="12"/>
    </row>
    <row r="12709" spans="2:3">
      <c r="B12709" s="12"/>
      <c r="C12709" s="12"/>
    </row>
    <row r="12710" spans="2:3">
      <c r="B12710" s="12"/>
      <c r="C12710" s="12"/>
    </row>
    <row r="12711" spans="2:3">
      <c r="B12711" s="12"/>
      <c r="C12711" s="12"/>
    </row>
    <row r="12712" spans="2:3">
      <c r="B12712" s="12"/>
      <c r="C12712" s="12"/>
    </row>
    <row r="12713" spans="2:3">
      <c r="B12713" s="12"/>
      <c r="C12713" s="12"/>
    </row>
    <row r="12714" spans="2:3">
      <c r="B12714" s="12"/>
      <c r="C12714" s="12"/>
    </row>
    <row r="12715" spans="2:3">
      <c r="B12715" s="12"/>
      <c r="C12715" s="12"/>
    </row>
    <row r="12716" spans="2:3">
      <c r="B12716" s="12"/>
      <c r="C12716" s="12"/>
    </row>
    <row r="12717" spans="2:3">
      <c r="B12717" s="12"/>
      <c r="C12717" s="12"/>
    </row>
    <row r="12718" spans="2:3">
      <c r="B12718" s="12"/>
      <c r="C12718" s="12"/>
    </row>
    <row r="12719" spans="2:3">
      <c r="B12719" s="12"/>
      <c r="C12719" s="12"/>
    </row>
    <row r="12720" spans="2:3">
      <c r="B12720" s="12"/>
      <c r="C12720" s="12"/>
    </row>
    <row r="12721" spans="2:3">
      <c r="B12721" s="12"/>
      <c r="C12721" s="12"/>
    </row>
    <row r="12722" spans="2:3">
      <c r="B12722" s="12"/>
      <c r="C12722" s="12"/>
    </row>
    <row r="12723" spans="2:3">
      <c r="B12723" s="12"/>
      <c r="C12723" s="12"/>
    </row>
    <row r="12724" spans="2:3">
      <c r="B12724" s="12"/>
      <c r="C12724" s="12"/>
    </row>
    <row r="12725" spans="2:3">
      <c r="B12725" s="12"/>
      <c r="C12725" s="12"/>
    </row>
    <row r="12726" spans="2:3">
      <c r="B12726" s="12"/>
      <c r="C12726" s="12"/>
    </row>
    <row r="12727" spans="2:3">
      <c r="B12727" s="12"/>
      <c r="C12727" s="12"/>
    </row>
    <row r="12728" spans="2:3">
      <c r="B12728" s="12"/>
      <c r="C12728" s="12"/>
    </row>
    <row r="12729" spans="2:3">
      <c r="B12729" s="12"/>
      <c r="C12729" s="12"/>
    </row>
    <row r="12730" spans="2:3">
      <c r="B12730" s="12"/>
      <c r="C12730" s="12"/>
    </row>
    <row r="12731" spans="2:3">
      <c r="B12731" s="12"/>
      <c r="C12731" s="12"/>
    </row>
    <row r="12732" spans="2:3">
      <c r="B12732" s="12"/>
      <c r="C12732" s="12"/>
    </row>
    <row r="12733" spans="2:3">
      <c r="B12733" s="12"/>
      <c r="C12733" s="12"/>
    </row>
    <row r="12734" spans="2:3">
      <c r="B12734" s="12"/>
      <c r="C12734" s="12"/>
    </row>
    <row r="12735" spans="2:3">
      <c r="B12735" s="12"/>
      <c r="C12735" s="12"/>
    </row>
    <row r="12736" spans="2:3">
      <c r="B12736" s="12"/>
      <c r="C12736" s="12"/>
    </row>
    <row r="12737" spans="2:3">
      <c r="B12737" s="12"/>
      <c r="C12737" s="12"/>
    </row>
    <row r="12738" spans="2:3">
      <c r="B12738" s="12"/>
      <c r="C12738" s="12"/>
    </row>
    <row r="12739" spans="2:3">
      <c r="B12739" s="12"/>
      <c r="C12739" s="12"/>
    </row>
    <row r="12740" spans="2:3">
      <c r="B12740" s="12"/>
      <c r="C12740" s="12"/>
    </row>
    <row r="12741" spans="2:3">
      <c r="B12741" s="12"/>
      <c r="C12741" s="12"/>
    </row>
    <row r="12742" spans="2:3">
      <c r="B12742" s="12"/>
      <c r="C12742" s="12"/>
    </row>
    <row r="12743" spans="2:3">
      <c r="B12743" s="12"/>
      <c r="C12743" s="12"/>
    </row>
    <row r="12744" spans="2:3">
      <c r="B12744" s="12"/>
      <c r="C12744" s="12"/>
    </row>
    <row r="12745" spans="2:3">
      <c r="B12745" s="12"/>
      <c r="C12745" s="12"/>
    </row>
    <row r="12746" spans="2:3">
      <c r="B12746" s="12"/>
      <c r="C12746" s="12"/>
    </row>
    <row r="12747" spans="2:3">
      <c r="B12747" s="12"/>
      <c r="C12747" s="12"/>
    </row>
    <row r="12748" spans="2:3">
      <c r="B12748" s="12"/>
      <c r="C12748" s="12"/>
    </row>
    <row r="12749" spans="2:3">
      <c r="B12749" s="12"/>
      <c r="C12749" s="12"/>
    </row>
    <row r="12750" spans="2:3">
      <c r="B12750" s="12"/>
      <c r="C12750" s="12"/>
    </row>
    <row r="12751" spans="2:3">
      <c r="B12751" s="12"/>
      <c r="C12751" s="12"/>
    </row>
    <row r="12752" spans="2:3">
      <c r="B12752" s="12"/>
      <c r="C12752" s="12"/>
    </row>
    <row r="12753" spans="2:3">
      <c r="B12753" s="12"/>
      <c r="C12753" s="12"/>
    </row>
    <row r="12754" spans="2:3">
      <c r="B12754" s="12"/>
      <c r="C12754" s="12"/>
    </row>
    <row r="12755" spans="2:3">
      <c r="B12755" s="12"/>
      <c r="C12755" s="12"/>
    </row>
    <row r="12756" spans="2:3">
      <c r="B12756" s="12"/>
      <c r="C12756" s="12"/>
    </row>
    <row r="12757" spans="2:3">
      <c r="B12757" s="12"/>
      <c r="C12757" s="12"/>
    </row>
    <row r="12758" spans="2:3">
      <c r="B12758" s="12"/>
      <c r="C12758" s="12"/>
    </row>
    <row r="12759" spans="2:3">
      <c r="B12759" s="12"/>
      <c r="C12759" s="12"/>
    </row>
    <row r="12760" spans="2:3">
      <c r="B12760" s="12"/>
      <c r="C12760" s="12"/>
    </row>
    <row r="12761" spans="2:3">
      <c r="B12761" s="12"/>
      <c r="C12761" s="12"/>
    </row>
    <row r="12762" spans="2:3">
      <c r="B12762" s="12"/>
      <c r="C12762" s="12"/>
    </row>
    <row r="12763" spans="2:3">
      <c r="B12763" s="12"/>
      <c r="C12763" s="12"/>
    </row>
    <row r="12764" spans="2:3">
      <c r="B12764" s="12"/>
      <c r="C12764" s="12"/>
    </row>
    <row r="12765" spans="2:3">
      <c r="B12765" s="12"/>
      <c r="C12765" s="12"/>
    </row>
    <row r="12766" spans="2:3">
      <c r="B12766" s="12"/>
      <c r="C12766" s="12"/>
    </row>
    <row r="12767" spans="2:3">
      <c r="B12767" s="12"/>
      <c r="C12767" s="12"/>
    </row>
    <row r="12768" spans="2:3">
      <c r="B12768" s="12"/>
      <c r="C12768" s="12"/>
    </row>
    <row r="12769" spans="2:3">
      <c r="B12769" s="12"/>
      <c r="C12769" s="12"/>
    </row>
    <row r="12770" spans="2:3">
      <c r="B12770" s="12"/>
      <c r="C12770" s="12"/>
    </row>
    <row r="12771" spans="2:3">
      <c r="B12771" s="12"/>
      <c r="C12771" s="12"/>
    </row>
    <row r="12772" spans="2:3">
      <c r="B12772" s="12"/>
      <c r="C12772" s="12"/>
    </row>
    <row r="12773" spans="2:3">
      <c r="B12773" s="12"/>
      <c r="C12773" s="12"/>
    </row>
    <row r="12774" spans="2:3">
      <c r="B12774" s="12"/>
      <c r="C12774" s="12"/>
    </row>
    <row r="12775" spans="2:3">
      <c r="B12775" s="12"/>
      <c r="C12775" s="12"/>
    </row>
    <row r="12776" spans="2:3">
      <c r="B12776" s="12"/>
      <c r="C12776" s="12"/>
    </row>
    <row r="12777" spans="2:3">
      <c r="B12777" s="12"/>
      <c r="C12777" s="12"/>
    </row>
    <row r="12778" spans="2:3">
      <c r="B12778" s="12"/>
      <c r="C12778" s="12"/>
    </row>
    <row r="12779" spans="2:3">
      <c r="B12779" s="12"/>
      <c r="C12779" s="12"/>
    </row>
    <row r="12780" spans="2:3">
      <c r="B12780" s="12"/>
      <c r="C12780" s="12"/>
    </row>
    <row r="12781" spans="2:3">
      <c r="B12781" s="12"/>
      <c r="C12781" s="12"/>
    </row>
    <row r="12782" spans="2:3">
      <c r="B12782" s="12"/>
      <c r="C12782" s="12"/>
    </row>
    <row r="12783" spans="2:3">
      <c r="B12783" s="12"/>
      <c r="C12783" s="12"/>
    </row>
    <row r="12784" spans="2:3">
      <c r="B12784" s="12"/>
      <c r="C12784" s="12"/>
    </row>
    <row r="12785" spans="2:3">
      <c r="B12785" s="12"/>
      <c r="C12785" s="12"/>
    </row>
    <row r="12786" spans="2:3">
      <c r="B12786" s="12"/>
      <c r="C12786" s="12"/>
    </row>
    <row r="12787" spans="2:3">
      <c r="B12787" s="12"/>
      <c r="C12787" s="12"/>
    </row>
    <row r="12788" spans="2:3">
      <c r="B12788" s="12"/>
      <c r="C12788" s="12"/>
    </row>
    <row r="12789" spans="2:3">
      <c r="B12789" s="12"/>
      <c r="C12789" s="12"/>
    </row>
    <row r="12790" spans="2:3">
      <c r="B12790" s="12"/>
      <c r="C12790" s="12"/>
    </row>
    <row r="12791" spans="2:3">
      <c r="B12791" s="12"/>
      <c r="C12791" s="12"/>
    </row>
    <row r="12792" spans="2:3">
      <c r="B12792" s="12"/>
      <c r="C12792" s="12"/>
    </row>
    <row r="12793" spans="2:3">
      <c r="B12793" s="12"/>
      <c r="C12793" s="12"/>
    </row>
    <row r="12794" spans="2:3">
      <c r="B12794" s="12"/>
      <c r="C12794" s="12"/>
    </row>
    <row r="12795" spans="2:3">
      <c r="B12795" s="12"/>
      <c r="C12795" s="12"/>
    </row>
    <row r="12796" spans="2:3">
      <c r="B12796" s="12"/>
      <c r="C12796" s="12"/>
    </row>
    <row r="12797" spans="2:3">
      <c r="B12797" s="12"/>
      <c r="C12797" s="12"/>
    </row>
    <row r="12798" spans="2:3">
      <c r="B12798" s="12"/>
      <c r="C12798" s="12"/>
    </row>
    <row r="12799" spans="2:3">
      <c r="B12799" s="12"/>
      <c r="C12799" s="12"/>
    </row>
    <row r="12800" spans="2:3">
      <c r="B12800" s="12"/>
      <c r="C12800" s="12"/>
    </row>
    <row r="12801" spans="2:3">
      <c r="B12801" s="12"/>
      <c r="C12801" s="12"/>
    </row>
    <row r="12802" spans="2:3">
      <c r="B12802" s="12"/>
      <c r="C12802" s="12"/>
    </row>
    <row r="12803" spans="2:3">
      <c r="B12803" s="12"/>
      <c r="C12803" s="12"/>
    </row>
    <row r="12804" spans="2:3">
      <c r="B12804" s="12"/>
      <c r="C12804" s="12"/>
    </row>
    <row r="12805" spans="2:3">
      <c r="B12805" s="12"/>
      <c r="C12805" s="12"/>
    </row>
    <row r="12806" spans="2:3">
      <c r="B12806" s="12"/>
      <c r="C12806" s="12"/>
    </row>
    <row r="12807" spans="2:3">
      <c r="B12807" s="12"/>
      <c r="C12807" s="12"/>
    </row>
    <row r="12808" spans="2:3">
      <c r="B12808" s="12"/>
      <c r="C12808" s="12"/>
    </row>
    <row r="12809" spans="2:3">
      <c r="B12809" s="12"/>
      <c r="C12809" s="12"/>
    </row>
    <row r="12810" spans="2:3">
      <c r="B12810" s="12"/>
      <c r="C12810" s="12"/>
    </row>
    <row r="12811" spans="2:3">
      <c r="B12811" s="12"/>
      <c r="C12811" s="12"/>
    </row>
    <row r="12812" spans="2:3">
      <c r="B12812" s="12"/>
      <c r="C12812" s="12"/>
    </row>
    <row r="12813" spans="2:3">
      <c r="B12813" s="12"/>
      <c r="C12813" s="12"/>
    </row>
    <row r="12814" spans="2:3">
      <c r="B12814" s="12"/>
      <c r="C12814" s="12"/>
    </row>
    <row r="12815" spans="2:3">
      <c r="B12815" s="12"/>
      <c r="C12815" s="12"/>
    </row>
    <row r="12816" spans="2:3">
      <c r="B12816" s="12"/>
      <c r="C12816" s="12"/>
    </row>
    <row r="12817" spans="2:3">
      <c r="B12817" s="12"/>
      <c r="C12817" s="12"/>
    </row>
    <row r="12818" spans="2:3">
      <c r="B12818" s="12"/>
      <c r="C12818" s="12"/>
    </row>
    <row r="12819" spans="2:3">
      <c r="B12819" s="12"/>
      <c r="C12819" s="12"/>
    </row>
    <row r="12820" spans="2:3">
      <c r="B12820" s="12"/>
      <c r="C12820" s="12"/>
    </row>
    <row r="12821" spans="2:3">
      <c r="B12821" s="12"/>
      <c r="C12821" s="12"/>
    </row>
    <row r="12822" spans="2:3">
      <c r="B12822" s="12"/>
      <c r="C12822" s="12"/>
    </row>
    <row r="12823" spans="2:3">
      <c r="B12823" s="12"/>
      <c r="C12823" s="12"/>
    </row>
    <row r="12824" spans="2:3">
      <c r="B12824" s="12"/>
      <c r="C12824" s="12"/>
    </row>
    <row r="12825" spans="2:3">
      <c r="B12825" s="12"/>
      <c r="C12825" s="12"/>
    </row>
    <row r="12826" spans="2:3">
      <c r="B12826" s="12"/>
      <c r="C12826" s="12"/>
    </row>
    <row r="12827" spans="2:3">
      <c r="B12827" s="12"/>
      <c r="C12827" s="12"/>
    </row>
    <row r="12828" spans="2:3">
      <c r="B12828" s="12"/>
      <c r="C12828" s="12"/>
    </row>
    <row r="12829" spans="2:3">
      <c r="B12829" s="12"/>
      <c r="C12829" s="12"/>
    </row>
    <row r="12830" spans="2:3">
      <c r="B12830" s="12"/>
      <c r="C12830" s="12"/>
    </row>
    <row r="12831" spans="2:3">
      <c r="B12831" s="12"/>
      <c r="C12831" s="12"/>
    </row>
    <row r="12832" spans="2:3">
      <c r="B12832" s="12"/>
      <c r="C12832" s="12"/>
    </row>
    <row r="12833" spans="2:3">
      <c r="B12833" s="12"/>
      <c r="C12833" s="12"/>
    </row>
    <row r="12834" spans="2:3">
      <c r="B12834" s="12"/>
      <c r="C12834" s="12"/>
    </row>
    <row r="12835" spans="2:3">
      <c r="B12835" s="12"/>
      <c r="C12835" s="12"/>
    </row>
    <row r="12836" spans="2:3">
      <c r="B12836" s="12"/>
      <c r="C12836" s="12"/>
    </row>
    <row r="12837" spans="2:3">
      <c r="B12837" s="12"/>
      <c r="C12837" s="12"/>
    </row>
    <row r="12838" spans="2:3">
      <c r="B12838" s="12"/>
      <c r="C12838" s="12"/>
    </row>
    <row r="12839" spans="2:3">
      <c r="B12839" s="12"/>
      <c r="C12839" s="12"/>
    </row>
    <row r="12840" spans="2:3">
      <c r="B12840" s="12"/>
      <c r="C12840" s="12"/>
    </row>
    <row r="12841" spans="2:3">
      <c r="B12841" s="12"/>
      <c r="C12841" s="12"/>
    </row>
    <row r="12842" spans="2:3">
      <c r="B12842" s="12"/>
      <c r="C12842" s="12"/>
    </row>
    <row r="12843" spans="2:3">
      <c r="B12843" s="12"/>
      <c r="C12843" s="12"/>
    </row>
    <row r="12844" spans="2:3">
      <c r="B12844" s="12"/>
      <c r="C12844" s="12"/>
    </row>
    <row r="12845" spans="2:3">
      <c r="B12845" s="12"/>
      <c r="C12845" s="12"/>
    </row>
    <row r="12846" spans="2:3">
      <c r="B12846" s="12"/>
      <c r="C12846" s="12"/>
    </row>
    <row r="12847" spans="2:3">
      <c r="B12847" s="12"/>
      <c r="C12847" s="12"/>
    </row>
    <row r="12848" spans="2:3">
      <c r="B12848" s="12"/>
      <c r="C12848" s="12"/>
    </row>
    <row r="12849" spans="2:3">
      <c r="B12849" s="12"/>
      <c r="C12849" s="12"/>
    </row>
    <row r="12850" spans="2:3">
      <c r="B12850" s="12"/>
      <c r="C12850" s="12"/>
    </row>
    <row r="12851" spans="2:3">
      <c r="B12851" s="12"/>
      <c r="C12851" s="12"/>
    </row>
    <row r="12852" spans="2:3">
      <c r="B12852" s="12"/>
      <c r="C12852" s="12"/>
    </row>
    <row r="12853" spans="2:3">
      <c r="B12853" s="12"/>
      <c r="C12853" s="12"/>
    </row>
    <row r="12854" spans="2:3">
      <c r="B12854" s="12"/>
      <c r="C12854" s="12"/>
    </row>
    <row r="12855" spans="2:3">
      <c r="B12855" s="12"/>
      <c r="C12855" s="12"/>
    </row>
    <row r="12856" spans="2:3">
      <c r="B12856" s="12"/>
      <c r="C12856" s="12"/>
    </row>
    <row r="12857" spans="2:3">
      <c r="B12857" s="12"/>
      <c r="C12857" s="12"/>
    </row>
    <row r="12858" spans="2:3">
      <c r="B12858" s="12"/>
      <c r="C12858" s="12"/>
    </row>
    <row r="12859" spans="2:3">
      <c r="B12859" s="12"/>
      <c r="C12859" s="12"/>
    </row>
    <row r="12860" spans="2:3">
      <c r="B12860" s="12"/>
      <c r="C12860" s="12"/>
    </row>
    <row r="12861" spans="2:3">
      <c r="B12861" s="12"/>
      <c r="C12861" s="12"/>
    </row>
    <row r="12862" spans="2:3">
      <c r="B12862" s="12"/>
      <c r="C12862" s="12"/>
    </row>
    <row r="12863" spans="2:3">
      <c r="B12863" s="12"/>
      <c r="C12863" s="12"/>
    </row>
    <row r="12864" spans="2:3">
      <c r="B12864" s="12"/>
      <c r="C12864" s="12"/>
    </row>
    <row r="12865" spans="2:3">
      <c r="B12865" s="12"/>
      <c r="C12865" s="12"/>
    </row>
    <row r="12866" spans="2:3">
      <c r="B12866" s="12"/>
      <c r="C12866" s="12"/>
    </row>
    <row r="12867" spans="2:3">
      <c r="B12867" s="12"/>
      <c r="C12867" s="12"/>
    </row>
    <row r="12868" spans="2:3">
      <c r="B12868" s="12"/>
      <c r="C12868" s="12"/>
    </row>
    <row r="12869" spans="2:3">
      <c r="B12869" s="12"/>
      <c r="C12869" s="12"/>
    </row>
    <row r="12870" spans="2:3">
      <c r="B12870" s="12"/>
      <c r="C12870" s="12"/>
    </row>
    <row r="12871" spans="2:3">
      <c r="B12871" s="12"/>
      <c r="C12871" s="12"/>
    </row>
    <row r="12872" spans="2:3">
      <c r="B12872" s="12"/>
      <c r="C12872" s="12"/>
    </row>
    <row r="12873" spans="2:3">
      <c r="B12873" s="12"/>
      <c r="C12873" s="12"/>
    </row>
    <row r="12874" spans="2:3">
      <c r="B12874" s="12"/>
      <c r="C12874" s="12"/>
    </row>
    <row r="12875" spans="2:3">
      <c r="B12875" s="12"/>
      <c r="C12875" s="12"/>
    </row>
    <row r="12876" spans="2:3">
      <c r="B12876" s="12"/>
      <c r="C12876" s="12"/>
    </row>
    <row r="12877" spans="2:3">
      <c r="B12877" s="12"/>
      <c r="C12877" s="12"/>
    </row>
    <row r="12878" spans="2:3">
      <c r="B12878" s="12"/>
      <c r="C12878" s="12"/>
    </row>
    <row r="12879" spans="2:3">
      <c r="B12879" s="12"/>
      <c r="C12879" s="12"/>
    </row>
    <row r="12880" spans="2:3">
      <c r="B12880" s="12"/>
      <c r="C12880" s="12"/>
    </row>
    <row r="12881" spans="2:3">
      <c r="B12881" s="12"/>
      <c r="C12881" s="12"/>
    </row>
    <row r="12882" spans="2:3">
      <c r="B12882" s="12"/>
      <c r="C12882" s="12"/>
    </row>
    <row r="12883" spans="2:3">
      <c r="B12883" s="12"/>
      <c r="C12883" s="12"/>
    </row>
    <row r="12884" spans="2:3">
      <c r="B12884" s="12"/>
      <c r="C12884" s="12"/>
    </row>
    <row r="12885" spans="2:3">
      <c r="B12885" s="12"/>
      <c r="C12885" s="12"/>
    </row>
    <row r="12886" spans="2:3">
      <c r="B12886" s="12"/>
      <c r="C12886" s="12"/>
    </row>
    <row r="12887" spans="2:3">
      <c r="B12887" s="12"/>
      <c r="C12887" s="12"/>
    </row>
    <row r="12888" spans="2:3">
      <c r="B12888" s="12"/>
      <c r="C12888" s="12"/>
    </row>
    <row r="12889" spans="2:3">
      <c r="B12889" s="12"/>
      <c r="C12889" s="12"/>
    </row>
    <row r="12890" spans="2:3">
      <c r="B12890" s="12"/>
      <c r="C12890" s="12"/>
    </row>
    <row r="12891" spans="2:3">
      <c r="B12891" s="12"/>
      <c r="C12891" s="12"/>
    </row>
    <row r="12892" spans="2:3">
      <c r="B12892" s="12"/>
      <c r="C12892" s="12"/>
    </row>
    <row r="12893" spans="2:3">
      <c r="B12893" s="12"/>
      <c r="C12893" s="12"/>
    </row>
    <row r="12894" spans="2:3">
      <c r="B12894" s="12"/>
      <c r="C12894" s="12"/>
    </row>
    <row r="12895" spans="2:3">
      <c r="B12895" s="12"/>
      <c r="C12895" s="12"/>
    </row>
    <row r="12896" spans="2:3">
      <c r="B12896" s="12"/>
      <c r="C12896" s="12"/>
    </row>
    <row r="12897" spans="2:3">
      <c r="B12897" s="12"/>
      <c r="C12897" s="12"/>
    </row>
    <row r="12898" spans="2:3">
      <c r="B12898" s="12"/>
      <c r="C12898" s="12"/>
    </row>
    <row r="12899" spans="2:3">
      <c r="B12899" s="12"/>
      <c r="C12899" s="12"/>
    </row>
    <row r="12900" spans="2:3">
      <c r="B12900" s="12"/>
      <c r="C12900" s="12"/>
    </row>
    <row r="12901" spans="2:3">
      <c r="B12901" s="12"/>
      <c r="C12901" s="12"/>
    </row>
    <row r="12902" spans="2:3">
      <c r="B12902" s="12"/>
      <c r="C12902" s="12"/>
    </row>
    <row r="12903" spans="2:3">
      <c r="B12903" s="12"/>
      <c r="C12903" s="12"/>
    </row>
    <row r="12904" spans="2:3">
      <c r="B12904" s="12"/>
      <c r="C12904" s="12"/>
    </row>
    <row r="12905" spans="2:3">
      <c r="B12905" s="12"/>
      <c r="C12905" s="12"/>
    </row>
    <row r="12906" spans="2:3">
      <c r="B12906" s="12"/>
      <c r="C12906" s="12"/>
    </row>
    <row r="12907" spans="2:3">
      <c r="B12907" s="12"/>
      <c r="C12907" s="12"/>
    </row>
    <row r="12908" spans="2:3">
      <c r="B12908" s="12"/>
      <c r="C12908" s="12"/>
    </row>
    <row r="12909" spans="2:3">
      <c r="B12909" s="12"/>
      <c r="C12909" s="12"/>
    </row>
    <row r="12910" spans="2:3">
      <c r="B12910" s="12"/>
      <c r="C12910" s="12"/>
    </row>
    <row r="12911" spans="2:3">
      <c r="B12911" s="12"/>
      <c r="C12911" s="12"/>
    </row>
    <row r="12912" spans="2:3">
      <c r="B12912" s="12"/>
      <c r="C12912" s="12"/>
    </row>
    <row r="12913" spans="2:3">
      <c r="B12913" s="12"/>
      <c r="C12913" s="12"/>
    </row>
    <row r="12914" spans="2:3">
      <c r="B12914" s="12"/>
      <c r="C12914" s="12"/>
    </row>
    <row r="12915" spans="2:3">
      <c r="B12915" s="12"/>
      <c r="C12915" s="12"/>
    </row>
    <row r="12916" spans="2:3">
      <c r="B12916" s="12"/>
      <c r="C12916" s="12"/>
    </row>
    <row r="12917" spans="2:3">
      <c r="B12917" s="12"/>
      <c r="C12917" s="12"/>
    </row>
    <row r="12918" spans="2:3">
      <c r="B12918" s="12"/>
      <c r="C12918" s="12"/>
    </row>
    <row r="12919" spans="2:3">
      <c r="B12919" s="12"/>
      <c r="C12919" s="12"/>
    </row>
    <row r="12920" spans="2:3">
      <c r="B12920" s="12"/>
      <c r="C12920" s="12"/>
    </row>
    <row r="12921" spans="2:3">
      <c r="B12921" s="12"/>
      <c r="C12921" s="12"/>
    </row>
    <row r="12922" spans="2:3">
      <c r="B12922" s="12"/>
      <c r="C12922" s="12"/>
    </row>
    <row r="12923" spans="2:3">
      <c r="B12923" s="12"/>
      <c r="C12923" s="12"/>
    </row>
    <row r="12924" spans="2:3">
      <c r="B12924" s="12"/>
      <c r="C12924" s="12"/>
    </row>
    <row r="12925" spans="2:3">
      <c r="B12925" s="12"/>
      <c r="C12925" s="12"/>
    </row>
    <row r="12926" spans="2:3">
      <c r="B12926" s="12"/>
      <c r="C12926" s="12"/>
    </row>
    <row r="12927" spans="2:3">
      <c r="B12927" s="12"/>
      <c r="C12927" s="12"/>
    </row>
    <row r="12928" spans="2:3">
      <c r="B12928" s="12"/>
      <c r="C12928" s="12"/>
    </row>
    <row r="12929" spans="2:3">
      <c r="B12929" s="12"/>
      <c r="C12929" s="12"/>
    </row>
    <row r="12930" spans="2:3">
      <c r="B12930" s="12"/>
      <c r="C12930" s="12"/>
    </row>
    <row r="12931" spans="2:3">
      <c r="B12931" s="12"/>
      <c r="C12931" s="12"/>
    </row>
    <row r="12932" spans="2:3">
      <c r="B12932" s="12"/>
      <c r="C12932" s="12"/>
    </row>
    <row r="12933" spans="2:3">
      <c r="B12933" s="12"/>
      <c r="C12933" s="12"/>
    </row>
    <row r="12934" spans="2:3">
      <c r="B12934" s="12"/>
      <c r="C12934" s="12"/>
    </row>
    <row r="12935" spans="2:3">
      <c r="B12935" s="12"/>
      <c r="C12935" s="12"/>
    </row>
    <row r="12936" spans="2:3">
      <c r="B12936" s="12"/>
      <c r="C12936" s="12"/>
    </row>
    <row r="12937" spans="2:3">
      <c r="B12937" s="12"/>
      <c r="C12937" s="12"/>
    </row>
    <row r="12938" spans="2:3">
      <c r="B12938" s="12"/>
      <c r="C12938" s="12"/>
    </row>
    <row r="12939" spans="2:3">
      <c r="B12939" s="12"/>
      <c r="C12939" s="12"/>
    </row>
    <row r="12940" spans="2:3">
      <c r="B12940" s="12"/>
      <c r="C12940" s="12"/>
    </row>
    <row r="12941" spans="2:3">
      <c r="B12941" s="12"/>
      <c r="C12941" s="12"/>
    </row>
    <row r="12942" spans="2:3">
      <c r="B12942" s="12"/>
      <c r="C12942" s="12"/>
    </row>
    <row r="12943" spans="2:3">
      <c r="B12943" s="12"/>
      <c r="C12943" s="12"/>
    </row>
    <row r="12944" spans="2:3">
      <c r="B12944" s="12"/>
      <c r="C12944" s="12"/>
    </row>
    <row r="12945" spans="2:3">
      <c r="B12945" s="12"/>
      <c r="C12945" s="12"/>
    </row>
    <row r="12946" spans="2:3">
      <c r="B12946" s="12"/>
      <c r="C12946" s="12"/>
    </row>
    <row r="12947" spans="2:3">
      <c r="B12947" s="12"/>
      <c r="C12947" s="12"/>
    </row>
    <row r="12948" spans="2:3">
      <c r="B12948" s="12"/>
      <c r="C12948" s="12"/>
    </row>
    <row r="12949" spans="2:3">
      <c r="B12949" s="12"/>
      <c r="C12949" s="12"/>
    </row>
    <row r="12950" spans="2:3">
      <c r="B12950" s="12"/>
      <c r="C12950" s="12"/>
    </row>
    <row r="12951" spans="2:3">
      <c r="B12951" s="12"/>
      <c r="C12951" s="12"/>
    </row>
    <row r="12952" spans="2:3">
      <c r="B12952" s="12"/>
      <c r="C12952" s="12"/>
    </row>
    <row r="12953" spans="2:3">
      <c r="B12953" s="12"/>
      <c r="C12953" s="12"/>
    </row>
    <row r="12954" spans="2:3">
      <c r="B12954" s="12"/>
      <c r="C12954" s="12"/>
    </row>
    <row r="12955" spans="2:3">
      <c r="B12955" s="12"/>
      <c r="C12955" s="12"/>
    </row>
    <row r="12956" spans="2:3">
      <c r="B12956" s="12"/>
      <c r="C12956" s="12"/>
    </row>
    <row r="12957" spans="2:3">
      <c r="B12957" s="12"/>
      <c r="C12957" s="12"/>
    </row>
    <row r="12958" spans="2:3">
      <c r="B12958" s="12"/>
      <c r="C12958" s="12"/>
    </row>
    <row r="12959" spans="2:3">
      <c r="B12959" s="12"/>
      <c r="C12959" s="12"/>
    </row>
    <row r="12960" spans="2:3">
      <c r="B12960" s="12"/>
      <c r="C12960" s="12"/>
    </row>
    <row r="12961" spans="2:3">
      <c r="B12961" s="12"/>
      <c r="C12961" s="12"/>
    </row>
    <row r="12962" spans="2:3">
      <c r="B12962" s="12"/>
      <c r="C12962" s="12"/>
    </row>
    <row r="12963" spans="2:3">
      <c r="B12963" s="12"/>
      <c r="C12963" s="12"/>
    </row>
    <row r="12964" spans="2:3">
      <c r="B12964" s="12"/>
      <c r="C12964" s="12"/>
    </row>
    <row r="12965" spans="2:3">
      <c r="B12965" s="12"/>
      <c r="C12965" s="12"/>
    </row>
    <row r="12966" spans="2:3">
      <c r="B12966" s="12"/>
      <c r="C12966" s="12"/>
    </row>
    <row r="12967" spans="2:3">
      <c r="B12967" s="12"/>
      <c r="C12967" s="12"/>
    </row>
    <row r="12968" spans="2:3">
      <c r="B12968" s="12"/>
      <c r="C12968" s="12"/>
    </row>
    <row r="12969" spans="2:3">
      <c r="B12969" s="12"/>
      <c r="C12969" s="12"/>
    </row>
    <row r="12970" spans="2:3">
      <c r="B12970" s="12"/>
      <c r="C12970" s="12"/>
    </row>
    <row r="12971" spans="2:3">
      <c r="B12971" s="12"/>
      <c r="C12971" s="12"/>
    </row>
    <row r="12972" spans="2:3">
      <c r="B12972" s="12"/>
      <c r="C12972" s="12"/>
    </row>
    <row r="12973" spans="2:3">
      <c r="B12973" s="12"/>
      <c r="C12973" s="12"/>
    </row>
    <row r="12974" spans="2:3">
      <c r="B12974" s="12"/>
      <c r="C12974" s="12"/>
    </row>
    <row r="12975" spans="2:3">
      <c r="B12975" s="12"/>
      <c r="C12975" s="12"/>
    </row>
    <row r="12976" spans="2:3">
      <c r="B12976" s="12"/>
      <c r="C12976" s="12"/>
    </row>
    <row r="12977" spans="2:3">
      <c r="B12977" s="12"/>
      <c r="C12977" s="12"/>
    </row>
    <row r="12978" spans="2:3">
      <c r="B12978" s="12"/>
      <c r="C12978" s="12"/>
    </row>
    <row r="12979" spans="2:3">
      <c r="B12979" s="12"/>
      <c r="C12979" s="12"/>
    </row>
    <row r="12980" spans="2:3">
      <c r="B12980" s="12"/>
      <c r="C12980" s="12"/>
    </row>
    <row r="12981" spans="2:3">
      <c r="B12981" s="12"/>
      <c r="C12981" s="12"/>
    </row>
    <row r="12982" spans="2:3">
      <c r="B12982" s="12"/>
      <c r="C12982" s="12"/>
    </row>
    <row r="12983" spans="2:3">
      <c r="B12983" s="12"/>
      <c r="C12983" s="12"/>
    </row>
    <row r="12984" spans="2:3">
      <c r="B12984" s="12"/>
      <c r="C12984" s="12"/>
    </row>
    <row r="12985" spans="2:3">
      <c r="B12985" s="12"/>
      <c r="C12985" s="12"/>
    </row>
    <row r="12986" spans="2:3">
      <c r="B12986" s="12"/>
      <c r="C12986" s="12"/>
    </row>
    <row r="12987" spans="2:3">
      <c r="B12987" s="12"/>
      <c r="C12987" s="12"/>
    </row>
    <row r="12988" spans="2:3">
      <c r="B12988" s="12"/>
      <c r="C12988" s="12"/>
    </row>
    <row r="12989" spans="2:3">
      <c r="B12989" s="12"/>
      <c r="C12989" s="12"/>
    </row>
    <row r="12990" spans="2:3">
      <c r="B12990" s="12"/>
      <c r="C12990" s="12"/>
    </row>
    <row r="12991" spans="2:3">
      <c r="B12991" s="12"/>
      <c r="C12991" s="12"/>
    </row>
    <row r="12992" spans="2:3">
      <c r="B12992" s="12"/>
      <c r="C12992" s="12"/>
    </row>
    <row r="12993" spans="2:3">
      <c r="B12993" s="12"/>
      <c r="C12993" s="12"/>
    </row>
    <row r="12994" spans="2:3">
      <c r="B12994" s="12"/>
      <c r="C12994" s="12"/>
    </row>
    <row r="12995" spans="2:3">
      <c r="B12995" s="12"/>
      <c r="C12995" s="12"/>
    </row>
    <row r="12996" spans="2:3">
      <c r="B12996" s="12"/>
      <c r="C12996" s="12"/>
    </row>
    <row r="12997" spans="2:3">
      <c r="B12997" s="12"/>
      <c r="C12997" s="12"/>
    </row>
    <row r="12998" spans="2:3">
      <c r="B12998" s="12"/>
      <c r="C12998" s="12"/>
    </row>
    <row r="12999" spans="2:3">
      <c r="B12999" s="12"/>
      <c r="C12999" s="12"/>
    </row>
    <row r="13000" spans="2:3">
      <c r="B13000" s="12"/>
      <c r="C13000" s="12"/>
    </row>
    <row r="13001" spans="2:3">
      <c r="B13001" s="12"/>
      <c r="C13001" s="12"/>
    </row>
    <row r="13002" spans="2:3">
      <c r="B13002" s="12"/>
      <c r="C13002" s="12"/>
    </row>
    <row r="13003" spans="2:3">
      <c r="B13003" s="12"/>
      <c r="C13003" s="12"/>
    </row>
    <row r="13004" spans="2:3">
      <c r="B13004" s="12"/>
      <c r="C13004" s="12"/>
    </row>
    <row r="13005" spans="2:3">
      <c r="B13005" s="12"/>
      <c r="C13005" s="12"/>
    </row>
    <row r="13006" spans="2:3">
      <c r="B13006" s="12"/>
      <c r="C13006" s="12"/>
    </row>
    <row r="13007" spans="2:3">
      <c r="B13007" s="12"/>
      <c r="C13007" s="12"/>
    </row>
    <row r="13008" spans="2:3">
      <c r="B13008" s="12"/>
      <c r="C13008" s="12"/>
    </row>
    <row r="13009" spans="2:3">
      <c r="B13009" s="12"/>
      <c r="C13009" s="12"/>
    </row>
    <row r="13010" spans="2:3">
      <c r="B13010" s="12"/>
      <c r="C13010" s="12"/>
    </row>
    <row r="13011" spans="2:3">
      <c r="B13011" s="12"/>
      <c r="C13011" s="12"/>
    </row>
    <row r="13012" spans="2:3">
      <c r="B13012" s="12"/>
      <c r="C13012" s="12"/>
    </row>
    <row r="13013" spans="2:3">
      <c r="B13013" s="12"/>
      <c r="C13013" s="12"/>
    </row>
    <row r="13014" spans="2:3">
      <c r="B13014" s="12"/>
      <c r="C13014" s="12"/>
    </row>
    <row r="13015" spans="2:3">
      <c r="B13015" s="12"/>
      <c r="C13015" s="12"/>
    </row>
    <row r="13016" spans="2:3">
      <c r="B13016" s="12"/>
      <c r="C13016" s="12"/>
    </row>
    <row r="13017" spans="2:3">
      <c r="B13017" s="12"/>
      <c r="C13017" s="12"/>
    </row>
    <row r="13018" spans="2:3">
      <c r="B13018" s="12"/>
      <c r="C13018" s="12"/>
    </row>
    <row r="13019" spans="2:3">
      <c r="B13019" s="12"/>
      <c r="C13019" s="12"/>
    </row>
    <row r="13020" spans="2:3">
      <c r="B13020" s="12"/>
      <c r="C13020" s="12"/>
    </row>
    <row r="13021" spans="2:3">
      <c r="B13021" s="12"/>
      <c r="C13021" s="12"/>
    </row>
    <row r="13022" spans="2:3">
      <c r="B13022" s="12"/>
      <c r="C13022" s="12"/>
    </row>
    <row r="13023" spans="2:3">
      <c r="B13023" s="12"/>
      <c r="C13023" s="12"/>
    </row>
    <row r="13024" spans="2:3">
      <c r="B13024" s="12"/>
      <c r="C13024" s="12"/>
    </row>
    <row r="13025" spans="2:3">
      <c r="B13025" s="12"/>
      <c r="C13025" s="12"/>
    </row>
    <row r="13026" spans="2:3">
      <c r="B13026" s="12"/>
      <c r="C13026" s="12"/>
    </row>
    <row r="13027" spans="2:3">
      <c r="B13027" s="12"/>
      <c r="C13027" s="12"/>
    </row>
    <row r="13028" spans="2:3">
      <c r="B13028" s="12"/>
      <c r="C13028" s="12"/>
    </row>
    <row r="13029" spans="2:3">
      <c r="B13029" s="12"/>
      <c r="C13029" s="12"/>
    </row>
    <row r="13030" spans="2:3">
      <c r="B13030" s="12"/>
      <c r="C13030" s="12"/>
    </row>
    <row r="13031" spans="2:3">
      <c r="B13031" s="12"/>
      <c r="C13031" s="12"/>
    </row>
    <row r="13032" spans="2:3">
      <c r="B13032" s="12"/>
      <c r="C13032" s="12"/>
    </row>
    <row r="13033" spans="2:3">
      <c r="B13033" s="12"/>
      <c r="C13033" s="12"/>
    </row>
    <row r="13034" spans="2:3">
      <c r="B13034" s="12"/>
      <c r="C13034" s="12"/>
    </row>
    <row r="13035" spans="2:3">
      <c r="B13035" s="12"/>
      <c r="C13035" s="12"/>
    </row>
    <row r="13036" spans="2:3">
      <c r="B13036" s="12"/>
      <c r="C13036" s="12"/>
    </row>
    <row r="13037" spans="2:3">
      <c r="B13037" s="12"/>
      <c r="C13037" s="12"/>
    </row>
    <row r="13038" spans="2:3">
      <c r="B13038" s="12"/>
      <c r="C13038" s="12"/>
    </row>
    <row r="13039" spans="2:3">
      <c r="B13039" s="12"/>
      <c r="C13039" s="12"/>
    </row>
    <row r="13040" spans="2:3">
      <c r="B13040" s="12"/>
      <c r="C13040" s="12"/>
    </row>
    <row r="13041" spans="2:3">
      <c r="B13041" s="12"/>
      <c r="C13041" s="12"/>
    </row>
    <row r="13042" spans="2:3">
      <c r="B13042" s="12"/>
      <c r="C13042" s="12"/>
    </row>
    <row r="13043" spans="2:3">
      <c r="B13043" s="12"/>
      <c r="C13043" s="12"/>
    </row>
    <row r="13044" spans="2:3">
      <c r="B13044" s="12"/>
      <c r="C13044" s="12"/>
    </row>
    <row r="13045" spans="2:3">
      <c r="B13045" s="12"/>
      <c r="C13045" s="12"/>
    </row>
    <row r="13046" spans="2:3">
      <c r="B13046" s="12"/>
      <c r="C13046" s="12"/>
    </row>
    <row r="13047" spans="2:3">
      <c r="B13047" s="12"/>
      <c r="C13047" s="12"/>
    </row>
    <row r="13048" spans="2:3">
      <c r="B13048" s="12"/>
      <c r="C13048" s="12"/>
    </row>
    <row r="13049" spans="2:3">
      <c r="B13049" s="12"/>
      <c r="C13049" s="12"/>
    </row>
    <row r="13050" spans="2:3">
      <c r="B13050" s="12"/>
      <c r="C13050" s="12"/>
    </row>
    <row r="13051" spans="2:3">
      <c r="B13051" s="12"/>
      <c r="C13051" s="12"/>
    </row>
    <row r="13052" spans="2:3">
      <c r="B13052" s="12"/>
      <c r="C13052" s="12"/>
    </row>
    <row r="13053" spans="2:3">
      <c r="B13053" s="12"/>
      <c r="C13053" s="12"/>
    </row>
    <row r="13054" spans="2:3">
      <c r="B13054" s="12"/>
      <c r="C13054" s="12"/>
    </row>
    <row r="13055" spans="2:3">
      <c r="B13055" s="12"/>
      <c r="C13055" s="12"/>
    </row>
    <row r="13056" spans="2:3">
      <c r="B13056" s="12"/>
      <c r="C13056" s="12"/>
    </row>
    <row r="13057" spans="2:3">
      <c r="B13057" s="12"/>
      <c r="C13057" s="12"/>
    </row>
    <row r="13058" spans="2:3">
      <c r="B13058" s="12"/>
      <c r="C13058" s="12"/>
    </row>
    <row r="13059" spans="2:3">
      <c r="B13059" s="12"/>
      <c r="C13059" s="12"/>
    </row>
    <row r="13060" spans="2:3">
      <c r="B13060" s="12"/>
      <c r="C13060" s="12"/>
    </row>
    <row r="13061" spans="2:3">
      <c r="B13061" s="12"/>
      <c r="C13061" s="12"/>
    </row>
    <row r="13062" spans="2:3">
      <c r="B13062" s="12"/>
      <c r="C13062" s="12"/>
    </row>
    <row r="13063" spans="2:3">
      <c r="B13063" s="12"/>
      <c r="C13063" s="12"/>
    </row>
    <row r="13064" spans="2:3">
      <c r="B13064" s="12"/>
      <c r="C13064" s="12"/>
    </row>
    <row r="13065" spans="2:3">
      <c r="B13065" s="12"/>
      <c r="C13065" s="12"/>
    </row>
    <row r="13066" spans="2:3">
      <c r="B13066" s="12"/>
      <c r="C13066" s="12"/>
    </row>
    <row r="13067" spans="2:3">
      <c r="B13067" s="12"/>
      <c r="C13067" s="12"/>
    </row>
    <row r="13068" spans="2:3">
      <c r="B13068" s="12"/>
      <c r="C13068" s="12"/>
    </row>
    <row r="13069" spans="2:3">
      <c r="B13069" s="12"/>
      <c r="C13069" s="12"/>
    </row>
    <row r="13070" spans="2:3">
      <c r="B13070" s="12"/>
      <c r="C13070" s="12"/>
    </row>
    <row r="13071" spans="2:3">
      <c r="B13071" s="12"/>
      <c r="C13071" s="12"/>
    </row>
    <row r="13072" spans="2:3">
      <c r="B13072" s="12"/>
      <c r="C13072" s="12"/>
    </row>
    <row r="13073" spans="2:3">
      <c r="B13073" s="12"/>
      <c r="C13073" s="12"/>
    </row>
    <row r="13074" spans="2:3">
      <c r="B13074" s="12"/>
      <c r="C13074" s="12"/>
    </row>
    <row r="13075" spans="2:3">
      <c r="B13075" s="12"/>
      <c r="C13075" s="12"/>
    </row>
    <row r="13076" spans="2:3">
      <c r="B13076" s="12"/>
      <c r="C13076" s="12"/>
    </row>
    <row r="13077" spans="2:3">
      <c r="B13077" s="12"/>
      <c r="C13077" s="12"/>
    </row>
    <row r="13078" spans="2:3">
      <c r="B13078" s="12"/>
      <c r="C13078" s="12"/>
    </row>
    <row r="13079" spans="2:3">
      <c r="B13079" s="12"/>
      <c r="C13079" s="12"/>
    </row>
    <row r="13080" spans="2:3">
      <c r="B13080" s="12"/>
      <c r="C13080" s="12"/>
    </row>
    <row r="13081" spans="2:3">
      <c r="B13081" s="12"/>
      <c r="C13081" s="12"/>
    </row>
    <row r="13082" spans="2:3">
      <c r="B13082" s="12"/>
      <c r="C13082" s="12"/>
    </row>
    <row r="13083" spans="2:3">
      <c r="B13083" s="12"/>
      <c r="C13083" s="12"/>
    </row>
    <row r="13084" spans="2:3">
      <c r="B13084" s="12"/>
      <c r="C13084" s="12"/>
    </row>
    <row r="13085" spans="2:3">
      <c r="B13085" s="12"/>
      <c r="C13085" s="12"/>
    </row>
    <row r="13086" spans="2:3">
      <c r="B13086" s="12"/>
      <c r="C13086" s="12"/>
    </row>
    <row r="13087" spans="2:3">
      <c r="B13087" s="12"/>
      <c r="C13087" s="12"/>
    </row>
    <row r="13088" spans="2:3">
      <c r="B13088" s="12"/>
      <c r="C13088" s="12"/>
    </row>
    <row r="13089" spans="2:3">
      <c r="B13089" s="12"/>
      <c r="C13089" s="12"/>
    </row>
    <row r="13090" spans="2:3">
      <c r="B13090" s="12"/>
      <c r="C13090" s="12"/>
    </row>
    <row r="13091" spans="2:3">
      <c r="B13091" s="12"/>
      <c r="C13091" s="12"/>
    </row>
    <row r="13092" spans="2:3">
      <c r="B13092" s="12"/>
      <c r="C13092" s="12"/>
    </row>
    <row r="13093" spans="2:3">
      <c r="B13093" s="12"/>
      <c r="C13093" s="12"/>
    </row>
    <row r="13094" spans="2:3">
      <c r="B13094" s="12"/>
      <c r="C13094" s="12"/>
    </row>
    <row r="13095" spans="2:3">
      <c r="B13095" s="12"/>
      <c r="C13095" s="12"/>
    </row>
    <row r="13096" spans="2:3">
      <c r="B13096" s="12"/>
      <c r="C13096" s="12"/>
    </row>
    <row r="13097" spans="2:3">
      <c r="B13097" s="12"/>
      <c r="C13097" s="12"/>
    </row>
    <row r="13098" spans="2:3">
      <c r="B13098" s="12"/>
      <c r="C13098" s="12"/>
    </row>
    <row r="13099" spans="2:3">
      <c r="B13099" s="12"/>
      <c r="C13099" s="12"/>
    </row>
    <row r="13100" spans="2:3">
      <c r="B13100" s="12"/>
      <c r="C13100" s="12"/>
    </row>
    <row r="13101" spans="2:3">
      <c r="B13101" s="12"/>
      <c r="C13101" s="12"/>
    </row>
    <row r="13102" spans="2:3">
      <c r="B13102" s="12"/>
      <c r="C13102" s="12"/>
    </row>
    <row r="13103" spans="2:3">
      <c r="B13103" s="12"/>
      <c r="C13103" s="12"/>
    </row>
    <row r="13104" spans="2:3">
      <c r="B13104" s="12"/>
      <c r="C13104" s="12"/>
    </row>
    <row r="13105" spans="2:3">
      <c r="B13105" s="12"/>
      <c r="C13105" s="12"/>
    </row>
    <row r="13106" spans="2:3">
      <c r="B13106" s="12"/>
      <c r="C13106" s="12"/>
    </row>
    <row r="13107" spans="2:3">
      <c r="B13107" s="12"/>
      <c r="C13107" s="12"/>
    </row>
    <row r="13108" spans="2:3">
      <c r="B13108" s="12"/>
      <c r="C13108" s="12"/>
    </row>
    <row r="13109" spans="2:3">
      <c r="B13109" s="12"/>
      <c r="C13109" s="12"/>
    </row>
    <row r="13110" spans="2:3">
      <c r="B13110" s="12"/>
      <c r="C13110" s="12"/>
    </row>
    <row r="13111" spans="2:3">
      <c r="B13111" s="12"/>
      <c r="C13111" s="12"/>
    </row>
    <row r="13112" spans="2:3">
      <c r="B13112" s="12"/>
      <c r="C13112" s="12"/>
    </row>
    <row r="13113" spans="2:3">
      <c r="B13113" s="12"/>
      <c r="C13113" s="12"/>
    </row>
    <row r="13114" spans="2:3">
      <c r="B13114" s="12"/>
      <c r="C13114" s="12"/>
    </row>
    <row r="13115" spans="2:3">
      <c r="B13115" s="12"/>
      <c r="C13115" s="12"/>
    </row>
    <row r="13116" spans="2:3">
      <c r="B13116" s="12"/>
      <c r="C13116" s="12"/>
    </row>
    <row r="13117" spans="2:3">
      <c r="B13117" s="12"/>
      <c r="C13117" s="12"/>
    </row>
    <row r="13118" spans="2:3">
      <c r="B13118" s="12"/>
      <c r="C13118" s="12"/>
    </row>
    <row r="13119" spans="2:3">
      <c r="B13119" s="12"/>
      <c r="C13119" s="12"/>
    </row>
    <row r="13120" spans="2:3">
      <c r="B13120" s="12"/>
      <c r="C13120" s="12"/>
    </row>
    <row r="13121" spans="2:3">
      <c r="B13121" s="12"/>
      <c r="C13121" s="12"/>
    </row>
    <row r="13122" spans="2:3">
      <c r="B13122" s="12"/>
      <c r="C13122" s="12"/>
    </row>
    <row r="13123" spans="2:3">
      <c r="B13123" s="12"/>
      <c r="C13123" s="12"/>
    </row>
    <row r="13124" spans="2:3">
      <c r="B13124" s="12"/>
      <c r="C13124" s="12"/>
    </row>
    <row r="13125" spans="2:3">
      <c r="B13125" s="12"/>
      <c r="C13125" s="12"/>
    </row>
    <row r="13126" spans="2:3">
      <c r="B13126" s="12"/>
      <c r="C13126" s="12"/>
    </row>
    <row r="13127" spans="2:3">
      <c r="B13127" s="12"/>
      <c r="C13127" s="12"/>
    </row>
    <row r="13128" spans="2:3">
      <c r="B13128" s="12"/>
      <c r="C13128" s="12"/>
    </row>
    <row r="13129" spans="2:3">
      <c r="B13129" s="12"/>
      <c r="C13129" s="12"/>
    </row>
    <row r="13130" spans="2:3">
      <c r="B13130" s="12"/>
      <c r="C13130" s="12"/>
    </row>
    <row r="13131" spans="2:3">
      <c r="B13131" s="12"/>
      <c r="C13131" s="12"/>
    </row>
    <row r="13132" spans="2:3">
      <c r="B13132" s="12"/>
      <c r="C13132" s="12"/>
    </row>
    <row r="13133" spans="2:3">
      <c r="B13133" s="12"/>
      <c r="C13133" s="12"/>
    </row>
    <row r="13134" spans="2:3">
      <c r="B13134" s="12"/>
      <c r="C13134" s="12"/>
    </row>
    <row r="13135" spans="2:3">
      <c r="B13135" s="12"/>
      <c r="C13135" s="12"/>
    </row>
    <row r="13136" spans="2:3">
      <c r="B13136" s="12"/>
      <c r="C13136" s="12"/>
    </row>
    <row r="13137" spans="2:3">
      <c r="B13137" s="12"/>
      <c r="C13137" s="12"/>
    </row>
    <row r="13138" spans="2:3">
      <c r="B13138" s="12"/>
      <c r="C13138" s="12"/>
    </row>
    <row r="13139" spans="2:3">
      <c r="B13139" s="12"/>
      <c r="C13139" s="12"/>
    </row>
    <row r="13140" spans="2:3">
      <c r="B13140" s="12"/>
      <c r="C13140" s="12"/>
    </row>
    <row r="13141" spans="2:3">
      <c r="B13141" s="12"/>
      <c r="C13141" s="12"/>
    </row>
    <row r="13142" spans="2:3">
      <c r="B13142" s="12"/>
      <c r="C13142" s="12"/>
    </row>
    <row r="13143" spans="2:3">
      <c r="B13143" s="12"/>
      <c r="C13143" s="12"/>
    </row>
    <row r="13144" spans="2:3">
      <c r="B13144" s="12"/>
      <c r="C13144" s="12"/>
    </row>
    <row r="13145" spans="2:3">
      <c r="B13145" s="12"/>
      <c r="C13145" s="12"/>
    </row>
    <row r="13146" spans="2:3">
      <c r="B13146" s="12"/>
      <c r="C13146" s="12"/>
    </row>
    <row r="13147" spans="2:3">
      <c r="B13147" s="12"/>
      <c r="C13147" s="12"/>
    </row>
    <row r="13148" spans="2:3">
      <c r="B13148" s="12"/>
      <c r="C13148" s="12"/>
    </row>
    <row r="13149" spans="2:3">
      <c r="B13149" s="12"/>
      <c r="C13149" s="12"/>
    </row>
    <row r="13150" spans="2:3">
      <c r="B13150" s="12"/>
      <c r="C13150" s="12"/>
    </row>
    <row r="13151" spans="2:3">
      <c r="B13151" s="12"/>
      <c r="C13151" s="12"/>
    </row>
    <row r="13152" spans="2:3">
      <c r="B13152" s="12"/>
      <c r="C13152" s="12"/>
    </row>
    <row r="13153" spans="2:3">
      <c r="B13153" s="12"/>
      <c r="C13153" s="12"/>
    </row>
    <row r="13154" spans="2:3">
      <c r="B13154" s="12"/>
      <c r="C13154" s="12"/>
    </row>
    <row r="13155" spans="2:3">
      <c r="B13155" s="12"/>
      <c r="C13155" s="12"/>
    </row>
    <row r="13156" spans="2:3">
      <c r="B13156" s="12"/>
      <c r="C13156" s="12"/>
    </row>
    <row r="13157" spans="2:3">
      <c r="B13157" s="12"/>
      <c r="C13157" s="12"/>
    </row>
    <row r="13158" spans="2:3">
      <c r="B13158" s="12"/>
      <c r="C13158" s="12"/>
    </row>
    <row r="13159" spans="2:3">
      <c r="B13159" s="12"/>
      <c r="C13159" s="12"/>
    </row>
    <row r="13160" spans="2:3">
      <c r="B13160" s="12"/>
      <c r="C13160" s="12"/>
    </row>
    <row r="13161" spans="2:3">
      <c r="B13161" s="12"/>
      <c r="C13161" s="12"/>
    </row>
    <row r="13162" spans="2:3">
      <c r="B13162" s="12"/>
      <c r="C13162" s="12"/>
    </row>
    <row r="13163" spans="2:3">
      <c r="B13163" s="12"/>
      <c r="C13163" s="12"/>
    </row>
    <row r="13164" spans="2:3">
      <c r="B13164" s="12"/>
      <c r="C13164" s="12"/>
    </row>
    <row r="13165" spans="2:3">
      <c r="B13165" s="12"/>
      <c r="C13165" s="12"/>
    </row>
    <row r="13166" spans="2:3">
      <c r="B13166" s="12"/>
      <c r="C13166" s="12"/>
    </row>
    <row r="13167" spans="2:3">
      <c r="B13167" s="12"/>
      <c r="C13167" s="12"/>
    </row>
    <row r="13168" spans="2:3">
      <c r="B13168" s="12"/>
      <c r="C13168" s="12"/>
    </row>
    <row r="13169" spans="2:3">
      <c r="B13169" s="12"/>
      <c r="C13169" s="12"/>
    </row>
    <row r="13170" spans="2:3">
      <c r="B13170" s="12"/>
      <c r="C13170" s="12"/>
    </row>
    <row r="13171" spans="2:3">
      <c r="B13171" s="12"/>
      <c r="C13171" s="12"/>
    </row>
    <row r="13172" spans="2:3">
      <c r="B13172" s="12"/>
      <c r="C13172" s="12"/>
    </row>
    <row r="13173" spans="2:3">
      <c r="B13173" s="12"/>
      <c r="C13173" s="12"/>
    </row>
    <row r="13174" spans="2:3">
      <c r="B13174" s="12"/>
      <c r="C13174" s="12"/>
    </row>
    <row r="13175" spans="2:3">
      <c r="B13175" s="12"/>
      <c r="C13175" s="12"/>
    </row>
    <row r="13176" spans="2:3">
      <c r="B13176" s="12"/>
      <c r="C13176" s="12"/>
    </row>
    <row r="13177" spans="2:3">
      <c r="B13177" s="12"/>
      <c r="C13177" s="12"/>
    </row>
    <row r="13178" spans="2:3">
      <c r="B13178" s="12"/>
      <c r="C13178" s="12"/>
    </row>
    <row r="13179" spans="2:3">
      <c r="B13179" s="12"/>
      <c r="C13179" s="12"/>
    </row>
    <row r="13180" spans="2:3">
      <c r="B13180" s="12"/>
      <c r="C13180" s="12"/>
    </row>
    <row r="13181" spans="2:3">
      <c r="B13181" s="12"/>
      <c r="C13181" s="12"/>
    </row>
    <row r="13182" spans="2:3">
      <c r="B13182" s="12"/>
      <c r="C13182" s="12"/>
    </row>
    <row r="13183" spans="2:3">
      <c r="B13183" s="12"/>
      <c r="C13183" s="12"/>
    </row>
    <row r="13184" spans="2:3">
      <c r="B13184" s="12"/>
      <c r="C13184" s="12"/>
    </row>
    <row r="13185" spans="2:3">
      <c r="B13185" s="12"/>
      <c r="C13185" s="12"/>
    </row>
    <row r="13186" spans="2:3">
      <c r="B13186" s="12"/>
      <c r="C13186" s="12"/>
    </row>
    <row r="13187" spans="2:3">
      <c r="B13187" s="12"/>
      <c r="C13187" s="12"/>
    </row>
    <row r="13188" spans="2:3">
      <c r="B13188" s="12"/>
      <c r="C13188" s="12"/>
    </row>
    <row r="13189" spans="2:3">
      <c r="B13189" s="12"/>
      <c r="C13189" s="12"/>
    </row>
    <row r="13190" spans="2:3">
      <c r="B13190" s="12"/>
      <c r="C13190" s="12"/>
    </row>
    <row r="13191" spans="2:3">
      <c r="B13191" s="12"/>
      <c r="C13191" s="12"/>
    </row>
    <row r="13192" spans="2:3">
      <c r="B13192" s="12"/>
      <c r="C13192" s="12"/>
    </row>
    <row r="13193" spans="2:3">
      <c r="B13193" s="12"/>
      <c r="C13193" s="12"/>
    </row>
    <row r="13194" spans="2:3">
      <c r="B13194" s="12"/>
      <c r="C13194" s="12"/>
    </row>
    <row r="13195" spans="2:3">
      <c r="B13195" s="12"/>
      <c r="C13195" s="12"/>
    </row>
    <row r="13196" spans="2:3">
      <c r="B13196" s="12"/>
      <c r="C13196" s="12"/>
    </row>
    <row r="13197" spans="2:3">
      <c r="B13197" s="12"/>
      <c r="C13197" s="12"/>
    </row>
    <row r="13198" spans="2:3">
      <c r="B13198" s="12"/>
      <c r="C13198" s="12"/>
    </row>
    <row r="13199" spans="2:3">
      <c r="B13199" s="12"/>
      <c r="C13199" s="12"/>
    </row>
    <row r="13200" spans="2:3">
      <c r="B13200" s="12"/>
      <c r="C13200" s="12"/>
    </row>
    <row r="13201" spans="2:3">
      <c r="B13201" s="12"/>
      <c r="C13201" s="12"/>
    </row>
    <row r="13202" spans="2:3">
      <c r="B13202" s="12"/>
      <c r="C13202" s="12"/>
    </row>
    <row r="13203" spans="2:3">
      <c r="B13203" s="12"/>
      <c r="C13203" s="12"/>
    </row>
    <row r="13204" spans="2:3">
      <c r="B13204" s="12"/>
      <c r="C13204" s="12"/>
    </row>
    <row r="13205" spans="2:3">
      <c r="B13205" s="12"/>
      <c r="C13205" s="12"/>
    </row>
    <row r="13206" spans="2:3">
      <c r="B13206" s="12"/>
      <c r="C13206" s="12"/>
    </row>
    <row r="13207" spans="2:3">
      <c r="B13207" s="12"/>
      <c r="C13207" s="12"/>
    </row>
    <row r="13208" spans="2:3">
      <c r="B13208" s="12"/>
      <c r="C13208" s="12"/>
    </row>
    <row r="13209" spans="2:3">
      <c r="B13209" s="12"/>
      <c r="C13209" s="12"/>
    </row>
    <row r="13210" spans="2:3">
      <c r="B13210" s="12"/>
      <c r="C13210" s="12"/>
    </row>
    <row r="13211" spans="2:3">
      <c r="B13211" s="12"/>
      <c r="C13211" s="12"/>
    </row>
    <row r="13212" spans="2:3">
      <c r="B13212" s="12"/>
      <c r="C13212" s="12"/>
    </row>
    <row r="13213" spans="2:3">
      <c r="B13213" s="12"/>
      <c r="C13213" s="12"/>
    </row>
    <row r="13214" spans="2:3">
      <c r="B13214" s="12"/>
      <c r="C13214" s="12"/>
    </row>
    <row r="13215" spans="2:3">
      <c r="B13215" s="12"/>
      <c r="C13215" s="12"/>
    </row>
    <row r="13216" spans="2:3">
      <c r="B13216" s="12"/>
      <c r="C13216" s="12"/>
    </row>
    <row r="13217" spans="2:3">
      <c r="B13217" s="12"/>
      <c r="C13217" s="12"/>
    </row>
    <row r="13218" spans="2:3">
      <c r="B13218" s="12"/>
      <c r="C13218" s="12"/>
    </row>
    <row r="13219" spans="2:3">
      <c r="B13219" s="12"/>
      <c r="C13219" s="12"/>
    </row>
    <row r="13220" spans="2:3">
      <c r="B13220" s="12"/>
      <c r="C13220" s="12"/>
    </row>
    <row r="13221" spans="2:3">
      <c r="B13221" s="12"/>
      <c r="C13221" s="12"/>
    </row>
    <row r="13222" spans="2:3">
      <c r="B13222" s="12"/>
      <c r="C13222" s="12"/>
    </row>
    <row r="13223" spans="2:3">
      <c r="B13223" s="12"/>
      <c r="C13223" s="12"/>
    </row>
    <row r="13224" spans="2:3">
      <c r="B13224" s="12"/>
      <c r="C13224" s="12"/>
    </row>
    <row r="13225" spans="2:3">
      <c r="B13225" s="12"/>
      <c r="C13225" s="12"/>
    </row>
    <row r="13226" spans="2:3">
      <c r="B13226" s="12"/>
      <c r="C13226" s="12"/>
    </row>
    <row r="13227" spans="2:3">
      <c r="B13227" s="12"/>
      <c r="C13227" s="12"/>
    </row>
    <row r="13228" spans="2:3">
      <c r="B13228" s="12"/>
      <c r="C13228" s="12"/>
    </row>
    <row r="13229" spans="2:3">
      <c r="B13229" s="12"/>
      <c r="C13229" s="12"/>
    </row>
    <row r="13230" spans="2:3">
      <c r="B13230" s="12"/>
      <c r="C13230" s="12"/>
    </row>
    <row r="13231" spans="2:3">
      <c r="B13231" s="12"/>
      <c r="C13231" s="12"/>
    </row>
    <row r="13232" spans="2:3">
      <c r="B13232" s="12"/>
      <c r="C13232" s="12"/>
    </row>
    <row r="13233" spans="2:3">
      <c r="B13233" s="12"/>
      <c r="C13233" s="12"/>
    </row>
    <row r="13234" spans="2:3">
      <c r="B13234" s="12"/>
      <c r="C13234" s="12"/>
    </row>
    <row r="13235" spans="2:3">
      <c r="B13235" s="12"/>
      <c r="C13235" s="12"/>
    </row>
    <row r="13236" spans="2:3">
      <c r="B13236" s="12"/>
      <c r="C13236" s="12"/>
    </row>
    <row r="13237" spans="2:3">
      <c r="B13237" s="12"/>
      <c r="C13237" s="12"/>
    </row>
    <row r="13238" spans="2:3">
      <c r="B13238" s="12"/>
      <c r="C13238" s="12"/>
    </row>
    <row r="13239" spans="2:3">
      <c r="B13239" s="12"/>
      <c r="C13239" s="12"/>
    </row>
    <row r="13240" spans="2:3">
      <c r="B13240" s="12"/>
      <c r="C13240" s="12"/>
    </row>
    <row r="13241" spans="2:3">
      <c r="B13241" s="12"/>
      <c r="C13241" s="12"/>
    </row>
    <row r="13242" spans="2:3">
      <c r="B13242" s="12"/>
      <c r="C13242" s="12"/>
    </row>
    <row r="13243" spans="2:3">
      <c r="B13243" s="12"/>
      <c r="C13243" s="12"/>
    </row>
    <row r="13244" spans="2:3">
      <c r="B13244" s="12"/>
      <c r="C13244" s="12"/>
    </row>
    <row r="13245" spans="2:3">
      <c r="B13245" s="12"/>
      <c r="C13245" s="12"/>
    </row>
    <row r="13246" spans="2:3">
      <c r="B13246" s="12"/>
      <c r="C13246" s="12"/>
    </row>
    <row r="13247" spans="2:3">
      <c r="B13247" s="12"/>
      <c r="C13247" s="12"/>
    </row>
    <row r="13248" spans="2:3">
      <c r="B13248" s="12"/>
      <c r="C13248" s="12"/>
    </row>
    <row r="13249" spans="2:3">
      <c r="B13249" s="12"/>
      <c r="C13249" s="12"/>
    </row>
    <row r="13250" spans="2:3">
      <c r="B13250" s="12"/>
      <c r="C13250" s="12"/>
    </row>
    <row r="13251" spans="2:3">
      <c r="B13251" s="12"/>
      <c r="C13251" s="12"/>
    </row>
    <row r="13252" spans="2:3">
      <c r="B13252" s="12"/>
      <c r="C13252" s="12"/>
    </row>
    <row r="13253" spans="2:3">
      <c r="B13253" s="12"/>
      <c r="C13253" s="12"/>
    </row>
    <row r="13254" spans="2:3">
      <c r="B13254" s="12"/>
      <c r="C13254" s="12"/>
    </row>
    <row r="13255" spans="2:3">
      <c r="B13255" s="12"/>
      <c r="C13255" s="12"/>
    </row>
    <row r="13256" spans="2:3">
      <c r="B13256" s="12"/>
      <c r="C13256" s="12"/>
    </row>
    <row r="13257" spans="2:3">
      <c r="B13257" s="12"/>
      <c r="C13257" s="12"/>
    </row>
    <row r="13258" spans="2:3">
      <c r="B13258" s="12"/>
      <c r="C13258" s="12"/>
    </row>
    <row r="13259" spans="2:3">
      <c r="B13259" s="12"/>
      <c r="C13259" s="12"/>
    </row>
    <row r="13260" spans="2:3">
      <c r="B13260" s="12"/>
      <c r="C13260" s="12"/>
    </row>
    <row r="13261" spans="2:3">
      <c r="B13261" s="12"/>
      <c r="C13261" s="12"/>
    </row>
    <row r="13262" spans="2:3">
      <c r="B13262" s="12"/>
      <c r="C13262" s="12"/>
    </row>
    <row r="13263" spans="2:3">
      <c r="B13263" s="12"/>
      <c r="C13263" s="12"/>
    </row>
    <row r="13264" spans="2:3">
      <c r="B13264" s="12"/>
      <c r="C13264" s="12"/>
    </row>
    <row r="13265" spans="2:3">
      <c r="B13265" s="12"/>
      <c r="C13265" s="12"/>
    </row>
    <row r="13266" spans="2:3">
      <c r="B13266" s="12"/>
      <c r="C13266" s="12"/>
    </row>
    <row r="13267" spans="2:3">
      <c r="B13267" s="12"/>
      <c r="C13267" s="12"/>
    </row>
    <row r="13268" spans="2:3">
      <c r="B13268" s="12"/>
      <c r="C13268" s="12"/>
    </row>
    <row r="13269" spans="2:3">
      <c r="B13269" s="12"/>
      <c r="C13269" s="12"/>
    </row>
    <row r="13270" spans="2:3">
      <c r="B13270" s="12"/>
      <c r="C13270" s="12"/>
    </row>
    <row r="13271" spans="2:3">
      <c r="B13271" s="12"/>
      <c r="C13271" s="12"/>
    </row>
    <row r="13272" spans="2:3">
      <c r="B13272" s="12"/>
      <c r="C13272" s="12"/>
    </row>
    <row r="13273" spans="2:3">
      <c r="B13273" s="12"/>
      <c r="C13273" s="12"/>
    </row>
    <row r="13274" spans="2:3">
      <c r="B13274" s="12"/>
      <c r="C13274" s="12"/>
    </row>
    <row r="13275" spans="2:3">
      <c r="B13275" s="12"/>
      <c r="C13275" s="12"/>
    </row>
    <row r="13276" spans="2:3">
      <c r="B13276" s="12"/>
      <c r="C13276" s="12"/>
    </row>
    <row r="13277" spans="2:3">
      <c r="B13277" s="12"/>
      <c r="C13277" s="12"/>
    </row>
    <row r="13278" spans="2:3">
      <c r="B13278" s="12"/>
      <c r="C13278" s="12"/>
    </row>
    <row r="13279" spans="2:3">
      <c r="B13279" s="12"/>
      <c r="C13279" s="12"/>
    </row>
    <row r="13280" spans="2:3">
      <c r="B13280" s="12"/>
      <c r="C13280" s="12"/>
    </row>
    <row r="13281" spans="2:3">
      <c r="B13281" s="12"/>
      <c r="C13281" s="12"/>
    </row>
    <row r="13282" spans="2:3">
      <c r="B13282" s="12"/>
      <c r="C13282" s="12"/>
    </row>
    <row r="13283" spans="2:3">
      <c r="B13283" s="12"/>
      <c r="C13283" s="12"/>
    </row>
    <row r="13284" spans="2:3">
      <c r="B13284" s="12"/>
      <c r="C13284" s="12"/>
    </row>
    <row r="13285" spans="2:3">
      <c r="B13285" s="12"/>
      <c r="C13285" s="12"/>
    </row>
    <row r="13286" spans="2:3">
      <c r="B13286" s="12"/>
      <c r="C13286" s="12"/>
    </row>
    <row r="13287" spans="2:3">
      <c r="B13287" s="12"/>
      <c r="C13287" s="12"/>
    </row>
    <row r="13288" spans="2:3">
      <c r="B13288" s="12"/>
      <c r="C13288" s="12"/>
    </row>
    <row r="13289" spans="2:3">
      <c r="B13289" s="12"/>
      <c r="C13289" s="12"/>
    </row>
    <row r="13290" spans="2:3">
      <c r="B13290" s="12"/>
      <c r="C13290" s="12"/>
    </row>
    <row r="13291" spans="2:3">
      <c r="B13291" s="12"/>
      <c r="C13291" s="12"/>
    </row>
    <row r="13292" spans="2:3">
      <c r="B13292" s="12"/>
      <c r="C13292" s="12"/>
    </row>
    <row r="13293" spans="2:3">
      <c r="B13293" s="12"/>
      <c r="C13293" s="12"/>
    </row>
    <row r="13294" spans="2:3">
      <c r="B13294" s="12"/>
      <c r="C13294" s="12"/>
    </row>
    <row r="13295" spans="2:3">
      <c r="B13295" s="12"/>
      <c r="C13295" s="12"/>
    </row>
    <row r="13296" spans="2:3">
      <c r="B13296" s="12"/>
      <c r="C13296" s="12"/>
    </row>
    <row r="13297" spans="2:3">
      <c r="B13297" s="12"/>
      <c r="C13297" s="12"/>
    </row>
    <row r="13298" spans="2:3">
      <c r="B13298" s="12"/>
      <c r="C13298" s="12"/>
    </row>
    <row r="13299" spans="2:3">
      <c r="B13299" s="12"/>
      <c r="C13299" s="12"/>
    </row>
    <row r="13300" spans="2:3">
      <c r="B13300" s="12"/>
      <c r="C13300" s="12"/>
    </row>
    <row r="13301" spans="2:3">
      <c r="B13301" s="12"/>
      <c r="C13301" s="12"/>
    </row>
    <row r="13302" spans="2:3">
      <c r="B13302" s="12"/>
      <c r="C13302" s="12"/>
    </row>
    <row r="13303" spans="2:3">
      <c r="B13303" s="12"/>
      <c r="C13303" s="12"/>
    </row>
    <row r="13304" spans="2:3">
      <c r="B13304" s="12"/>
      <c r="C13304" s="12"/>
    </row>
    <row r="13305" spans="2:3">
      <c r="B13305" s="12"/>
      <c r="C13305" s="12"/>
    </row>
    <row r="13306" spans="2:3">
      <c r="B13306" s="12"/>
      <c r="C13306" s="12"/>
    </row>
    <row r="13307" spans="2:3">
      <c r="B13307" s="12"/>
      <c r="C13307" s="12"/>
    </row>
    <row r="13308" spans="2:3">
      <c r="B13308" s="12"/>
      <c r="C13308" s="12"/>
    </row>
    <row r="13309" spans="2:3">
      <c r="B13309" s="12"/>
      <c r="C13309" s="12"/>
    </row>
    <row r="13310" spans="2:3">
      <c r="B13310" s="12"/>
      <c r="C13310" s="12"/>
    </row>
    <row r="13311" spans="2:3">
      <c r="B13311" s="12"/>
      <c r="C13311" s="12"/>
    </row>
    <row r="13312" spans="2:3">
      <c r="B13312" s="12"/>
      <c r="C13312" s="12"/>
    </row>
    <row r="13313" spans="2:3">
      <c r="B13313" s="12"/>
      <c r="C13313" s="12"/>
    </row>
    <row r="13314" spans="2:3">
      <c r="B13314" s="12"/>
      <c r="C13314" s="12"/>
    </row>
    <row r="13315" spans="2:3">
      <c r="B13315" s="12"/>
      <c r="C13315" s="12"/>
    </row>
    <row r="13316" spans="2:3">
      <c r="B13316" s="12"/>
      <c r="C13316" s="12"/>
    </row>
    <row r="13317" spans="2:3">
      <c r="B13317" s="12"/>
      <c r="C13317" s="12"/>
    </row>
    <row r="13318" spans="2:3">
      <c r="B13318" s="12"/>
      <c r="C13318" s="12"/>
    </row>
    <row r="13319" spans="2:3">
      <c r="B13319" s="12"/>
      <c r="C13319" s="12"/>
    </row>
    <row r="13320" spans="2:3">
      <c r="B13320" s="12"/>
      <c r="C13320" s="12"/>
    </row>
    <row r="13321" spans="2:3">
      <c r="B13321" s="12"/>
      <c r="C13321" s="12"/>
    </row>
    <row r="13322" spans="2:3">
      <c r="B13322" s="12"/>
      <c r="C13322" s="12"/>
    </row>
    <row r="13323" spans="2:3">
      <c r="B13323" s="12"/>
      <c r="C13323" s="12"/>
    </row>
    <row r="13324" spans="2:3">
      <c r="B13324" s="12"/>
      <c r="C13324" s="12"/>
    </row>
    <row r="13325" spans="2:3">
      <c r="B13325" s="12"/>
      <c r="C13325" s="12"/>
    </row>
    <row r="13326" spans="2:3">
      <c r="B13326" s="12"/>
      <c r="C13326" s="12"/>
    </row>
    <row r="13327" spans="2:3">
      <c r="B13327" s="12"/>
      <c r="C13327" s="12"/>
    </row>
    <row r="13328" spans="2:3">
      <c r="B13328" s="12"/>
      <c r="C13328" s="12"/>
    </row>
    <row r="13329" spans="2:3">
      <c r="B13329" s="12"/>
      <c r="C13329" s="12"/>
    </row>
    <row r="13330" spans="2:3">
      <c r="B13330" s="12"/>
      <c r="C13330" s="12"/>
    </row>
    <row r="13331" spans="2:3">
      <c r="B13331" s="12"/>
      <c r="C13331" s="12"/>
    </row>
    <row r="13332" spans="2:3">
      <c r="B13332" s="12"/>
      <c r="C13332" s="12"/>
    </row>
    <row r="13333" spans="2:3">
      <c r="B13333" s="12"/>
      <c r="C13333" s="12"/>
    </row>
    <row r="13334" spans="2:3">
      <c r="B13334" s="12"/>
      <c r="C13334" s="12"/>
    </row>
    <row r="13335" spans="2:3">
      <c r="B13335" s="12"/>
      <c r="C13335" s="12"/>
    </row>
    <row r="13336" spans="2:3">
      <c r="B13336" s="12"/>
      <c r="C13336" s="12"/>
    </row>
    <row r="13337" spans="2:3">
      <c r="B13337" s="12"/>
      <c r="C13337" s="12"/>
    </row>
    <row r="13338" spans="2:3">
      <c r="B13338" s="12"/>
      <c r="C13338" s="12"/>
    </row>
    <row r="13339" spans="2:3">
      <c r="B13339" s="12"/>
      <c r="C13339" s="12"/>
    </row>
    <row r="13340" spans="2:3">
      <c r="B13340" s="12"/>
      <c r="C13340" s="12"/>
    </row>
    <row r="13341" spans="2:3">
      <c r="B13341" s="12"/>
      <c r="C13341" s="12"/>
    </row>
    <row r="13342" spans="2:3">
      <c r="B13342" s="12"/>
      <c r="C13342" s="12"/>
    </row>
    <row r="13343" spans="2:3">
      <c r="B13343" s="12"/>
      <c r="C13343" s="12"/>
    </row>
    <row r="13344" spans="2:3">
      <c r="B13344" s="12"/>
      <c r="C13344" s="12"/>
    </row>
    <row r="13345" spans="2:3">
      <c r="B13345" s="12"/>
      <c r="C13345" s="12"/>
    </row>
    <row r="13346" spans="2:3">
      <c r="B13346" s="12"/>
      <c r="C13346" s="12"/>
    </row>
    <row r="13347" spans="2:3">
      <c r="B13347" s="12"/>
      <c r="C13347" s="12"/>
    </row>
    <row r="13348" spans="2:3">
      <c r="B13348" s="12"/>
      <c r="C13348" s="12"/>
    </row>
    <row r="13349" spans="2:3">
      <c r="B13349" s="12"/>
      <c r="C13349" s="12"/>
    </row>
    <row r="13350" spans="2:3">
      <c r="B13350" s="12"/>
      <c r="C13350" s="12"/>
    </row>
    <row r="13351" spans="2:3">
      <c r="B13351" s="12"/>
      <c r="C13351" s="12"/>
    </row>
    <row r="13352" spans="2:3">
      <c r="B13352" s="12"/>
      <c r="C13352" s="12"/>
    </row>
    <row r="13353" spans="2:3">
      <c r="B13353" s="12"/>
      <c r="C13353" s="12"/>
    </row>
    <row r="13354" spans="2:3">
      <c r="B13354" s="12"/>
      <c r="C13354" s="12"/>
    </row>
    <row r="13355" spans="2:3">
      <c r="B13355" s="12"/>
      <c r="C13355" s="12"/>
    </row>
    <row r="13356" spans="2:3">
      <c r="B13356" s="12"/>
      <c r="C13356" s="12"/>
    </row>
    <row r="13357" spans="2:3">
      <c r="B13357" s="12"/>
      <c r="C13357" s="12"/>
    </row>
    <row r="13358" spans="2:3">
      <c r="B13358" s="12"/>
      <c r="C13358" s="12"/>
    </row>
    <row r="13359" spans="2:3">
      <c r="B13359" s="12"/>
      <c r="C13359" s="12"/>
    </row>
    <row r="13360" spans="2:3">
      <c r="B13360" s="12"/>
      <c r="C13360" s="12"/>
    </row>
    <row r="13361" spans="2:3">
      <c r="B13361" s="12"/>
      <c r="C13361" s="12"/>
    </row>
    <row r="13362" spans="2:3">
      <c r="B13362" s="12"/>
      <c r="C13362" s="12"/>
    </row>
    <row r="13363" spans="2:3">
      <c r="B13363" s="12"/>
      <c r="C13363" s="12"/>
    </row>
    <row r="13364" spans="2:3">
      <c r="B13364" s="12"/>
      <c r="C13364" s="12"/>
    </row>
    <row r="13365" spans="2:3">
      <c r="B13365" s="12"/>
      <c r="C13365" s="12"/>
    </row>
    <row r="13366" spans="2:3">
      <c r="B13366" s="12"/>
      <c r="C13366" s="12"/>
    </row>
    <row r="13367" spans="2:3">
      <c r="B13367" s="12"/>
      <c r="C13367" s="12"/>
    </row>
    <row r="13368" spans="2:3">
      <c r="B13368" s="12"/>
      <c r="C13368" s="12"/>
    </row>
    <row r="13369" spans="2:3">
      <c r="B13369" s="12"/>
      <c r="C13369" s="12"/>
    </row>
    <row r="13370" spans="2:3">
      <c r="B13370" s="12"/>
      <c r="C13370" s="12"/>
    </row>
    <row r="13371" spans="2:3">
      <c r="B13371" s="12"/>
      <c r="C13371" s="12"/>
    </row>
    <row r="13372" spans="2:3">
      <c r="B13372" s="12"/>
      <c r="C13372" s="12"/>
    </row>
    <row r="13373" spans="2:3">
      <c r="B13373" s="12"/>
      <c r="C13373" s="12"/>
    </row>
    <row r="13374" spans="2:3">
      <c r="B13374" s="12"/>
      <c r="C13374" s="12"/>
    </row>
    <row r="13375" spans="2:3">
      <c r="B13375" s="12"/>
      <c r="C13375" s="12"/>
    </row>
    <row r="13376" spans="2:3">
      <c r="B13376" s="12"/>
      <c r="C13376" s="12"/>
    </row>
    <row r="13377" spans="2:3">
      <c r="B13377" s="12"/>
      <c r="C13377" s="12"/>
    </row>
    <row r="13378" spans="2:3">
      <c r="B13378" s="12"/>
      <c r="C13378" s="12"/>
    </row>
    <row r="13379" spans="2:3">
      <c r="B13379" s="12"/>
      <c r="C13379" s="12"/>
    </row>
    <row r="13380" spans="2:3">
      <c r="B13380" s="12"/>
      <c r="C13380" s="12"/>
    </row>
    <row r="13381" spans="2:3">
      <c r="B13381" s="12"/>
      <c r="C13381" s="12"/>
    </row>
    <row r="13382" spans="2:3">
      <c r="B13382" s="12"/>
      <c r="C13382" s="12"/>
    </row>
    <row r="13383" spans="2:3">
      <c r="B13383" s="12"/>
      <c r="C13383" s="12"/>
    </row>
    <row r="13384" spans="2:3">
      <c r="B13384" s="12"/>
      <c r="C13384" s="12"/>
    </row>
    <row r="13385" spans="2:3">
      <c r="B13385" s="12"/>
      <c r="C13385" s="12"/>
    </row>
    <row r="13386" spans="2:3">
      <c r="B13386" s="12"/>
      <c r="C13386" s="12"/>
    </row>
    <row r="13387" spans="2:3">
      <c r="B13387" s="12"/>
      <c r="C13387" s="12"/>
    </row>
    <row r="13388" spans="2:3">
      <c r="B13388" s="12"/>
      <c r="C13388" s="12"/>
    </row>
    <row r="13389" spans="2:3">
      <c r="B13389" s="12"/>
      <c r="C13389" s="12"/>
    </row>
    <row r="13390" spans="2:3">
      <c r="B13390" s="12"/>
      <c r="C13390" s="12"/>
    </row>
    <row r="13391" spans="2:3">
      <c r="B13391" s="12"/>
      <c r="C13391" s="12"/>
    </row>
    <row r="13392" spans="2:3">
      <c r="B13392" s="12"/>
      <c r="C13392" s="12"/>
    </row>
    <row r="13393" spans="2:3">
      <c r="B13393" s="12"/>
      <c r="C13393" s="12"/>
    </row>
    <row r="13394" spans="2:3">
      <c r="B13394" s="12"/>
      <c r="C13394" s="12"/>
    </row>
    <row r="13395" spans="2:3">
      <c r="B13395" s="12"/>
      <c r="C13395" s="12"/>
    </row>
    <row r="13396" spans="2:3">
      <c r="B13396" s="12"/>
      <c r="C13396" s="12"/>
    </row>
    <row r="13397" spans="2:3">
      <c r="B13397" s="12"/>
      <c r="C13397" s="12"/>
    </row>
    <row r="13398" spans="2:3">
      <c r="B13398" s="12"/>
      <c r="C13398" s="12"/>
    </row>
    <row r="13399" spans="2:3">
      <c r="B13399" s="12"/>
      <c r="C13399" s="12"/>
    </row>
    <row r="13400" spans="2:3">
      <c r="B13400" s="12"/>
      <c r="C13400" s="12"/>
    </row>
    <row r="13401" spans="2:3">
      <c r="B13401" s="12"/>
      <c r="C13401" s="12"/>
    </row>
    <row r="13402" spans="2:3">
      <c r="B13402" s="12"/>
      <c r="C13402" s="12"/>
    </row>
    <row r="13403" spans="2:3">
      <c r="B13403" s="12"/>
      <c r="C13403" s="12"/>
    </row>
    <row r="13404" spans="2:3">
      <c r="B13404" s="12"/>
      <c r="C13404" s="12"/>
    </row>
    <row r="13405" spans="2:3">
      <c r="B13405" s="12"/>
      <c r="C13405" s="12"/>
    </row>
    <row r="13406" spans="2:3">
      <c r="B13406" s="12"/>
      <c r="C13406" s="12"/>
    </row>
    <row r="13407" spans="2:3">
      <c r="B13407" s="12"/>
      <c r="C13407" s="12"/>
    </row>
    <row r="13408" spans="2:3">
      <c r="B13408" s="12"/>
      <c r="C13408" s="12"/>
    </row>
    <row r="13409" spans="2:3">
      <c r="B13409" s="12"/>
      <c r="C13409" s="12"/>
    </row>
    <row r="13410" spans="2:3">
      <c r="B13410" s="12"/>
      <c r="C13410" s="12"/>
    </row>
    <row r="13411" spans="2:3">
      <c r="B13411" s="12"/>
      <c r="C13411" s="12"/>
    </row>
    <row r="13412" spans="2:3">
      <c r="B13412" s="12"/>
      <c r="C13412" s="12"/>
    </row>
    <row r="13413" spans="2:3">
      <c r="B13413" s="12"/>
      <c r="C13413" s="12"/>
    </row>
    <row r="13414" spans="2:3">
      <c r="B13414" s="12"/>
      <c r="C13414" s="12"/>
    </row>
    <row r="13415" spans="2:3">
      <c r="B13415" s="12"/>
      <c r="C13415" s="12"/>
    </row>
    <row r="13416" spans="2:3">
      <c r="B13416" s="12"/>
      <c r="C13416" s="12"/>
    </row>
    <row r="13417" spans="2:3">
      <c r="B13417" s="12"/>
      <c r="C13417" s="12"/>
    </row>
    <row r="13418" spans="2:3">
      <c r="B13418" s="12"/>
      <c r="C13418" s="12"/>
    </row>
    <row r="13419" spans="2:3">
      <c r="B13419" s="12"/>
      <c r="C13419" s="12"/>
    </row>
    <row r="13420" spans="2:3">
      <c r="B13420" s="12"/>
      <c r="C13420" s="12"/>
    </row>
    <row r="13421" spans="2:3">
      <c r="B13421" s="12"/>
      <c r="C13421" s="12"/>
    </row>
    <row r="13422" spans="2:3">
      <c r="B13422" s="12"/>
      <c r="C13422" s="12"/>
    </row>
    <row r="13423" spans="2:3">
      <c r="B13423" s="12"/>
      <c r="C13423" s="12"/>
    </row>
    <row r="13424" spans="2:3">
      <c r="B13424" s="12"/>
      <c r="C13424" s="12"/>
    </row>
    <row r="13425" spans="2:3">
      <c r="B13425" s="12"/>
      <c r="C13425" s="12"/>
    </row>
    <row r="13426" spans="2:3">
      <c r="B13426" s="12"/>
      <c r="C13426" s="12"/>
    </row>
    <row r="13427" spans="2:3">
      <c r="B13427" s="12"/>
      <c r="C13427" s="12"/>
    </row>
    <row r="13428" spans="2:3">
      <c r="B13428" s="12"/>
      <c r="C13428" s="12"/>
    </row>
    <row r="13429" spans="2:3">
      <c r="B13429" s="12"/>
      <c r="C13429" s="12"/>
    </row>
    <row r="13430" spans="2:3">
      <c r="B13430" s="12"/>
      <c r="C13430" s="12"/>
    </row>
    <row r="13431" spans="2:3">
      <c r="B13431" s="12"/>
      <c r="C13431" s="12"/>
    </row>
    <row r="13432" spans="2:3">
      <c r="B13432" s="12"/>
      <c r="C13432" s="12"/>
    </row>
    <row r="13433" spans="2:3">
      <c r="B13433" s="12"/>
      <c r="C13433" s="12"/>
    </row>
    <row r="13434" spans="2:3">
      <c r="B13434" s="12"/>
      <c r="C13434" s="12"/>
    </row>
    <row r="13435" spans="2:3">
      <c r="B13435" s="12"/>
      <c r="C13435" s="12"/>
    </row>
    <row r="13436" spans="2:3">
      <c r="B13436" s="12"/>
      <c r="C13436" s="12"/>
    </row>
    <row r="13437" spans="2:3">
      <c r="B13437" s="12"/>
      <c r="C13437" s="12"/>
    </row>
    <row r="13438" spans="2:3">
      <c r="B13438" s="12"/>
      <c r="C13438" s="12"/>
    </row>
    <row r="13439" spans="2:3">
      <c r="B13439" s="12"/>
      <c r="C13439" s="12"/>
    </row>
    <row r="13440" spans="2:3">
      <c r="B13440" s="12"/>
      <c r="C13440" s="12"/>
    </row>
    <row r="13441" spans="2:3">
      <c r="B13441" s="12"/>
      <c r="C13441" s="12"/>
    </row>
    <row r="13442" spans="2:3">
      <c r="B13442" s="12"/>
      <c r="C13442" s="12"/>
    </row>
    <row r="13443" spans="2:3">
      <c r="B13443" s="12"/>
      <c r="C13443" s="12"/>
    </row>
    <row r="13444" spans="2:3">
      <c r="B13444" s="12"/>
      <c r="C13444" s="12"/>
    </row>
    <row r="13445" spans="2:3">
      <c r="B13445" s="12"/>
      <c r="C13445" s="12"/>
    </row>
    <row r="13446" spans="2:3">
      <c r="B13446" s="12"/>
      <c r="C13446" s="12"/>
    </row>
    <row r="13447" spans="2:3">
      <c r="B13447" s="12"/>
      <c r="C13447" s="12"/>
    </row>
    <row r="13448" spans="2:3">
      <c r="B13448" s="12"/>
      <c r="C13448" s="12"/>
    </row>
    <row r="13449" spans="2:3">
      <c r="B13449" s="12"/>
      <c r="C13449" s="12"/>
    </row>
    <row r="13450" spans="2:3">
      <c r="B13450" s="12"/>
      <c r="C13450" s="12"/>
    </row>
    <row r="13451" spans="2:3">
      <c r="B13451" s="12"/>
      <c r="C13451" s="12"/>
    </row>
    <row r="13452" spans="2:3">
      <c r="B13452" s="12"/>
      <c r="C13452" s="12"/>
    </row>
    <row r="13453" spans="2:3">
      <c r="B13453" s="12"/>
      <c r="C13453" s="12"/>
    </row>
    <row r="13454" spans="2:3">
      <c r="B13454" s="12"/>
      <c r="C13454" s="12"/>
    </row>
    <row r="13455" spans="2:3">
      <c r="B13455" s="12"/>
      <c r="C13455" s="12"/>
    </row>
    <row r="13456" spans="2:3">
      <c r="B13456" s="12"/>
      <c r="C13456" s="12"/>
    </row>
    <row r="13457" spans="2:3">
      <c r="B13457" s="12"/>
      <c r="C13457" s="12"/>
    </row>
    <row r="13458" spans="2:3">
      <c r="B13458" s="12"/>
      <c r="C13458" s="12"/>
    </row>
    <row r="13459" spans="2:3">
      <c r="B13459" s="12"/>
      <c r="C13459" s="12"/>
    </row>
    <row r="13460" spans="2:3">
      <c r="B13460" s="12"/>
      <c r="C13460" s="12"/>
    </row>
    <row r="13461" spans="2:3">
      <c r="B13461" s="12"/>
      <c r="C13461" s="12"/>
    </row>
    <row r="13462" spans="2:3">
      <c r="B13462" s="12"/>
      <c r="C13462" s="12"/>
    </row>
    <row r="13463" spans="2:3">
      <c r="B13463" s="12"/>
      <c r="C13463" s="12"/>
    </row>
    <row r="13464" spans="2:3">
      <c r="B13464" s="12"/>
      <c r="C13464" s="12"/>
    </row>
    <row r="13465" spans="2:3">
      <c r="B13465" s="12"/>
      <c r="C13465" s="12"/>
    </row>
    <row r="13466" spans="2:3">
      <c r="B13466" s="12"/>
      <c r="C13466" s="12"/>
    </row>
    <row r="13467" spans="2:3">
      <c r="B13467" s="12"/>
      <c r="C13467" s="12"/>
    </row>
    <row r="13468" spans="2:3">
      <c r="B13468" s="12"/>
      <c r="C13468" s="12"/>
    </row>
    <row r="13469" spans="2:3">
      <c r="B13469" s="12"/>
      <c r="C13469" s="12"/>
    </row>
    <row r="13470" spans="2:3">
      <c r="B13470" s="12"/>
      <c r="C13470" s="12"/>
    </row>
    <row r="13471" spans="2:3">
      <c r="B13471" s="12"/>
      <c r="C13471" s="12"/>
    </row>
    <row r="13472" spans="2:3">
      <c r="B13472" s="12"/>
      <c r="C13472" s="12"/>
    </row>
    <row r="13473" spans="2:3">
      <c r="B13473" s="12"/>
      <c r="C13473" s="12"/>
    </row>
    <row r="13474" spans="2:3">
      <c r="B13474" s="12"/>
      <c r="C13474" s="12"/>
    </row>
    <row r="13475" spans="2:3">
      <c r="B13475" s="12"/>
      <c r="C13475" s="12"/>
    </row>
    <row r="13476" spans="2:3">
      <c r="B13476" s="12"/>
      <c r="C13476" s="12"/>
    </row>
    <row r="13477" spans="2:3">
      <c r="B13477" s="12"/>
      <c r="C13477" s="12"/>
    </row>
    <row r="13478" spans="2:3">
      <c r="B13478" s="12"/>
      <c r="C13478" s="12"/>
    </row>
    <row r="13479" spans="2:3">
      <c r="B13479" s="12"/>
      <c r="C13479" s="12"/>
    </row>
    <row r="13480" spans="2:3">
      <c r="B13480" s="12"/>
      <c r="C13480" s="12"/>
    </row>
    <row r="13481" spans="2:3">
      <c r="B13481" s="12"/>
      <c r="C13481" s="12"/>
    </row>
    <row r="13482" spans="2:3">
      <c r="B13482" s="12"/>
      <c r="C13482" s="12"/>
    </row>
    <row r="13483" spans="2:3">
      <c r="B13483" s="12"/>
      <c r="C13483" s="12"/>
    </row>
    <row r="13484" spans="2:3">
      <c r="B13484" s="12"/>
      <c r="C13484" s="12"/>
    </row>
    <row r="13485" spans="2:3">
      <c r="B13485" s="12"/>
      <c r="C13485" s="12"/>
    </row>
    <row r="13486" spans="2:3">
      <c r="B13486" s="12"/>
      <c r="C13486" s="12"/>
    </row>
    <row r="13487" spans="2:3">
      <c r="B13487" s="12"/>
      <c r="C13487" s="12"/>
    </row>
    <row r="13488" spans="2:3">
      <c r="B13488" s="12"/>
      <c r="C13488" s="12"/>
    </row>
    <row r="13489" spans="2:3">
      <c r="B13489" s="12"/>
      <c r="C13489" s="12"/>
    </row>
    <row r="13490" spans="2:3">
      <c r="B13490" s="12"/>
      <c r="C13490" s="12"/>
    </row>
    <row r="13491" spans="2:3">
      <c r="B13491" s="12"/>
      <c r="C13491" s="12"/>
    </row>
    <row r="13492" spans="2:3">
      <c r="B13492" s="12"/>
      <c r="C13492" s="12"/>
    </row>
    <row r="13493" spans="2:3">
      <c r="B13493" s="12"/>
      <c r="C13493" s="12"/>
    </row>
    <row r="13494" spans="2:3">
      <c r="B13494" s="12"/>
      <c r="C13494" s="12"/>
    </row>
    <row r="13495" spans="2:3">
      <c r="B13495" s="12"/>
      <c r="C13495" s="12"/>
    </row>
    <row r="13496" spans="2:3">
      <c r="B13496" s="12"/>
      <c r="C13496" s="12"/>
    </row>
    <row r="13497" spans="2:3">
      <c r="B13497" s="12"/>
      <c r="C13497" s="12"/>
    </row>
    <row r="13498" spans="2:3">
      <c r="B13498" s="12"/>
      <c r="C13498" s="12"/>
    </row>
    <row r="13499" spans="2:3">
      <c r="B13499" s="12"/>
      <c r="C13499" s="12"/>
    </row>
    <row r="13500" spans="2:3">
      <c r="B13500" s="12"/>
      <c r="C13500" s="12"/>
    </row>
    <row r="13501" spans="2:3">
      <c r="B13501" s="12"/>
      <c r="C13501" s="12"/>
    </row>
    <row r="13502" spans="2:3">
      <c r="B13502" s="12"/>
      <c r="C13502" s="12"/>
    </row>
    <row r="13503" spans="2:3">
      <c r="B13503" s="12"/>
      <c r="C13503" s="12"/>
    </row>
    <row r="13504" spans="2:3">
      <c r="B13504" s="12"/>
      <c r="C13504" s="12"/>
    </row>
    <row r="13505" spans="2:3">
      <c r="B13505" s="12"/>
      <c r="C13505" s="12"/>
    </row>
    <row r="13506" spans="2:3">
      <c r="B13506" s="12"/>
      <c r="C13506" s="12"/>
    </row>
    <row r="13507" spans="2:3">
      <c r="B13507" s="12"/>
      <c r="C13507" s="12"/>
    </row>
    <row r="13508" spans="2:3">
      <c r="B13508" s="12"/>
      <c r="C13508" s="12"/>
    </row>
    <row r="13509" spans="2:3">
      <c r="B13509" s="12"/>
      <c r="C13509" s="12"/>
    </row>
    <row r="13510" spans="2:3">
      <c r="B13510" s="12"/>
      <c r="C13510" s="12"/>
    </row>
    <row r="13511" spans="2:3">
      <c r="B13511" s="12"/>
      <c r="C13511" s="12"/>
    </row>
    <row r="13512" spans="2:3">
      <c r="B13512" s="12"/>
      <c r="C13512" s="12"/>
    </row>
    <row r="13513" spans="2:3">
      <c r="B13513" s="12"/>
      <c r="C13513" s="12"/>
    </row>
    <row r="13514" spans="2:3">
      <c r="B13514" s="12"/>
      <c r="C13514" s="12"/>
    </row>
    <row r="13515" spans="2:3">
      <c r="B13515" s="12"/>
      <c r="C13515" s="12"/>
    </row>
    <row r="13516" spans="2:3">
      <c r="B13516" s="12"/>
      <c r="C13516" s="12"/>
    </row>
    <row r="13517" spans="2:3">
      <c r="B13517" s="12"/>
      <c r="C13517" s="12"/>
    </row>
    <row r="13518" spans="2:3">
      <c r="B13518" s="12"/>
      <c r="C13518" s="12"/>
    </row>
    <row r="13519" spans="2:3">
      <c r="B13519" s="12"/>
      <c r="C13519" s="12"/>
    </row>
    <row r="13520" spans="2:3">
      <c r="B13520" s="12"/>
      <c r="C13520" s="12"/>
    </row>
    <row r="13521" spans="2:3">
      <c r="B13521" s="12"/>
      <c r="C13521" s="12"/>
    </row>
    <row r="13522" spans="2:3">
      <c r="B13522" s="12"/>
      <c r="C13522" s="12"/>
    </row>
    <row r="13523" spans="2:3">
      <c r="B13523" s="12"/>
      <c r="C13523" s="12"/>
    </row>
    <row r="13524" spans="2:3">
      <c r="B13524" s="12"/>
      <c r="C13524" s="12"/>
    </row>
    <row r="13525" spans="2:3">
      <c r="B13525" s="12"/>
      <c r="C13525" s="12"/>
    </row>
    <row r="13526" spans="2:3">
      <c r="B13526" s="12"/>
      <c r="C13526" s="12"/>
    </row>
    <row r="13527" spans="2:3">
      <c r="B13527" s="12"/>
      <c r="C13527" s="12"/>
    </row>
    <row r="13528" spans="2:3">
      <c r="B13528" s="12"/>
      <c r="C13528" s="12"/>
    </row>
    <row r="13529" spans="2:3">
      <c r="B13529" s="12"/>
      <c r="C13529" s="12"/>
    </row>
    <row r="13530" spans="2:3">
      <c r="B13530" s="12"/>
      <c r="C13530" s="12"/>
    </row>
    <row r="13531" spans="2:3">
      <c r="B13531" s="12"/>
      <c r="C13531" s="12"/>
    </row>
    <row r="13532" spans="2:3">
      <c r="B13532" s="12"/>
      <c r="C13532" s="12"/>
    </row>
    <row r="13533" spans="2:3">
      <c r="B13533" s="12"/>
      <c r="C13533" s="12"/>
    </row>
    <row r="13534" spans="2:3">
      <c r="B13534" s="12"/>
      <c r="C13534" s="12"/>
    </row>
    <row r="13535" spans="2:3">
      <c r="B13535" s="12"/>
      <c r="C13535" s="12"/>
    </row>
    <row r="13536" spans="2:3">
      <c r="B13536" s="12"/>
      <c r="C13536" s="12"/>
    </row>
    <row r="13537" spans="2:3">
      <c r="B13537" s="12"/>
      <c r="C13537" s="12"/>
    </row>
    <row r="13538" spans="2:3">
      <c r="B13538" s="12"/>
      <c r="C13538" s="12"/>
    </row>
    <row r="13539" spans="2:3">
      <c r="B13539" s="12"/>
      <c r="C13539" s="12"/>
    </row>
    <row r="13540" spans="2:3">
      <c r="B13540" s="12"/>
      <c r="C13540" s="12"/>
    </row>
    <row r="13541" spans="2:3">
      <c r="B13541" s="12"/>
      <c r="C13541" s="12"/>
    </row>
    <row r="13542" spans="2:3">
      <c r="B13542" s="12"/>
      <c r="C13542" s="12"/>
    </row>
    <row r="13543" spans="2:3">
      <c r="B13543" s="12"/>
      <c r="C13543" s="12"/>
    </row>
    <row r="13544" spans="2:3">
      <c r="B13544" s="12"/>
      <c r="C13544" s="12"/>
    </row>
    <row r="13545" spans="2:3">
      <c r="B13545" s="12"/>
      <c r="C13545" s="12"/>
    </row>
    <row r="13546" spans="2:3">
      <c r="B13546" s="12"/>
      <c r="C13546" s="12"/>
    </row>
    <row r="13547" spans="2:3">
      <c r="B13547" s="12"/>
      <c r="C13547" s="12"/>
    </row>
    <row r="13548" spans="2:3">
      <c r="B13548" s="12"/>
      <c r="C13548" s="12"/>
    </row>
    <row r="13549" spans="2:3">
      <c r="B13549" s="12"/>
      <c r="C13549" s="12"/>
    </row>
    <row r="13550" spans="2:3">
      <c r="B13550" s="12"/>
      <c r="C13550" s="12"/>
    </row>
    <row r="13551" spans="2:3">
      <c r="B13551" s="12"/>
      <c r="C13551" s="12"/>
    </row>
    <row r="13552" spans="2:3">
      <c r="B13552" s="12"/>
      <c r="C13552" s="12"/>
    </row>
    <row r="13553" spans="2:3">
      <c r="B13553" s="12"/>
      <c r="C13553" s="12"/>
    </row>
    <row r="13554" spans="2:3">
      <c r="B13554" s="12"/>
      <c r="C13554" s="12"/>
    </row>
    <row r="13555" spans="2:3">
      <c r="B13555" s="12"/>
      <c r="C13555" s="12"/>
    </row>
    <row r="13556" spans="2:3">
      <c r="B13556" s="12"/>
      <c r="C13556" s="12"/>
    </row>
    <row r="13557" spans="2:3">
      <c r="B13557" s="12"/>
      <c r="C13557" s="12"/>
    </row>
    <row r="13558" spans="2:3">
      <c r="B13558" s="12"/>
      <c r="C13558" s="12"/>
    </row>
    <row r="13559" spans="2:3">
      <c r="B13559" s="12"/>
      <c r="C13559" s="12"/>
    </row>
    <row r="13560" spans="2:3">
      <c r="B13560" s="12"/>
      <c r="C13560" s="12"/>
    </row>
    <row r="13561" spans="2:3">
      <c r="B13561" s="12"/>
      <c r="C13561" s="12"/>
    </row>
    <row r="13562" spans="2:3">
      <c r="B13562" s="12"/>
      <c r="C13562" s="12"/>
    </row>
    <row r="13563" spans="2:3">
      <c r="B13563" s="12"/>
      <c r="C13563" s="12"/>
    </row>
    <row r="13564" spans="2:3">
      <c r="B13564" s="12"/>
      <c r="C13564" s="12"/>
    </row>
    <row r="13565" spans="2:3">
      <c r="B13565" s="12"/>
      <c r="C13565" s="12"/>
    </row>
    <row r="13566" spans="2:3">
      <c r="B13566" s="12"/>
      <c r="C13566" s="12"/>
    </row>
    <row r="13567" spans="2:3">
      <c r="B13567" s="12"/>
      <c r="C13567" s="12"/>
    </row>
    <row r="13568" spans="2:3">
      <c r="B13568" s="12"/>
      <c r="C13568" s="12"/>
    </row>
    <row r="13569" spans="2:3">
      <c r="B13569" s="12"/>
      <c r="C13569" s="12"/>
    </row>
    <row r="13570" spans="2:3">
      <c r="B13570" s="12"/>
      <c r="C13570" s="12"/>
    </row>
    <row r="13571" spans="2:3">
      <c r="B13571" s="12"/>
      <c r="C13571" s="12"/>
    </row>
    <row r="13572" spans="2:3">
      <c r="B13572" s="12"/>
      <c r="C13572" s="12"/>
    </row>
    <row r="13573" spans="2:3">
      <c r="B13573" s="12"/>
      <c r="C13573" s="12"/>
    </row>
    <row r="13574" spans="2:3">
      <c r="B13574" s="12"/>
      <c r="C13574" s="12"/>
    </row>
    <row r="13575" spans="2:3">
      <c r="B13575" s="12"/>
      <c r="C13575" s="12"/>
    </row>
    <row r="13576" spans="2:3">
      <c r="B13576" s="12"/>
      <c r="C13576" s="12"/>
    </row>
    <row r="13577" spans="2:3">
      <c r="B13577" s="12"/>
      <c r="C13577" s="12"/>
    </row>
    <row r="13578" spans="2:3">
      <c r="B13578" s="12"/>
      <c r="C13578" s="12"/>
    </row>
    <row r="13579" spans="2:3">
      <c r="B13579" s="12"/>
      <c r="C13579" s="12"/>
    </row>
    <row r="13580" spans="2:3">
      <c r="B13580" s="12"/>
      <c r="C13580" s="12"/>
    </row>
    <row r="13581" spans="2:3">
      <c r="B13581" s="12"/>
      <c r="C13581" s="12"/>
    </row>
    <row r="13582" spans="2:3">
      <c r="B13582" s="12"/>
      <c r="C13582" s="12"/>
    </row>
    <row r="13583" spans="2:3">
      <c r="B13583" s="12"/>
      <c r="C13583" s="12"/>
    </row>
    <row r="13584" spans="2:3">
      <c r="B13584" s="12"/>
      <c r="C13584" s="12"/>
    </row>
    <row r="13585" spans="2:3">
      <c r="B13585" s="12"/>
      <c r="C13585" s="12"/>
    </row>
    <row r="13586" spans="2:3">
      <c r="B13586" s="12"/>
      <c r="C13586" s="12"/>
    </row>
    <row r="13587" spans="2:3">
      <c r="B13587" s="12"/>
      <c r="C13587" s="12"/>
    </row>
    <row r="13588" spans="2:3">
      <c r="B13588" s="12"/>
      <c r="C13588" s="12"/>
    </row>
    <row r="13589" spans="2:3">
      <c r="B13589" s="12"/>
      <c r="C13589" s="12"/>
    </row>
    <row r="13590" spans="2:3">
      <c r="B13590" s="12"/>
      <c r="C13590" s="12"/>
    </row>
    <row r="13591" spans="2:3">
      <c r="B13591" s="12"/>
      <c r="C13591" s="12"/>
    </row>
    <row r="13592" spans="2:3">
      <c r="B13592" s="12"/>
      <c r="C13592" s="12"/>
    </row>
    <row r="13593" spans="2:3">
      <c r="B13593" s="12"/>
      <c r="C13593" s="12"/>
    </row>
    <row r="13594" spans="2:3">
      <c r="B13594" s="12"/>
      <c r="C13594" s="12"/>
    </row>
    <row r="13595" spans="2:3">
      <c r="B13595" s="12"/>
      <c r="C13595" s="12"/>
    </row>
    <row r="13596" spans="2:3">
      <c r="B13596" s="12"/>
      <c r="C13596" s="12"/>
    </row>
    <row r="13597" spans="2:3">
      <c r="B13597" s="12"/>
      <c r="C13597" s="12"/>
    </row>
    <row r="13598" spans="2:3">
      <c r="B13598" s="12"/>
      <c r="C13598" s="12"/>
    </row>
    <row r="13599" spans="2:3">
      <c r="B13599" s="12"/>
      <c r="C13599" s="12"/>
    </row>
    <row r="13600" spans="2:3">
      <c r="B13600" s="12"/>
      <c r="C13600" s="12"/>
    </row>
    <row r="13601" spans="2:3">
      <c r="B13601" s="12"/>
      <c r="C13601" s="12"/>
    </row>
    <row r="13602" spans="2:3">
      <c r="B13602" s="12"/>
      <c r="C13602" s="12"/>
    </row>
    <row r="13603" spans="2:3">
      <c r="B13603" s="12"/>
      <c r="C13603" s="12"/>
    </row>
    <row r="13604" spans="2:3">
      <c r="B13604" s="12"/>
      <c r="C13604" s="12"/>
    </row>
    <row r="13605" spans="2:3">
      <c r="B13605" s="12"/>
      <c r="C13605" s="12"/>
    </row>
    <row r="13606" spans="2:3">
      <c r="B13606" s="12"/>
      <c r="C13606" s="12"/>
    </row>
    <row r="13607" spans="2:3">
      <c r="B13607" s="12"/>
      <c r="C13607" s="12"/>
    </row>
    <row r="13608" spans="2:3">
      <c r="B13608" s="12"/>
      <c r="C13608" s="12"/>
    </row>
    <row r="13609" spans="2:3">
      <c r="B13609" s="12"/>
      <c r="C13609" s="12"/>
    </row>
    <row r="13610" spans="2:3">
      <c r="B13610" s="12"/>
      <c r="C13610" s="12"/>
    </row>
    <row r="13611" spans="2:3">
      <c r="B13611" s="12"/>
      <c r="C13611" s="12"/>
    </row>
    <row r="13612" spans="2:3">
      <c r="B13612" s="12"/>
      <c r="C13612" s="12"/>
    </row>
    <row r="13613" spans="2:3">
      <c r="B13613" s="12"/>
      <c r="C13613" s="12"/>
    </row>
    <row r="13614" spans="2:3">
      <c r="B13614" s="12"/>
      <c r="C13614" s="12"/>
    </row>
    <row r="13615" spans="2:3">
      <c r="B13615" s="12"/>
      <c r="C13615" s="12"/>
    </row>
    <row r="13616" spans="2:3">
      <c r="B13616" s="12"/>
      <c r="C13616" s="12"/>
    </row>
    <row r="13617" spans="2:3">
      <c r="B13617" s="12"/>
      <c r="C13617" s="12"/>
    </row>
    <row r="13618" spans="2:3">
      <c r="B13618" s="12"/>
      <c r="C13618" s="12"/>
    </row>
    <row r="13619" spans="2:3">
      <c r="B13619" s="12"/>
      <c r="C13619" s="12"/>
    </row>
    <row r="13620" spans="2:3">
      <c r="B13620" s="12"/>
      <c r="C13620" s="12"/>
    </row>
    <row r="13621" spans="2:3">
      <c r="B13621" s="12"/>
      <c r="C13621" s="12"/>
    </row>
    <row r="13622" spans="2:3">
      <c r="B13622" s="12"/>
      <c r="C13622" s="12"/>
    </row>
    <row r="13623" spans="2:3">
      <c r="B13623" s="12"/>
      <c r="C13623" s="12"/>
    </row>
    <row r="13624" spans="2:3">
      <c r="B13624" s="12"/>
      <c r="C13624" s="12"/>
    </row>
    <row r="13625" spans="2:3">
      <c r="B13625" s="12"/>
      <c r="C13625" s="12"/>
    </row>
    <row r="13626" spans="2:3">
      <c r="B13626" s="12"/>
      <c r="C13626" s="12"/>
    </row>
    <row r="13627" spans="2:3">
      <c r="B13627" s="12"/>
      <c r="C13627" s="12"/>
    </row>
    <row r="13628" spans="2:3">
      <c r="B13628" s="12"/>
      <c r="C13628" s="12"/>
    </row>
    <row r="13629" spans="2:3">
      <c r="B13629" s="12"/>
      <c r="C13629" s="12"/>
    </row>
    <row r="13630" spans="2:3">
      <c r="B13630" s="12"/>
      <c r="C13630" s="12"/>
    </row>
    <row r="13631" spans="2:3">
      <c r="B13631" s="12"/>
      <c r="C13631" s="12"/>
    </row>
    <row r="13632" spans="2:3">
      <c r="B13632" s="12"/>
      <c r="C13632" s="12"/>
    </row>
    <row r="13633" spans="2:3">
      <c r="B13633" s="12"/>
      <c r="C13633" s="12"/>
    </row>
    <row r="13634" spans="2:3">
      <c r="B13634" s="12"/>
      <c r="C13634" s="12"/>
    </row>
    <row r="13635" spans="2:3">
      <c r="B13635" s="12"/>
      <c r="C13635" s="12"/>
    </row>
    <row r="13636" spans="2:3">
      <c r="B13636" s="12"/>
      <c r="C13636" s="12"/>
    </row>
    <row r="13637" spans="2:3">
      <c r="B13637" s="12"/>
      <c r="C13637" s="12"/>
    </row>
    <row r="13638" spans="2:3">
      <c r="B13638" s="12"/>
      <c r="C13638" s="12"/>
    </row>
    <row r="13639" spans="2:3">
      <c r="B13639" s="12"/>
      <c r="C13639" s="12"/>
    </row>
    <row r="13640" spans="2:3">
      <c r="B13640" s="12"/>
      <c r="C13640" s="12"/>
    </row>
    <row r="13641" spans="2:3">
      <c r="B13641" s="12"/>
      <c r="C13641" s="12"/>
    </row>
    <row r="13642" spans="2:3">
      <c r="B13642" s="12"/>
      <c r="C13642" s="12"/>
    </row>
    <row r="13643" spans="2:3">
      <c r="B13643" s="12"/>
      <c r="C13643" s="12"/>
    </row>
    <row r="13644" spans="2:3">
      <c r="B13644" s="12"/>
      <c r="C13644" s="12"/>
    </row>
    <row r="13645" spans="2:3">
      <c r="B13645" s="12"/>
      <c r="C13645" s="12"/>
    </row>
    <row r="13646" spans="2:3">
      <c r="B13646" s="12"/>
      <c r="C13646" s="12"/>
    </row>
    <row r="13647" spans="2:3">
      <c r="B13647" s="12"/>
      <c r="C13647" s="12"/>
    </row>
    <row r="13648" spans="2:3">
      <c r="B13648" s="12"/>
      <c r="C13648" s="12"/>
    </row>
    <row r="13649" spans="2:3">
      <c r="B13649" s="12"/>
      <c r="C13649" s="12"/>
    </row>
    <row r="13650" spans="2:3">
      <c r="B13650" s="12"/>
      <c r="C13650" s="12"/>
    </row>
    <row r="13651" spans="2:3">
      <c r="B13651" s="12"/>
      <c r="C13651" s="12"/>
    </row>
    <row r="13652" spans="2:3">
      <c r="B13652" s="12"/>
      <c r="C13652" s="12"/>
    </row>
    <row r="13653" spans="2:3">
      <c r="B13653" s="12"/>
      <c r="C13653" s="12"/>
    </row>
    <row r="13654" spans="2:3">
      <c r="B13654" s="12"/>
      <c r="C13654" s="12"/>
    </row>
    <row r="13655" spans="2:3">
      <c r="B13655" s="12"/>
      <c r="C13655" s="12"/>
    </row>
    <row r="13656" spans="2:3">
      <c r="B13656" s="12"/>
      <c r="C13656" s="12"/>
    </row>
    <row r="13657" spans="2:3">
      <c r="B13657" s="12"/>
      <c r="C13657" s="12"/>
    </row>
    <row r="13658" spans="2:3">
      <c r="B13658" s="12"/>
      <c r="C13658" s="12"/>
    </row>
    <row r="13659" spans="2:3">
      <c r="B13659" s="12"/>
      <c r="C13659" s="12"/>
    </row>
    <row r="13660" spans="2:3">
      <c r="B13660" s="12"/>
      <c r="C13660" s="12"/>
    </row>
    <row r="13661" spans="2:3">
      <c r="B13661" s="12"/>
      <c r="C13661" s="12"/>
    </row>
    <row r="13662" spans="2:3">
      <c r="B13662" s="12"/>
      <c r="C13662" s="12"/>
    </row>
    <row r="13663" spans="2:3">
      <c r="B13663" s="12"/>
      <c r="C13663" s="12"/>
    </row>
    <row r="13664" spans="2:3">
      <c r="B13664" s="12"/>
      <c r="C13664" s="12"/>
    </row>
    <row r="13665" spans="2:3">
      <c r="B13665" s="12"/>
      <c r="C13665" s="12"/>
    </row>
    <row r="13666" spans="2:3">
      <c r="B13666" s="12"/>
      <c r="C13666" s="12"/>
    </row>
    <row r="13667" spans="2:3">
      <c r="B13667" s="12"/>
      <c r="C13667" s="12"/>
    </row>
    <row r="13668" spans="2:3">
      <c r="B13668" s="12"/>
      <c r="C13668" s="12"/>
    </row>
    <row r="13669" spans="2:3">
      <c r="B13669" s="12"/>
      <c r="C13669" s="12"/>
    </row>
    <row r="13670" spans="2:3">
      <c r="B13670" s="12"/>
      <c r="C13670" s="12"/>
    </row>
    <row r="13671" spans="2:3">
      <c r="B13671" s="12"/>
      <c r="C13671" s="12"/>
    </row>
    <row r="13672" spans="2:3">
      <c r="B13672" s="12"/>
      <c r="C13672" s="12"/>
    </row>
    <row r="13673" spans="2:3">
      <c r="B13673" s="12"/>
      <c r="C13673" s="12"/>
    </row>
    <row r="13674" spans="2:3">
      <c r="B13674" s="12"/>
      <c r="C13674" s="12"/>
    </row>
    <row r="13675" spans="2:3">
      <c r="B13675" s="12"/>
      <c r="C13675" s="12"/>
    </row>
    <row r="13676" spans="2:3">
      <c r="B13676" s="12"/>
      <c r="C13676" s="12"/>
    </row>
    <row r="13677" spans="2:3">
      <c r="B13677" s="12"/>
      <c r="C13677" s="12"/>
    </row>
    <row r="13678" spans="2:3">
      <c r="B13678" s="12"/>
      <c r="C13678" s="12"/>
    </row>
    <row r="13679" spans="2:3">
      <c r="B13679" s="12"/>
      <c r="C13679" s="12"/>
    </row>
    <row r="13680" spans="2:3">
      <c r="B13680" s="12"/>
      <c r="C13680" s="12"/>
    </row>
    <row r="13681" spans="2:3">
      <c r="B13681" s="12"/>
      <c r="C13681" s="12"/>
    </row>
    <row r="13682" spans="2:3">
      <c r="B13682" s="12"/>
      <c r="C13682" s="12"/>
    </row>
    <row r="13683" spans="2:3">
      <c r="B13683" s="12"/>
      <c r="C13683" s="12"/>
    </row>
    <row r="13684" spans="2:3">
      <c r="B13684" s="12"/>
      <c r="C13684" s="12"/>
    </row>
    <row r="13685" spans="2:3">
      <c r="B13685" s="12"/>
      <c r="C13685" s="12"/>
    </row>
    <row r="13686" spans="2:3">
      <c r="B13686" s="12"/>
      <c r="C13686" s="12"/>
    </row>
    <row r="13687" spans="2:3">
      <c r="B13687" s="12"/>
      <c r="C13687" s="12"/>
    </row>
    <row r="13688" spans="2:3">
      <c r="B13688" s="12"/>
      <c r="C13688" s="12"/>
    </row>
    <row r="13689" spans="2:3">
      <c r="B13689" s="12"/>
      <c r="C13689" s="12"/>
    </row>
    <row r="13690" spans="2:3">
      <c r="B13690" s="12"/>
      <c r="C13690" s="12"/>
    </row>
    <row r="13691" spans="2:3">
      <c r="B13691" s="12"/>
      <c r="C13691" s="12"/>
    </row>
    <row r="13692" spans="2:3">
      <c r="B13692" s="12"/>
      <c r="C13692" s="12"/>
    </row>
    <row r="13693" spans="2:3">
      <c r="B13693" s="12"/>
      <c r="C13693" s="12"/>
    </row>
    <row r="13694" spans="2:3">
      <c r="B13694" s="12"/>
      <c r="C13694" s="12"/>
    </row>
    <row r="13695" spans="2:3">
      <c r="B13695" s="12"/>
      <c r="C13695" s="12"/>
    </row>
    <row r="13696" spans="2:3">
      <c r="B13696" s="12"/>
      <c r="C13696" s="12"/>
    </row>
    <row r="13697" spans="2:3">
      <c r="B13697" s="12"/>
      <c r="C13697" s="12"/>
    </row>
    <row r="13698" spans="2:3">
      <c r="B13698" s="12"/>
      <c r="C13698" s="12"/>
    </row>
    <row r="13699" spans="2:3">
      <c r="B13699" s="12"/>
      <c r="C13699" s="12"/>
    </row>
    <row r="13700" spans="2:3">
      <c r="B13700" s="12"/>
      <c r="C13700" s="12"/>
    </row>
    <row r="13701" spans="2:3">
      <c r="B13701" s="12"/>
      <c r="C13701" s="12"/>
    </row>
    <row r="13702" spans="2:3">
      <c r="B13702" s="12"/>
      <c r="C13702" s="12"/>
    </row>
    <row r="13703" spans="2:3">
      <c r="B13703" s="12"/>
      <c r="C13703" s="12"/>
    </row>
    <row r="13704" spans="2:3">
      <c r="B13704" s="12"/>
      <c r="C13704" s="12"/>
    </row>
    <row r="13705" spans="2:3">
      <c r="B13705" s="12"/>
      <c r="C13705" s="12"/>
    </row>
    <row r="13706" spans="2:3">
      <c r="B13706" s="12"/>
      <c r="C13706" s="12"/>
    </row>
    <row r="13707" spans="2:3">
      <c r="B13707" s="12"/>
      <c r="C13707" s="12"/>
    </row>
    <row r="13708" spans="2:3">
      <c r="B13708" s="12"/>
      <c r="C13708" s="12"/>
    </row>
    <row r="13709" spans="2:3">
      <c r="B13709" s="12"/>
      <c r="C13709" s="12"/>
    </row>
    <row r="13710" spans="2:3">
      <c r="B13710" s="12"/>
      <c r="C13710" s="12"/>
    </row>
    <row r="13711" spans="2:3">
      <c r="B13711" s="12"/>
      <c r="C13711" s="12"/>
    </row>
    <row r="13712" spans="2:3">
      <c r="B13712" s="12"/>
      <c r="C13712" s="12"/>
    </row>
    <row r="13713" spans="2:3">
      <c r="B13713" s="12"/>
      <c r="C13713" s="12"/>
    </row>
    <row r="13714" spans="2:3">
      <c r="B13714" s="12"/>
      <c r="C13714" s="12"/>
    </row>
    <row r="13715" spans="2:3">
      <c r="B13715" s="12"/>
      <c r="C13715" s="12"/>
    </row>
    <row r="13716" spans="2:3">
      <c r="B13716" s="12"/>
      <c r="C13716" s="12"/>
    </row>
    <row r="13717" spans="2:3">
      <c r="B13717" s="12"/>
      <c r="C13717" s="12"/>
    </row>
    <row r="13718" spans="2:3">
      <c r="B13718" s="12"/>
      <c r="C13718" s="12"/>
    </row>
    <row r="13719" spans="2:3">
      <c r="B13719" s="12"/>
      <c r="C13719" s="12"/>
    </row>
    <row r="13720" spans="2:3">
      <c r="B13720" s="12"/>
      <c r="C13720" s="12"/>
    </row>
    <row r="13721" spans="2:3">
      <c r="B13721" s="12"/>
      <c r="C13721" s="12"/>
    </row>
    <row r="13722" spans="2:3">
      <c r="B13722" s="12"/>
      <c r="C13722" s="12"/>
    </row>
    <row r="13723" spans="2:3">
      <c r="B13723" s="12"/>
      <c r="C13723" s="12"/>
    </row>
    <row r="13724" spans="2:3">
      <c r="B13724" s="12"/>
      <c r="C13724" s="12"/>
    </row>
    <row r="13725" spans="2:3">
      <c r="B13725" s="12"/>
      <c r="C13725" s="12"/>
    </row>
    <row r="13726" spans="2:3">
      <c r="B13726" s="12"/>
      <c r="C13726" s="12"/>
    </row>
    <row r="13727" spans="2:3">
      <c r="B13727" s="12"/>
      <c r="C13727" s="12"/>
    </row>
    <row r="13728" spans="2:3">
      <c r="B13728" s="12"/>
      <c r="C13728" s="12"/>
    </row>
    <row r="13729" spans="2:3">
      <c r="B13729" s="12"/>
      <c r="C13729" s="12"/>
    </row>
    <row r="13730" spans="2:3">
      <c r="B13730" s="12"/>
      <c r="C13730" s="12"/>
    </row>
    <row r="13731" spans="2:3">
      <c r="B13731" s="12"/>
      <c r="C13731" s="12"/>
    </row>
    <row r="13732" spans="2:3">
      <c r="B13732" s="12"/>
      <c r="C13732" s="12"/>
    </row>
    <row r="13733" spans="2:3">
      <c r="B13733" s="12"/>
      <c r="C13733" s="12"/>
    </row>
    <row r="13734" spans="2:3">
      <c r="B13734" s="12"/>
      <c r="C13734" s="12"/>
    </row>
    <row r="13735" spans="2:3">
      <c r="B13735" s="12"/>
      <c r="C13735" s="12"/>
    </row>
    <row r="13736" spans="2:3">
      <c r="B13736" s="12"/>
      <c r="C13736" s="12"/>
    </row>
    <row r="13737" spans="2:3">
      <c r="B13737" s="12"/>
      <c r="C13737" s="12"/>
    </row>
    <row r="13738" spans="2:3">
      <c r="B13738" s="12"/>
      <c r="C13738" s="12"/>
    </row>
    <row r="13739" spans="2:3">
      <c r="B13739" s="12"/>
      <c r="C13739" s="12"/>
    </row>
    <row r="13740" spans="2:3">
      <c r="B13740" s="12"/>
      <c r="C13740" s="12"/>
    </row>
    <row r="13741" spans="2:3">
      <c r="B13741" s="12"/>
      <c r="C13741" s="12"/>
    </row>
    <row r="13742" spans="2:3">
      <c r="B13742" s="12"/>
      <c r="C13742" s="12"/>
    </row>
    <row r="13743" spans="2:3">
      <c r="B13743" s="12"/>
      <c r="C13743" s="12"/>
    </row>
    <row r="13744" spans="2:3">
      <c r="B13744" s="12"/>
      <c r="C13744" s="12"/>
    </row>
    <row r="13745" spans="2:3">
      <c r="B13745" s="12"/>
      <c r="C13745" s="12"/>
    </row>
    <row r="13746" spans="2:3">
      <c r="B13746" s="12"/>
      <c r="C13746" s="12"/>
    </row>
    <row r="13747" spans="2:3">
      <c r="B13747" s="12"/>
      <c r="C13747" s="12"/>
    </row>
    <row r="13748" spans="2:3">
      <c r="B13748" s="12"/>
      <c r="C13748" s="12"/>
    </row>
    <row r="13749" spans="2:3">
      <c r="B13749" s="12"/>
      <c r="C13749" s="12"/>
    </row>
    <row r="13750" spans="2:3">
      <c r="B13750" s="12"/>
      <c r="C13750" s="12"/>
    </row>
    <row r="13751" spans="2:3">
      <c r="B13751" s="12"/>
      <c r="C13751" s="12"/>
    </row>
    <row r="13752" spans="2:3">
      <c r="B13752" s="12"/>
      <c r="C13752" s="12"/>
    </row>
    <row r="13753" spans="2:3">
      <c r="B13753" s="12"/>
      <c r="C13753" s="12"/>
    </row>
    <row r="13754" spans="2:3">
      <c r="B13754" s="12"/>
      <c r="C13754" s="12"/>
    </row>
    <row r="13755" spans="2:3">
      <c r="B13755" s="12"/>
      <c r="C13755" s="12"/>
    </row>
    <row r="13756" spans="2:3">
      <c r="B13756" s="12"/>
      <c r="C13756" s="12"/>
    </row>
    <row r="13757" spans="2:3">
      <c r="B13757" s="12"/>
      <c r="C13757" s="12"/>
    </row>
    <row r="13758" spans="2:3">
      <c r="B13758" s="12"/>
      <c r="C13758" s="12"/>
    </row>
    <row r="13759" spans="2:3">
      <c r="B13759" s="12"/>
      <c r="C13759" s="12"/>
    </row>
    <row r="13760" spans="2:3">
      <c r="B13760" s="12"/>
      <c r="C13760" s="12"/>
    </row>
    <row r="13761" spans="2:3">
      <c r="B13761" s="12"/>
      <c r="C13761" s="12"/>
    </row>
    <row r="13762" spans="2:3">
      <c r="B13762" s="12"/>
      <c r="C13762" s="12"/>
    </row>
    <row r="13763" spans="2:3">
      <c r="B13763" s="12"/>
      <c r="C13763" s="12"/>
    </row>
    <row r="13764" spans="2:3">
      <c r="B13764" s="12"/>
      <c r="C13764" s="12"/>
    </row>
    <row r="13765" spans="2:3">
      <c r="B13765" s="12"/>
      <c r="C13765" s="12"/>
    </row>
    <row r="13766" spans="2:3">
      <c r="B13766" s="12"/>
      <c r="C13766" s="12"/>
    </row>
    <row r="13767" spans="2:3">
      <c r="B13767" s="12"/>
      <c r="C13767" s="12"/>
    </row>
    <row r="13768" spans="2:3">
      <c r="B13768" s="12"/>
      <c r="C13768" s="12"/>
    </row>
    <row r="13769" spans="2:3">
      <c r="B13769" s="12"/>
      <c r="C13769" s="12"/>
    </row>
    <row r="13770" spans="2:3">
      <c r="B13770" s="12"/>
      <c r="C13770" s="12"/>
    </row>
    <row r="13771" spans="2:3">
      <c r="B13771" s="12"/>
      <c r="C13771" s="12"/>
    </row>
    <row r="13772" spans="2:3">
      <c r="B13772" s="12"/>
      <c r="C13772" s="12"/>
    </row>
    <row r="13773" spans="2:3">
      <c r="B13773" s="12"/>
      <c r="C13773" s="12"/>
    </row>
    <row r="13774" spans="2:3">
      <c r="B13774" s="12"/>
      <c r="C13774" s="12"/>
    </row>
    <row r="13775" spans="2:3">
      <c r="B13775" s="12"/>
      <c r="C13775" s="12"/>
    </row>
    <row r="13776" spans="2:3">
      <c r="B13776" s="12"/>
      <c r="C13776" s="12"/>
    </row>
    <row r="13777" spans="2:3">
      <c r="B13777" s="12"/>
      <c r="C13777" s="12"/>
    </row>
    <row r="13778" spans="2:3">
      <c r="B13778" s="12"/>
      <c r="C13778" s="12"/>
    </row>
    <row r="13779" spans="2:3">
      <c r="B13779" s="12"/>
      <c r="C13779" s="12"/>
    </row>
    <row r="13780" spans="2:3">
      <c r="B13780" s="12"/>
      <c r="C13780" s="12"/>
    </row>
    <row r="13781" spans="2:3">
      <c r="B13781" s="12"/>
      <c r="C13781" s="12"/>
    </row>
    <row r="13782" spans="2:3">
      <c r="B13782" s="12"/>
      <c r="C13782" s="12"/>
    </row>
    <row r="13783" spans="2:3">
      <c r="B13783" s="12"/>
      <c r="C13783" s="12"/>
    </row>
    <row r="13784" spans="2:3">
      <c r="B13784" s="12"/>
      <c r="C13784" s="12"/>
    </row>
    <row r="13785" spans="2:3">
      <c r="B13785" s="12"/>
      <c r="C13785" s="12"/>
    </row>
    <row r="13786" spans="2:3">
      <c r="B13786" s="12"/>
      <c r="C13786" s="12"/>
    </row>
    <row r="13787" spans="2:3">
      <c r="B13787" s="12"/>
      <c r="C13787" s="12"/>
    </row>
    <row r="13788" spans="2:3">
      <c r="B13788" s="12"/>
      <c r="C13788" s="12"/>
    </row>
    <row r="13789" spans="2:3">
      <c r="B13789" s="12"/>
      <c r="C13789" s="12"/>
    </row>
    <row r="13790" spans="2:3">
      <c r="B13790" s="12"/>
      <c r="C13790" s="12"/>
    </row>
    <row r="13791" spans="2:3">
      <c r="B13791" s="12"/>
      <c r="C13791" s="12"/>
    </row>
    <row r="13792" spans="2:3">
      <c r="B13792" s="12"/>
      <c r="C13792" s="12"/>
    </row>
    <row r="13793" spans="2:3">
      <c r="B13793" s="12"/>
      <c r="C13793" s="12"/>
    </row>
    <row r="13794" spans="2:3">
      <c r="B13794" s="12"/>
      <c r="C13794" s="12"/>
    </row>
    <row r="13795" spans="2:3">
      <c r="B13795" s="12"/>
      <c r="C13795" s="12"/>
    </row>
    <row r="13796" spans="2:3">
      <c r="B13796" s="12"/>
      <c r="C13796" s="12"/>
    </row>
    <row r="13797" spans="2:3">
      <c r="B13797" s="12"/>
      <c r="C13797" s="12"/>
    </row>
    <row r="13798" spans="2:3">
      <c r="B13798" s="12"/>
      <c r="C13798" s="12"/>
    </row>
    <row r="13799" spans="2:3">
      <c r="B13799" s="12"/>
      <c r="C13799" s="12"/>
    </row>
    <row r="13800" spans="2:3">
      <c r="B13800" s="12"/>
      <c r="C13800" s="12"/>
    </row>
    <row r="13801" spans="2:3">
      <c r="B13801" s="12"/>
      <c r="C13801" s="12"/>
    </row>
    <row r="13802" spans="2:3">
      <c r="B13802" s="12"/>
      <c r="C13802" s="12"/>
    </row>
    <row r="13803" spans="2:3">
      <c r="B13803" s="12"/>
      <c r="C13803" s="12"/>
    </row>
    <row r="13804" spans="2:3">
      <c r="B13804" s="12"/>
      <c r="C13804" s="12"/>
    </row>
    <row r="13805" spans="2:3">
      <c r="B13805" s="12"/>
      <c r="C13805" s="12"/>
    </row>
    <row r="13806" spans="2:3">
      <c r="B13806" s="12"/>
      <c r="C13806" s="12"/>
    </row>
    <row r="13807" spans="2:3">
      <c r="B13807" s="12"/>
      <c r="C13807" s="12"/>
    </row>
    <row r="13808" spans="2:3">
      <c r="B13808" s="12"/>
      <c r="C13808" s="12"/>
    </row>
    <row r="13809" spans="2:3">
      <c r="B13809" s="12"/>
      <c r="C13809" s="12"/>
    </row>
    <row r="13810" spans="2:3">
      <c r="B13810" s="12"/>
      <c r="C13810" s="12"/>
    </row>
    <row r="13811" spans="2:3">
      <c r="B13811" s="12"/>
      <c r="C13811" s="12"/>
    </row>
    <row r="13812" spans="2:3">
      <c r="B13812" s="12"/>
      <c r="C13812" s="12"/>
    </row>
    <row r="13813" spans="2:3">
      <c r="B13813" s="12"/>
      <c r="C13813" s="12"/>
    </row>
    <row r="13814" spans="2:3">
      <c r="B13814" s="12"/>
      <c r="C13814" s="12"/>
    </row>
    <row r="13815" spans="2:3">
      <c r="B13815" s="12"/>
      <c r="C13815" s="12"/>
    </row>
    <row r="13816" spans="2:3">
      <c r="B13816" s="12"/>
      <c r="C13816" s="12"/>
    </row>
    <row r="13817" spans="2:3">
      <c r="B13817" s="12"/>
      <c r="C13817" s="12"/>
    </row>
    <row r="13818" spans="2:3">
      <c r="B13818" s="12"/>
      <c r="C13818" s="12"/>
    </row>
    <row r="13819" spans="2:3">
      <c r="B13819" s="12"/>
      <c r="C13819" s="12"/>
    </row>
    <row r="13820" spans="2:3">
      <c r="B13820" s="12"/>
      <c r="C13820" s="12"/>
    </row>
    <row r="13821" spans="2:3">
      <c r="B13821" s="12"/>
      <c r="C13821" s="12"/>
    </row>
    <row r="13822" spans="2:3">
      <c r="B13822" s="12"/>
      <c r="C13822" s="12"/>
    </row>
    <row r="13823" spans="2:3">
      <c r="B13823" s="12"/>
      <c r="C13823" s="12"/>
    </row>
    <row r="13824" spans="2:3">
      <c r="B13824" s="12"/>
      <c r="C13824" s="12"/>
    </row>
    <row r="13825" spans="2:3">
      <c r="B13825" s="12"/>
      <c r="C13825" s="12"/>
    </row>
    <row r="13826" spans="2:3">
      <c r="B13826" s="12"/>
      <c r="C13826" s="12"/>
    </row>
    <row r="13827" spans="2:3">
      <c r="B13827" s="12"/>
      <c r="C13827" s="12"/>
    </row>
    <row r="13828" spans="2:3">
      <c r="B13828" s="12"/>
      <c r="C13828" s="12"/>
    </row>
    <row r="13829" spans="2:3">
      <c r="B13829" s="12"/>
      <c r="C13829" s="12"/>
    </row>
    <row r="13830" spans="2:3">
      <c r="B13830" s="12"/>
      <c r="C13830" s="12"/>
    </row>
    <row r="13831" spans="2:3">
      <c r="B13831" s="12"/>
      <c r="C13831" s="12"/>
    </row>
    <row r="13832" spans="2:3">
      <c r="B13832" s="12"/>
      <c r="C13832" s="12"/>
    </row>
    <row r="13833" spans="2:3">
      <c r="B13833" s="12"/>
      <c r="C13833" s="12"/>
    </row>
    <row r="13834" spans="2:3">
      <c r="B13834" s="12"/>
      <c r="C13834" s="12"/>
    </row>
    <row r="13835" spans="2:3">
      <c r="B13835" s="12"/>
      <c r="C13835" s="12"/>
    </row>
    <row r="13836" spans="2:3">
      <c r="B13836" s="12"/>
      <c r="C13836" s="12"/>
    </row>
    <row r="13837" spans="2:3">
      <c r="B13837" s="12"/>
      <c r="C13837" s="12"/>
    </row>
    <row r="13838" spans="2:3">
      <c r="B13838" s="12"/>
      <c r="C13838" s="12"/>
    </row>
    <row r="13839" spans="2:3">
      <c r="B13839" s="12"/>
      <c r="C13839" s="12"/>
    </row>
    <row r="13840" spans="2:3">
      <c r="B13840" s="12"/>
      <c r="C13840" s="12"/>
    </row>
    <row r="13841" spans="2:3">
      <c r="B13841" s="12"/>
      <c r="C13841" s="12"/>
    </row>
    <row r="13842" spans="2:3">
      <c r="B13842" s="12"/>
      <c r="C13842" s="12"/>
    </row>
    <row r="13843" spans="2:3">
      <c r="B13843" s="12"/>
      <c r="C13843" s="12"/>
    </row>
    <row r="13844" spans="2:3">
      <c r="B13844" s="12"/>
      <c r="C13844" s="12"/>
    </row>
    <row r="13845" spans="2:3">
      <c r="B13845" s="12"/>
      <c r="C13845" s="12"/>
    </row>
    <row r="13846" spans="2:3">
      <c r="B13846" s="12"/>
      <c r="C13846" s="12"/>
    </row>
    <row r="13847" spans="2:3">
      <c r="B13847" s="12"/>
      <c r="C13847" s="12"/>
    </row>
    <row r="13848" spans="2:3">
      <c r="B13848" s="12"/>
      <c r="C13848" s="12"/>
    </row>
    <row r="13849" spans="2:3">
      <c r="B13849" s="12"/>
      <c r="C13849" s="12"/>
    </row>
    <row r="13850" spans="2:3">
      <c r="B13850" s="12"/>
      <c r="C13850" s="12"/>
    </row>
    <row r="13851" spans="2:3">
      <c r="B13851" s="12"/>
      <c r="C13851" s="12"/>
    </row>
    <row r="13852" spans="2:3">
      <c r="B13852" s="12"/>
      <c r="C13852" s="12"/>
    </row>
    <row r="13853" spans="2:3">
      <c r="B13853" s="12"/>
      <c r="C13853" s="12"/>
    </row>
    <row r="13854" spans="2:3">
      <c r="B13854" s="12"/>
      <c r="C13854" s="12"/>
    </row>
    <row r="13855" spans="2:3">
      <c r="B13855" s="12"/>
      <c r="C13855" s="12"/>
    </row>
    <row r="13856" spans="2:3">
      <c r="B13856" s="12"/>
      <c r="C13856" s="12"/>
    </row>
    <row r="13857" spans="2:3">
      <c r="B13857" s="12"/>
      <c r="C13857" s="12"/>
    </row>
    <row r="13858" spans="2:3">
      <c r="B13858" s="12"/>
      <c r="C13858" s="12"/>
    </row>
    <row r="13859" spans="2:3">
      <c r="B13859" s="12"/>
      <c r="C13859" s="12"/>
    </row>
    <row r="13860" spans="2:3">
      <c r="B13860" s="12"/>
      <c r="C13860" s="12"/>
    </row>
    <row r="13861" spans="2:3">
      <c r="B13861" s="12"/>
      <c r="C13861" s="12"/>
    </row>
    <row r="13862" spans="2:3">
      <c r="B13862" s="12"/>
      <c r="C13862" s="12"/>
    </row>
    <row r="13863" spans="2:3">
      <c r="B13863" s="12"/>
      <c r="C13863" s="12"/>
    </row>
    <row r="13864" spans="2:3">
      <c r="B13864" s="12"/>
      <c r="C13864" s="12"/>
    </row>
    <row r="13865" spans="2:3">
      <c r="B13865" s="12"/>
      <c r="C13865" s="12"/>
    </row>
    <row r="13866" spans="2:3">
      <c r="B13866" s="12"/>
      <c r="C13866" s="12"/>
    </row>
    <row r="13867" spans="2:3">
      <c r="B13867" s="12"/>
      <c r="C13867" s="12"/>
    </row>
    <row r="13868" spans="2:3">
      <c r="B13868" s="12"/>
      <c r="C13868" s="12"/>
    </row>
    <row r="13869" spans="2:3">
      <c r="B13869" s="12"/>
      <c r="C13869" s="12"/>
    </row>
    <row r="13870" spans="2:3">
      <c r="B13870" s="12"/>
      <c r="C13870" s="12"/>
    </row>
    <row r="13871" spans="2:3">
      <c r="B13871" s="12"/>
      <c r="C13871" s="12"/>
    </row>
    <row r="13872" spans="2:3">
      <c r="B13872" s="12"/>
      <c r="C13872" s="12"/>
    </row>
    <row r="13873" spans="2:3">
      <c r="B13873" s="12"/>
      <c r="C13873" s="12"/>
    </row>
    <row r="13874" spans="2:3">
      <c r="B13874" s="12"/>
      <c r="C13874" s="12"/>
    </row>
    <row r="13875" spans="2:3">
      <c r="B13875" s="12"/>
      <c r="C13875" s="12"/>
    </row>
    <row r="13876" spans="2:3">
      <c r="B13876" s="12"/>
      <c r="C13876" s="12"/>
    </row>
    <row r="13877" spans="2:3">
      <c r="B13877" s="12"/>
      <c r="C13877" s="12"/>
    </row>
    <row r="13878" spans="2:3">
      <c r="B13878" s="12"/>
      <c r="C13878" s="12"/>
    </row>
    <row r="13879" spans="2:3">
      <c r="B13879" s="12"/>
      <c r="C13879" s="12"/>
    </row>
    <row r="13880" spans="2:3">
      <c r="B13880" s="12"/>
      <c r="C13880" s="12"/>
    </row>
    <row r="13881" spans="2:3">
      <c r="B13881" s="12"/>
      <c r="C13881" s="12"/>
    </row>
    <row r="13882" spans="2:3">
      <c r="B13882" s="12"/>
      <c r="C13882" s="12"/>
    </row>
    <row r="13883" spans="2:3">
      <c r="B13883" s="12"/>
      <c r="C13883" s="12"/>
    </row>
    <row r="13884" spans="2:3">
      <c r="B13884" s="12"/>
      <c r="C13884" s="12"/>
    </row>
    <row r="13885" spans="2:3">
      <c r="B13885" s="12"/>
      <c r="C13885" s="12"/>
    </row>
    <row r="13886" spans="2:3">
      <c r="B13886" s="12"/>
      <c r="C13886" s="12"/>
    </row>
    <row r="13887" spans="2:3">
      <c r="B13887" s="12"/>
      <c r="C13887" s="12"/>
    </row>
    <row r="13888" spans="2:3">
      <c r="B13888" s="12"/>
      <c r="C13888" s="12"/>
    </row>
    <row r="13889" spans="2:3">
      <c r="B13889" s="12"/>
      <c r="C13889" s="12"/>
    </row>
    <row r="13890" spans="2:3">
      <c r="B13890" s="12"/>
      <c r="C13890" s="12"/>
    </row>
    <row r="13891" spans="2:3">
      <c r="B13891" s="12"/>
      <c r="C13891" s="12"/>
    </row>
    <row r="13892" spans="2:3">
      <c r="B13892" s="12"/>
      <c r="C13892" s="12"/>
    </row>
    <row r="13893" spans="2:3">
      <c r="B13893" s="12"/>
      <c r="C13893" s="12"/>
    </row>
    <row r="13894" spans="2:3">
      <c r="B13894" s="12"/>
      <c r="C13894" s="12"/>
    </row>
    <row r="13895" spans="2:3">
      <c r="B13895" s="12"/>
      <c r="C13895" s="12"/>
    </row>
    <row r="13896" spans="2:3">
      <c r="B13896" s="12"/>
      <c r="C13896" s="12"/>
    </row>
    <row r="13897" spans="2:3">
      <c r="B13897" s="12"/>
      <c r="C13897" s="12"/>
    </row>
    <row r="13898" spans="2:3">
      <c r="B13898" s="12"/>
      <c r="C13898" s="12"/>
    </row>
    <row r="13899" spans="2:3">
      <c r="B13899" s="12"/>
      <c r="C13899" s="12"/>
    </row>
    <row r="13900" spans="2:3">
      <c r="B13900" s="12"/>
      <c r="C13900" s="12"/>
    </row>
    <row r="13901" spans="2:3">
      <c r="B13901" s="12"/>
      <c r="C13901" s="12"/>
    </row>
    <row r="13902" spans="2:3">
      <c r="B13902" s="12"/>
      <c r="C13902" s="12"/>
    </row>
    <row r="13903" spans="2:3">
      <c r="B13903" s="12"/>
      <c r="C13903" s="12"/>
    </row>
    <row r="13904" spans="2:3">
      <c r="B13904" s="12"/>
      <c r="C13904" s="12"/>
    </row>
    <row r="13905" spans="2:3">
      <c r="B13905" s="12"/>
      <c r="C13905" s="12"/>
    </row>
    <row r="13906" spans="2:3">
      <c r="B13906" s="12"/>
      <c r="C13906" s="12"/>
    </row>
    <row r="13907" spans="2:3">
      <c r="B13907" s="12"/>
      <c r="C13907" s="12"/>
    </row>
    <row r="13908" spans="2:3">
      <c r="B13908" s="12"/>
      <c r="C13908" s="12"/>
    </row>
    <row r="13909" spans="2:3">
      <c r="B13909" s="12"/>
      <c r="C13909" s="12"/>
    </row>
    <row r="13910" spans="2:3">
      <c r="B13910" s="12"/>
      <c r="C13910" s="12"/>
    </row>
    <row r="13911" spans="2:3">
      <c r="B13911" s="12"/>
      <c r="C13911" s="12"/>
    </row>
    <row r="13912" spans="2:3">
      <c r="B13912" s="12"/>
      <c r="C13912" s="12"/>
    </row>
    <row r="13913" spans="2:3">
      <c r="B13913" s="12"/>
      <c r="C13913" s="12"/>
    </row>
    <row r="13914" spans="2:3">
      <c r="B13914" s="12"/>
      <c r="C13914" s="12"/>
    </row>
    <row r="13915" spans="2:3">
      <c r="B13915" s="12"/>
      <c r="C13915" s="12"/>
    </row>
    <row r="13916" spans="2:3">
      <c r="B13916" s="12"/>
      <c r="C13916" s="12"/>
    </row>
    <row r="13917" spans="2:3">
      <c r="B13917" s="12"/>
      <c r="C13917" s="12"/>
    </row>
    <row r="13918" spans="2:3">
      <c r="B13918" s="12"/>
      <c r="C13918" s="12"/>
    </row>
    <row r="13919" spans="2:3">
      <c r="B13919" s="12"/>
      <c r="C13919" s="12"/>
    </row>
    <row r="13920" spans="2:3">
      <c r="B13920" s="12"/>
      <c r="C13920" s="12"/>
    </row>
    <row r="13921" spans="2:3">
      <c r="B13921" s="12"/>
      <c r="C13921" s="12"/>
    </row>
    <row r="13922" spans="2:3">
      <c r="B13922" s="12"/>
      <c r="C13922" s="12"/>
    </row>
    <row r="13923" spans="2:3">
      <c r="B13923" s="12"/>
      <c r="C13923" s="12"/>
    </row>
    <row r="13924" spans="2:3">
      <c r="B13924" s="12"/>
      <c r="C13924" s="12"/>
    </row>
    <row r="13925" spans="2:3">
      <c r="B13925" s="12"/>
      <c r="C13925" s="12"/>
    </row>
    <row r="13926" spans="2:3">
      <c r="B13926" s="12"/>
      <c r="C13926" s="12"/>
    </row>
    <row r="13927" spans="2:3">
      <c r="B13927" s="12"/>
      <c r="C13927" s="12"/>
    </row>
    <row r="13928" spans="2:3">
      <c r="B13928" s="12"/>
      <c r="C13928" s="12"/>
    </row>
    <row r="13929" spans="2:3">
      <c r="B13929" s="12"/>
      <c r="C13929" s="12"/>
    </row>
    <row r="13930" spans="2:3">
      <c r="B13930" s="12"/>
      <c r="C13930" s="12"/>
    </row>
    <row r="13931" spans="2:3">
      <c r="B13931" s="12"/>
      <c r="C13931" s="12"/>
    </row>
    <row r="13932" spans="2:3">
      <c r="B13932" s="12"/>
      <c r="C13932" s="12"/>
    </row>
    <row r="13933" spans="2:3">
      <c r="B13933" s="12"/>
      <c r="C13933" s="12"/>
    </row>
    <row r="13934" spans="2:3">
      <c r="B13934" s="12"/>
      <c r="C13934" s="12"/>
    </row>
    <row r="13935" spans="2:3">
      <c r="B13935" s="12"/>
      <c r="C13935" s="12"/>
    </row>
    <row r="13936" spans="2:3">
      <c r="B13936" s="12"/>
      <c r="C13936" s="12"/>
    </row>
    <row r="13937" spans="2:3">
      <c r="B13937" s="12"/>
      <c r="C13937" s="12"/>
    </row>
    <row r="13938" spans="2:3">
      <c r="B13938" s="12"/>
      <c r="C13938" s="12"/>
    </row>
    <row r="13939" spans="2:3">
      <c r="B13939" s="12"/>
      <c r="C13939" s="12"/>
    </row>
    <row r="13940" spans="2:3">
      <c r="B13940" s="12"/>
      <c r="C13940" s="12"/>
    </row>
    <row r="13941" spans="2:3">
      <c r="B13941" s="12"/>
      <c r="C13941" s="12"/>
    </row>
    <row r="13942" spans="2:3">
      <c r="B13942" s="12"/>
      <c r="C13942" s="12"/>
    </row>
    <row r="13943" spans="2:3">
      <c r="B13943" s="12"/>
      <c r="C13943" s="12"/>
    </row>
    <row r="13944" spans="2:3">
      <c r="B13944" s="12"/>
      <c r="C13944" s="12"/>
    </row>
    <row r="13945" spans="2:3">
      <c r="B13945" s="12"/>
      <c r="C13945" s="12"/>
    </row>
    <row r="13946" spans="2:3">
      <c r="B13946" s="12"/>
      <c r="C13946" s="12"/>
    </row>
    <row r="13947" spans="2:3">
      <c r="B13947" s="12"/>
      <c r="C13947" s="12"/>
    </row>
    <row r="13948" spans="2:3">
      <c r="B13948" s="12"/>
      <c r="C13948" s="12"/>
    </row>
    <row r="13949" spans="2:3">
      <c r="B13949" s="12"/>
      <c r="C13949" s="12"/>
    </row>
    <row r="13950" spans="2:3">
      <c r="B13950" s="12"/>
      <c r="C13950" s="12"/>
    </row>
    <row r="13951" spans="2:3">
      <c r="B13951" s="12"/>
      <c r="C13951" s="12"/>
    </row>
    <row r="13952" spans="2:3">
      <c r="B13952" s="12"/>
      <c r="C13952" s="12"/>
    </row>
    <row r="13953" spans="2:3">
      <c r="B13953" s="12"/>
      <c r="C13953" s="12"/>
    </row>
    <row r="13954" spans="2:3">
      <c r="B13954" s="12"/>
      <c r="C13954" s="12"/>
    </row>
    <row r="13955" spans="2:3">
      <c r="B13955" s="12"/>
      <c r="C13955" s="12"/>
    </row>
    <row r="13956" spans="2:3">
      <c r="B13956" s="12"/>
      <c r="C13956" s="12"/>
    </row>
    <row r="13957" spans="2:3">
      <c r="B13957" s="12"/>
      <c r="C13957" s="12"/>
    </row>
    <row r="13958" spans="2:3">
      <c r="B13958" s="12"/>
      <c r="C13958" s="12"/>
    </row>
    <row r="13959" spans="2:3">
      <c r="B13959" s="12"/>
      <c r="C13959" s="12"/>
    </row>
    <row r="13960" spans="2:3">
      <c r="B13960" s="12"/>
      <c r="C13960" s="12"/>
    </row>
    <row r="13961" spans="2:3">
      <c r="B13961" s="12"/>
      <c r="C13961" s="12"/>
    </row>
    <row r="13962" spans="2:3">
      <c r="B13962" s="12"/>
      <c r="C13962" s="12"/>
    </row>
    <row r="13963" spans="2:3">
      <c r="B13963" s="12"/>
      <c r="C13963" s="12"/>
    </row>
    <row r="13964" spans="2:3">
      <c r="B13964" s="12"/>
      <c r="C13964" s="12"/>
    </row>
    <row r="13965" spans="2:3">
      <c r="B13965" s="12"/>
      <c r="C13965" s="12"/>
    </row>
    <row r="13966" spans="2:3">
      <c r="B13966" s="12"/>
      <c r="C13966" s="12"/>
    </row>
    <row r="13967" spans="2:3">
      <c r="B13967" s="12"/>
      <c r="C13967" s="12"/>
    </row>
    <row r="13968" spans="2:3">
      <c r="B13968" s="12"/>
      <c r="C13968" s="12"/>
    </row>
    <row r="13969" spans="2:3">
      <c r="B13969" s="12"/>
      <c r="C13969" s="12"/>
    </row>
    <row r="13970" spans="2:3">
      <c r="B13970" s="12"/>
      <c r="C13970" s="12"/>
    </row>
    <row r="13971" spans="2:3">
      <c r="B13971" s="12"/>
      <c r="C13971" s="12"/>
    </row>
    <row r="13972" spans="2:3">
      <c r="B13972" s="12"/>
      <c r="C13972" s="12"/>
    </row>
    <row r="13973" spans="2:3">
      <c r="B13973" s="12"/>
      <c r="C13973" s="12"/>
    </row>
    <row r="13974" spans="2:3">
      <c r="B13974" s="12"/>
      <c r="C13974" s="12"/>
    </row>
    <row r="13975" spans="2:3">
      <c r="B13975" s="12"/>
      <c r="C13975" s="12"/>
    </row>
    <row r="13976" spans="2:3">
      <c r="B13976" s="12"/>
      <c r="C13976" s="12"/>
    </row>
    <row r="13977" spans="2:3">
      <c r="B13977" s="12"/>
      <c r="C13977" s="12"/>
    </row>
    <row r="13978" spans="2:3">
      <c r="B13978" s="12"/>
      <c r="C13978" s="12"/>
    </row>
    <row r="13979" spans="2:3">
      <c r="B13979" s="12"/>
      <c r="C13979" s="12"/>
    </row>
    <row r="13980" spans="2:3">
      <c r="B13980" s="12"/>
      <c r="C13980" s="12"/>
    </row>
    <row r="13981" spans="2:3">
      <c r="B13981" s="12"/>
      <c r="C13981" s="12"/>
    </row>
    <row r="13982" spans="2:3">
      <c r="B13982" s="12"/>
      <c r="C13982" s="12"/>
    </row>
    <row r="13983" spans="2:3">
      <c r="B13983" s="12"/>
      <c r="C13983" s="12"/>
    </row>
    <row r="13984" spans="2:3">
      <c r="B13984" s="12"/>
      <c r="C13984" s="12"/>
    </row>
    <row r="13985" spans="2:3">
      <c r="B13985" s="12"/>
      <c r="C13985" s="12"/>
    </row>
    <row r="13986" spans="2:3">
      <c r="B13986" s="12"/>
      <c r="C13986" s="12"/>
    </row>
    <row r="13987" spans="2:3">
      <c r="B13987" s="12"/>
      <c r="C13987" s="12"/>
    </row>
    <row r="13988" spans="2:3">
      <c r="B13988" s="12"/>
      <c r="C13988" s="12"/>
    </row>
    <row r="13989" spans="2:3">
      <c r="B13989" s="12"/>
      <c r="C13989" s="12"/>
    </row>
    <row r="13990" spans="2:3">
      <c r="B13990" s="12"/>
      <c r="C13990" s="12"/>
    </row>
    <row r="13991" spans="2:3">
      <c r="B13991" s="12"/>
      <c r="C13991" s="12"/>
    </row>
    <row r="13992" spans="2:3">
      <c r="B13992" s="12"/>
      <c r="C13992" s="12"/>
    </row>
    <row r="13993" spans="2:3">
      <c r="B13993" s="12"/>
      <c r="C13993" s="12"/>
    </row>
    <row r="13994" spans="2:3">
      <c r="B13994" s="12"/>
      <c r="C13994" s="12"/>
    </row>
    <row r="13995" spans="2:3">
      <c r="B13995" s="12"/>
      <c r="C13995" s="12"/>
    </row>
    <row r="13996" spans="2:3">
      <c r="B13996" s="12"/>
      <c r="C13996" s="12"/>
    </row>
    <row r="13997" spans="2:3">
      <c r="B13997" s="12"/>
      <c r="C13997" s="12"/>
    </row>
    <row r="13998" spans="2:3">
      <c r="B13998" s="12"/>
      <c r="C13998" s="12"/>
    </row>
    <row r="13999" spans="2:3">
      <c r="B13999" s="12"/>
      <c r="C13999" s="12"/>
    </row>
    <row r="14000" spans="2:3">
      <c r="B14000" s="12"/>
      <c r="C14000" s="12"/>
    </row>
    <row r="14001" spans="2:3">
      <c r="B14001" s="12"/>
      <c r="C14001" s="12"/>
    </row>
    <row r="14002" spans="2:3">
      <c r="B14002" s="12"/>
      <c r="C14002" s="12"/>
    </row>
    <row r="14003" spans="2:3">
      <c r="B14003" s="12"/>
      <c r="C14003" s="12"/>
    </row>
    <row r="14004" spans="2:3">
      <c r="B14004" s="12"/>
      <c r="C14004" s="12"/>
    </row>
    <row r="14005" spans="2:3">
      <c r="B14005" s="12"/>
      <c r="C14005" s="12"/>
    </row>
    <row r="14006" spans="2:3">
      <c r="B14006" s="12"/>
      <c r="C14006" s="12"/>
    </row>
    <row r="14007" spans="2:3">
      <c r="B14007" s="12"/>
      <c r="C14007" s="12"/>
    </row>
    <row r="14008" spans="2:3">
      <c r="B14008" s="12"/>
      <c r="C14008" s="12"/>
    </row>
    <row r="14009" spans="2:3">
      <c r="B14009" s="12"/>
      <c r="C14009" s="12"/>
    </row>
    <row r="14010" spans="2:3">
      <c r="B14010" s="12"/>
      <c r="C14010" s="12"/>
    </row>
    <row r="14011" spans="2:3">
      <c r="B14011" s="12"/>
      <c r="C14011" s="12"/>
    </row>
    <row r="14012" spans="2:3">
      <c r="B14012" s="12"/>
      <c r="C14012" s="12"/>
    </row>
    <row r="14013" spans="2:3">
      <c r="B14013" s="12"/>
      <c r="C14013" s="12"/>
    </row>
    <row r="14014" spans="2:3">
      <c r="B14014" s="12"/>
      <c r="C14014" s="12"/>
    </row>
    <row r="14015" spans="2:3">
      <c r="B14015" s="12"/>
      <c r="C14015" s="12"/>
    </row>
    <row r="14016" spans="2:3">
      <c r="B14016" s="12"/>
      <c r="C14016" s="12"/>
    </row>
    <row r="14017" spans="2:3">
      <c r="B14017" s="12"/>
      <c r="C14017" s="12"/>
    </row>
    <row r="14018" spans="2:3">
      <c r="B14018" s="12"/>
      <c r="C14018" s="12"/>
    </row>
    <row r="14019" spans="2:3">
      <c r="B14019" s="12"/>
      <c r="C14019" s="12"/>
    </row>
    <row r="14020" spans="2:3">
      <c r="B14020" s="12"/>
      <c r="C14020" s="12"/>
    </row>
    <row r="14021" spans="2:3">
      <c r="B14021" s="12"/>
      <c r="C14021" s="12"/>
    </row>
    <row r="14022" spans="2:3">
      <c r="B14022" s="12"/>
      <c r="C14022" s="12"/>
    </row>
    <row r="14023" spans="2:3">
      <c r="B14023" s="12"/>
      <c r="C14023" s="12"/>
    </row>
    <row r="14024" spans="2:3">
      <c r="B14024" s="12"/>
      <c r="C14024" s="12"/>
    </row>
    <row r="14025" spans="2:3">
      <c r="B14025" s="12"/>
      <c r="C14025" s="12"/>
    </row>
    <row r="14026" spans="2:3">
      <c r="B14026" s="12"/>
      <c r="C14026" s="12"/>
    </row>
    <row r="14027" spans="2:3">
      <c r="B14027" s="12"/>
      <c r="C14027" s="12"/>
    </row>
    <row r="14028" spans="2:3">
      <c r="B14028" s="12"/>
      <c r="C14028" s="12"/>
    </row>
    <row r="14029" spans="2:3">
      <c r="B14029" s="12"/>
      <c r="C14029" s="12"/>
    </row>
    <row r="14030" spans="2:3">
      <c r="B14030" s="12"/>
      <c r="C14030" s="12"/>
    </row>
    <row r="14031" spans="2:3">
      <c r="B14031" s="12"/>
      <c r="C14031" s="12"/>
    </row>
    <row r="14032" spans="2:3">
      <c r="B14032" s="12"/>
      <c r="C14032" s="12"/>
    </row>
    <row r="14033" spans="2:3">
      <c r="B14033" s="12"/>
      <c r="C14033" s="12"/>
    </row>
    <row r="14034" spans="2:3">
      <c r="B14034" s="12"/>
      <c r="C14034" s="12"/>
    </row>
    <row r="14035" spans="2:3">
      <c r="B14035" s="12"/>
      <c r="C14035" s="12"/>
    </row>
    <row r="14036" spans="2:3">
      <c r="B14036" s="12"/>
      <c r="C14036" s="12"/>
    </row>
    <row r="14037" spans="2:3">
      <c r="B14037" s="12"/>
      <c r="C14037" s="12"/>
    </row>
    <row r="14038" spans="2:3">
      <c r="B14038" s="12"/>
      <c r="C14038" s="12"/>
    </row>
    <row r="14039" spans="2:3">
      <c r="B14039" s="12"/>
      <c r="C14039" s="12"/>
    </row>
    <row r="14040" spans="2:3">
      <c r="B14040" s="12"/>
      <c r="C14040" s="12"/>
    </row>
    <row r="14041" spans="2:3">
      <c r="B14041" s="12"/>
      <c r="C14041" s="12"/>
    </row>
    <row r="14042" spans="2:3">
      <c r="B14042" s="12"/>
      <c r="C14042" s="12"/>
    </row>
    <row r="14043" spans="2:3">
      <c r="B14043" s="12"/>
      <c r="C14043" s="12"/>
    </row>
    <row r="14044" spans="2:3">
      <c r="B14044" s="12"/>
      <c r="C14044" s="12"/>
    </row>
    <row r="14045" spans="2:3">
      <c r="B14045" s="12"/>
      <c r="C14045" s="12"/>
    </row>
    <row r="14046" spans="2:3">
      <c r="B14046" s="12"/>
      <c r="C14046" s="12"/>
    </row>
    <row r="14047" spans="2:3">
      <c r="B14047" s="12"/>
      <c r="C14047" s="12"/>
    </row>
    <row r="14048" spans="2:3">
      <c r="B14048" s="12"/>
      <c r="C14048" s="12"/>
    </row>
    <row r="14049" spans="2:3">
      <c r="B14049" s="12"/>
      <c r="C14049" s="12"/>
    </row>
    <row r="14050" spans="2:3">
      <c r="B14050" s="12"/>
      <c r="C14050" s="12"/>
    </row>
    <row r="14051" spans="2:3">
      <c r="B14051" s="12"/>
      <c r="C14051" s="12"/>
    </row>
    <row r="14052" spans="2:3">
      <c r="B14052" s="12"/>
      <c r="C14052" s="12"/>
    </row>
    <row r="14053" spans="2:3">
      <c r="B14053" s="12"/>
      <c r="C14053" s="12"/>
    </row>
    <row r="14054" spans="2:3">
      <c r="B14054" s="12"/>
      <c r="C14054" s="12"/>
    </row>
    <row r="14055" spans="2:3">
      <c r="B14055" s="12"/>
      <c r="C14055" s="12"/>
    </row>
    <row r="14056" spans="2:3">
      <c r="B14056" s="12"/>
      <c r="C14056" s="12"/>
    </row>
    <row r="14057" spans="2:3">
      <c r="B14057" s="12"/>
      <c r="C14057" s="12"/>
    </row>
    <row r="14058" spans="2:3">
      <c r="B14058" s="12"/>
      <c r="C14058" s="12"/>
    </row>
    <row r="14059" spans="2:3">
      <c r="B14059" s="12"/>
      <c r="C14059" s="12"/>
    </row>
    <row r="14060" spans="2:3">
      <c r="B14060" s="12"/>
      <c r="C14060" s="12"/>
    </row>
    <row r="14061" spans="2:3">
      <c r="B14061" s="12"/>
      <c r="C14061" s="12"/>
    </row>
    <row r="14062" spans="2:3">
      <c r="B14062" s="12"/>
      <c r="C14062" s="12"/>
    </row>
    <row r="14063" spans="2:3">
      <c r="B14063" s="12"/>
      <c r="C14063" s="12"/>
    </row>
    <row r="14064" spans="2:3">
      <c r="B14064" s="12"/>
      <c r="C14064" s="12"/>
    </row>
    <row r="14065" spans="2:3">
      <c r="B14065" s="12"/>
      <c r="C14065" s="12"/>
    </row>
    <row r="14066" spans="2:3">
      <c r="B14066" s="12"/>
      <c r="C14066" s="12"/>
    </row>
    <row r="14067" spans="2:3">
      <c r="B14067" s="12"/>
      <c r="C14067" s="12"/>
    </row>
    <row r="14068" spans="2:3">
      <c r="B14068" s="12"/>
      <c r="C14068" s="12"/>
    </row>
    <row r="14069" spans="2:3">
      <c r="B14069" s="12"/>
      <c r="C14069" s="12"/>
    </row>
    <row r="14070" spans="2:3">
      <c r="B14070" s="12"/>
      <c r="C14070" s="12"/>
    </row>
    <row r="14071" spans="2:3">
      <c r="B14071" s="12"/>
      <c r="C14071" s="12"/>
    </row>
    <row r="14072" spans="2:3">
      <c r="B14072" s="12"/>
      <c r="C14072" s="12"/>
    </row>
    <row r="14073" spans="2:3">
      <c r="B14073" s="12"/>
      <c r="C14073" s="12"/>
    </row>
    <row r="14074" spans="2:3">
      <c r="B14074" s="12"/>
      <c r="C14074" s="12"/>
    </row>
    <row r="14075" spans="2:3">
      <c r="B14075" s="12"/>
      <c r="C14075" s="12"/>
    </row>
    <row r="14076" spans="2:3">
      <c r="B14076" s="12"/>
      <c r="C14076" s="12"/>
    </row>
    <row r="14077" spans="2:3">
      <c r="B14077" s="12"/>
      <c r="C14077" s="12"/>
    </row>
    <row r="14078" spans="2:3">
      <c r="B14078" s="12"/>
      <c r="C14078" s="12"/>
    </row>
    <row r="14079" spans="2:3">
      <c r="B14079" s="12"/>
      <c r="C14079" s="12"/>
    </row>
    <row r="14080" spans="2:3">
      <c r="B14080" s="12"/>
      <c r="C14080" s="12"/>
    </row>
    <row r="14081" spans="2:3">
      <c r="B14081" s="12"/>
      <c r="C14081" s="12"/>
    </row>
    <row r="14082" spans="2:3">
      <c r="B14082" s="12"/>
      <c r="C14082" s="12"/>
    </row>
    <row r="14083" spans="2:3">
      <c r="B14083" s="12"/>
      <c r="C14083" s="12"/>
    </row>
    <row r="14084" spans="2:3">
      <c r="B14084" s="12"/>
      <c r="C14084" s="12"/>
    </row>
    <row r="14085" spans="2:3">
      <c r="B14085" s="12"/>
      <c r="C14085" s="12"/>
    </row>
    <row r="14086" spans="2:3">
      <c r="B14086" s="12"/>
      <c r="C14086" s="12"/>
    </row>
    <row r="14087" spans="2:3">
      <c r="B14087" s="12"/>
      <c r="C14087" s="12"/>
    </row>
    <row r="14088" spans="2:3">
      <c r="B14088" s="12"/>
      <c r="C14088" s="12"/>
    </row>
    <row r="14089" spans="2:3">
      <c r="B14089" s="12"/>
      <c r="C14089" s="12"/>
    </row>
    <row r="14090" spans="2:3">
      <c r="B14090" s="12"/>
      <c r="C14090" s="12"/>
    </row>
    <row r="14091" spans="2:3">
      <c r="B14091" s="12"/>
      <c r="C14091" s="12"/>
    </row>
    <row r="14092" spans="2:3">
      <c r="B14092" s="12"/>
      <c r="C14092" s="12"/>
    </row>
    <row r="14093" spans="2:3">
      <c r="B14093" s="12"/>
      <c r="C14093" s="12"/>
    </row>
    <row r="14094" spans="2:3">
      <c r="B14094" s="12"/>
      <c r="C14094" s="12"/>
    </row>
    <row r="14095" spans="2:3">
      <c r="B14095" s="12"/>
      <c r="C14095" s="12"/>
    </row>
    <row r="14096" spans="2:3">
      <c r="B14096" s="12"/>
      <c r="C14096" s="12"/>
    </row>
    <row r="14097" spans="2:3">
      <c r="B14097" s="12"/>
      <c r="C14097" s="12"/>
    </row>
    <row r="14098" spans="2:3">
      <c r="B14098" s="12"/>
      <c r="C14098" s="12"/>
    </row>
    <row r="14099" spans="2:3">
      <c r="B14099" s="12"/>
      <c r="C14099" s="12"/>
    </row>
    <row r="14100" spans="2:3">
      <c r="B14100" s="12"/>
      <c r="C14100" s="12"/>
    </row>
    <row r="14101" spans="2:3">
      <c r="B14101" s="12"/>
      <c r="C14101" s="12"/>
    </row>
    <row r="14102" spans="2:3">
      <c r="B14102" s="12"/>
      <c r="C14102" s="12"/>
    </row>
    <row r="14103" spans="2:3">
      <c r="B14103" s="12"/>
      <c r="C14103" s="12"/>
    </row>
    <row r="14104" spans="2:3">
      <c r="B14104" s="12"/>
      <c r="C14104" s="12"/>
    </row>
    <row r="14105" spans="2:3">
      <c r="B14105" s="12"/>
      <c r="C14105" s="12"/>
    </row>
    <row r="14106" spans="2:3">
      <c r="B14106" s="12"/>
      <c r="C14106" s="12"/>
    </row>
    <row r="14107" spans="2:3">
      <c r="B14107" s="12"/>
      <c r="C14107" s="12"/>
    </row>
    <row r="14108" spans="2:3">
      <c r="B14108" s="12"/>
      <c r="C14108" s="12"/>
    </row>
    <row r="14109" spans="2:3">
      <c r="B14109" s="12"/>
      <c r="C14109" s="12"/>
    </row>
    <row r="14110" spans="2:3">
      <c r="B14110" s="12"/>
      <c r="C14110" s="12"/>
    </row>
    <row r="14111" spans="2:3">
      <c r="B14111" s="12"/>
      <c r="C14111" s="12"/>
    </row>
    <row r="14112" spans="2:3">
      <c r="B14112" s="12"/>
      <c r="C14112" s="12"/>
    </row>
    <row r="14113" spans="2:3">
      <c r="B14113" s="12"/>
      <c r="C14113" s="12"/>
    </row>
    <row r="14114" spans="2:3">
      <c r="B14114" s="12"/>
      <c r="C14114" s="12"/>
    </row>
    <row r="14115" spans="2:3">
      <c r="B14115" s="12"/>
      <c r="C14115" s="12"/>
    </row>
    <row r="14116" spans="2:3">
      <c r="B14116" s="12"/>
      <c r="C14116" s="12"/>
    </row>
    <row r="14117" spans="2:3">
      <c r="B14117" s="12"/>
      <c r="C14117" s="12"/>
    </row>
    <row r="14118" spans="2:3">
      <c r="B14118" s="12"/>
      <c r="C14118" s="12"/>
    </row>
    <row r="14119" spans="2:3">
      <c r="B14119" s="12"/>
      <c r="C14119" s="12"/>
    </row>
    <row r="14120" spans="2:3">
      <c r="B14120" s="12"/>
      <c r="C14120" s="12"/>
    </row>
    <row r="14121" spans="2:3">
      <c r="B14121" s="12"/>
      <c r="C14121" s="12"/>
    </row>
    <row r="14122" spans="2:3">
      <c r="B14122" s="12"/>
      <c r="C14122" s="12"/>
    </row>
    <row r="14123" spans="2:3">
      <c r="B14123" s="12"/>
      <c r="C14123" s="12"/>
    </row>
    <row r="14124" spans="2:3">
      <c r="B14124" s="12"/>
      <c r="C14124" s="12"/>
    </row>
    <row r="14125" spans="2:3">
      <c r="B14125" s="12"/>
      <c r="C14125" s="12"/>
    </row>
    <row r="14126" spans="2:3">
      <c r="B14126" s="12"/>
      <c r="C14126" s="12"/>
    </row>
    <row r="14127" spans="2:3">
      <c r="B14127" s="12"/>
      <c r="C14127" s="12"/>
    </row>
    <row r="14128" spans="2:3">
      <c r="B14128" s="12"/>
      <c r="C14128" s="12"/>
    </row>
    <row r="14129" spans="2:3">
      <c r="B14129" s="12"/>
      <c r="C14129" s="12"/>
    </row>
    <row r="14130" spans="2:3">
      <c r="B14130" s="12"/>
      <c r="C14130" s="12"/>
    </row>
    <row r="14131" spans="2:3">
      <c r="B14131" s="12"/>
      <c r="C14131" s="12"/>
    </row>
    <row r="14132" spans="2:3">
      <c r="B14132" s="12"/>
      <c r="C14132" s="12"/>
    </row>
    <row r="14133" spans="2:3">
      <c r="B14133" s="12"/>
      <c r="C14133" s="12"/>
    </row>
    <row r="14134" spans="2:3">
      <c r="B14134" s="12"/>
      <c r="C14134" s="12"/>
    </row>
    <row r="14135" spans="2:3">
      <c r="B14135" s="12"/>
      <c r="C14135" s="12"/>
    </row>
    <row r="14136" spans="2:3">
      <c r="B14136" s="12"/>
      <c r="C14136" s="12"/>
    </row>
    <row r="14137" spans="2:3">
      <c r="B14137" s="12"/>
      <c r="C14137" s="12"/>
    </row>
    <row r="14138" spans="2:3">
      <c r="B14138" s="12"/>
      <c r="C14138" s="12"/>
    </row>
    <row r="14139" spans="2:3">
      <c r="B14139" s="12"/>
      <c r="C14139" s="12"/>
    </row>
    <row r="14140" spans="2:3">
      <c r="B14140" s="12"/>
      <c r="C14140" s="12"/>
    </row>
    <row r="14141" spans="2:3">
      <c r="B14141" s="12"/>
      <c r="C14141" s="12"/>
    </row>
    <row r="14142" spans="2:3">
      <c r="B14142" s="12"/>
      <c r="C14142" s="12"/>
    </row>
    <row r="14143" spans="2:3">
      <c r="B14143" s="12"/>
      <c r="C14143" s="12"/>
    </row>
    <row r="14144" spans="2:3">
      <c r="B14144" s="12"/>
      <c r="C14144" s="12"/>
    </row>
    <row r="14145" spans="2:3">
      <c r="B14145" s="12"/>
      <c r="C14145" s="12"/>
    </row>
    <row r="14146" spans="2:3">
      <c r="B14146" s="12"/>
      <c r="C14146" s="12"/>
    </row>
    <row r="14147" spans="2:3">
      <c r="B14147" s="12"/>
      <c r="C14147" s="12"/>
    </row>
    <row r="14148" spans="2:3">
      <c r="B14148" s="12"/>
      <c r="C14148" s="12"/>
    </row>
    <row r="14149" spans="2:3">
      <c r="B14149" s="12"/>
      <c r="C14149" s="12"/>
    </row>
    <row r="14150" spans="2:3">
      <c r="B14150" s="12"/>
      <c r="C14150" s="12"/>
    </row>
    <row r="14151" spans="2:3">
      <c r="B14151" s="12"/>
      <c r="C14151" s="12"/>
    </row>
    <row r="14152" spans="2:3">
      <c r="B14152" s="12"/>
      <c r="C14152" s="12"/>
    </row>
    <row r="14153" spans="2:3">
      <c r="B14153" s="12"/>
      <c r="C14153" s="12"/>
    </row>
    <row r="14154" spans="2:3">
      <c r="B14154" s="12"/>
      <c r="C14154" s="12"/>
    </row>
    <row r="14155" spans="2:3">
      <c r="B14155" s="12"/>
      <c r="C14155" s="12"/>
    </row>
    <row r="14156" spans="2:3">
      <c r="B14156" s="12"/>
      <c r="C14156" s="12"/>
    </row>
    <row r="14157" spans="2:3">
      <c r="B14157" s="12"/>
      <c r="C14157" s="12"/>
    </row>
    <row r="14158" spans="2:3">
      <c r="B14158" s="12"/>
      <c r="C14158" s="12"/>
    </row>
    <row r="14159" spans="2:3">
      <c r="B14159" s="12"/>
      <c r="C14159" s="12"/>
    </row>
    <row r="14160" spans="2:3">
      <c r="B14160" s="12"/>
      <c r="C14160" s="12"/>
    </row>
    <row r="14161" spans="2:3">
      <c r="B14161" s="12"/>
      <c r="C14161" s="12"/>
    </row>
    <row r="14162" spans="2:3">
      <c r="B14162" s="12"/>
      <c r="C14162" s="12"/>
    </row>
    <row r="14163" spans="2:3">
      <c r="B14163" s="12"/>
      <c r="C14163" s="12"/>
    </row>
    <row r="14164" spans="2:3">
      <c r="B14164" s="12"/>
      <c r="C14164" s="12"/>
    </row>
    <row r="14165" spans="2:3">
      <c r="B14165" s="12"/>
      <c r="C14165" s="12"/>
    </row>
    <row r="14166" spans="2:3">
      <c r="B14166" s="12"/>
      <c r="C14166" s="12"/>
    </row>
    <row r="14167" spans="2:3">
      <c r="B14167" s="12"/>
      <c r="C14167" s="12"/>
    </row>
    <row r="14168" spans="2:3">
      <c r="B14168" s="12"/>
      <c r="C14168" s="12"/>
    </row>
    <row r="14169" spans="2:3">
      <c r="B14169" s="12"/>
      <c r="C14169" s="12"/>
    </row>
    <row r="14170" spans="2:3">
      <c r="B14170" s="12"/>
      <c r="C14170" s="12"/>
    </row>
    <row r="14171" spans="2:3">
      <c r="B14171" s="12"/>
      <c r="C14171" s="12"/>
    </row>
    <row r="14172" spans="2:3">
      <c r="B14172" s="12"/>
      <c r="C14172" s="12"/>
    </row>
    <row r="14173" spans="2:3">
      <c r="B14173" s="12"/>
      <c r="C14173" s="12"/>
    </row>
    <row r="14174" spans="2:3">
      <c r="B14174" s="12"/>
      <c r="C14174" s="12"/>
    </row>
    <row r="14175" spans="2:3">
      <c r="B14175" s="12"/>
      <c r="C14175" s="12"/>
    </row>
    <row r="14176" spans="2:3">
      <c r="B14176" s="12"/>
      <c r="C14176" s="12"/>
    </row>
    <row r="14177" spans="2:3">
      <c r="B14177" s="12"/>
      <c r="C14177" s="12"/>
    </row>
    <row r="14178" spans="2:3">
      <c r="B14178" s="12"/>
      <c r="C14178" s="12"/>
    </row>
    <row r="14179" spans="2:3">
      <c r="B14179" s="12"/>
      <c r="C14179" s="12"/>
    </row>
    <row r="14180" spans="2:3">
      <c r="B14180" s="12"/>
      <c r="C14180" s="12"/>
    </row>
    <row r="14181" spans="2:3">
      <c r="B14181" s="12"/>
      <c r="C14181" s="12"/>
    </row>
    <row r="14182" spans="2:3">
      <c r="B14182" s="12"/>
      <c r="C14182" s="12"/>
    </row>
    <row r="14183" spans="2:3">
      <c r="B14183" s="12"/>
      <c r="C14183" s="12"/>
    </row>
    <row r="14184" spans="2:3">
      <c r="B14184" s="12"/>
      <c r="C14184" s="12"/>
    </row>
    <row r="14185" spans="2:3">
      <c r="B14185" s="12"/>
      <c r="C14185" s="12"/>
    </row>
    <row r="14186" spans="2:3">
      <c r="B14186" s="12"/>
      <c r="C14186" s="12"/>
    </row>
    <row r="14187" spans="2:3">
      <c r="B14187" s="12"/>
      <c r="C14187" s="12"/>
    </row>
    <row r="14188" spans="2:3">
      <c r="B14188" s="12"/>
      <c r="C14188" s="12"/>
    </row>
    <row r="14189" spans="2:3">
      <c r="B14189" s="12"/>
      <c r="C14189" s="12"/>
    </row>
    <row r="14190" spans="2:3">
      <c r="B14190" s="12"/>
      <c r="C14190" s="12"/>
    </row>
    <row r="14191" spans="2:3">
      <c r="B14191" s="12"/>
      <c r="C14191" s="12"/>
    </row>
    <row r="14192" spans="2:3">
      <c r="B14192" s="12"/>
      <c r="C14192" s="12"/>
    </row>
    <row r="14193" spans="2:3">
      <c r="B14193" s="12"/>
      <c r="C14193" s="12"/>
    </row>
    <row r="14194" spans="2:3">
      <c r="B14194" s="12"/>
      <c r="C14194" s="12"/>
    </row>
    <row r="14195" spans="2:3">
      <c r="B14195" s="12"/>
      <c r="C14195" s="12"/>
    </row>
    <row r="14196" spans="2:3">
      <c r="B14196" s="12"/>
      <c r="C14196" s="12"/>
    </row>
    <row r="14197" spans="2:3">
      <c r="B14197" s="12"/>
      <c r="C14197" s="12"/>
    </row>
    <row r="14198" spans="2:3">
      <c r="B14198" s="12"/>
      <c r="C14198" s="12"/>
    </row>
    <row r="14199" spans="2:3">
      <c r="B14199" s="12"/>
      <c r="C14199" s="12"/>
    </row>
    <row r="14200" spans="2:3">
      <c r="B14200" s="12"/>
      <c r="C14200" s="12"/>
    </row>
    <row r="14201" spans="2:3">
      <c r="B14201" s="12"/>
      <c r="C14201" s="12"/>
    </row>
    <row r="14202" spans="2:3">
      <c r="B14202" s="12"/>
      <c r="C14202" s="12"/>
    </row>
    <row r="14203" spans="2:3">
      <c r="B14203" s="12"/>
      <c r="C14203" s="12"/>
    </row>
    <row r="14204" spans="2:3">
      <c r="B14204" s="12"/>
      <c r="C14204" s="12"/>
    </row>
    <row r="14205" spans="2:3">
      <c r="B14205" s="12"/>
      <c r="C14205" s="12"/>
    </row>
    <row r="14206" spans="2:3">
      <c r="B14206" s="12"/>
      <c r="C14206" s="12"/>
    </row>
    <row r="14207" spans="2:3">
      <c r="B14207" s="12"/>
      <c r="C14207" s="12"/>
    </row>
    <row r="14208" spans="2:3">
      <c r="B14208" s="12"/>
      <c r="C14208" s="12"/>
    </row>
    <row r="14209" spans="2:3">
      <c r="B14209" s="12"/>
      <c r="C14209" s="12"/>
    </row>
    <row r="14210" spans="2:3">
      <c r="B14210" s="12"/>
      <c r="C14210" s="12"/>
    </row>
    <row r="14211" spans="2:3">
      <c r="B14211" s="12"/>
      <c r="C14211" s="12"/>
    </row>
    <row r="14212" spans="2:3">
      <c r="B14212" s="12"/>
      <c r="C14212" s="12"/>
    </row>
    <row r="14213" spans="2:3">
      <c r="B14213" s="12"/>
      <c r="C14213" s="12"/>
    </row>
    <row r="14214" spans="2:3">
      <c r="B14214" s="12"/>
      <c r="C14214" s="12"/>
    </row>
    <row r="14215" spans="2:3">
      <c r="B14215" s="12"/>
      <c r="C14215" s="12"/>
    </row>
    <row r="14216" spans="2:3">
      <c r="B14216" s="12"/>
      <c r="C14216" s="12"/>
    </row>
    <row r="14217" spans="2:3">
      <c r="B14217" s="12"/>
      <c r="C14217" s="12"/>
    </row>
    <row r="14218" spans="2:3">
      <c r="B14218" s="12"/>
      <c r="C14218" s="12"/>
    </row>
    <row r="14219" spans="2:3">
      <c r="B14219" s="12"/>
      <c r="C14219" s="12"/>
    </row>
    <row r="14220" spans="2:3">
      <c r="B14220" s="12"/>
      <c r="C14220" s="12"/>
    </row>
    <row r="14221" spans="2:3">
      <c r="B14221" s="12"/>
      <c r="C14221" s="12"/>
    </row>
    <row r="14222" spans="2:3">
      <c r="B14222" s="12"/>
      <c r="C14222" s="12"/>
    </row>
    <row r="14223" spans="2:3">
      <c r="B14223" s="12"/>
      <c r="C14223" s="12"/>
    </row>
    <row r="14224" spans="2:3">
      <c r="B14224" s="12"/>
      <c r="C14224" s="12"/>
    </row>
    <row r="14225" spans="2:3">
      <c r="B14225" s="12"/>
      <c r="C14225" s="12"/>
    </row>
    <row r="14226" spans="2:3">
      <c r="B14226" s="12"/>
      <c r="C14226" s="12"/>
    </row>
    <row r="14227" spans="2:3">
      <c r="B14227" s="12"/>
      <c r="C14227" s="12"/>
    </row>
    <row r="14228" spans="2:3">
      <c r="B14228" s="12"/>
      <c r="C14228" s="12"/>
    </row>
    <row r="14229" spans="2:3">
      <c r="B14229" s="12"/>
      <c r="C14229" s="12"/>
    </row>
    <row r="14230" spans="2:3">
      <c r="B14230" s="12"/>
      <c r="C14230" s="12"/>
    </row>
    <row r="14231" spans="2:3">
      <c r="B14231" s="12"/>
      <c r="C14231" s="12"/>
    </row>
    <row r="14232" spans="2:3">
      <c r="B14232" s="12"/>
      <c r="C14232" s="12"/>
    </row>
    <row r="14233" spans="2:3">
      <c r="B14233" s="12"/>
      <c r="C14233" s="12"/>
    </row>
    <row r="14234" spans="2:3">
      <c r="B14234" s="12"/>
      <c r="C14234" s="12"/>
    </row>
    <row r="14235" spans="2:3">
      <c r="B14235" s="12"/>
      <c r="C14235" s="12"/>
    </row>
    <row r="14236" spans="2:3">
      <c r="B14236" s="12"/>
      <c r="C14236" s="12"/>
    </row>
    <row r="14237" spans="2:3">
      <c r="B14237" s="12"/>
      <c r="C14237" s="12"/>
    </row>
    <row r="14238" spans="2:3">
      <c r="B14238" s="12"/>
      <c r="C14238" s="12"/>
    </row>
    <row r="14239" spans="2:3">
      <c r="B14239" s="12"/>
      <c r="C14239" s="12"/>
    </row>
    <row r="14240" spans="2:3">
      <c r="B14240" s="12"/>
      <c r="C14240" s="12"/>
    </row>
    <row r="14241" spans="2:3">
      <c r="B14241" s="12"/>
      <c r="C14241" s="12"/>
    </row>
    <row r="14242" spans="2:3">
      <c r="B14242" s="12"/>
      <c r="C14242" s="12"/>
    </row>
    <row r="14243" spans="2:3">
      <c r="B14243" s="12"/>
      <c r="C14243" s="12"/>
    </row>
    <row r="14244" spans="2:3">
      <c r="B14244" s="12"/>
      <c r="C14244" s="12"/>
    </row>
    <row r="14245" spans="2:3">
      <c r="B14245" s="12"/>
      <c r="C14245" s="12"/>
    </row>
    <row r="14246" spans="2:3">
      <c r="B14246" s="12"/>
      <c r="C14246" s="12"/>
    </row>
    <row r="14247" spans="2:3">
      <c r="B14247" s="12"/>
      <c r="C14247" s="12"/>
    </row>
    <row r="14248" spans="2:3">
      <c r="B14248" s="12"/>
      <c r="C14248" s="12"/>
    </row>
    <row r="14249" spans="2:3">
      <c r="B14249" s="12"/>
      <c r="C14249" s="12"/>
    </row>
    <row r="14250" spans="2:3">
      <c r="B14250" s="12"/>
      <c r="C14250" s="12"/>
    </row>
    <row r="14251" spans="2:3">
      <c r="B14251" s="12"/>
      <c r="C14251" s="12"/>
    </row>
    <row r="14252" spans="2:3">
      <c r="B14252" s="12"/>
      <c r="C14252" s="12"/>
    </row>
    <row r="14253" spans="2:3">
      <c r="B14253" s="12"/>
      <c r="C14253" s="12"/>
    </row>
    <row r="14254" spans="2:3">
      <c r="B14254" s="12"/>
      <c r="C14254" s="12"/>
    </row>
    <row r="14255" spans="2:3">
      <c r="B14255" s="12"/>
      <c r="C14255" s="12"/>
    </row>
    <row r="14256" spans="2:3">
      <c r="B14256" s="12"/>
      <c r="C14256" s="12"/>
    </row>
    <row r="14257" spans="2:3">
      <c r="B14257" s="12"/>
      <c r="C14257" s="12"/>
    </row>
    <row r="14258" spans="2:3">
      <c r="B14258" s="12"/>
      <c r="C14258" s="12"/>
    </row>
    <row r="14259" spans="2:3">
      <c r="B14259" s="12"/>
      <c r="C14259" s="12"/>
    </row>
    <row r="14260" spans="2:3">
      <c r="B14260" s="12"/>
      <c r="C14260" s="12"/>
    </row>
    <row r="14261" spans="2:3">
      <c r="B14261" s="12"/>
      <c r="C14261" s="12"/>
    </row>
    <row r="14262" spans="2:3">
      <c r="B14262" s="12"/>
      <c r="C14262" s="12"/>
    </row>
    <row r="14263" spans="2:3">
      <c r="B14263" s="12"/>
      <c r="C14263" s="12"/>
    </row>
    <row r="14264" spans="2:3">
      <c r="B14264" s="12"/>
      <c r="C14264" s="12"/>
    </row>
    <row r="14265" spans="2:3">
      <c r="B14265" s="12"/>
      <c r="C14265" s="12"/>
    </row>
    <row r="14266" spans="2:3">
      <c r="B14266" s="12"/>
      <c r="C14266" s="12"/>
    </row>
    <row r="14267" spans="2:3">
      <c r="B14267" s="12"/>
      <c r="C14267" s="12"/>
    </row>
    <row r="14268" spans="2:3">
      <c r="B14268" s="12"/>
      <c r="C14268" s="12"/>
    </row>
    <row r="14269" spans="2:3">
      <c r="B14269" s="12"/>
      <c r="C14269" s="12"/>
    </row>
    <row r="14270" spans="2:3">
      <c r="B14270" s="12"/>
      <c r="C14270" s="12"/>
    </row>
    <row r="14271" spans="2:3">
      <c r="B14271" s="12"/>
      <c r="C14271" s="12"/>
    </row>
    <row r="14272" spans="2:3">
      <c r="B14272" s="12"/>
      <c r="C14272" s="12"/>
    </row>
    <row r="14273" spans="2:3">
      <c r="B14273" s="12"/>
      <c r="C14273" s="12"/>
    </row>
    <row r="14274" spans="2:3">
      <c r="B14274" s="12"/>
      <c r="C14274" s="12"/>
    </row>
    <row r="14275" spans="2:3">
      <c r="B14275" s="12"/>
      <c r="C14275" s="12"/>
    </row>
    <row r="14276" spans="2:3">
      <c r="B14276" s="12"/>
      <c r="C14276" s="12"/>
    </row>
    <row r="14277" spans="2:3">
      <c r="B14277" s="12"/>
      <c r="C14277" s="12"/>
    </row>
    <row r="14278" spans="2:3">
      <c r="B14278" s="12"/>
      <c r="C14278" s="12"/>
    </row>
    <row r="14279" spans="2:3">
      <c r="B14279" s="12"/>
      <c r="C14279" s="12"/>
    </row>
    <row r="14280" spans="2:3">
      <c r="B14280" s="12"/>
      <c r="C14280" s="12"/>
    </row>
    <row r="14281" spans="2:3">
      <c r="B14281" s="12"/>
      <c r="C14281" s="12"/>
    </row>
    <row r="14282" spans="2:3">
      <c r="B14282" s="12"/>
      <c r="C14282" s="12"/>
    </row>
    <row r="14283" spans="2:3">
      <c r="B14283" s="12"/>
      <c r="C14283" s="12"/>
    </row>
    <row r="14284" spans="2:3">
      <c r="B14284" s="12"/>
      <c r="C14284" s="12"/>
    </row>
    <row r="14285" spans="2:3">
      <c r="B14285" s="12"/>
      <c r="C14285" s="12"/>
    </row>
    <row r="14286" spans="2:3">
      <c r="B14286" s="12"/>
      <c r="C14286" s="12"/>
    </row>
    <row r="14287" spans="2:3">
      <c r="B14287" s="12"/>
      <c r="C14287" s="12"/>
    </row>
    <row r="14288" spans="2:3">
      <c r="B14288" s="12"/>
      <c r="C14288" s="12"/>
    </row>
    <row r="14289" spans="2:3">
      <c r="B14289" s="12"/>
      <c r="C14289" s="12"/>
    </row>
    <row r="14290" spans="2:3">
      <c r="B14290" s="12"/>
      <c r="C14290" s="12"/>
    </row>
    <row r="14291" spans="2:3">
      <c r="B14291" s="12"/>
      <c r="C14291" s="12"/>
    </row>
    <row r="14292" spans="2:3">
      <c r="B14292" s="12"/>
      <c r="C14292" s="12"/>
    </row>
    <row r="14293" spans="2:3">
      <c r="B14293" s="12"/>
      <c r="C14293" s="12"/>
    </row>
    <row r="14294" spans="2:3">
      <c r="B14294" s="12"/>
      <c r="C14294" s="12"/>
    </row>
    <row r="14295" spans="2:3">
      <c r="B14295" s="12"/>
      <c r="C14295" s="12"/>
    </row>
    <row r="14296" spans="2:3">
      <c r="B14296" s="12"/>
      <c r="C14296" s="12"/>
    </row>
    <row r="14297" spans="2:3">
      <c r="B14297" s="12"/>
      <c r="C14297" s="12"/>
    </row>
    <row r="14298" spans="2:3">
      <c r="B14298" s="12"/>
      <c r="C14298" s="12"/>
    </row>
    <row r="14299" spans="2:3">
      <c r="B14299" s="12"/>
      <c r="C14299" s="12"/>
    </row>
    <row r="14300" spans="2:3">
      <c r="B14300" s="12"/>
      <c r="C14300" s="12"/>
    </row>
    <row r="14301" spans="2:3">
      <c r="B14301" s="12"/>
      <c r="C14301" s="12"/>
    </row>
    <row r="14302" spans="2:3">
      <c r="B14302" s="12"/>
      <c r="C14302" s="12"/>
    </row>
    <row r="14303" spans="2:3">
      <c r="B14303" s="12"/>
      <c r="C14303" s="12"/>
    </row>
    <row r="14304" spans="2:3">
      <c r="B14304" s="12"/>
      <c r="C14304" s="12"/>
    </row>
    <row r="14305" spans="2:3">
      <c r="B14305" s="12"/>
      <c r="C14305" s="12"/>
    </row>
    <row r="14306" spans="2:3">
      <c r="B14306" s="12"/>
      <c r="C14306" s="12"/>
    </row>
    <row r="14307" spans="2:3">
      <c r="B14307" s="12"/>
      <c r="C14307" s="12"/>
    </row>
    <row r="14308" spans="2:3">
      <c r="B14308" s="12"/>
      <c r="C14308" s="12"/>
    </row>
    <row r="14309" spans="2:3">
      <c r="B14309" s="12"/>
      <c r="C14309" s="12"/>
    </row>
    <row r="14310" spans="2:3">
      <c r="B14310" s="12"/>
      <c r="C14310" s="12"/>
    </row>
    <row r="14311" spans="2:3">
      <c r="B14311" s="12"/>
      <c r="C14311" s="12"/>
    </row>
    <row r="14312" spans="2:3">
      <c r="B14312" s="12"/>
      <c r="C14312" s="12"/>
    </row>
    <row r="14313" spans="2:3">
      <c r="B14313" s="12"/>
      <c r="C14313" s="12"/>
    </row>
    <row r="14314" spans="2:3">
      <c r="B14314" s="12"/>
      <c r="C14314" s="12"/>
    </row>
    <row r="14315" spans="2:3">
      <c r="B14315" s="12"/>
      <c r="C14315" s="12"/>
    </row>
    <row r="14316" spans="2:3">
      <c r="B14316" s="12"/>
      <c r="C14316" s="12"/>
    </row>
    <row r="14317" spans="2:3">
      <c r="B14317" s="12"/>
      <c r="C14317" s="12"/>
    </row>
    <row r="14318" spans="2:3">
      <c r="B14318" s="12"/>
      <c r="C14318" s="12"/>
    </row>
    <row r="14319" spans="2:3">
      <c r="B14319" s="12"/>
      <c r="C14319" s="12"/>
    </row>
    <row r="14320" spans="2:3">
      <c r="B14320" s="12"/>
      <c r="C14320" s="12"/>
    </row>
    <row r="14321" spans="2:3">
      <c r="B14321" s="12"/>
      <c r="C14321" s="12"/>
    </row>
    <row r="14322" spans="2:3">
      <c r="B14322" s="12"/>
      <c r="C14322" s="12"/>
    </row>
    <row r="14323" spans="2:3">
      <c r="B14323" s="12"/>
      <c r="C14323" s="12"/>
    </row>
    <row r="14324" spans="2:3">
      <c r="B14324" s="12"/>
      <c r="C14324" s="12"/>
    </row>
    <row r="14325" spans="2:3">
      <c r="B14325" s="12"/>
      <c r="C14325" s="12"/>
    </row>
    <row r="14326" spans="2:3">
      <c r="B14326" s="12"/>
      <c r="C14326" s="12"/>
    </row>
    <row r="14327" spans="2:3">
      <c r="B14327" s="12"/>
      <c r="C14327" s="12"/>
    </row>
    <row r="14328" spans="2:3">
      <c r="B14328" s="12"/>
      <c r="C14328" s="12"/>
    </row>
    <row r="14329" spans="2:3">
      <c r="B14329" s="12"/>
      <c r="C14329" s="12"/>
    </row>
    <row r="14330" spans="2:3">
      <c r="B14330" s="12"/>
      <c r="C14330" s="12"/>
    </row>
    <row r="14331" spans="2:3">
      <c r="B14331" s="12"/>
      <c r="C14331" s="12"/>
    </row>
    <row r="14332" spans="2:3">
      <c r="B14332" s="12"/>
      <c r="C14332" s="12"/>
    </row>
    <row r="14333" spans="2:3">
      <c r="B14333" s="12"/>
      <c r="C14333" s="12"/>
    </row>
    <row r="14334" spans="2:3">
      <c r="B14334" s="12"/>
      <c r="C14334" s="12"/>
    </row>
    <row r="14335" spans="2:3">
      <c r="B14335" s="12"/>
      <c r="C14335" s="12"/>
    </row>
    <row r="14336" spans="2:3">
      <c r="B14336" s="12"/>
      <c r="C14336" s="12"/>
    </row>
    <row r="14337" spans="2:3">
      <c r="B14337" s="12"/>
      <c r="C14337" s="12"/>
    </row>
    <row r="14338" spans="2:3">
      <c r="B14338" s="12"/>
      <c r="C14338" s="12"/>
    </row>
    <row r="14339" spans="2:3">
      <c r="B14339" s="12"/>
      <c r="C14339" s="12"/>
    </row>
    <row r="14340" spans="2:3">
      <c r="B14340" s="12"/>
      <c r="C14340" s="12"/>
    </row>
    <row r="14341" spans="2:3">
      <c r="B14341" s="12"/>
      <c r="C14341" s="12"/>
    </row>
    <row r="14342" spans="2:3">
      <c r="B14342" s="12"/>
      <c r="C14342" s="12"/>
    </row>
    <row r="14343" spans="2:3">
      <c r="B14343" s="12"/>
      <c r="C14343" s="12"/>
    </row>
    <row r="14344" spans="2:3">
      <c r="B14344" s="12"/>
      <c r="C14344" s="12"/>
    </row>
    <row r="14345" spans="2:3">
      <c r="B14345" s="12"/>
      <c r="C14345" s="12"/>
    </row>
    <row r="14346" spans="2:3">
      <c r="B14346" s="12"/>
      <c r="C14346" s="12"/>
    </row>
    <row r="14347" spans="2:3">
      <c r="B14347" s="12"/>
      <c r="C14347" s="12"/>
    </row>
    <row r="14348" spans="2:3">
      <c r="B14348" s="12"/>
      <c r="C14348" s="12"/>
    </row>
    <row r="14349" spans="2:3">
      <c r="B14349" s="12"/>
      <c r="C14349" s="12"/>
    </row>
    <row r="14350" spans="2:3">
      <c r="B14350" s="12"/>
      <c r="C14350" s="12"/>
    </row>
    <row r="14351" spans="2:3">
      <c r="B14351" s="12"/>
      <c r="C14351" s="12"/>
    </row>
    <row r="14352" spans="2:3">
      <c r="B14352" s="12"/>
      <c r="C14352" s="12"/>
    </row>
    <row r="14353" spans="2:3">
      <c r="B14353" s="12"/>
      <c r="C14353" s="12"/>
    </row>
    <row r="14354" spans="2:3">
      <c r="B14354" s="12"/>
      <c r="C14354" s="12"/>
    </row>
    <row r="14355" spans="2:3">
      <c r="B14355" s="12"/>
      <c r="C14355" s="12"/>
    </row>
    <row r="14356" spans="2:3">
      <c r="B14356" s="12"/>
      <c r="C14356" s="12"/>
    </row>
    <row r="14357" spans="2:3">
      <c r="B14357" s="12"/>
      <c r="C14357" s="12"/>
    </row>
    <row r="14358" spans="2:3">
      <c r="B14358" s="12"/>
      <c r="C14358" s="12"/>
    </row>
    <row r="14359" spans="2:3">
      <c r="B14359" s="12"/>
      <c r="C14359" s="12"/>
    </row>
    <row r="14360" spans="2:3">
      <c r="B14360" s="12"/>
      <c r="C14360" s="12"/>
    </row>
    <row r="14361" spans="2:3">
      <c r="B14361" s="12"/>
      <c r="C14361" s="12"/>
    </row>
    <row r="14362" spans="2:3">
      <c r="B14362" s="12"/>
      <c r="C14362" s="12"/>
    </row>
    <row r="14363" spans="2:3">
      <c r="B14363" s="12"/>
      <c r="C14363" s="12"/>
    </row>
    <row r="14364" spans="2:3">
      <c r="B14364" s="12"/>
      <c r="C14364" s="12"/>
    </row>
    <row r="14365" spans="2:3">
      <c r="B14365" s="12"/>
      <c r="C14365" s="12"/>
    </row>
    <row r="14366" spans="2:3">
      <c r="B14366" s="12"/>
      <c r="C14366" s="12"/>
    </row>
    <row r="14367" spans="2:3">
      <c r="B14367" s="12"/>
      <c r="C14367" s="12"/>
    </row>
    <row r="14368" spans="2:3">
      <c r="B14368" s="12"/>
      <c r="C14368" s="12"/>
    </row>
    <row r="14369" spans="2:3">
      <c r="B14369" s="12"/>
      <c r="C14369" s="12"/>
    </row>
    <row r="14370" spans="2:3">
      <c r="B14370" s="12"/>
      <c r="C14370" s="12"/>
    </row>
    <row r="14371" spans="2:3">
      <c r="B14371" s="12"/>
      <c r="C14371" s="12"/>
    </row>
    <row r="14372" spans="2:3">
      <c r="B14372" s="12"/>
      <c r="C14372" s="12"/>
    </row>
    <row r="14373" spans="2:3">
      <c r="B14373" s="12"/>
      <c r="C14373" s="12"/>
    </row>
    <row r="14374" spans="2:3">
      <c r="B14374" s="12"/>
      <c r="C14374" s="12"/>
    </row>
    <row r="14375" spans="2:3">
      <c r="B14375" s="12"/>
      <c r="C14375" s="12"/>
    </row>
    <row r="14376" spans="2:3">
      <c r="B14376" s="12"/>
      <c r="C14376" s="12"/>
    </row>
    <row r="14377" spans="2:3">
      <c r="B14377" s="12"/>
      <c r="C14377" s="12"/>
    </row>
    <row r="14378" spans="2:3">
      <c r="B14378" s="12"/>
      <c r="C14378" s="12"/>
    </row>
    <row r="14379" spans="2:3">
      <c r="B14379" s="12"/>
      <c r="C14379" s="12"/>
    </row>
    <row r="14380" spans="2:3">
      <c r="B14380" s="12"/>
      <c r="C14380" s="12"/>
    </row>
    <row r="14381" spans="2:3">
      <c r="B14381" s="12"/>
      <c r="C14381" s="12"/>
    </row>
    <row r="14382" spans="2:3">
      <c r="B14382" s="12"/>
      <c r="C14382" s="12"/>
    </row>
    <row r="14383" spans="2:3">
      <c r="B14383" s="12"/>
      <c r="C14383" s="12"/>
    </row>
    <row r="14384" spans="2:3">
      <c r="B14384" s="12"/>
      <c r="C14384" s="12"/>
    </row>
    <row r="14385" spans="2:3">
      <c r="B14385" s="12"/>
      <c r="C14385" s="12"/>
    </row>
    <row r="14386" spans="2:3">
      <c r="B14386" s="12"/>
      <c r="C14386" s="12"/>
    </row>
    <row r="14387" spans="2:3">
      <c r="B14387" s="12"/>
      <c r="C14387" s="12"/>
    </row>
    <row r="14388" spans="2:3">
      <c r="B14388" s="12"/>
      <c r="C14388" s="12"/>
    </row>
    <row r="14389" spans="2:3">
      <c r="B14389" s="12"/>
      <c r="C14389" s="12"/>
    </row>
    <row r="14390" spans="2:3">
      <c r="B14390" s="12"/>
      <c r="C14390" s="12"/>
    </row>
    <row r="14391" spans="2:3">
      <c r="B14391" s="12"/>
      <c r="C14391" s="12"/>
    </row>
    <row r="14392" spans="2:3">
      <c r="B14392" s="12"/>
      <c r="C14392" s="12"/>
    </row>
    <row r="14393" spans="2:3">
      <c r="B14393" s="12"/>
      <c r="C14393" s="12"/>
    </row>
    <row r="14394" spans="2:3">
      <c r="B14394" s="12"/>
      <c r="C14394" s="12"/>
    </row>
    <row r="14395" spans="2:3">
      <c r="B14395" s="12"/>
      <c r="C14395" s="12"/>
    </row>
    <row r="14396" spans="2:3">
      <c r="B14396" s="12"/>
      <c r="C14396" s="12"/>
    </row>
    <row r="14397" spans="2:3">
      <c r="B14397" s="12"/>
      <c r="C14397" s="12"/>
    </row>
    <row r="14398" spans="2:3">
      <c r="B14398" s="12"/>
      <c r="C14398" s="12"/>
    </row>
    <row r="14399" spans="2:3">
      <c r="B14399" s="12"/>
      <c r="C14399" s="12"/>
    </row>
    <row r="14400" spans="2:3">
      <c r="B14400" s="12"/>
      <c r="C14400" s="12"/>
    </row>
    <row r="14401" spans="2:3">
      <c r="B14401" s="12"/>
      <c r="C14401" s="12"/>
    </row>
    <row r="14402" spans="2:3">
      <c r="B14402" s="12"/>
      <c r="C14402" s="12"/>
    </row>
    <row r="14403" spans="2:3">
      <c r="B14403" s="12"/>
      <c r="C14403" s="12"/>
    </row>
    <row r="14404" spans="2:3">
      <c r="B14404" s="12"/>
      <c r="C14404" s="12"/>
    </row>
    <row r="14405" spans="2:3">
      <c r="B14405" s="12"/>
      <c r="C14405" s="12"/>
    </row>
    <row r="14406" spans="2:3">
      <c r="B14406" s="12"/>
      <c r="C14406" s="12"/>
    </row>
    <row r="14407" spans="2:3">
      <c r="B14407" s="12"/>
      <c r="C14407" s="12"/>
    </row>
    <row r="14408" spans="2:3">
      <c r="B14408" s="12"/>
      <c r="C14408" s="12"/>
    </row>
    <row r="14409" spans="2:3">
      <c r="B14409" s="12"/>
      <c r="C14409" s="12"/>
    </row>
    <row r="14410" spans="2:3">
      <c r="B14410" s="12"/>
      <c r="C14410" s="12"/>
    </row>
    <row r="14411" spans="2:3">
      <c r="B14411" s="12"/>
      <c r="C14411" s="12"/>
    </row>
    <row r="14412" spans="2:3">
      <c r="B14412" s="12"/>
      <c r="C14412" s="12"/>
    </row>
    <row r="14413" spans="2:3">
      <c r="B14413" s="12"/>
      <c r="C14413" s="12"/>
    </row>
    <row r="14414" spans="2:3">
      <c r="B14414" s="12"/>
      <c r="C14414" s="12"/>
    </row>
    <row r="14415" spans="2:3">
      <c r="B14415" s="12"/>
      <c r="C14415" s="12"/>
    </row>
    <row r="14416" spans="2:3">
      <c r="B14416" s="12"/>
      <c r="C14416" s="12"/>
    </row>
    <row r="14417" spans="2:3">
      <c r="B14417" s="12"/>
      <c r="C14417" s="12"/>
    </row>
    <row r="14418" spans="2:3">
      <c r="B14418" s="12"/>
      <c r="C14418" s="12"/>
    </row>
    <row r="14419" spans="2:3">
      <c r="B14419" s="12"/>
      <c r="C14419" s="12"/>
    </row>
    <row r="14420" spans="2:3">
      <c r="B14420" s="12"/>
      <c r="C14420" s="12"/>
    </row>
    <row r="14421" spans="2:3">
      <c r="B14421" s="12"/>
      <c r="C14421" s="12"/>
    </row>
    <row r="14422" spans="2:3">
      <c r="B14422" s="12"/>
      <c r="C14422" s="12"/>
    </row>
    <row r="14423" spans="2:3">
      <c r="B14423" s="12"/>
      <c r="C14423" s="12"/>
    </row>
    <row r="14424" spans="2:3">
      <c r="B14424" s="12"/>
      <c r="C14424" s="12"/>
    </row>
    <row r="14425" spans="2:3">
      <c r="B14425" s="12"/>
      <c r="C14425" s="12"/>
    </row>
    <row r="14426" spans="2:3">
      <c r="B14426" s="12"/>
      <c r="C14426" s="12"/>
    </row>
    <row r="14427" spans="2:3">
      <c r="B14427" s="12"/>
      <c r="C14427" s="12"/>
    </row>
    <row r="14428" spans="2:3">
      <c r="B14428" s="12"/>
      <c r="C14428" s="12"/>
    </row>
    <row r="14429" spans="2:3">
      <c r="B14429" s="12"/>
      <c r="C14429" s="12"/>
    </row>
    <row r="14430" spans="2:3">
      <c r="B14430" s="12"/>
      <c r="C14430" s="12"/>
    </row>
    <row r="14431" spans="2:3">
      <c r="B14431" s="12"/>
      <c r="C14431" s="12"/>
    </row>
    <row r="14432" spans="2:3">
      <c r="B14432" s="12"/>
      <c r="C14432" s="12"/>
    </row>
    <row r="14433" spans="2:3">
      <c r="B14433" s="12"/>
      <c r="C14433" s="12"/>
    </row>
    <row r="14434" spans="2:3">
      <c r="B14434" s="12"/>
      <c r="C14434" s="12"/>
    </row>
    <row r="14435" spans="2:3">
      <c r="B14435" s="12"/>
      <c r="C14435" s="12"/>
    </row>
    <row r="14436" spans="2:3">
      <c r="B14436" s="12"/>
      <c r="C14436" s="12"/>
    </row>
    <row r="14437" spans="2:3">
      <c r="B14437" s="12"/>
      <c r="C14437" s="12"/>
    </row>
    <row r="14438" spans="2:3">
      <c r="B14438" s="12"/>
      <c r="C14438" s="12"/>
    </row>
    <row r="14439" spans="2:3">
      <c r="B14439" s="12"/>
      <c r="C14439" s="12"/>
    </row>
    <row r="14440" spans="2:3">
      <c r="B14440" s="12"/>
      <c r="C14440" s="12"/>
    </row>
    <row r="14441" spans="2:3">
      <c r="B14441" s="12"/>
      <c r="C14441" s="12"/>
    </row>
    <row r="14442" spans="2:3">
      <c r="B14442" s="12"/>
      <c r="C14442" s="12"/>
    </row>
    <row r="14443" spans="2:3">
      <c r="B14443" s="12"/>
      <c r="C14443" s="12"/>
    </row>
    <row r="14444" spans="2:3">
      <c r="B14444" s="12"/>
      <c r="C14444" s="12"/>
    </row>
    <row r="14445" spans="2:3">
      <c r="B14445" s="12"/>
      <c r="C14445" s="12"/>
    </row>
    <row r="14446" spans="2:3">
      <c r="B14446" s="12"/>
      <c r="C14446" s="12"/>
    </row>
    <row r="14447" spans="2:3">
      <c r="B14447" s="12"/>
      <c r="C14447" s="12"/>
    </row>
    <row r="14448" spans="2:3">
      <c r="B14448" s="12"/>
      <c r="C14448" s="12"/>
    </row>
    <row r="14449" spans="2:3">
      <c r="B14449" s="12"/>
      <c r="C14449" s="12"/>
    </row>
    <row r="14450" spans="2:3">
      <c r="B14450" s="12"/>
      <c r="C14450" s="12"/>
    </row>
    <row r="14451" spans="2:3">
      <c r="B14451" s="12"/>
      <c r="C14451" s="12"/>
    </row>
    <row r="14452" spans="2:3">
      <c r="B14452" s="12"/>
      <c r="C14452" s="12"/>
    </row>
    <row r="14453" spans="2:3">
      <c r="B14453" s="12"/>
      <c r="C14453" s="12"/>
    </row>
    <row r="14454" spans="2:3">
      <c r="B14454" s="12"/>
      <c r="C14454" s="12"/>
    </row>
    <row r="14455" spans="2:3">
      <c r="B14455" s="12"/>
      <c r="C14455" s="12"/>
    </row>
    <row r="14456" spans="2:3">
      <c r="B14456" s="12"/>
      <c r="C14456" s="12"/>
    </row>
    <row r="14457" spans="2:3">
      <c r="B14457" s="12"/>
      <c r="C14457" s="12"/>
    </row>
    <row r="14458" spans="2:3">
      <c r="B14458" s="12"/>
      <c r="C14458" s="12"/>
    </row>
    <row r="14459" spans="2:3">
      <c r="B14459" s="12"/>
      <c r="C14459" s="12"/>
    </row>
    <row r="14460" spans="2:3">
      <c r="B14460" s="12"/>
      <c r="C14460" s="12"/>
    </row>
    <row r="14461" spans="2:3">
      <c r="B14461" s="12"/>
      <c r="C14461" s="12"/>
    </row>
    <row r="14462" spans="2:3">
      <c r="B14462" s="12"/>
      <c r="C14462" s="12"/>
    </row>
    <row r="14463" spans="2:3">
      <c r="B14463" s="12"/>
      <c r="C14463" s="12"/>
    </row>
    <row r="14464" spans="2:3">
      <c r="B14464" s="12"/>
      <c r="C14464" s="12"/>
    </row>
    <row r="14465" spans="2:3">
      <c r="B14465" s="12"/>
      <c r="C14465" s="12"/>
    </row>
    <row r="14466" spans="2:3">
      <c r="B14466" s="12"/>
      <c r="C14466" s="12"/>
    </row>
    <row r="14467" spans="2:3">
      <c r="B14467" s="12"/>
      <c r="C14467" s="12"/>
    </row>
    <row r="14468" spans="2:3">
      <c r="B14468" s="12"/>
      <c r="C14468" s="12"/>
    </row>
    <row r="14469" spans="2:3">
      <c r="B14469" s="12"/>
      <c r="C14469" s="12"/>
    </row>
    <row r="14470" spans="2:3">
      <c r="B14470" s="12"/>
      <c r="C14470" s="12"/>
    </row>
    <row r="14471" spans="2:3">
      <c r="B14471" s="12"/>
      <c r="C14471" s="12"/>
    </row>
    <row r="14472" spans="2:3">
      <c r="B14472" s="12"/>
      <c r="C14472" s="12"/>
    </row>
    <row r="14473" spans="2:3">
      <c r="B14473" s="12"/>
      <c r="C14473" s="12"/>
    </row>
    <row r="14474" spans="2:3">
      <c r="B14474" s="12"/>
      <c r="C14474" s="12"/>
    </row>
    <row r="14475" spans="2:3">
      <c r="B14475" s="12"/>
      <c r="C14475" s="12"/>
    </row>
    <row r="14476" spans="2:3">
      <c r="B14476" s="12"/>
      <c r="C14476" s="12"/>
    </row>
    <row r="14477" spans="2:3">
      <c r="B14477" s="12"/>
      <c r="C14477" s="12"/>
    </row>
    <row r="14478" spans="2:3">
      <c r="B14478" s="12"/>
      <c r="C14478" s="12"/>
    </row>
    <row r="14479" spans="2:3">
      <c r="B14479" s="12"/>
      <c r="C14479" s="12"/>
    </row>
    <row r="14480" spans="2:3">
      <c r="B14480" s="12"/>
      <c r="C14480" s="12"/>
    </row>
    <row r="14481" spans="2:3">
      <c r="B14481" s="12"/>
      <c r="C14481" s="12"/>
    </row>
    <row r="14482" spans="2:3">
      <c r="B14482" s="12"/>
      <c r="C14482" s="12"/>
    </row>
    <row r="14483" spans="2:3">
      <c r="B14483" s="12"/>
      <c r="C14483" s="12"/>
    </row>
    <row r="14484" spans="2:3">
      <c r="B14484" s="12"/>
      <c r="C14484" s="12"/>
    </row>
    <row r="14485" spans="2:3">
      <c r="B14485" s="12"/>
      <c r="C14485" s="12"/>
    </row>
    <row r="14486" spans="2:3">
      <c r="B14486" s="12"/>
      <c r="C14486" s="12"/>
    </row>
    <row r="14487" spans="2:3">
      <c r="B14487" s="12"/>
      <c r="C14487" s="12"/>
    </row>
    <row r="14488" spans="2:3">
      <c r="B14488" s="12"/>
      <c r="C14488" s="12"/>
    </row>
    <row r="14489" spans="2:3">
      <c r="B14489" s="12"/>
      <c r="C14489" s="12"/>
    </row>
    <row r="14490" spans="2:3">
      <c r="B14490" s="12"/>
      <c r="C14490" s="12"/>
    </row>
    <row r="14491" spans="2:3">
      <c r="B14491" s="12"/>
      <c r="C14491" s="12"/>
    </row>
    <row r="14492" spans="2:3">
      <c r="B14492" s="12"/>
      <c r="C14492" s="12"/>
    </row>
    <row r="14493" spans="2:3">
      <c r="B14493" s="12"/>
      <c r="C14493" s="12"/>
    </row>
    <row r="14494" spans="2:3">
      <c r="B14494" s="12"/>
      <c r="C14494" s="12"/>
    </row>
    <row r="14495" spans="2:3">
      <c r="B14495" s="12"/>
      <c r="C14495" s="12"/>
    </row>
    <row r="14496" spans="2:3">
      <c r="B14496" s="12"/>
      <c r="C14496" s="12"/>
    </row>
    <row r="14497" spans="2:3">
      <c r="B14497" s="12"/>
      <c r="C14497" s="12"/>
    </row>
    <row r="14498" spans="2:3">
      <c r="B14498" s="12"/>
      <c r="C14498" s="12"/>
    </row>
    <row r="14499" spans="2:3">
      <c r="B14499" s="12"/>
      <c r="C14499" s="12"/>
    </row>
    <row r="14500" spans="2:3">
      <c r="B14500" s="12"/>
      <c r="C14500" s="12"/>
    </row>
    <row r="14501" spans="2:3">
      <c r="B14501" s="12"/>
      <c r="C14501" s="12"/>
    </row>
    <row r="14502" spans="2:3">
      <c r="B14502" s="12"/>
      <c r="C14502" s="12"/>
    </row>
    <row r="14503" spans="2:3">
      <c r="B14503" s="12"/>
      <c r="C14503" s="12"/>
    </row>
    <row r="14504" spans="2:3">
      <c r="B14504" s="12"/>
      <c r="C14504" s="12"/>
    </row>
    <row r="14505" spans="2:3">
      <c r="B14505" s="12"/>
      <c r="C14505" s="12"/>
    </row>
    <row r="14506" spans="2:3">
      <c r="B14506" s="12"/>
      <c r="C14506" s="12"/>
    </row>
    <row r="14507" spans="2:3">
      <c r="B14507" s="12"/>
      <c r="C14507" s="12"/>
    </row>
    <row r="14508" spans="2:3">
      <c r="B14508" s="12"/>
      <c r="C14508" s="12"/>
    </row>
    <row r="14509" spans="2:3">
      <c r="B14509" s="12"/>
      <c r="C14509" s="12"/>
    </row>
    <row r="14510" spans="2:3">
      <c r="B14510" s="12"/>
      <c r="C14510" s="12"/>
    </row>
    <row r="14511" spans="2:3">
      <c r="B14511" s="12"/>
      <c r="C14511" s="12"/>
    </row>
    <row r="14512" spans="2:3">
      <c r="B14512" s="12"/>
      <c r="C14512" s="12"/>
    </row>
    <row r="14513" spans="2:3">
      <c r="B14513" s="12"/>
      <c r="C14513" s="12"/>
    </row>
    <row r="14514" spans="2:3">
      <c r="B14514" s="12"/>
      <c r="C14514" s="12"/>
    </row>
    <row r="14515" spans="2:3">
      <c r="B14515" s="12"/>
      <c r="C14515" s="12"/>
    </row>
    <row r="14516" spans="2:3">
      <c r="B14516" s="12"/>
      <c r="C14516" s="12"/>
    </row>
    <row r="14517" spans="2:3">
      <c r="B14517" s="12"/>
      <c r="C14517" s="12"/>
    </row>
    <row r="14518" spans="2:3">
      <c r="B14518" s="12"/>
      <c r="C14518" s="12"/>
    </row>
    <row r="14519" spans="2:3">
      <c r="B14519" s="12"/>
      <c r="C14519" s="12"/>
    </row>
    <row r="14520" spans="2:3">
      <c r="B14520" s="12"/>
      <c r="C14520" s="12"/>
    </row>
    <row r="14521" spans="2:3">
      <c r="B14521" s="12"/>
      <c r="C14521" s="12"/>
    </row>
    <row r="14522" spans="2:3">
      <c r="B14522" s="12"/>
      <c r="C14522" s="12"/>
    </row>
    <row r="14523" spans="2:3">
      <c r="B14523" s="12"/>
      <c r="C14523" s="12"/>
    </row>
    <row r="14524" spans="2:3">
      <c r="B14524" s="12"/>
      <c r="C14524" s="12"/>
    </row>
    <row r="14525" spans="2:3">
      <c r="B14525" s="12"/>
      <c r="C14525" s="12"/>
    </row>
    <row r="14526" spans="2:3">
      <c r="B14526" s="12"/>
      <c r="C14526" s="12"/>
    </row>
    <row r="14527" spans="2:3">
      <c r="B14527" s="12"/>
      <c r="C14527" s="12"/>
    </row>
    <row r="14528" spans="2:3">
      <c r="B14528" s="12"/>
      <c r="C14528" s="12"/>
    </row>
    <row r="14529" spans="2:3">
      <c r="B14529" s="12"/>
      <c r="C14529" s="12"/>
    </row>
    <row r="14530" spans="2:3">
      <c r="B14530" s="12"/>
      <c r="C14530" s="12"/>
    </row>
    <row r="14531" spans="2:3">
      <c r="B14531" s="12"/>
      <c r="C14531" s="12"/>
    </row>
    <row r="14532" spans="2:3">
      <c r="B14532" s="12"/>
      <c r="C14532" s="12"/>
    </row>
    <row r="14533" spans="2:3">
      <c r="B14533" s="12"/>
      <c r="C14533" s="12"/>
    </row>
    <row r="14534" spans="2:3">
      <c r="B14534" s="12"/>
      <c r="C14534" s="12"/>
    </row>
    <row r="14535" spans="2:3">
      <c r="B14535" s="12"/>
      <c r="C14535" s="12"/>
    </row>
    <row r="14536" spans="2:3">
      <c r="B14536" s="12"/>
      <c r="C14536" s="12"/>
    </row>
    <row r="14537" spans="2:3">
      <c r="B14537" s="12"/>
      <c r="C14537" s="12"/>
    </row>
    <row r="14538" spans="2:3">
      <c r="B14538" s="12"/>
      <c r="C14538" s="12"/>
    </row>
    <row r="14539" spans="2:3">
      <c r="B14539" s="12"/>
      <c r="C14539" s="12"/>
    </row>
    <row r="14540" spans="2:3">
      <c r="B14540" s="12"/>
      <c r="C14540" s="12"/>
    </row>
    <row r="14541" spans="2:3">
      <c r="B14541" s="12"/>
      <c r="C14541" s="12"/>
    </row>
    <row r="14542" spans="2:3">
      <c r="B14542" s="12"/>
      <c r="C14542" s="12"/>
    </row>
    <row r="14543" spans="2:3">
      <c r="B14543" s="12"/>
      <c r="C14543" s="12"/>
    </row>
    <row r="14544" spans="2:3">
      <c r="B14544" s="12"/>
      <c r="C14544" s="12"/>
    </row>
    <row r="14545" spans="2:3">
      <c r="B14545" s="12"/>
      <c r="C14545" s="12"/>
    </row>
    <row r="14546" spans="2:3">
      <c r="B14546" s="12"/>
      <c r="C14546" s="12"/>
    </row>
    <row r="14547" spans="2:3">
      <c r="B14547" s="12"/>
      <c r="C14547" s="12"/>
    </row>
    <row r="14548" spans="2:3">
      <c r="B14548" s="12"/>
      <c r="C14548" s="12"/>
    </row>
    <row r="14549" spans="2:3">
      <c r="B14549" s="12"/>
      <c r="C14549" s="12"/>
    </row>
    <row r="14550" spans="2:3">
      <c r="B14550" s="12"/>
      <c r="C14550" s="12"/>
    </row>
    <row r="14551" spans="2:3">
      <c r="B14551" s="12"/>
      <c r="C14551" s="12"/>
    </row>
    <row r="14552" spans="2:3">
      <c r="B14552" s="12"/>
      <c r="C14552" s="12"/>
    </row>
    <row r="14553" spans="2:3">
      <c r="B14553" s="12"/>
      <c r="C14553" s="12"/>
    </row>
    <row r="14554" spans="2:3">
      <c r="B14554" s="12"/>
      <c r="C14554" s="12"/>
    </row>
    <row r="14555" spans="2:3">
      <c r="B14555" s="12"/>
      <c r="C14555" s="12"/>
    </row>
    <row r="14556" spans="2:3">
      <c r="B14556" s="12"/>
      <c r="C14556" s="12"/>
    </row>
    <row r="14557" spans="2:3">
      <c r="B14557" s="12"/>
      <c r="C14557" s="12"/>
    </row>
    <row r="14558" spans="2:3">
      <c r="B14558" s="12"/>
      <c r="C14558" s="12"/>
    </row>
    <row r="14559" spans="2:3">
      <c r="B14559" s="12"/>
      <c r="C14559" s="12"/>
    </row>
    <row r="14560" spans="2:3">
      <c r="B14560" s="12"/>
      <c r="C14560" s="12"/>
    </row>
    <row r="14561" spans="2:3">
      <c r="B14561" s="12"/>
      <c r="C14561" s="12"/>
    </row>
    <row r="14562" spans="2:3">
      <c r="B14562" s="12"/>
      <c r="C14562" s="12"/>
    </row>
    <row r="14563" spans="2:3">
      <c r="B14563" s="12"/>
      <c r="C14563" s="12"/>
    </row>
    <row r="14564" spans="2:3">
      <c r="B14564" s="12"/>
      <c r="C14564" s="12"/>
    </row>
    <row r="14565" spans="2:3">
      <c r="B14565" s="12"/>
      <c r="C14565" s="12"/>
    </row>
    <row r="14566" spans="2:3">
      <c r="B14566" s="12"/>
      <c r="C14566" s="12"/>
    </row>
    <row r="14567" spans="2:3">
      <c r="B14567" s="12"/>
      <c r="C14567" s="12"/>
    </row>
    <row r="14568" spans="2:3">
      <c r="B14568" s="12"/>
      <c r="C14568" s="12"/>
    </row>
    <row r="14569" spans="2:3">
      <c r="B14569" s="12"/>
      <c r="C14569" s="12"/>
    </row>
    <row r="14570" spans="2:3">
      <c r="B14570" s="12"/>
      <c r="C14570" s="12"/>
    </row>
    <row r="14571" spans="2:3">
      <c r="B14571" s="12"/>
      <c r="C14571" s="12"/>
    </row>
    <row r="14572" spans="2:3">
      <c r="B14572" s="12"/>
      <c r="C14572" s="12"/>
    </row>
    <row r="14573" spans="2:3">
      <c r="B14573" s="12"/>
      <c r="C14573" s="12"/>
    </row>
    <row r="14574" spans="2:3">
      <c r="B14574" s="12"/>
      <c r="C14574" s="12"/>
    </row>
    <row r="14575" spans="2:3">
      <c r="B14575" s="12"/>
      <c r="C14575" s="12"/>
    </row>
    <row r="14576" spans="2:3">
      <c r="B14576" s="12"/>
      <c r="C14576" s="12"/>
    </row>
    <row r="14577" spans="2:3">
      <c r="B14577" s="12"/>
      <c r="C14577" s="12"/>
    </row>
    <row r="14578" spans="2:3">
      <c r="B14578" s="12"/>
      <c r="C14578" s="12"/>
    </row>
    <row r="14579" spans="2:3">
      <c r="B14579" s="12"/>
      <c r="C14579" s="12"/>
    </row>
    <row r="14580" spans="2:3">
      <c r="B14580" s="12"/>
      <c r="C14580" s="12"/>
    </row>
    <row r="14581" spans="2:3">
      <c r="B14581" s="12"/>
      <c r="C14581" s="12"/>
    </row>
    <row r="14582" spans="2:3">
      <c r="B14582" s="12"/>
      <c r="C14582" s="12"/>
    </row>
    <row r="14583" spans="2:3">
      <c r="B14583" s="12"/>
      <c r="C14583" s="12"/>
    </row>
    <row r="14584" spans="2:3">
      <c r="B14584" s="12"/>
      <c r="C14584" s="12"/>
    </row>
    <row r="14585" spans="2:3">
      <c r="B14585" s="12"/>
      <c r="C14585" s="12"/>
    </row>
    <row r="14586" spans="2:3">
      <c r="B14586" s="12"/>
      <c r="C14586" s="12"/>
    </row>
    <row r="14587" spans="2:3">
      <c r="B14587" s="12"/>
      <c r="C14587" s="12"/>
    </row>
    <row r="14588" spans="2:3">
      <c r="B14588" s="12"/>
      <c r="C14588" s="12"/>
    </row>
    <row r="14589" spans="2:3">
      <c r="B14589" s="12"/>
      <c r="C14589" s="12"/>
    </row>
    <row r="14590" spans="2:3">
      <c r="B14590" s="12"/>
      <c r="C14590" s="12"/>
    </row>
    <row r="14591" spans="2:3">
      <c r="B14591" s="12"/>
      <c r="C14591" s="12"/>
    </row>
    <row r="14592" spans="2:3">
      <c r="B14592" s="12"/>
      <c r="C14592" s="12"/>
    </row>
    <row r="14593" spans="2:3">
      <c r="B14593" s="12"/>
      <c r="C14593" s="12"/>
    </row>
    <row r="14594" spans="2:3">
      <c r="B14594" s="12"/>
      <c r="C14594" s="12"/>
    </row>
    <row r="14595" spans="2:3">
      <c r="B14595" s="12"/>
      <c r="C14595" s="12"/>
    </row>
    <row r="14596" spans="2:3">
      <c r="B14596" s="12"/>
      <c r="C14596" s="12"/>
    </row>
    <row r="14597" spans="2:3">
      <c r="B14597" s="12"/>
      <c r="C14597" s="12"/>
    </row>
    <row r="14598" spans="2:3">
      <c r="B14598" s="12"/>
      <c r="C14598" s="12"/>
    </row>
    <row r="14599" spans="2:3">
      <c r="B14599" s="12"/>
      <c r="C14599" s="12"/>
    </row>
    <row r="14600" spans="2:3">
      <c r="B14600" s="12"/>
      <c r="C14600" s="12"/>
    </row>
    <row r="14601" spans="2:3">
      <c r="B14601" s="12"/>
      <c r="C14601" s="12"/>
    </row>
    <row r="14602" spans="2:3">
      <c r="B14602" s="12"/>
      <c r="C14602" s="12"/>
    </row>
    <row r="14603" spans="2:3">
      <c r="B14603" s="12"/>
      <c r="C14603" s="12"/>
    </row>
    <row r="14604" spans="2:3">
      <c r="B14604" s="12"/>
      <c r="C14604" s="12"/>
    </row>
    <row r="14605" spans="2:3">
      <c r="B14605" s="12"/>
      <c r="C14605" s="12"/>
    </row>
    <row r="14606" spans="2:3">
      <c r="B14606" s="12"/>
      <c r="C14606" s="12"/>
    </row>
    <row r="14607" spans="2:3">
      <c r="B14607" s="12"/>
      <c r="C14607" s="12"/>
    </row>
    <row r="14608" spans="2:3">
      <c r="B14608" s="12"/>
      <c r="C14608" s="12"/>
    </row>
    <row r="14609" spans="2:3">
      <c r="B14609" s="12"/>
      <c r="C14609" s="12"/>
    </row>
    <row r="14610" spans="2:3">
      <c r="B14610" s="12"/>
      <c r="C14610" s="12"/>
    </row>
    <row r="14611" spans="2:3">
      <c r="B14611" s="12"/>
      <c r="C14611" s="12"/>
    </row>
    <row r="14612" spans="2:3">
      <c r="B14612" s="12"/>
      <c r="C14612" s="12"/>
    </row>
    <row r="14613" spans="2:3">
      <c r="B14613" s="12"/>
      <c r="C14613" s="12"/>
    </row>
    <row r="14614" spans="2:3">
      <c r="B14614" s="12"/>
      <c r="C14614" s="12"/>
    </row>
    <row r="14615" spans="2:3">
      <c r="B14615" s="12"/>
      <c r="C14615" s="12"/>
    </row>
    <row r="14616" spans="2:3">
      <c r="B14616" s="12"/>
      <c r="C14616" s="12"/>
    </row>
    <row r="14617" spans="2:3">
      <c r="B14617" s="12"/>
      <c r="C14617" s="12"/>
    </row>
    <row r="14618" spans="2:3">
      <c r="B14618" s="12"/>
      <c r="C14618" s="12"/>
    </row>
    <row r="14619" spans="2:3">
      <c r="B14619" s="12"/>
      <c r="C14619" s="12"/>
    </row>
    <row r="14620" spans="2:3">
      <c r="B14620" s="12"/>
      <c r="C14620" s="12"/>
    </row>
    <row r="14621" spans="2:3">
      <c r="B14621" s="12"/>
      <c r="C14621" s="12"/>
    </row>
    <row r="14622" spans="2:3">
      <c r="B14622" s="12"/>
      <c r="C14622" s="12"/>
    </row>
    <row r="14623" spans="2:3">
      <c r="B14623" s="12"/>
      <c r="C14623" s="12"/>
    </row>
    <row r="14624" spans="2:3">
      <c r="B14624" s="12"/>
      <c r="C14624" s="12"/>
    </row>
    <row r="14625" spans="2:3">
      <c r="B14625" s="12"/>
      <c r="C14625" s="12"/>
    </row>
    <row r="14626" spans="2:3">
      <c r="B14626" s="12"/>
      <c r="C14626" s="12"/>
    </row>
    <row r="14627" spans="2:3">
      <c r="B14627" s="12"/>
      <c r="C14627" s="12"/>
    </row>
    <row r="14628" spans="2:3">
      <c r="B14628" s="12"/>
      <c r="C14628" s="12"/>
    </row>
    <row r="14629" spans="2:3">
      <c r="B14629" s="12"/>
      <c r="C14629" s="12"/>
    </row>
    <row r="14630" spans="2:3">
      <c r="B14630" s="12"/>
      <c r="C14630" s="12"/>
    </row>
    <row r="14631" spans="2:3">
      <c r="B14631" s="12"/>
      <c r="C14631" s="12"/>
    </row>
    <row r="14632" spans="2:3">
      <c r="B14632" s="12"/>
      <c r="C14632" s="12"/>
    </row>
    <row r="14633" spans="2:3">
      <c r="B14633" s="12"/>
      <c r="C14633" s="12"/>
    </row>
    <row r="14634" spans="2:3">
      <c r="B14634" s="12"/>
      <c r="C14634" s="12"/>
    </row>
    <row r="14635" spans="2:3">
      <c r="B14635" s="12"/>
      <c r="C14635" s="12"/>
    </row>
    <row r="14636" spans="2:3">
      <c r="B14636" s="12"/>
      <c r="C14636" s="12"/>
    </row>
    <row r="14637" spans="2:3">
      <c r="B14637" s="12"/>
      <c r="C14637" s="12"/>
    </row>
    <row r="14638" spans="2:3">
      <c r="B14638" s="12"/>
      <c r="C14638" s="12"/>
    </row>
    <row r="14639" spans="2:3">
      <c r="B14639" s="12"/>
      <c r="C14639" s="12"/>
    </row>
    <row r="14640" spans="2:3">
      <c r="B14640" s="12"/>
      <c r="C14640" s="12"/>
    </row>
    <row r="14641" spans="2:3">
      <c r="B14641" s="12"/>
      <c r="C14641" s="12"/>
    </row>
    <row r="14642" spans="2:3">
      <c r="B14642" s="12"/>
      <c r="C14642" s="12"/>
    </row>
    <row r="14643" spans="2:3">
      <c r="B14643" s="12"/>
      <c r="C14643" s="12"/>
    </row>
    <row r="14644" spans="2:3">
      <c r="B14644" s="12"/>
      <c r="C14644" s="12"/>
    </row>
    <row r="14645" spans="2:3">
      <c r="B14645" s="12"/>
      <c r="C14645" s="12"/>
    </row>
    <row r="14646" spans="2:3">
      <c r="B14646" s="12"/>
      <c r="C14646" s="12"/>
    </row>
    <row r="14647" spans="2:3">
      <c r="B14647" s="12"/>
      <c r="C14647" s="12"/>
    </row>
    <row r="14648" spans="2:3">
      <c r="B14648" s="12"/>
      <c r="C14648" s="12"/>
    </row>
    <row r="14649" spans="2:3">
      <c r="B14649" s="12"/>
      <c r="C14649" s="12"/>
    </row>
    <row r="14650" spans="2:3">
      <c r="B14650" s="12"/>
      <c r="C14650" s="12"/>
    </row>
    <row r="14651" spans="2:3">
      <c r="B14651" s="12"/>
      <c r="C14651" s="12"/>
    </row>
    <row r="14652" spans="2:3">
      <c r="B14652" s="12"/>
      <c r="C14652" s="12"/>
    </row>
    <row r="14653" spans="2:3">
      <c r="B14653" s="12"/>
      <c r="C14653" s="12"/>
    </row>
    <row r="14654" spans="2:3">
      <c r="B14654" s="12"/>
      <c r="C14654" s="12"/>
    </row>
    <row r="14655" spans="2:3">
      <c r="B14655" s="12"/>
      <c r="C14655" s="12"/>
    </row>
    <row r="14656" spans="2:3">
      <c r="B14656" s="12"/>
      <c r="C14656" s="12"/>
    </row>
    <row r="14657" spans="2:3">
      <c r="B14657" s="12"/>
      <c r="C14657" s="12"/>
    </row>
    <row r="14658" spans="2:3">
      <c r="B14658" s="12"/>
      <c r="C14658" s="12"/>
    </row>
    <row r="14659" spans="2:3">
      <c r="B14659" s="12"/>
      <c r="C14659" s="12"/>
    </row>
    <row r="14660" spans="2:3">
      <c r="B14660" s="12"/>
      <c r="C14660" s="12"/>
    </row>
    <row r="14661" spans="2:3">
      <c r="B14661" s="12"/>
      <c r="C14661" s="12"/>
    </row>
    <row r="14662" spans="2:3">
      <c r="B14662" s="12"/>
      <c r="C14662" s="12"/>
    </row>
    <row r="14663" spans="2:3">
      <c r="B14663" s="12"/>
      <c r="C14663" s="12"/>
    </row>
    <row r="14664" spans="2:3">
      <c r="B14664" s="12"/>
      <c r="C14664" s="12"/>
    </row>
    <row r="14665" spans="2:3">
      <c r="B14665" s="12"/>
      <c r="C14665" s="12"/>
    </row>
    <row r="14666" spans="2:3">
      <c r="B14666" s="12"/>
      <c r="C14666" s="12"/>
    </row>
    <row r="14667" spans="2:3">
      <c r="B14667" s="12"/>
      <c r="C14667" s="12"/>
    </row>
    <row r="14668" spans="2:3">
      <c r="B14668" s="12"/>
      <c r="C14668" s="12"/>
    </row>
    <row r="14669" spans="2:3">
      <c r="B14669" s="12"/>
      <c r="C14669" s="12"/>
    </row>
    <row r="14670" spans="2:3">
      <c r="B14670" s="12"/>
      <c r="C14670" s="12"/>
    </row>
    <row r="14671" spans="2:3">
      <c r="B14671" s="12"/>
      <c r="C14671" s="12"/>
    </row>
    <row r="14672" spans="2:3">
      <c r="B14672" s="12"/>
      <c r="C14672" s="12"/>
    </row>
    <row r="14673" spans="2:3">
      <c r="B14673" s="12"/>
      <c r="C14673" s="12"/>
    </row>
    <row r="14674" spans="2:3">
      <c r="B14674" s="12"/>
      <c r="C14674" s="12"/>
    </row>
    <row r="14675" spans="2:3">
      <c r="B14675" s="12"/>
      <c r="C14675" s="12"/>
    </row>
    <row r="14676" spans="2:3">
      <c r="B14676" s="12"/>
      <c r="C14676" s="12"/>
    </row>
    <row r="14677" spans="2:3">
      <c r="B14677" s="12"/>
      <c r="C14677" s="12"/>
    </row>
    <row r="14678" spans="2:3">
      <c r="B14678" s="12"/>
      <c r="C14678" s="12"/>
    </row>
    <row r="14679" spans="2:3">
      <c r="B14679" s="12"/>
      <c r="C14679" s="12"/>
    </row>
    <row r="14680" spans="2:3">
      <c r="B14680" s="12"/>
      <c r="C14680" s="12"/>
    </row>
    <row r="14681" spans="2:3">
      <c r="B14681" s="12"/>
      <c r="C14681" s="12"/>
    </row>
    <row r="14682" spans="2:3">
      <c r="B14682" s="12"/>
      <c r="C14682" s="12"/>
    </row>
    <row r="14683" spans="2:3">
      <c r="B14683" s="12"/>
      <c r="C14683" s="12"/>
    </row>
    <row r="14684" spans="2:3">
      <c r="B14684" s="12"/>
      <c r="C14684" s="12"/>
    </row>
    <row r="14685" spans="2:3">
      <c r="B14685" s="12"/>
      <c r="C14685" s="12"/>
    </row>
    <row r="14686" spans="2:3">
      <c r="B14686" s="12"/>
      <c r="C14686" s="12"/>
    </row>
    <row r="14687" spans="2:3">
      <c r="B14687" s="12"/>
      <c r="C14687" s="12"/>
    </row>
    <row r="14688" spans="2:3">
      <c r="B14688" s="12"/>
      <c r="C14688" s="12"/>
    </row>
    <row r="14689" spans="2:3">
      <c r="B14689" s="12"/>
      <c r="C14689" s="12"/>
    </row>
    <row r="14690" spans="2:3">
      <c r="B14690" s="12"/>
      <c r="C14690" s="12"/>
    </row>
    <row r="14691" spans="2:3">
      <c r="B14691" s="12"/>
      <c r="C14691" s="12"/>
    </row>
    <row r="14692" spans="2:3">
      <c r="B14692" s="12"/>
      <c r="C14692" s="12"/>
    </row>
    <row r="14693" spans="2:3">
      <c r="B14693" s="12"/>
      <c r="C14693" s="12"/>
    </row>
    <row r="14694" spans="2:3">
      <c r="B14694" s="12"/>
      <c r="C14694" s="12"/>
    </row>
    <row r="14695" spans="2:3">
      <c r="B14695" s="12"/>
      <c r="C14695" s="12"/>
    </row>
    <row r="14696" spans="2:3">
      <c r="B14696" s="12"/>
      <c r="C14696" s="12"/>
    </row>
    <row r="14697" spans="2:3">
      <c r="B14697" s="12"/>
      <c r="C14697" s="12"/>
    </row>
    <row r="14698" spans="2:3">
      <c r="B14698" s="12"/>
      <c r="C14698" s="12"/>
    </row>
    <row r="14699" spans="2:3">
      <c r="B14699" s="12"/>
      <c r="C14699" s="12"/>
    </row>
    <row r="14700" spans="2:3">
      <c r="B14700" s="12"/>
      <c r="C14700" s="12"/>
    </row>
    <row r="14701" spans="2:3">
      <c r="B14701" s="12"/>
      <c r="C14701" s="12"/>
    </row>
    <row r="14702" spans="2:3">
      <c r="B14702" s="12"/>
      <c r="C14702" s="12"/>
    </row>
    <row r="14703" spans="2:3">
      <c r="B14703" s="12"/>
      <c r="C14703" s="12"/>
    </row>
    <row r="14704" spans="2:3">
      <c r="B14704" s="12"/>
      <c r="C14704" s="12"/>
    </row>
    <row r="14705" spans="2:3">
      <c r="B14705" s="12"/>
      <c r="C14705" s="12"/>
    </row>
    <row r="14706" spans="2:3">
      <c r="B14706" s="12"/>
      <c r="C14706" s="12"/>
    </row>
    <row r="14707" spans="2:3">
      <c r="B14707" s="12"/>
      <c r="C14707" s="12"/>
    </row>
    <row r="14708" spans="2:3">
      <c r="B14708" s="12"/>
      <c r="C14708" s="12"/>
    </row>
    <row r="14709" spans="2:3">
      <c r="B14709" s="12"/>
      <c r="C14709" s="12"/>
    </row>
    <row r="14710" spans="2:3">
      <c r="B14710" s="12"/>
      <c r="C14710" s="12"/>
    </row>
    <row r="14711" spans="2:3">
      <c r="B14711" s="12"/>
      <c r="C14711" s="12"/>
    </row>
    <row r="14712" spans="2:3">
      <c r="B14712" s="12"/>
      <c r="C14712" s="12"/>
    </row>
    <row r="14713" spans="2:3">
      <c r="B14713" s="12"/>
      <c r="C14713" s="12"/>
    </row>
    <row r="14714" spans="2:3">
      <c r="B14714" s="12"/>
      <c r="C14714" s="12"/>
    </row>
    <row r="14715" spans="2:3">
      <c r="B14715" s="12"/>
      <c r="C14715" s="12"/>
    </row>
    <row r="14716" spans="2:3">
      <c r="B14716" s="12"/>
      <c r="C14716" s="12"/>
    </row>
    <row r="14717" spans="2:3">
      <c r="B14717" s="12"/>
      <c r="C14717" s="12"/>
    </row>
    <row r="14718" spans="2:3">
      <c r="B14718" s="12"/>
      <c r="C14718" s="12"/>
    </row>
    <row r="14719" spans="2:3">
      <c r="B14719" s="12"/>
      <c r="C14719" s="12"/>
    </row>
    <row r="14720" spans="2:3">
      <c r="B14720" s="12"/>
      <c r="C14720" s="12"/>
    </row>
    <row r="14721" spans="2:3">
      <c r="B14721" s="12"/>
      <c r="C14721" s="12"/>
    </row>
    <row r="14722" spans="2:3">
      <c r="B14722" s="12"/>
      <c r="C14722" s="12"/>
    </row>
    <row r="14723" spans="2:3">
      <c r="B14723" s="12"/>
      <c r="C14723" s="12"/>
    </row>
    <row r="14724" spans="2:3">
      <c r="B14724" s="12"/>
      <c r="C14724" s="12"/>
    </row>
    <row r="14725" spans="2:3">
      <c r="B14725" s="12"/>
      <c r="C14725" s="12"/>
    </row>
    <row r="14726" spans="2:3">
      <c r="B14726" s="12"/>
      <c r="C14726" s="12"/>
    </row>
    <row r="14727" spans="2:3">
      <c r="B14727" s="12"/>
      <c r="C14727" s="12"/>
    </row>
    <row r="14728" spans="2:3">
      <c r="B14728" s="12"/>
      <c r="C14728" s="12"/>
    </row>
    <row r="14729" spans="2:3">
      <c r="B14729" s="12"/>
      <c r="C14729" s="12"/>
    </row>
    <row r="14730" spans="2:3">
      <c r="B14730" s="12"/>
      <c r="C14730" s="12"/>
    </row>
    <row r="14731" spans="2:3">
      <c r="B14731" s="12"/>
      <c r="C14731" s="12"/>
    </row>
    <row r="14732" spans="2:3">
      <c r="B14732" s="12"/>
      <c r="C14732" s="12"/>
    </row>
    <row r="14733" spans="2:3">
      <c r="B14733" s="12"/>
      <c r="C14733" s="12"/>
    </row>
    <row r="14734" spans="2:3">
      <c r="B14734" s="12"/>
      <c r="C14734" s="12"/>
    </row>
    <row r="14735" spans="2:3">
      <c r="B14735" s="12"/>
      <c r="C14735" s="12"/>
    </row>
    <row r="14736" spans="2:3">
      <c r="B14736" s="12"/>
      <c r="C14736" s="12"/>
    </row>
    <row r="14737" spans="2:3">
      <c r="B14737" s="12"/>
      <c r="C14737" s="12"/>
    </row>
    <row r="14738" spans="2:3">
      <c r="B14738" s="12"/>
      <c r="C14738" s="12"/>
    </row>
    <row r="14739" spans="2:3">
      <c r="B14739" s="12"/>
      <c r="C14739" s="12"/>
    </row>
    <row r="14740" spans="2:3">
      <c r="B14740" s="12"/>
      <c r="C14740" s="12"/>
    </row>
    <row r="14741" spans="2:3">
      <c r="B14741" s="12"/>
      <c r="C14741" s="12"/>
    </row>
    <row r="14742" spans="2:3">
      <c r="B14742" s="12"/>
      <c r="C14742" s="12"/>
    </row>
    <row r="14743" spans="2:3">
      <c r="B14743" s="12"/>
      <c r="C14743" s="12"/>
    </row>
    <row r="14744" spans="2:3">
      <c r="B14744" s="12"/>
      <c r="C14744" s="12"/>
    </row>
    <row r="14745" spans="2:3">
      <c r="B14745" s="12"/>
      <c r="C14745" s="12"/>
    </row>
    <row r="14746" spans="2:3">
      <c r="B14746" s="12"/>
      <c r="C14746" s="12"/>
    </row>
    <row r="14747" spans="2:3">
      <c r="B14747" s="12"/>
      <c r="C14747" s="12"/>
    </row>
    <row r="14748" spans="2:3">
      <c r="B14748" s="12"/>
      <c r="C14748" s="12"/>
    </row>
    <row r="14749" spans="2:3">
      <c r="B14749" s="12"/>
      <c r="C14749" s="12"/>
    </row>
    <row r="14750" spans="2:3">
      <c r="B14750" s="12"/>
      <c r="C14750" s="12"/>
    </row>
    <row r="14751" spans="2:3">
      <c r="B14751" s="12"/>
      <c r="C14751" s="12"/>
    </row>
    <row r="14752" spans="2:3">
      <c r="B14752" s="12"/>
      <c r="C14752" s="12"/>
    </row>
    <row r="14753" spans="2:3">
      <c r="B14753" s="12"/>
      <c r="C14753" s="12"/>
    </row>
    <row r="14754" spans="2:3">
      <c r="B14754" s="12"/>
      <c r="C14754" s="12"/>
    </row>
    <row r="14755" spans="2:3">
      <c r="B14755" s="12"/>
      <c r="C14755" s="12"/>
    </row>
    <row r="14756" spans="2:3">
      <c r="B14756" s="12"/>
      <c r="C14756" s="12"/>
    </row>
    <row r="14757" spans="2:3">
      <c r="B14757" s="12"/>
      <c r="C14757" s="12"/>
    </row>
    <row r="14758" spans="2:3">
      <c r="B14758" s="12"/>
      <c r="C14758" s="12"/>
    </row>
    <row r="14759" spans="2:3">
      <c r="B14759" s="12"/>
      <c r="C14759" s="12"/>
    </row>
    <row r="14760" spans="2:3">
      <c r="B14760" s="12"/>
      <c r="C14760" s="12"/>
    </row>
    <row r="14761" spans="2:3">
      <c r="B14761" s="12"/>
      <c r="C14761" s="12"/>
    </row>
    <row r="14762" spans="2:3">
      <c r="B14762" s="12"/>
      <c r="C14762" s="12"/>
    </row>
    <row r="14763" spans="2:3">
      <c r="B14763" s="12"/>
      <c r="C14763" s="12"/>
    </row>
    <row r="14764" spans="2:3">
      <c r="B14764" s="12"/>
      <c r="C14764" s="12"/>
    </row>
    <row r="14765" spans="2:3">
      <c r="B14765" s="12"/>
      <c r="C14765" s="12"/>
    </row>
    <row r="14766" spans="2:3">
      <c r="B14766" s="12"/>
      <c r="C14766" s="12"/>
    </row>
    <row r="14767" spans="2:3">
      <c r="B14767" s="12"/>
      <c r="C14767" s="12"/>
    </row>
    <row r="14768" spans="2:3">
      <c r="B14768" s="12"/>
      <c r="C14768" s="12"/>
    </row>
    <row r="14769" spans="2:3">
      <c r="B14769" s="12"/>
      <c r="C14769" s="12"/>
    </row>
    <row r="14770" spans="2:3">
      <c r="B14770" s="12"/>
      <c r="C14770" s="12"/>
    </row>
    <row r="14771" spans="2:3">
      <c r="B14771" s="12"/>
      <c r="C14771" s="12"/>
    </row>
    <row r="14772" spans="2:3">
      <c r="B14772" s="12"/>
      <c r="C14772" s="12"/>
    </row>
    <row r="14773" spans="2:3">
      <c r="B14773" s="12"/>
      <c r="C14773" s="12"/>
    </row>
    <row r="14774" spans="2:3">
      <c r="B14774" s="12"/>
      <c r="C14774" s="12"/>
    </row>
    <row r="14775" spans="2:3">
      <c r="B14775" s="12"/>
      <c r="C14775" s="12"/>
    </row>
    <row r="14776" spans="2:3">
      <c r="B14776" s="12"/>
      <c r="C14776" s="12"/>
    </row>
    <row r="14777" spans="2:3">
      <c r="B14777" s="12"/>
      <c r="C14777" s="12"/>
    </row>
    <row r="14778" spans="2:3">
      <c r="B14778" s="12"/>
      <c r="C14778" s="12"/>
    </row>
    <row r="14779" spans="2:3">
      <c r="B14779" s="12"/>
      <c r="C14779" s="12"/>
    </row>
    <row r="14780" spans="2:3">
      <c r="B14780" s="12"/>
      <c r="C14780" s="12"/>
    </row>
    <row r="14781" spans="2:3">
      <c r="B14781" s="12"/>
      <c r="C14781" s="12"/>
    </row>
    <row r="14782" spans="2:3">
      <c r="B14782" s="12"/>
      <c r="C14782" s="12"/>
    </row>
    <row r="14783" spans="2:3">
      <c r="B14783" s="12"/>
      <c r="C14783" s="12"/>
    </row>
    <row r="14784" spans="2:3">
      <c r="B14784" s="12"/>
      <c r="C14784" s="12"/>
    </row>
    <row r="14785" spans="2:3">
      <c r="B14785" s="12"/>
      <c r="C14785" s="12"/>
    </row>
    <row r="14786" spans="2:3">
      <c r="B14786" s="12"/>
      <c r="C14786" s="12"/>
    </row>
    <row r="14787" spans="2:3">
      <c r="B14787" s="12"/>
      <c r="C14787" s="12"/>
    </row>
    <row r="14788" spans="2:3">
      <c r="B14788" s="12"/>
      <c r="C14788" s="12"/>
    </row>
    <row r="14789" spans="2:3">
      <c r="B14789" s="12"/>
      <c r="C14789" s="12"/>
    </row>
    <row r="14790" spans="2:3">
      <c r="B14790" s="12"/>
      <c r="C14790" s="12"/>
    </row>
    <row r="14791" spans="2:3">
      <c r="B14791" s="12"/>
      <c r="C14791" s="12"/>
    </row>
    <row r="14792" spans="2:3">
      <c r="B14792" s="12"/>
      <c r="C14792" s="12"/>
    </row>
    <row r="14793" spans="2:3">
      <c r="B14793" s="12"/>
      <c r="C14793" s="12"/>
    </row>
    <row r="14794" spans="2:3">
      <c r="B14794" s="12"/>
      <c r="C14794" s="12"/>
    </row>
    <row r="14795" spans="2:3">
      <c r="B14795" s="12"/>
      <c r="C14795" s="12"/>
    </row>
    <row r="14796" spans="2:3">
      <c r="B14796" s="12"/>
      <c r="C14796" s="12"/>
    </row>
    <row r="14797" spans="2:3">
      <c r="B14797" s="12"/>
      <c r="C14797" s="12"/>
    </row>
    <row r="14798" spans="2:3">
      <c r="B14798" s="12"/>
      <c r="C14798" s="12"/>
    </row>
    <row r="14799" spans="2:3">
      <c r="B14799" s="12"/>
      <c r="C14799" s="12"/>
    </row>
    <row r="14800" spans="2:3">
      <c r="B14800" s="12"/>
      <c r="C14800" s="12"/>
    </row>
    <row r="14801" spans="2:3">
      <c r="B14801" s="12"/>
      <c r="C14801" s="12"/>
    </row>
    <row r="14802" spans="2:3">
      <c r="B14802" s="12"/>
      <c r="C14802" s="12"/>
    </row>
    <row r="14803" spans="2:3">
      <c r="B14803" s="12"/>
      <c r="C14803" s="12"/>
    </row>
    <row r="14804" spans="2:3">
      <c r="B14804" s="12"/>
      <c r="C14804" s="12"/>
    </row>
    <row r="14805" spans="2:3">
      <c r="B14805" s="12"/>
      <c r="C14805" s="12"/>
    </row>
    <row r="14806" spans="2:3">
      <c r="B14806" s="12"/>
      <c r="C14806" s="12"/>
    </row>
    <row r="14807" spans="2:3">
      <c r="B14807" s="12"/>
      <c r="C14807" s="12"/>
    </row>
    <row r="14808" spans="2:3">
      <c r="B14808" s="12"/>
      <c r="C14808" s="12"/>
    </row>
    <row r="14809" spans="2:3">
      <c r="B14809" s="12"/>
      <c r="C14809" s="12"/>
    </row>
    <row r="14810" spans="2:3">
      <c r="B14810" s="12"/>
      <c r="C14810" s="12"/>
    </row>
    <row r="14811" spans="2:3">
      <c r="B14811" s="12"/>
      <c r="C14811" s="12"/>
    </row>
    <row r="14812" spans="2:3">
      <c r="B14812" s="12"/>
      <c r="C14812" s="12"/>
    </row>
    <row r="14813" spans="2:3">
      <c r="B14813" s="12"/>
      <c r="C14813" s="12"/>
    </row>
    <row r="14814" spans="2:3">
      <c r="B14814" s="12"/>
      <c r="C14814" s="12"/>
    </row>
    <row r="14815" spans="2:3">
      <c r="B14815" s="12"/>
      <c r="C14815" s="12"/>
    </row>
    <row r="14816" spans="2:3">
      <c r="B14816" s="12"/>
      <c r="C14816" s="12"/>
    </row>
    <row r="14817" spans="2:3">
      <c r="B14817" s="12"/>
      <c r="C14817" s="12"/>
    </row>
    <row r="14818" spans="2:3">
      <c r="B14818" s="12"/>
      <c r="C14818" s="12"/>
    </row>
    <row r="14819" spans="2:3">
      <c r="B14819" s="12"/>
      <c r="C14819" s="12"/>
    </row>
    <row r="14820" spans="2:3">
      <c r="B14820" s="12"/>
      <c r="C14820" s="12"/>
    </row>
    <row r="14821" spans="2:3">
      <c r="B14821" s="12"/>
      <c r="C14821" s="12"/>
    </row>
    <row r="14822" spans="2:3">
      <c r="B14822" s="12"/>
      <c r="C14822" s="12"/>
    </row>
    <row r="14823" spans="2:3">
      <c r="B14823" s="12"/>
      <c r="C14823" s="12"/>
    </row>
    <row r="14824" spans="2:3">
      <c r="B14824" s="12"/>
      <c r="C14824" s="12"/>
    </row>
    <row r="14825" spans="2:3">
      <c r="B14825" s="12"/>
      <c r="C14825" s="12"/>
    </row>
    <row r="14826" spans="2:3">
      <c r="B14826" s="12"/>
      <c r="C14826" s="12"/>
    </row>
    <row r="14827" spans="2:3">
      <c r="B14827" s="12"/>
      <c r="C14827" s="12"/>
    </row>
    <row r="14828" spans="2:3">
      <c r="B14828" s="12"/>
      <c r="C14828" s="12"/>
    </row>
    <row r="14829" spans="2:3">
      <c r="B14829" s="12"/>
      <c r="C14829" s="12"/>
    </row>
    <row r="14830" spans="2:3">
      <c r="B14830" s="12"/>
      <c r="C14830" s="12"/>
    </row>
    <row r="14831" spans="2:3">
      <c r="B14831" s="12"/>
      <c r="C14831" s="12"/>
    </row>
    <row r="14832" spans="2:3">
      <c r="B14832" s="12"/>
      <c r="C14832" s="12"/>
    </row>
    <row r="14833" spans="2:3">
      <c r="B14833" s="12"/>
      <c r="C14833" s="12"/>
    </row>
    <row r="14834" spans="2:3">
      <c r="B14834" s="12"/>
      <c r="C14834" s="12"/>
    </row>
    <row r="14835" spans="2:3">
      <c r="B14835" s="12"/>
      <c r="C14835" s="12"/>
    </row>
    <row r="14836" spans="2:3">
      <c r="B14836" s="12"/>
      <c r="C14836" s="12"/>
    </row>
    <row r="14837" spans="2:3">
      <c r="B14837" s="12"/>
      <c r="C14837" s="12"/>
    </row>
    <row r="14838" spans="2:3">
      <c r="B14838" s="12"/>
      <c r="C14838" s="12"/>
    </row>
    <row r="14839" spans="2:3">
      <c r="B14839" s="12"/>
      <c r="C14839" s="12"/>
    </row>
    <row r="14840" spans="2:3">
      <c r="B14840" s="12"/>
      <c r="C14840" s="12"/>
    </row>
    <row r="14841" spans="2:3">
      <c r="B14841" s="12"/>
      <c r="C14841" s="12"/>
    </row>
    <row r="14842" spans="2:3">
      <c r="B14842" s="12"/>
      <c r="C14842" s="12"/>
    </row>
    <row r="14843" spans="2:3">
      <c r="B14843" s="12"/>
      <c r="C14843" s="12"/>
    </row>
    <row r="14844" spans="2:3">
      <c r="B14844" s="12"/>
      <c r="C14844" s="12"/>
    </row>
    <row r="14845" spans="2:3">
      <c r="B14845" s="12"/>
      <c r="C14845" s="12"/>
    </row>
    <row r="14846" spans="2:3">
      <c r="B14846" s="12"/>
      <c r="C14846" s="12"/>
    </row>
    <row r="14847" spans="2:3">
      <c r="B14847" s="12"/>
      <c r="C14847" s="12"/>
    </row>
    <row r="14848" spans="2:3">
      <c r="B14848" s="12"/>
      <c r="C14848" s="12"/>
    </row>
    <row r="14849" spans="2:3">
      <c r="B14849" s="12"/>
      <c r="C14849" s="12"/>
    </row>
    <row r="14850" spans="2:3">
      <c r="B14850" s="12"/>
      <c r="C14850" s="12"/>
    </row>
    <row r="14851" spans="2:3">
      <c r="B14851" s="12"/>
      <c r="C14851" s="12"/>
    </row>
    <row r="14852" spans="2:3">
      <c r="B14852" s="12"/>
      <c r="C14852" s="12"/>
    </row>
    <row r="14853" spans="2:3">
      <c r="B14853" s="12"/>
      <c r="C14853" s="12"/>
    </row>
    <row r="14854" spans="2:3">
      <c r="B14854" s="12"/>
      <c r="C14854" s="12"/>
    </row>
    <row r="14855" spans="2:3">
      <c r="B14855" s="12"/>
      <c r="C14855" s="12"/>
    </row>
    <row r="14856" spans="2:3">
      <c r="B14856" s="12"/>
      <c r="C14856" s="12"/>
    </row>
    <row r="14857" spans="2:3">
      <c r="B14857" s="12"/>
      <c r="C14857" s="12"/>
    </row>
    <row r="14858" spans="2:3">
      <c r="B14858" s="12"/>
      <c r="C14858" s="12"/>
    </row>
    <row r="14859" spans="2:3">
      <c r="B14859" s="12"/>
      <c r="C14859" s="12"/>
    </row>
    <row r="14860" spans="2:3">
      <c r="B14860" s="12"/>
      <c r="C14860" s="12"/>
    </row>
    <row r="14861" spans="2:3">
      <c r="B14861" s="12"/>
      <c r="C14861" s="12"/>
    </row>
    <row r="14862" spans="2:3">
      <c r="B14862" s="12"/>
      <c r="C14862" s="12"/>
    </row>
    <row r="14863" spans="2:3">
      <c r="B14863" s="12"/>
      <c r="C14863" s="12"/>
    </row>
    <row r="14864" spans="2:3">
      <c r="B14864" s="12"/>
      <c r="C14864" s="12"/>
    </row>
    <row r="14865" spans="2:3">
      <c r="B14865" s="12"/>
      <c r="C14865" s="12"/>
    </row>
    <row r="14866" spans="2:3">
      <c r="B14866" s="12"/>
      <c r="C14866" s="12"/>
    </row>
    <row r="14867" spans="2:3">
      <c r="B14867" s="12"/>
      <c r="C14867" s="12"/>
    </row>
    <row r="14868" spans="2:3">
      <c r="B14868" s="12"/>
      <c r="C14868" s="12"/>
    </row>
    <row r="14869" spans="2:3">
      <c r="B14869" s="12"/>
      <c r="C14869" s="12"/>
    </row>
    <row r="14870" spans="2:3">
      <c r="B14870" s="12"/>
      <c r="C14870" s="12"/>
    </row>
    <row r="14871" spans="2:3">
      <c r="B14871" s="12"/>
      <c r="C14871" s="12"/>
    </row>
    <row r="14872" spans="2:3">
      <c r="B14872" s="12"/>
      <c r="C14872" s="12"/>
    </row>
    <row r="14873" spans="2:3">
      <c r="B14873" s="12"/>
      <c r="C14873" s="12"/>
    </row>
    <row r="14874" spans="2:3">
      <c r="B14874" s="12"/>
      <c r="C14874" s="12"/>
    </row>
    <row r="14875" spans="2:3">
      <c r="B14875" s="12"/>
      <c r="C14875" s="12"/>
    </row>
    <row r="14876" spans="2:3">
      <c r="B14876" s="12"/>
      <c r="C14876" s="12"/>
    </row>
    <row r="14877" spans="2:3">
      <c r="B14877" s="12"/>
      <c r="C14877" s="12"/>
    </row>
    <row r="14878" spans="2:3">
      <c r="B14878" s="12"/>
      <c r="C14878" s="12"/>
    </row>
    <row r="14879" spans="2:3">
      <c r="B14879" s="12"/>
      <c r="C14879" s="12"/>
    </row>
    <row r="14880" spans="2:3">
      <c r="B14880" s="12"/>
      <c r="C14880" s="12"/>
    </row>
    <row r="14881" spans="2:3">
      <c r="B14881" s="12"/>
      <c r="C14881" s="12"/>
    </row>
    <row r="14882" spans="2:3">
      <c r="B14882" s="12"/>
      <c r="C14882" s="12"/>
    </row>
    <row r="14883" spans="2:3">
      <c r="B14883" s="12"/>
      <c r="C14883" s="12"/>
    </row>
    <row r="14884" spans="2:3">
      <c r="B14884" s="12"/>
      <c r="C14884" s="12"/>
    </row>
    <row r="14885" spans="2:3">
      <c r="B14885" s="12"/>
      <c r="C14885" s="12"/>
    </row>
    <row r="14886" spans="2:3">
      <c r="B14886" s="12"/>
      <c r="C14886" s="12"/>
    </row>
    <row r="14887" spans="2:3">
      <c r="B14887" s="12"/>
      <c r="C14887" s="12"/>
    </row>
    <row r="14888" spans="2:3">
      <c r="B14888" s="12"/>
      <c r="C14888" s="12"/>
    </row>
    <row r="14889" spans="2:3">
      <c r="B14889" s="12"/>
      <c r="C14889" s="12"/>
    </row>
    <row r="14890" spans="2:3">
      <c r="B14890" s="12"/>
      <c r="C14890" s="12"/>
    </row>
    <row r="14891" spans="2:3">
      <c r="B14891" s="12"/>
      <c r="C14891" s="12"/>
    </row>
    <row r="14892" spans="2:3">
      <c r="B14892" s="12"/>
      <c r="C14892" s="12"/>
    </row>
    <row r="14893" spans="2:3">
      <c r="B14893" s="12"/>
      <c r="C14893" s="12"/>
    </row>
    <row r="14894" spans="2:3">
      <c r="B14894" s="12"/>
      <c r="C14894" s="12"/>
    </row>
    <row r="14895" spans="2:3">
      <c r="B14895" s="12"/>
      <c r="C14895" s="12"/>
    </row>
    <row r="14896" spans="2:3">
      <c r="B14896" s="12"/>
      <c r="C14896" s="12"/>
    </row>
    <row r="14897" spans="2:3">
      <c r="B14897" s="12"/>
      <c r="C14897" s="12"/>
    </row>
    <row r="14898" spans="2:3">
      <c r="B14898" s="12"/>
      <c r="C14898" s="12"/>
    </row>
    <row r="14899" spans="2:3">
      <c r="B14899" s="12"/>
      <c r="C14899" s="12"/>
    </row>
    <row r="14900" spans="2:3">
      <c r="B14900" s="12"/>
      <c r="C14900" s="12"/>
    </row>
    <row r="14901" spans="2:3">
      <c r="B14901" s="12"/>
      <c r="C14901" s="12"/>
    </row>
    <row r="14902" spans="2:3">
      <c r="B14902" s="12"/>
      <c r="C14902" s="12"/>
    </row>
    <row r="14903" spans="2:3">
      <c r="B14903" s="12"/>
      <c r="C14903" s="12"/>
    </row>
    <row r="14904" spans="2:3">
      <c r="B14904" s="12"/>
      <c r="C14904" s="12"/>
    </row>
    <row r="14905" spans="2:3">
      <c r="B14905" s="12"/>
      <c r="C14905" s="12"/>
    </row>
    <row r="14906" spans="2:3">
      <c r="B14906" s="12"/>
      <c r="C14906" s="12"/>
    </row>
    <row r="14907" spans="2:3">
      <c r="B14907" s="12"/>
      <c r="C14907" s="12"/>
    </row>
    <row r="14908" spans="2:3">
      <c r="B14908" s="12"/>
      <c r="C14908" s="12"/>
    </row>
    <row r="14909" spans="2:3">
      <c r="B14909" s="12"/>
      <c r="C14909" s="12"/>
    </row>
    <row r="14910" spans="2:3">
      <c r="B14910" s="12"/>
      <c r="C14910" s="12"/>
    </row>
    <row r="14911" spans="2:3">
      <c r="B14911" s="12"/>
      <c r="C14911" s="12"/>
    </row>
    <row r="14912" spans="2:3">
      <c r="B14912" s="12"/>
      <c r="C14912" s="12"/>
    </row>
    <row r="14913" spans="2:3">
      <c r="B14913" s="12"/>
      <c r="C14913" s="12"/>
    </row>
    <row r="14914" spans="2:3">
      <c r="B14914" s="12"/>
      <c r="C14914" s="12"/>
    </row>
    <row r="14915" spans="2:3">
      <c r="B14915" s="12"/>
      <c r="C14915" s="12"/>
    </row>
    <row r="14916" spans="2:3">
      <c r="B14916" s="12"/>
      <c r="C14916" s="12"/>
    </row>
    <row r="14917" spans="2:3">
      <c r="B14917" s="12"/>
      <c r="C14917" s="12"/>
    </row>
    <row r="14918" spans="2:3">
      <c r="B14918" s="12"/>
      <c r="C14918" s="12"/>
    </row>
    <row r="14919" spans="2:3">
      <c r="B14919" s="12"/>
      <c r="C14919" s="12"/>
    </row>
    <row r="14920" spans="2:3">
      <c r="B14920" s="12"/>
      <c r="C14920" s="12"/>
    </row>
    <row r="14921" spans="2:3">
      <c r="B14921" s="12"/>
      <c r="C14921" s="12"/>
    </row>
    <row r="14922" spans="2:3">
      <c r="B14922" s="12"/>
      <c r="C14922" s="12"/>
    </row>
    <row r="14923" spans="2:3">
      <c r="B14923" s="12"/>
      <c r="C14923" s="12"/>
    </row>
    <row r="14924" spans="2:3">
      <c r="B14924" s="12"/>
      <c r="C14924" s="12"/>
    </row>
    <row r="14925" spans="2:3">
      <c r="B14925" s="12"/>
      <c r="C14925" s="12"/>
    </row>
    <row r="14926" spans="2:3">
      <c r="B14926" s="12"/>
      <c r="C14926" s="12"/>
    </row>
    <row r="14927" spans="2:3">
      <c r="B14927" s="12"/>
      <c r="C14927" s="12"/>
    </row>
    <row r="14928" spans="2:3">
      <c r="B14928" s="12"/>
      <c r="C14928" s="12"/>
    </row>
    <row r="14929" spans="2:3">
      <c r="B14929" s="12"/>
      <c r="C14929" s="12"/>
    </row>
    <row r="14930" spans="2:3">
      <c r="B14930" s="12"/>
      <c r="C14930" s="12"/>
    </row>
    <row r="14931" spans="2:3">
      <c r="B14931" s="12"/>
      <c r="C14931" s="12"/>
    </row>
    <row r="14932" spans="2:3">
      <c r="B14932" s="12"/>
      <c r="C14932" s="12"/>
    </row>
    <row r="14933" spans="2:3">
      <c r="B14933" s="12"/>
      <c r="C14933" s="12"/>
    </row>
    <row r="14934" spans="2:3">
      <c r="B14934" s="12"/>
      <c r="C14934" s="12"/>
    </row>
    <row r="14935" spans="2:3">
      <c r="B14935" s="12"/>
      <c r="C14935" s="12"/>
    </row>
    <row r="14936" spans="2:3">
      <c r="B14936" s="12"/>
      <c r="C14936" s="12"/>
    </row>
    <row r="14937" spans="2:3">
      <c r="B14937" s="12"/>
      <c r="C14937" s="12"/>
    </row>
    <row r="14938" spans="2:3">
      <c r="B14938" s="12"/>
      <c r="C14938" s="12"/>
    </row>
    <row r="14939" spans="2:3">
      <c r="B14939" s="12"/>
      <c r="C14939" s="12"/>
    </row>
    <row r="14940" spans="2:3">
      <c r="B14940" s="12"/>
      <c r="C14940" s="12"/>
    </row>
    <row r="14941" spans="2:3">
      <c r="B14941" s="12"/>
      <c r="C14941" s="12"/>
    </row>
    <row r="14942" spans="2:3">
      <c r="B14942" s="12"/>
      <c r="C14942" s="12"/>
    </row>
    <row r="14943" spans="2:3">
      <c r="B14943" s="12"/>
      <c r="C14943" s="12"/>
    </row>
    <row r="14944" spans="2:3">
      <c r="B14944" s="12"/>
      <c r="C14944" s="12"/>
    </row>
    <row r="14945" spans="2:3">
      <c r="B14945" s="12"/>
      <c r="C14945" s="12"/>
    </row>
    <row r="14946" spans="2:3">
      <c r="B14946" s="12"/>
      <c r="C14946" s="12"/>
    </row>
    <row r="14947" spans="2:3">
      <c r="B14947" s="12"/>
      <c r="C14947" s="12"/>
    </row>
    <row r="14948" spans="2:3">
      <c r="B14948" s="12"/>
      <c r="C14948" s="12"/>
    </row>
    <row r="14949" spans="2:3">
      <c r="B14949" s="12"/>
      <c r="C14949" s="12"/>
    </row>
    <row r="14950" spans="2:3">
      <c r="B14950" s="12"/>
      <c r="C14950" s="12"/>
    </row>
    <row r="14951" spans="2:3">
      <c r="B14951" s="12"/>
      <c r="C14951" s="12"/>
    </row>
    <row r="14952" spans="2:3">
      <c r="B14952" s="12"/>
      <c r="C14952" s="12"/>
    </row>
    <row r="14953" spans="2:3">
      <c r="B14953" s="12"/>
      <c r="C14953" s="12"/>
    </row>
    <row r="14954" spans="2:3">
      <c r="B14954" s="12"/>
      <c r="C14954" s="12"/>
    </row>
    <row r="14955" spans="2:3">
      <c r="B14955" s="12"/>
      <c r="C14955" s="12"/>
    </row>
    <row r="14956" spans="2:3">
      <c r="B14956" s="12"/>
      <c r="C14956" s="12"/>
    </row>
    <row r="14957" spans="2:3">
      <c r="B14957" s="12"/>
      <c r="C14957" s="12"/>
    </row>
    <row r="14958" spans="2:3">
      <c r="B14958" s="12"/>
      <c r="C14958" s="12"/>
    </row>
    <row r="14959" spans="2:3">
      <c r="B14959" s="12"/>
      <c r="C14959" s="12"/>
    </row>
    <row r="14960" spans="2:3">
      <c r="B14960" s="12"/>
      <c r="C14960" s="12"/>
    </row>
    <row r="14961" spans="2:3">
      <c r="B14961" s="12"/>
      <c r="C14961" s="12"/>
    </row>
    <row r="14962" spans="2:3">
      <c r="B14962" s="12"/>
      <c r="C14962" s="12"/>
    </row>
    <row r="14963" spans="2:3">
      <c r="B14963" s="12"/>
      <c r="C14963" s="12"/>
    </row>
    <row r="14964" spans="2:3">
      <c r="B14964" s="12"/>
      <c r="C14964" s="12"/>
    </row>
    <row r="14965" spans="2:3">
      <c r="B14965" s="12"/>
      <c r="C14965" s="12"/>
    </row>
    <row r="14966" spans="2:3">
      <c r="B14966" s="12"/>
      <c r="C14966" s="12"/>
    </row>
    <row r="14967" spans="2:3">
      <c r="B14967" s="12"/>
      <c r="C14967" s="12"/>
    </row>
    <row r="14968" spans="2:3">
      <c r="B14968" s="12"/>
      <c r="C14968" s="12"/>
    </row>
    <row r="14969" spans="2:3">
      <c r="B14969" s="12"/>
      <c r="C14969" s="12"/>
    </row>
    <row r="14970" spans="2:3">
      <c r="B14970" s="12"/>
      <c r="C14970" s="12"/>
    </row>
    <row r="14971" spans="2:3">
      <c r="B14971" s="12"/>
      <c r="C14971" s="12"/>
    </row>
    <row r="14972" spans="2:3">
      <c r="B14972" s="12"/>
      <c r="C14972" s="12"/>
    </row>
    <row r="14973" spans="2:3">
      <c r="B14973" s="12"/>
      <c r="C14973" s="12"/>
    </row>
    <row r="14974" spans="2:3">
      <c r="B14974" s="12"/>
      <c r="C14974" s="12"/>
    </row>
    <row r="14975" spans="2:3">
      <c r="B14975" s="12"/>
      <c r="C14975" s="12"/>
    </row>
    <row r="14976" spans="2:3">
      <c r="B14976" s="12"/>
      <c r="C14976" s="12"/>
    </row>
    <row r="14977" spans="2:3">
      <c r="B14977" s="12"/>
      <c r="C14977" s="12"/>
    </row>
    <row r="14978" spans="2:3">
      <c r="B14978" s="12"/>
      <c r="C14978" s="12"/>
    </row>
    <row r="14979" spans="2:3">
      <c r="B14979" s="12"/>
      <c r="C14979" s="12"/>
    </row>
    <row r="14980" spans="2:3">
      <c r="B14980" s="12"/>
      <c r="C14980" s="12"/>
    </row>
    <row r="14981" spans="2:3">
      <c r="B14981" s="12"/>
      <c r="C14981" s="12"/>
    </row>
    <row r="14982" spans="2:3">
      <c r="B14982" s="12"/>
      <c r="C14982" s="12"/>
    </row>
    <row r="14983" spans="2:3">
      <c r="B14983" s="12"/>
      <c r="C14983" s="12"/>
    </row>
    <row r="14984" spans="2:3">
      <c r="B14984" s="12"/>
      <c r="C14984" s="12"/>
    </row>
    <row r="14985" spans="2:3">
      <c r="B14985" s="12"/>
      <c r="C14985" s="12"/>
    </row>
    <row r="14986" spans="2:3">
      <c r="B14986" s="12"/>
      <c r="C14986" s="12"/>
    </row>
    <row r="14987" spans="2:3">
      <c r="B14987" s="12"/>
      <c r="C14987" s="12"/>
    </row>
    <row r="14988" spans="2:3">
      <c r="B14988" s="12"/>
      <c r="C14988" s="12"/>
    </row>
    <row r="14989" spans="2:3">
      <c r="B14989" s="12"/>
      <c r="C14989" s="12"/>
    </row>
    <row r="14990" spans="2:3">
      <c r="B14990" s="12"/>
      <c r="C14990" s="12"/>
    </row>
    <row r="14991" spans="2:3">
      <c r="B14991" s="12"/>
      <c r="C14991" s="12"/>
    </row>
    <row r="14992" spans="2:3">
      <c r="B14992" s="12"/>
      <c r="C14992" s="12"/>
    </row>
    <row r="14993" spans="2:3">
      <c r="B14993" s="12"/>
      <c r="C14993" s="12"/>
    </row>
    <row r="14994" spans="2:3">
      <c r="B14994" s="12"/>
      <c r="C14994" s="12"/>
    </row>
    <row r="14995" spans="2:3">
      <c r="B14995" s="12"/>
      <c r="C14995" s="12"/>
    </row>
    <row r="14996" spans="2:3">
      <c r="B14996" s="12"/>
      <c r="C14996" s="12"/>
    </row>
    <row r="14997" spans="2:3">
      <c r="B14997" s="12"/>
      <c r="C14997" s="12"/>
    </row>
    <row r="14998" spans="2:3">
      <c r="B14998" s="12"/>
      <c r="C14998" s="12"/>
    </row>
    <row r="14999" spans="2:3">
      <c r="B14999" s="12"/>
      <c r="C14999" s="12"/>
    </row>
    <row r="15000" spans="2:3">
      <c r="B15000" s="12"/>
      <c r="C15000" s="12"/>
    </row>
    <row r="15001" spans="2:3">
      <c r="B15001" s="12"/>
      <c r="C15001" s="12"/>
    </row>
    <row r="15002" spans="2:3">
      <c r="B15002" s="12"/>
      <c r="C15002" s="12"/>
    </row>
    <row r="15003" spans="2:3">
      <c r="B15003" s="12"/>
      <c r="C15003" s="12"/>
    </row>
    <row r="15004" spans="2:3">
      <c r="B15004" s="12"/>
      <c r="C15004" s="12"/>
    </row>
    <row r="15005" spans="2:3">
      <c r="B15005" s="12"/>
      <c r="C15005" s="12"/>
    </row>
    <row r="15006" spans="2:3">
      <c r="B15006" s="12"/>
      <c r="C15006" s="12"/>
    </row>
    <row r="15007" spans="2:3">
      <c r="B15007" s="12"/>
      <c r="C15007" s="12"/>
    </row>
    <row r="15008" spans="2:3">
      <c r="B15008" s="12"/>
      <c r="C15008" s="12"/>
    </row>
    <row r="15009" spans="2:3">
      <c r="B15009" s="12"/>
      <c r="C15009" s="12"/>
    </row>
    <row r="15010" spans="2:3">
      <c r="B15010" s="12"/>
      <c r="C15010" s="12"/>
    </row>
    <row r="15011" spans="2:3">
      <c r="B15011" s="12"/>
      <c r="C15011" s="12"/>
    </row>
    <row r="15012" spans="2:3">
      <c r="B15012" s="12"/>
      <c r="C15012" s="12"/>
    </row>
    <row r="15013" spans="2:3">
      <c r="B15013" s="12"/>
      <c r="C15013" s="12"/>
    </row>
    <row r="15014" spans="2:3">
      <c r="B15014" s="12"/>
      <c r="C15014" s="12"/>
    </row>
    <row r="15015" spans="2:3">
      <c r="B15015" s="12"/>
      <c r="C15015" s="12"/>
    </row>
    <row r="15016" spans="2:3">
      <c r="B15016" s="12"/>
      <c r="C15016" s="12"/>
    </row>
    <row r="15017" spans="2:3">
      <c r="B15017" s="12"/>
      <c r="C15017" s="12"/>
    </row>
    <row r="15018" spans="2:3">
      <c r="B15018" s="12"/>
      <c r="C15018" s="12"/>
    </row>
    <row r="15019" spans="2:3">
      <c r="B15019" s="12"/>
      <c r="C15019" s="12"/>
    </row>
    <row r="15020" spans="2:3">
      <c r="B15020" s="12"/>
      <c r="C15020" s="12"/>
    </row>
    <row r="15021" spans="2:3">
      <c r="B15021" s="12"/>
      <c r="C15021" s="12"/>
    </row>
    <row r="15022" spans="2:3">
      <c r="B15022" s="12"/>
      <c r="C15022" s="12"/>
    </row>
    <row r="15023" spans="2:3">
      <c r="B15023" s="12"/>
      <c r="C15023" s="12"/>
    </row>
    <row r="15024" spans="2:3">
      <c r="B15024" s="12"/>
      <c r="C15024" s="12"/>
    </row>
    <row r="15025" spans="2:3">
      <c r="B15025" s="12"/>
      <c r="C15025" s="12"/>
    </row>
    <row r="15026" spans="2:3">
      <c r="B15026" s="12"/>
      <c r="C15026" s="12"/>
    </row>
    <row r="15027" spans="2:3">
      <c r="B15027" s="12"/>
      <c r="C15027" s="12"/>
    </row>
    <row r="15028" spans="2:3">
      <c r="B15028" s="12"/>
      <c r="C15028" s="12"/>
    </row>
    <row r="15029" spans="2:3">
      <c r="B15029" s="12"/>
      <c r="C15029" s="12"/>
    </row>
    <row r="15030" spans="2:3">
      <c r="B15030" s="12"/>
      <c r="C15030" s="12"/>
    </row>
    <row r="15031" spans="2:3">
      <c r="B15031" s="12"/>
      <c r="C15031" s="12"/>
    </row>
    <row r="15032" spans="2:3">
      <c r="B15032" s="12"/>
      <c r="C15032" s="12"/>
    </row>
    <row r="15033" spans="2:3">
      <c r="B15033" s="12"/>
      <c r="C15033" s="12"/>
    </row>
    <row r="15034" spans="2:3">
      <c r="B15034" s="12"/>
      <c r="C15034" s="12"/>
    </row>
    <row r="15035" spans="2:3">
      <c r="B15035" s="12"/>
      <c r="C15035" s="12"/>
    </row>
    <row r="15036" spans="2:3">
      <c r="B15036" s="12"/>
      <c r="C15036" s="12"/>
    </row>
    <row r="15037" spans="2:3">
      <c r="B15037" s="12"/>
      <c r="C15037" s="12"/>
    </row>
    <row r="15038" spans="2:3">
      <c r="B15038" s="12"/>
      <c r="C15038" s="12"/>
    </row>
    <row r="15039" spans="2:3">
      <c r="B15039" s="12"/>
      <c r="C15039" s="12"/>
    </row>
    <row r="15040" spans="2:3">
      <c r="B15040" s="12"/>
      <c r="C15040" s="12"/>
    </row>
    <row r="15041" spans="2:3">
      <c r="B15041" s="12"/>
      <c r="C15041" s="12"/>
    </row>
    <row r="15042" spans="2:3">
      <c r="B15042" s="12"/>
      <c r="C15042" s="12"/>
    </row>
    <row r="15043" spans="2:3">
      <c r="B15043" s="12"/>
      <c r="C15043" s="12"/>
    </row>
    <row r="15044" spans="2:3">
      <c r="B15044" s="12"/>
      <c r="C15044" s="12"/>
    </row>
    <row r="15045" spans="2:3">
      <c r="B15045" s="12"/>
      <c r="C15045" s="12"/>
    </row>
    <row r="15046" spans="2:3">
      <c r="B15046" s="12"/>
      <c r="C15046" s="12"/>
    </row>
    <row r="15047" spans="2:3">
      <c r="B15047" s="12"/>
      <c r="C15047" s="12"/>
    </row>
    <row r="15048" spans="2:3">
      <c r="B15048" s="12"/>
      <c r="C15048" s="12"/>
    </row>
    <row r="15049" spans="2:3">
      <c r="B15049" s="12"/>
      <c r="C15049" s="12"/>
    </row>
    <row r="15050" spans="2:3">
      <c r="B15050" s="12"/>
      <c r="C15050" s="12"/>
    </row>
    <row r="15051" spans="2:3">
      <c r="B15051" s="12"/>
      <c r="C15051" s="12"/>
    </row>
    <row r="15052" spans="2:3">
      <c r="B15052" s="12"/>
      <c r="C15052" s="12"/>
    </row>
    <row r="15053" spans="2:3">
      <c r="B15053" s="12"/>
      <c r="C15053" s="12"/>
    </row>
    <row r="15054" spans="2:3">
      <c r="B15054" s="12"/>
      <c r="C15054" s="12"/>
    </row>
    <row r="15055" spans="2:3">
      <c r="B15055" s="12"/>
      <c r="C15055" s="12"/>
    </row>
    <row r="15056" spans="2:3">
      <c r="B15056" s="12"/>
      <c r="C15056" s="12"/>
    </row>
    <row r="15057" spans="2:3">
      <c r="B15057" s="12"/>
      <c r="C15057" s="12"/>
    </row>
    <row r="15058" spans="2:3">
      <c r="B15058" s="12"/>
      <c r="C15058" s="12"/>
    </row>
    <row r="15059" spans="2:3">
      <c r="B15059" s="12"/>
      <c r="C15059" s="12"/>
    </row>
    <row r="15060" spans="2:3">
      <c r="B15060" s="12"/>
      <c r="C15060" s="12"/>
    </row>
    <row r="15061" spans="2:3">
      <c r="B15061" s="12"/>
      <c r="C15061" s="12"/>
    </row>
    <row r="15062" spans="2:3">
      <c r="B15062" s="12"/>
      <c r="C15062" s="12"/>
    </row>
    <row r="15063" spans="2:3">
      <c r="B15063" s="12"/>
      <c r="C15063" s="12"/>
    </row>
    <row r="15064" spans="2:3">
      <c r="B15064" s="12"/>
      <c r="C15064" s="12"/>
    </row>
    <row r="15065" spans="2:3">
      <c r="B15065" s="12"/>
      <c r="C15065" s="12"/>
    </row>
    <row r="15066" spans="2:3">
      <c r="B15066" s="12"/>
      <c r="C15066" s="12"/>
    </row>
    <row r="15067" spans="2:3">
      <c r="B15067" s="12"/>
      <c r="C15067" s="12"/>
    </row>
    <row r="15068" spans="2:3">
      <c r="B15068" s="12"/>
      <c r="C15068" s="12"/>
    </row>
    <row r="15069" spans="2:3">
      <c r="B15069" s="12"/>
      <c r="C15069" s="12"/>
    </row>
    <row r="15070" spans="2:3">
      <c r="B15070" s="12"/>
      <c r="C15070" s="12"/>
    </row>
    <row r="15071" spans="2:3">
      <c r="B15071" s="12"/>
      <c r="C15071" s="12"/>
    </row>
    <row r="15072" spans="2:3">
      <c r="B15072" s="12"/>
      <c r="C15072" s="12"/>
    </row>
    <row r="15073" spans="2:3">
      <c r="B15073" s="12"/>
      <c r="C15073" s="12"/>
    </row>
    <row r="15074" spans="2:3">
      <c r="B15074" s="12"/>
      <c r="C15074" s="12"/>
    </row>
    <row r="15075" spans="2:3">
      <c r="B15075" s="12"/>
      <c r="C15075" s="12"/>
    </row>
    <row r="15076" spans="2:3">
      <c r="B15076" s="12"/>
      <c r="C15076" s="12"/>
    </row>
    <row r="15077" spans="2:3">
      <c r="B15077" s="12"/>
      <c r="C15077" s="12"/>
    </row>
    <row r="15078" spans="2:3">
      <c r="B15078" s="12"/>
      <c r="C15078" s="12"/>
    </row>
    <row r="15079" spans="2:3">
      <c r="B15079" s="12"/>
      <c r="C15079" s="12"/>
    </row>
    <row r="15080" spans="2:3">
      <c r="B15080" s="12"/>
      <c r="C15080" s="12"/>
    </row>
    <row r="15081" spans="2:3">
      <c r="B15081" s="12"/>
      <c r="C15081" s="12"/>
    </row>
    <row r="15082" spans="2:3">
      <c r="B15082" s="12"/>
      <c r="C15082" s="12"/>
    </row>
    <row r="15083" spans="2:3">
      <c r="B15083" s="12"/>
      <c r="C15083" s="12"/>
    </row>
    <row r="15084" spans="2:3">
      <c r="B15084" s="12"/>
      <c r="C15084" s="12"/>
    </row>
    <row r="15085" spans="2:3">
      <c r="B15085" s="12"/>
      <c r="C15085" s="12"/>
    </row>
    <row r="15086" spans="2:3">
      <c r="B15086" s="12"/>
      <c r="C15086" s="12"/>
    </row>
    <row r="15087" spans="2:3">
      <c r="B15087" s="12"/>
      <c r="C15087" s="12"/>
    </row>
    <row r="15088" spans="2:3">
      <c r="B15088" s="12"/>
      <c r="C15088" s="12"/>
    </row>
    <row r="15089" spans="2:3">
      <c r="B15089" s="12"/>
      <c r="C15089" s="12"/>
    </row>
    <row r="15090" spans="2:3">
      <c r="B15090" s="12"/>
      <c r="C15090" s="12"/>
    </row>
    <row r="15091" spans="2:3">
      <c r="B15091" s="12"/>
      <c r="C15091" s="12"/>
    </row>
    <row r="15092" spans="2:3">
      <c r="B15092" s="12"/>
      <c r="C15092" s="12"/>
    </row>
    <row r="15093" spans="2:3">
      <c r="B15093" s="12"/>
      <c r="C15093" s="12"/>
    </row>
    <row r="15094" spans="2:3">
      <c r="B15094" s="12"/>
      <c r="C15094" s="12"/>
    </row>
    <row r="15095" spans="2:3">
      <c r="B15095" s="12"/>
      <c r="C15095" s="12"/>
    </row>
    <row r="15096" spans="2:3">
      <c r="B15096" s="12"/>
      <c r="C15096" s="12"/>
    </row>
    <row r="15097" spans="2:3">
      <c r="B15097" s="12"/>
      <c r="C15097" s="12"/>
    </row>
    <row r="15098" spans="2:3">
      <c r="B15098" s="12"/>
      <c r="C15098" s="12"/>
    </row>
    <row r="15099" spans="2:3">
      <c r="B15099" s="12"/>
      <c r="C15099" s="12"/>
    </row>
    <row r="15100" spans="2:3">
      <c r="B15100" s="12"/>
      <c r="C15100" s="12"/>
    </row>
    <row r="15101" spans="2:3">
      <c r="B15101" s="12"/>
      <c r="C15101" s="12"/>
    </row>
    <row r="15102" spans="2:3">
      <c r="B15102" s="12"/>
      <c r="C15102" s="12"/>
    </row>
    <row r="15103" spans="2:3">
      <c r="B15103" s="12"/>
      <c r="C15103" s="12"/>
    </row>
    <row r="15104" spans="2:3">
      <c r="B15104" s="12"/>
      <c r="C15104" s="12"/>
    </row>
    <row r="15105" spans="2:3">
      <c r="B15105" s="12"/>
      <c r="C15105" s="12"/>
    </row>
    <row r="15106" spans="2:3">
      <c r="B15106" s="12"/>
      <c r="C15106" s="12"/>
    </row>
    <row r="15107" spans="2:3">
      <c r="B15107" s="12"/>
      <c r="C15107" s="12"/>
    </row>
    <row r="15108" spans="2:3">
      <c r="B15108" s="12"/>
      <c r="C15108" s="12"/>
    </row>
    <row r="15109" spans="2:3">
      <c r="B15109" s="12"/>
      <c r="C15109" s="12"/>
    </row>
    <row r="15110" spans="2:3">
      <c r="B15110" s="12"/>
      <c r="C15110" s="12"/>
    </row>
    <row r="15111" spans="2:3">
      <c r="B15111" s="12"/>
      <c r="C15111" s="12"/>
    </row>
    <row r="15112" spans="2:3">
      <c r="B15112" s="12"/>
      <c r="C15112" s="12"/>
    </row>
    <row r="15113" spans="2:3">
      <c r="B15113" s="12"/>
      <c r="C15113" s="12"/>
    </row>
    <row r="15114" spans="2:3">
      <c r="B15114" s="12"/>
      <c r="C15114" s="12"/>
    </row>
    <row r="15115" spans="2:3">
      <c r="B15115" s="12"/>
      <c r="C15115" s="12"/>
    </row>
    <row r="15116" spans="2:3">
      <c r="B15116" s="12"/>
      <c r="C15116" s="12"/>
    </row>
    <row r="15117" spans="2:3">
      <c r="B15117" s="12"/>
      <c r="C15117" s="12"/>
    </row>
    <row r="15118" spans="2:3">
      <c r="B15118" s="12"/>
      <c r="C15118" s="12"/>
    </row>
    <row r="15119" spans="2:3">
      <c r="B15119" s="12"/>
      <c r="C15119" s="12"/>
    </row>
    <row r="15120" spans="2:3">
      <c r="B15120" s="12"/>
      <c r="C15120" s="12"/>
    </row>
    <row r="15121" spans="2:3">
      <c r="B15121" s="12"/>
      <c r="C15121" s="12"/>
    </row>
    <row r="15122" spans="2:3">
      <c r="B15122" s="12"/>
      <c r="C15122" s="12"/>
    </row>
    <row r="15123" spans="2:3">
      <c r="B15123" s="12"/>
      <c r="C15123" s="12"/>
    </row>
    <row r="15124" spans="2:3">
      <c r="B15124" s="12"/>
      <c r="C15124" s="12"/>
    </row>
    <row r="15125" spans="2:3">
      <c r="B15125" s="12"/>
      <c r="C15125" s="12"/>
    </row>
    <row r="15126" spans="2:3">
      <c r="B15126" s="12"/>
      <c r="C15126" s="12"/>
    </row>
    <row r="15127" spans="2:3">
      <c r="B15127" s="12"/>
      <c r="C15127" s="12"/>
    </row>
    <row r="15128" spans="2:3">
      <c r="B15128" s="12"/>
      <c r="C15128" s="12"/>
    </row>
    <row r="15129" spans="2:3">
      <c r="B15129" s="12"/>
      <c r="C15129" s="12"/>
    </row>
    <row r="15130" spans="2:3">
      <c r="B15130" s="12"/>
      <c r="C15130" s="12"/>
    </row>
    <row r="15131" spans="2:3">
      <c r="B15131" s="12"/>
      <c r="C15131" s="12"/>
    </row>
    <row r="15132" spans="2:3">
      <c r="B15132" s="12"/>
      <c r="C15132" s="12"/>
    </row>
    <row r="15133" spans="2:3">
      <c r="B15133" s="12"/>
      <c r="C15133" s="12"/>
    </row>
    <row r="15134" spans="2:3">
      <c r="B15134" s="12"/>
      <c r="C15134" s="12"/>
    </row>
    <row r="15135" spans="2:3">
      <c r="B15135" s="12"/>
      <c r="C15135" s="12"/>
    </row>
    <row r="15136" spans="2:3">
      <c r="B15136" s="12"/>
      <c r="C15136" s="12"/>
    </row>
    <row r="15137" spans="2:3">
      <c r="B15137" s="12"/>
      <c r="C15137" s="12"/>
    </row>
    <row r="15138" spans="2:3">
      <c r="B15138" s="12"/>
      <c r="C15138" s="12"/>
    </row>
    <row r="15139" spans="2:3">
      <c r="B15139" s="12"/>
      <c r="C15139" s="12"/>
    </row>
    <row r="15140" spans="2:3">
      <c r="B15140" s="12"/>
      <c r="C15140" s="12"/>
    </row>
    <row r="15141" spans="2:3">
      <c r="B15141" s="12"/>
      <c r="C15141" s="12"/>
    </row>
    <row r="15142" spans="2:3">
      <c r="B15142" s="12"/>
      <c r="C15142" s="12"/>
    </row>
    <row r="15143" spans="2:3">
      <c r="B15143" s="12"/>
      <c r="C15143" s="12"/>
    </row>
    <row r="15144" spans="2:3">
      <c r="B15144" s="12"/>
      <c r="C15144" s="12"/>
    </row>
    <row r="15145" spans="2:3">
      <c r="B15145" s="12"/>
      <c r="C15145" s="12"/>
    </row>
    <row r="15146" spans="2:3">
      <c r="B15146" s="12"/>
      <c r="C15146" s="12"/>
    </row>
    <row r="15147" spans="2:3">
      <c r="B15147" s="12"/>
      <c r="C15147" s="12"/>
    </row>
    <row r="15148" spans="2:3">
      <c r="B15148" s="12"/>
      <c r="C15148" s="12"/>
    </row>
    <row r="15149" spans="2:3">
      <c r="B15149" s="12"/>
      <c r="C15149" s="12"/>
    </row>
    <row r="15150" spans="2:3">
      <c r="B15150" s="12"/>
      <c r="C15150" s="12"/>
    </row>
    <row r="15151" spans="2:3">
      <c r="B15151" s="12"/>
      <c r="C15151" s="12"/>
    </row>
    <row r="15152" spans="2:3">
      <c r="B15152" s="12"/>
      <c r="C15152" s="12"/>
    </row>
    <row r="15153" spans="2:3">
      <c r="B15153" s="12"/>
      <c r="C15153" s="12"/>
    </row>
    <row r="15154" spans="2:3">
      <c r="B15154" s="12"/>
      <c r="C15154" s="12"/>
    </row>
    <row r="15155" spans="2:3">
      <c r="B15155" s="12"/>
      <c r="C15155" s="12"/>
    </row>
    <row r="15156" spans="2:3">
      <c r="B15156" s="12"/>
      <c r="C15156" s="12"/>
    </row>
    <row r="15157" spans="2:3">
      <c r="B15157" s="12"/>
      <c r="C15157" s="12"/>
    </row>
    <row r="15158" spans="2:3">
      <c r="B15158" s="12"/>
      <c r="C15158" s="12"/>
    </row>
    <row r="15159" spans="2:3">
      <c r="B15159" s="12"/>
      <c r="C15159" s="12"/>
    </row>
    <row r="15160" spans="2:3">
      <c r="B15160" s="12"/>
      <c r="C15160" s="12"/>
    </row>
    <row r="15161" spans="2:3">
      <c r="B15161" s="12"/>
      <c r="C15161" s="12"/>
    </row>
    <row r="15162" spans="2:3">
      <c r="B15162" s="12"/>
      <c r="C15162" s="12"/>
    </row>
    <row r="15163" spans="2:3">
      <c r="B15163" s="12"/>
      <c r="C15163" s="12"/>
    </row>
    <row r="15164" spans="2:3">
      <c r="B15164" s="12"/>
      <c r="C15164" s="12"/>
    </row>
    <row r="15165" spans="2:3">
      <c r="B15165" s="12"/>
      <c r="C15165" s="12"/>
    </row>
    <row r="15166" spans="2:3">
      <c r="B15166" s="12"/>
      <c r="C15166" s="12"/>
    </row>
    <row r="15167" spans="2:3">
      <c r="B15167" s="12"/>
      <c r="C15167" s="12"/>
    </row>
    <row r="15168" spans="2:3">
      <c r="B15168" s="12"/>
      <c r="C15168" s="12"/>
    </row>
    <row r="15169" spans="2:3">
      <c r="B15169" s="12"/>
      <c r="C15169" s="12"/>
    </row>
    <row r="15170" spans="2:3">
      <c r="B15170" s="12"/>
      <c r="C15170" s="12"/>
    </row>
    <row r="15171" spans="2:3">
      <c r="B15171" s="12"/>
      <c r="C15171" s="12"/>
    </row>
    <row r="15172" spans="2:3">
      <c r="B15172" s="12"/>
      <c r="C15172" s="12"/>
    </row>
    <row r="15173" spans="2:3">
      <c r="B15173" s="12"/>
      <c r="C15173" s="12"/>
    </row>
    <row r="15174" spans="2:3">
      <c r="B15174" s="12"/>
      <c r="C15174" s="12"/>
    </row>
    <row r="15175" spans="2:3">
      <c r="B15175" s="12"/>
      <c r="C15175" s="12"/>
    </row>
    <row r="15176" spans="2:3">
      <c r="B15176" s="12"/>
      <c r="C15176" s="12"/>
    </row>
    <row r="15177" spans="2:3">
      <c r="B15177" s="12"/>
      <c r="C15177" s="12"/>
    </row>
    <row r="15178" spans="2:3">
      <c r="B15178" s="12"/>
      <c r="C15178" s="12"/>
    </row>
    <row r="15179" spans="2:3">
      <c r="B15179" s="12"/>
      <c r="C15179" s="12"/>
    </row>
    <row r="15180" spans="2:3">
      <c r="B15180" s="12"/>
      <c r="C15180" s="12"/>
    </row>
    <row r="15181" spans="2:3">
      <c r="B15181" s="12"/>
      <c r="C15181" s="12"/>
    </row>
    <row r="15182" spans="2:3">
      <c r="B15182" s="12"/>
      <c r="C15182" s="12"/>
    </row>
    <row r="15183" spans="2:3">
      <c r="B15183" s="12"/>
      <c r="C15183" s="12"/>
    </row>
    <row r="15184" spans="2:3">
      <c r="B15184" s="12"/>
      <c r="C15184" s="12"/>
    </row>
    <row r="15185" spans="2:3">
      <c r="B15185" s="12"/>
      <c r="C15185" s="12"/>
    </row>
    <row r="15186" spans="2:3">
      <c r="B15186" s="12"/>
      <c r="C15186" s="12"/>
    </row>
    <row r="15187" spans="2:3">
      <c r="B15187" s="12"/>
      <c r="C15187" s="12"/>
    </row>
    <row r="15188" spans="2:3">
      <c r="B15188" s="12"/>
      <c r="C15188" s="12"/>
    </row>
    <row r="15189" spans="2:3">
      <c r="B15189" s="12"/>
      <c r="C15189" s="12"/>
    </row>
    <row r="15190" spans="2:3">
      <c r="B15190" s="12"/>
      <c r="C15190" s="12"/>
    </row>
    <row r="15191" spans="2:3">
      <c r="B15191" s="12"/>
      <c r="C15191" s="12"/>
    </row>
    <row r="15192" spans="2:3">
      <c r="B15192" s="12"/>
      <c r="C15192" s="12"/>
    </row>
    <row r="15193" spans="2:3">
      <c r="B15193" s="12"/>
      <c r="C15193" s="12"/>
    </row>
    <row r="15194" spans="2:3">
      <c r="B15194" s="12"/>
      <c r="C15194" s="12"/>
    </row>
    <row r="15195" spans="2:3">
      <c r="B15195" s="12"/>
      <c r="C15195" s="12"/>
    </row>
    <row r="15196" spans="2:3">
      <c r="B15196" s="12"/>
      <c r="C15196" s="12"/>
    </row>
    <row r="15197" spans="2:3">
      <c r="B15197" s="12"/>
      <c r="C15197" s="12"/>
    </row>
    <row r="15198" spans="2:3">
      <c r="B15198" s="12"/>
      <c r="C15198" s="12"/>
    </row>
    <row r="15199" spans="2:3">
      <c r="B15199" s="12"/>
      <c r="C15199" s="12"/>
    </row>
    <row r="15200" spans="2:3">
      <c r="B15200" s="12"/>
      <c r="C15200" s="12"/>
    </row>
    <row r="15201" spans="2:3">
      <c r="B15201" s="12"/>
      <c r="C15201" s="12"/>
    </row>
    <row r="15202" spans="2:3">
      <c r="B15202" s="12"/>
      <c r="C15202" s="12"/>
    </row>
    <row r="15203" spans="2:3">
      <c r="B15203" s="12"/>
      <c r="C15203" s="12"/>
    </row>
    <row r="15204" spans="2:3">
      <c r="B15204" s="12"/>
      <c r="C15204" s="12"/>
    </row>
    <row r="15205" spans="2:3">
      <c r="B15205" s="12"/>
      <c r="C15205" s="12"/>
    </row>
    <row r="15206" spans="2:3">
      <c r="B15206" s="12"/>
      <c r="C15206" s="12"/>
    </row>
    <row r="15207" spans="2:3">
      <c r="B15207" s="12"/>
      <c r="C15207" s="12"/>
    </row>
    <row r="15208" spans="2:3">
      <c r="B15208" s="12"/>
      <c r="C15208" s="12"/>
    </row>
    <row r="15209" spans="2:3">
      <c r="B15209" s="12"/>
      <c r="C15209" s="12"/>
    </row>
    <row r="15210" spans="2:3">
      <c r="B15210" s="12"/>
      <c r="C15210" s="12"/>
    </row>
    <row r="15211" spans="2:3">
      <c r="B15211" s="12"/>
      <c r="C15211" s="12"/>
    </row>
    <row r="15212" spans="2:3">
      <c r="B15212" s="12"/>
      <c r="C15212" s="12"/>
    </row>
    <row r="15213" spans="2:3">
      <c r="B15213" s="12"/>
      <c r="C15213" s="12"/>
    </row>
    <row r="15214" spans="2:3">
      <c r="B15214" s="12"/>
      <c r="C15214" s="12"/>
    </row>
    <row r="15215" spans="2:3">
      <c r="B15215" s="12"/>
      <c r="C15215" s="12"/>
    </row>
    <row r="15216" spans="2:3">
      <c r="B15216" s="12"/>
      <c r="C15216" s="12"/>
    </row>
    <row r="15217" spans="2:3">
      <c r="B15217" s="12"/>
      <c r="C15217" s="12"/>
    </row>
    <row r="15218" spans="2:3">
      <c r="B15218" s="12"/>
      <c r="C15218" s="12"/>
    </row>
    <row r="15219" spans="2:3">
      <c r="B15219" s="12"/>
      <c r="C15219" s="12"/>
    </row>
    <row r="15220" spans="2:3">
      <c r="B15220" s="12"/>
      <c r="C15220" s="12"/>
    </row>
    <row r="15221" spans="2:3">
      <c r="B15221" s="12"/>
      <c r="C15221" s="12"/>
    </row>
    <row r="15222" spans="2:3">
      <c r="B15222" s="12"/>
      <c r="C15222" s="12"/>
    </row>
    <row r="15223" spans="2:3">
      <c r="B15223" s="12"/>
      <c r="C15223" s="12"/>
    </row>
    <row r="15224" spans="2:3">
      <c r="B15224" s="12"/>
      <c r="C15224" s="12"/>
    </row>
    <row r="15225" spans="2:3">
      <c r="B15225" s="12"/>
      <c r="C15225" s="12"/>
    </row>
    <row r="15226" spans="2:3">
      <c r="B15226" s="12"/>
      <c r="C15226" s="12"/>
    </row>
    <row r="15227" spans="2:3">
      <c r="B15227" s="12"/>
      <c r="C15227" s="12"/>
    </row>
    <row r="15228" spans="2:3">
      <c r="B15228" s="12"/>
      <c r="C15228" s="12"/>
    </row>
    <row r="15229" spans="2:3">
      <c r="B15229" s="12"/>
      <c r="C15229" s="12"/>
    </row>
    <row r="15230" spans="2:3">
      <c r="B15230" s="12"/>
      <c r="C15230" s="12"/>
    </row>
    <row r="15231" spans="2:3">
      <c r="B15231" s="12"/>
      <c r="C15231" s="12"/>
    </row>
    <row r="15232" spans="2:3">
      <c r="B15232" s="12"/>
      <c r="C15232" s="12"/>
    </row>
    <row r="15233" spans="2:3">
      <c r="B15233" s="12"/>
      <c r="C15233" s="12"/>
    </row>
    <row r="15234" spans="2:3">
      <c r="B15234" s="12"/>
      <c r="C15234" s="12"/>
    </row>
    <row r="15235" spans="2:3">
      <c r="B15235" s="12"/>
      <c r="C15235" s="12"/>
    </row>
    <row r="15236" spans="2:3">
      <c r="B15236" s="12"/>
      <c r="C15236" s="12"/>
    </row>
    <row r="15237" spans="2:3">
      <c r="B15237" s="12"/>
      <c r="C15237" s="12"/>
    </row>
    <row r="15238" spans="2:3">
      <c r="B15238" s="12"/>
      <c r="C15238" s="12"/>
    </row>
    <row r="15239" spans="2:3">
      <c r="B15239" s="12"/>
      <c r="C15239" s="12"/>
    </row>
    <row r="15240" spans="2:3">
      <c r="B15240" s="12"/>
      <c r="C15240" s="12"/>
    </row>
    <row r="15241" spans="2:3">
      <c r="B15241" s="12"/>
      <c r="C15241" s="12"/>
    </row>
    <row r="15242" spans="2:3">
      <c r="B15242" s="12"/>
      <c r="C15242" s="12"/>
    </row>
    <row r="15243" spans="2:3">
      <c r="B15243" s="12"/>
      <c r="C15243" s="12"/>
    </row>
    <row r="15244" spans="2:3">
      <c r="B15244" s="12"/>
      <c r="C15244" s="12"/>
    </row>
    <row r="15245" spans="2:3">
      <c r="B15245" s="12"/>
      <c r="C15245" s="12"/>
    </row>
    <row r="15246" spans="2:3">
      <c r="B15246" s="12"/>
      <c r="C15246" s="12"/>
    </row>
    <row r="15247" spans="2:3">
      <c r="B15247" s="12"/>
      <c r="C15247" s="12"/>
    </row>
    <row r="15248" spans="2:3">
      <c r="B15248" s="12"/>
      <c r="C15248" s="12"/>
    </row>
    <row r="15249" spans="2:3">
      <c r="B15249" s="12"/>
      <c r="C15249" s="12"/>
    </row>
    <row r="15250" spans="2:3">
      <c r="B15250" s="12"/>
      <c r="C15250" s="12"/>
    </row>
    <row r="15251" spans="2:3">
      <c r="B15251" s="12"/>
      <c r="C15251" s="12"/>
    </row>
    <row r="15252" spans="2:3">
      <c r="B15252" s="12"/>
      <c r="C15252" s="12"/>
    </row>
    <row r="15253" spans="2:3">
      <c r="B15253" s="12"/>
      <c r="C15253" s="12"/>
    </row>
    <row r="15254" spans="2:3">
      <c r="B15254" s="12"/>
      <c r="C15254" s="12"/>
    </row>
    <row r="15255" spans="2:3">
      <c r="B15255" s="12"/>
      <c r="C15255" s="12"/>
    </row>
    <row r="15256" spans="2:3">
      <c r="B15256" s="12"/>
      <c r="C15256" s="12"/>
    </row>
    <row r="15257" spans="2:3">
      <c r="B15257" s="12"/>
      <c r="C15257" s="12"/>
    </row>
    <row r="15258" spans="2:3">
      <c r="B15258" s="12"/>
      <c r="C15258" s="12"/>
    </row>
    <row r="15259" spans="2:3">
      <c r="B15259" s="12"/>
      <c r="C15259" s="12"/>
    </row>
    <row r="15260" spans="2:3">
      <c r="B15260" s="12"/>
      <c r="C15260" s="12"/>
    </row>
    <row r="15261" spans="2:3">
      <c r="B15261" s="12"/>
      <c r="C15261" s="12"/>
    </row>
    <row r="15262" spans="2:3">
      <c r="B15262" s="12"/>
      <c r="C15262" s="12"/>
    </row>
    <row r="15263" spans="2:3">
      <c r="B15263" s="12"/>
      <c r="C15263" s="12"/>
    </row>
    <row r="15264" spans="2:3">
      <c r="B15264" s="12"/>
      <c r="C15264" s="12"/>
    </row>
    <row r="15265" spans="2:3">
      <c r="B15265" s="12"/>
      <c r="C15265" s="12"/>
    </row>
    <row r="15266" spans="2:3">
      <c r="B15266" s="12"/>
      <c r="C15266" s="12"/>
    </row>
    <row r="15267" spans="2:3">
      <c r="B15267" s="12"/>
      <c r="C15267" s="12"/>
    </row>
    <row r="15268" spans="2:3">
      <c r="B15268" s="12"/>
      <c r="C15268" s="12"/>
    </row>
    <row r="15269" spans="2:3">
      <c r="B15269" s="12"/>
      <c r="C15269" s="12"/>
    </row>
    <row r="15270" spans="2:3">
      <c r="B15270" s="12"/>
      <c r="C15270" s="12"/>
    </row>
    <row r="15271" spans="2:3">
      <c r="B15271" s="12"/>
      <c r="C15271" s="12"/>
    </row>
    <row r="15272" spans="2:3">
      <c r="B15272" s="12"/>
      <c r="C15272" s="12"/>
    </row>
    <row r="15273" spans="2:3">
      <c r="B15273" s="12"/>
      <c r="C15273" s="12"/>
    </row>
    <row r="15274" spans="2:3">
      <c r="B15274" s="12"/>
      <c r="C15274" s="12"/>
    </row>
    <row r="15275" spans="2:3">
      <c r="B15275" s="12"/>
      <c r="C15275" s="12"/>
    </row>
    <row r="15276" spans="2:3">
      <c r="B15276" s="12"/>
      <c r="C15276" s="12"/>
    </row>
    <row r="15277" spans="2:3">
      <c r="B15277" s="12"/>
      <c r="C15277" s="12"/>
    </row>
    <row r="15278" spans="2:3">
      <c r="B15278" s="12"/>
      <c r="C15278" s="12"/>
    </row>
    <row r="15279" spans="2:3">
      <c r="B15279" s="12"/>
      <c r="C15279" s="12"/>
    </row>
    <row r="15280" spans="2:3">
      <c r="B15280" s="12"/>
      <c r="C15280" s="12"/>
    </row>
    <row r="15281" spans="2:3">
      <c r="B15281" s="12"/>
      <c r="C15281" s="12"/>
    </row>
    <row r="15282" spans="2:3">
      <c r="B15282" s="12"/>
      <c r="C15282" s="12"/>
    </row>
    <row r="15283" spans="2:3">
      <c r="B15283" s="12"/>
      <c r="C15283" s="12"/>
    </row>
    <row r="15284" spans="2:3">
      <c r="B15284" s="12"/>
      <c r="C15284" s="12"/>
    </row>
    <row r="15285" spans="2:3">
      <c r="B15285" s="12"/>
      <c r="C15285" s="12"/>
    </row>
    <row r="15286" spans="2:3">
      <c r="B15286" s="12"/>
      <c r="C15286" s="12"/>
    </row>
    <row r="15287" spans="2:3">
      <c r="B15287" s="12"/>
      <c r="C15287" s="12"/>
    </row>
    <row r="15288" spans="2:3">
      <c r="B15288" s="12"/>
      <c r="C15288" s="12"/>
    </row>
    <row r="15289" spans="2:3">
      <c r="B15289" s="12"/>
      <c r="C15289" s="12"/>
    </row>
    <row r="15290" spans="2:3">
      <c r="B15290" s="12"/>
      <c r="C15290" s="12"/>
    </row>
    <row r="15291" spans="2:3">
      <c r="B15291" s="12"/>
      <c r="C15291" s="12"/>
    </row>
    <row r="15292" spans="2:3">
      <c r="B15292" s="12"/>
      <c r="C15292" s="12"/>
    </row>
    <row r="15293" spans="2:3">
      <c r="B15293" s="12"/>
      <c r="C15293" s="12"/>
    </row>
    <row r="15294" spans="2:3">
      <c r="B15294" s="12"/>
      <c r="C15294" s="12"/>
    </row>
    <row r="15295" spans="2:3">
      <c r="B15295" s="12"/>
      <c r="C15295" s="12"/>
    </row>
    <row r="15296" spans="2:3">
      <c r="B15296" s="12"/>
      <c r="C15296" s="12"/>
    </row>
    <row r="15297" spans="2:3">
      <c r="B15297" s="12"/>
      <c r="C15297" s="12"/>
    </row>
    <row r="15298" spans="2:3">
      <c r="B15298" s="12"/>
      <c r="C15298" s="12"/>
    </row>
    <row r="15299" spans="2:3">
      <c r="B15299" s="12"/>
      <c r="C15299" s="12"/>
    </row>
    <row r="15300" spans="2:3">
      <c r="B15300" s="12"/>
      <c r="C15300" s="12"/>
    </row>
    <row r="15301" spans="2:3">
      <c r="B15301" s="12"/>
      <c r="C15301" s="12"/>
    </row>
    <row r="15302" spans="2:3">
      <c r="B15302" s="12"/>
      <c r="C15302" s="12"/>
    </row>
    <row r="15303" spans="2:3">
      <c r="B15303" s="12"/>
      <c r="C15303" s="12"/>
    </row>
    <row r="15304" spans="2:3">
      <c r="B15304" s="12"/>
      <c r="C15304" s="12"/>
    </row>
    <row r="15305" spans="2:3">
      <c r="B15305" s="12"/>
      <c r="C15305" s="12"/>
    </row>
    <row r="15306" spans="2:3">
      <c r="B15306" s="12"/>
      <c r="C15306" s="12"/>
    </row>
    <row r="15307" spans="2:3">
      <c r="B15307" s="12"/>
      <c r="C15307" s="12"/>
    </row>
    <row r="15308" spans="2:3">
      <c r="B15308" s="12"/>
      <c r="C15308" s="12"/>
    </row>
    <row r="15309" spans="2:3">
      <c r="B15309" s="12"/>
      <c r="C15309" s="12"/>
    </row>
    <row r="15310" spans="2:3">
      <c r="B15310" s="12"/>
      <c r="C15310" s="12"/>
    </row>
    <row r="15311" spans="2:3">
      <c r="B15311" s="12"/>
      <c r="C15311" s="12"/>
    </row>
    <row r="15312" spans="2:3">
      <c r="B15312" s="12"/>
      <c r="C15312" s="12"/>
    </row>
    <row r="15313" spans="2:3">
      <c r="B15313" s="12"/>
      <c r="C15313" s="12"/>
    </row>
    <row r="15314" spans="2:3">
      <c r="B15314" s="12"/>
      <c r="C15314" s="12"/>
    </row>
    <row r="15315" spans="2:3">
      <c r="B15315" s="12"/>
      <c r="C15315" s="12"/>
    </row>
    <row r="15316" spans="2:3">
      <c r="B15316" s="12"/>
      <c r="C15316" s="12"/>
    </row>
    <row r="15317" spans="2:3">
      <c r="B15317" s="12"/>
      <c r="C15317" s="12"/>
    </row>
    <row r="15318" spans="2:3">
      <c r="B15318" s="12"/>
      <c r="C15318" s="12"/>
    </row>
    <row r="15319" spans="2:3">
      <c r="B15319" s="12"/>
      <c r="C15319" s="12"/>
    </row>
    <row r="15320" spans="2:3">
      <c r="B15320" s="12"/>
      <c r="C15320" s="12"/>
    </row>
    <row r="15321" spans="2:3">
      <c r="B15321" s="12"/>
      <c r="C15321" s="12"/>
    </row>
    <row r="15322" spans="2:3">
      <c r="B15322" s="12"/>
      <c r="C15322" s="12"/>
    </row>
    <row r="15323" spans="2:3">
      <c r="B15323" s="12"/>
      <c r="C15323" s="12"/>
    </row>
    <row r="15324" spans="2:3">
      <c r="B15324" s="12"/>
      <c r="C15324" s="12"/>
    </row>
    <row r="15325" spans="2:3">
      <c r="B15325" s="12"/>
      <c r="C15325" s="12"/>
    </row>
    <row r="15326" spans="2:3">
      <c r="B15326" s="12"/>
      <c r="C15326" s="12"/>
    </row>
    <row r="15327" spans="2:3">
      <c r="B15327" s="12"/>
      <c r="C15327" s="12"/>
    </row>
    <row r="15328" spans="2:3">
      <c r="B15328" s="12"/>
      <c r="C15328" s="12"/>
    </row>
    <row r="15329" spans="2:3">
      <c r="B15329" s="12"/>
      <c r="C15329" s="12"/>
    </row>
    <row r="15330" spans="2:3">
      <c r="B15330" s="12"/>
      <c r="C15330" s="12"/>
    </row>
    <row r="15331" spans="2:3">
      <c r="B15331" s="12"/>
      <c r="C15331" s="12"/>
    </row>
    <row r="15332" spans="2:3">
      <c r="B15332" s="12"/>
      <c r="C15332" s="12"/>
    </row>
    <row r="15333" spans="2:3">
      <c r="B15333" s="12"/>
      <c r="C15333" s="12"/>
    </row>
    <row r="15334" spans="2:3">
      <c r="B15334" s="12"/>
      <c r="C15334" s="12"/>
    </row>
    <row r="15335" spans="2:3">
      <c r="B15335" s="12"/>
      <c r="C15335" s="12"/>
    </row>
    <row r="15336" spans="2:3">
      <c r="B15336" s="12"/>
      <c r="C15336" s="12"/>
    </row>
    <row r="15337" spans="2:3">
      <c r="B15337" s="12"/>
      <c r="C15337" s="12"/>
    </row>
    <row r="15338" spans="2:3">
      <c r="B15338" s="12"/>
      <c r="C15338" s="12"/>
    </row>
    <row r="15339" spans="2:3">
      <c r="B15339" s="12"/>
      <c r="C15339" s="12"/>
    </row>
    <row r="15340" spans="2:3">
      <c r="B15340" s="12"/>
      <c r="C15340" s="12"/>
    </row>
    <row r="15341" spans="2:3">
      <c r="B15341" s="12"/>
      <c r="C15341" s="12"/>
    </row>
    <row r="15342" spans="2:3">
      <c r="B15342" s="12"/>
      <c r="C15342" s="12"/>
    </row>
    <row r="15343" spans="2:3">
      <c r="B15343" s="12"/>
      <c r="C15343" s="12"/>
    </row>
    <row r="15344" spans="2:3">
      <c r="B15344" s="12"/>
      <c r="C15344" s="12"/>
    </row>
    <row r="15345" spans="2:3">
      <c r="B15345" s="12"/>
      <c r="C15345" s="12"/>
    </row>
    <row r="15346" spans="2:3">
      <c r="B15346" s="12"/>
      <c r="C15346" s="12"/>
    </row>
    <row r="15347" spans="2:3">
      <c r="B15347" s="12"/>
      <c r="C15347" s="12"/>
    </row>
    <row r="15348" spans="2:3">
      <c r="B15348" s="12"/>
      <c r="C15348" s="12"/>
    </row>
    <row r="15349" spans="2:3">
      <c r="B15349" s="12"/>
      <c r="C15349" s="12"/>
    </row>
    <row r="15350" spans="2:3">
      <c r="B15350" s="12"/>
      <c r="C15350" s="12"/>
    </row>
    <row r="15351" spans="2:3">
      <c r="B15351" s="12"/>
      <c r="C15351" s="12"/>
    </row>
    <row r="15352" spans="2:3">
      <c r="B15352" s="12"/>
      <c r="C15352" s="12"/>
    </row>
    <row r="15353" spans="2:3">
      <c r="B15353" s="12"/>
      <c r="C15353" s="12"/>
    </row>
    <row r="15354" spans="2:3">
      <c r="B15354" s="12"/>
      <c r="C15354" s="12"/>
    </row>
    <row r="15355" spans="2:3">
      <c r="B15355" s="12"/>
      <c r="C15355" s="12"/>
    </row>
    <row r="15356" spans="2:3">
      <c r="B15356" s="12"/>
      <c r="C15356" s="12"/>
    </row>
    <row r="15357" spans="2:3">
      <c r="B15357" s="12"/>
      <c r="C15357" s="12"/>
    </row>
    <row r="15358" spans="2:3">
      <c r="B15358" s="12"/>
      <c r="C15358" s="12"/>
    </row>
    <row r="15359" spans="2:3">
      <c r="B15359" s="12"/>
      <c r="C15359" s="12"/>
    </row>
    <row r="15360" spans="2:3">
      <c r="B15360" s="12"/>
      <c r="C15360" s="12"/>
    </row>
    <row r="15361" spans="2:3">
      <c r="B15361" s="12"/>
      <c r="C15361" s="12"/>
    </row>
    <row r="15362" spans="2:3">
      <c r="B15362" s="12"/>
      <c r="C15362" s="12"/>
    </row>
    <row r="15363" spans="2:3">
      <c r="B15363" s="12"/>
      <c r="C15363" s="12"/>
    </row>
    <row r="15364" spans="2:3">
      <c r="B15364" s="12"/>
      <c r="C15364" s="12"/>
    </row>
    <row r="15365" spans="2:3">
      <c r="B15365" s="12"/>
      <c r="C15365" s="12"/>
    </row>
    <row r="15366" spans="2:3">
      <c r="B15366" s="12"/>
      <c r="C15366" s="12"/>
    </row>
    <row r="15367" spans="2:3">
      <c r="B15367" s="12"/>
      <c r="C15367" s="12"/>
    </row>
    <row r="15368" spans="2:3">
      <c r="B15368" s="12"/>
      <c r="C15368" s="12"/>
    </row>
    <row r="15369" spans="2:3">
      <c r="B15369" s="12"/>
      <c r="C15369" s="12"/>
    </row>
    <row r="15370" spans="2:3">
      <c r="B15370" s="12"/>
      <c r="C15370" s="12"/>
    </row>
    <row r="15371" spans="2:3">
      <c r="B15371" s="12"/>
      <c r="C15371" s="12"/>
    </row>
    <row r="15372" spans="2:3">
      <c r="B15372" s="12"/>
      <c r="C15372" s="12"/>
    </row>
    <row r="15373" spans="2:3">
      <c r="B15373" s="12"/>
      <c r="C15373" s="12"/>
    </row>
    <row r="15374" spans="2:3">
      <c r="B15374" s="12"/>
      <c r="C15374" s="12"/>
    </row>
    <row r="15375" spans="2:3">
      <c r="B15375" s="12"/>
      <c r="C15375" s="12"/>
    </row>
    <row r="15376" spans="2:3">
      <c r="B15376" s="12"/>
      <c r="C15376" s="12"/>
    </row>
    <row r="15377" spans="2:3">
      <c r="B15377" s="12"/>
      <c r="C15377" s="12"/>
    </row>
    <row r="15378" spans="2:3">
      <c r="B15378" s="12"/>
      <c r="C15378" s="12"/>
    </row>
    <row r="15379" spans="2:3">
      <c r="B15379" s="12"/>
      <c r="C15379" s="12"/>
    </row>
    <row r="15380" spans="2:3">
      <c r="B15380" s="12"/>
      <c r="C15380" s="12"/>
    </row>
    <row r="15381" spans="2:3">
      <c r="B15381" s="12"/>
      <c r="C15381" s="12"/>
    </row>
    <row r="15382" spans="2:3">
      <c r="B15382" s="12"/>
      <c r="C15382" s="12"/>
    </row>
    <row r="15383" spans="2:3">
      <c r="B15383" s="12"/>
      <c r="C15383" s="12"/>
    </row>
    <row r="15384" spans="2:3">
      <c r="B15384" s="12"/>
      <c r="C15384" s="12"/>
    </row>
    <row r="15385" spans="2:3">
      <c r="B15385" s="12"/>
      <c r="C15385" s="12"/>
    </row>
    <row r="15386" spans="2:3">
      <c r="B15386" s="12"/>
      <c r="C15386" s="12"/>
    </row>
    <row r="15387" spans="2:3">
      <c r="B15387" s="12"/>
      <c r="C15387" s="12"/>
    </row>
    <row r="15388" spans="2:3">
      <c r="B15388" s="12"/>
      <c r="C15388" s="12"/>
    </row>
    <row r="15389" spans="2:3">
      <c r="B15389" s="12"/>
      <c r="C15389" s="12"/>
    </row>
    <row r="15390" spans="2:3">
      <c r="B15390" s="12"/>
      <c r="C15390" s="12"/>
    </row>
    <row r="15391" spans="2:3">
      <c r="B15391" s="12"/>
      <c r="C15391" s="12"/>
    </row>
    <row r="15392" spans="2:3">
      <c r="B15392" s="12"/>
      <c r="C15392" s="12"/>
    </row>
    <row r="15393" spans="2:3">
      <c r="B15393" s="12"/>
      <c r="C15393" s="12"/>
    </row>
    <row r="15394" spans="2:3">
      <c r="B15394" s="12"/>
      <c r="C15394" s="12"/>
    </row>
    <row r="15395" spans="2:3">
      <c r="B15395" s="12"/>
      <c r="C15395" s="12"/>
    </row>
    <row r="15396" spans="2:3">
      <c r="B15396" s="12"/>
      <c r="C15396" s="12"/>
    </row>
    <row r="15397" spans="2:3">
      <c r="B15397" s="12"/>
      <c r="C15397" s="12"/>
    </row>
    <row r="15398" spans="2:3">
      <c r="B15398" s="12"/>
      <c r="C15398" s="12"/>
    </row>
    <row r="15399" spans="2:3">
      <c r="B15399" s="12"/>
      <c r="C15399" s="12"/>
    </row>
    <row r="15400" spans="2:3">
      <c r="B15400" s="12"/>
      <c r="C15400" s="12"/>
    </row>
    <row r="15401" spans="2:3">
      <c r="B15401" s="12"/>
      <c r="C15401" s="12"/>
    </row>
    <row r="15402" spans="2:3">
      <c r="B15402" s="12"/>
      <c r="C15402" s="12"/>
    </row>
    <row r="15403" spans="2:3">
      <c r="B15403" s="12"/>
      <c r="C15403" s="12"/>
    </row>
    <row r="15404" spans="2:3">
      <c r="B15404" s="12"/>
      <c r="C15404" s="12"/>
    </row>
    <row r="15405" spans="2:3">
      <c r="B15405" s="12"/>
      <c r="C15405" s="12"/>
    </row>
    <row r="15406" spans="2:3">
      <c r="B15406" s="12"/>
      <c r="C15406" s="12"/>
    </row>
    <row r="15407" spans="2:3">
      <c r="B15407" s="12"/>
      <c r="C15407" s="12"/>
    </row>
    <row r="15408" spans="2:3">
      <c r="B15408" s="12"/>
      <c r="C15408" s="12"/>
    </row>
    <row r="15409" spans="2:3">
      <c r="B15409" s="12"/>
      <c r="C15409" s="12"/>
    </row>
    <row r="15410" spans="2:3">
      <c r="B15410" s="12"/>
      <c r="C15410" s="12"/>
    </row>
    <row r="15411" spans="2:3">
      <c r="B15411" s="12"/>
      <c r="C15411" s="12"/>
    </row>
    <row r="15412" spans="2:3">
      <c r="B15412" s="12"/>
      <c r="C15412" s="12"/>
    </row>
    <row r="15413" spans="2:3">
      <c r="B15413" s="12"/>
      <c r="C15413" s="12"/>
    </row>
    <row r="15414" spans="2:3">
      <c r="B15414" s="12"/>
      <c r="C15414" s="12"/>
    </row>
    <row r="15415" spans="2:3">
      <c r="B15415" s="12"/>
      <c r="C15415" s="12"/>
    </row>
    <row r="15416" spans="2:3">
      <c r="B15416" s="12"/>
      <c r="C15416" s="12"/>
    </row>
    <row r="15417" spans="2:3">
      <c r="B15417" s="12"/>
      <c r="C15417" s="12"/>
    </row>
    <row r="15418" spans="2:3">
      <c r="B15418" s="12"/>
      <c r="C15418" s="12"/>
    </row>
    <row r="15419" spans="2:3">
      <c r="B15419" s="12"/>
      <c r="C15419" s="12"/>
    </row>
    <row r="15420" spans="2:3">
      <c r="B15420" s="12"/>
      <c r="C15420" s="12"/>
    </row>
    <row r="15421" spans="2:3">
      <c r="B15421" s="12"/>
      <c r="C15421" s="12"/>
    </row>
    <row r="15422" spans="2:3">
      <c r="B15422" s="12"/>
      <c r="C15422" s="12"/>
    </row>
    <row r="15423" spans="2:3">
      <c r="B15423" s="12"/>
      <c r="C15423" s="12"/>
    </row>
    <row r="15424" spans="2:3">
      <c r="B15424" s="12"/>
      <c r="C15424" s="12"/>
    </row>
    <row r="15425" spans="2:3">
      <c r="B15425" s="12"/>
      <c r="C15425" s="12"/>
    </row>
    <row r="15426" spans="2:3">
      <c r="B15426" s="12"/>
      <c r="C15426" s="12"/>
    </row>
    <row r="15427" spans="2:3">
      <c r="B15427" s="12"/>
      <c r="C15427" s="12"/>
    </row>
    <row r="15428" spans="2:3">
      <c r="B15428" s="12"/>
      <c r="C15428" s="12"/>
    </row>
    <row r="15429" spans="2:3">
      <c r="B15429" s="12"/>
      <c r="C15429" s="12"/>
    </row>
    <row r="15430" spans="2:3">
      <c r="B15430" s="12"/>
      <c r="C15430" s="12"/>
    </row>
    <row r="15431" spans="2:3">
      <c r="B15431" s="12"/>
      <c r="C15431" s="12"/>
    </row>
    <row r="15432" spans="2:3">
      <c r="B15432" s="12"/>
      <c r="C15432" s="12"/>
    </row>
    <row r="15433" spans="2:3">
      <c r="B15433" s="12"/>
      <c r="C15433" s="12"/>
    </row>
    <row r="15434" spans="2:3">
      <c r="B15434" s="12"/>
      <c r="C15434" s="12"/>
    </row>
    <row r="15435" spans="2:3">
      <c r="B15435" s="12"/>
      <c r="C15435" s="12"/>
    </row>
    <row r="15436" spans="2:3">
      <c r="B15436" s="12"/>
      <c r="C15436" s="12"/>
    </row>
    <row r="15437" spans="2:3">
      <c r="B15437" s="12"/>
      <c r="C15437" s="12"/>
    </row>
    <row r="15438" spans="2:3">
      <c r="B15438" s="12"/>
      <c r="C15438" s="12"/>
    </row>
    <row r="15439" spans="2:3">
      <c r="B15439" s="12"/>
      <c r="C15439" s="12"/>
    </row>
    <row r="15440" spans="2:3">
      <c r="B15440" s="12"/>
      <c r="C15440" s="12"/>
    </row>
    <row r="15441" spans="2:3">
      <c r="B15441" s="12"/>
      <c r="C15441" s="12"/>
    </row>
    <row r="15442" spans="2:3">
      <c r="B15442" s="12"/>
      <c r="C15442" s="12"/>
    </row>
    <row r="15443" spans="2:3">
      <c r="B15443" s="12"/>
      <c r="C15443" s="12"/>
    </row>
    <row r="15444" spans="2:3">
      <c r="B15444" s="12"/>
      <c r="C15444" s="12"/>
    </row>
    <row r="15445" spans="2:3">
      <c r="B15445" s="12"/>
      <c r="C15445" s="12"/>
    </row>
    <row r="15446" spans="2:3">
      <c r="B15446" s="12"/>
      <c r="C15446" s="12"/>
    </row>
    <row r="15447" spans="2:3">
      <c r="B15447" s="12"/>
      <c r="C15447" s="12"/>
    </row>
    <row r="15448" spans="2:3">
      <c r="B15448" s="12"/>
      <c r="C15448" s="12"/>
    </row>
    <row r="15449" spans="2:3">
      <c r="B15449" s="12"/>
      <c r="C15449" s="12"/>
    </row>
    <row r="15450" spans="2:3">
      <c r="B15450" s="12"/>
      <c r="C15450" s="12"/>
    </row>
    <row r="15451" spans="2:3">
      <c r="B15451" s="12"/>
      <c r="C15451" s="12"/>
    </row>
    <row r="15452" spans="2:3">
      <c r="B15452" s="12"/>
      <c r="C15452" s="12"/>
    </row>
    <row r="15453" spans="2:3">
      <c r="B15453" s="12"/>
      <c r="C15453" s="12"/>
    </row>
    <row r="15454" spans="2:3">
      <c r="B15454" s="12"/>
      <c r="C15454" s="12"/>
    </row>
    <row r="15455" spans="2:3">
      <c r="B15455" s="12"/>
      <c r="C15455" s="12"/>
    </row>
    <row r="15456" spans="2:3">
      <c r="B15456" s="12"/>
      <c r="C15456" s="12"/>
    </row>
    <row r="15457" spans="2:3">
      <c r="B15457" s="12"/>
      <c r="C15457" s="12"/>
    </row>
    <row r="15458" spans="2:3">
      <c r="B15458" s="12"/>
      <c r="C15458" s="12"/>
    </row>
    <row r="15459" spans="2:3">
      <c r="B15459" s="12"/>
      <c r="C15459" s="12"/>
    </row>
    <row r="15460" spans="2:3">
      <c r="B15460" s="12"/>
      <c r="C15460" s="12"/>
    </row>
    <row r="15461" spans="2:3">
      <c r="B15461" s="12"/>
      <c r="C15461" s="12"/>
    </row>
    <row r="15462" spans="2:3">
      <c r="B15462" s="12"/>
      <c r="C15462" s="12"/>
    </row>
    <row r="15463" spans="2:3">
      <c r="B15463" s="12"/>
      <c r="C15463" s="12"/>
    </row>
    <row r="15464" spans="2:3">
      <c r="B15464" s="12"/>
      <c r="C15464" s="12"/>
    </row>
    <row r="15465" spans="2:3">
      <c r="B15465" s="12"/>
      <c r="C15465" s="12"/>
    </row>
    <row r="15466" spans="2:3">
      <c r="B15466" s="12"/>
      <c r="C15466" s="12"/>
    </row>
    <row r="15467" spans="2:3">
      <c r="B15467" s="12"/>
      <c r="C15467" s="12"/>
    </row>
    <row r="15468" spans="2:3">
      <c r="B15468" s="12"/>
      <c r="C15468" s="12"/>
    </row>
    <row r="15469" spans="2:3">
      <c r="B15469" s="12"/>
      <c r="C15469" s="12"/>
    </row>
    <row r="15470" spans="2:3">
      <c r="B15470" s="12"/>
      <c r="C15470" s="12"/>
    </row>
    <row r="15471" spans="2:3">
      <c r="B15471" s="12"/>
      <c r="C15471" s="12"/>
    </row>
    <row r="15472" spans="2:3">
      <c r="B15472" s="12"/>
      <c r="C15472" s="12"/>
    </row>
    <row r="15473" spans="2:3">
      <c r="B15473" s="12"/>
      <c r="C15473" s="12"/>
    </row>
    <row r="15474" spans="2:3">
      <c r="B15474" s="12"/>
      <c r="C15474" s="12"/>
    </row>
    <row r="15475" spans="2:3">
      <c r="B15475" s="12"/>
      <c r="C15475" s="12"/>
    </row>
    <row r="15476" spans="2:3">
      <c r="B15476" s="12"/>
      <c r="C15476" s="12"/>
    </row>
    <row r="15477" spans="2:3">
      <c r="B15477" s="12"/>
      <c r="C15477" s="12"/>
    </row>
    <row r="15478" spans="2:3">
      <c r="B15478" s="12"/>
      <c r="C15478" s="12"/>
    </row>
    <row r="15479" spans="2:3">
      <c r="B15479" s="12"/>
      <c r="C15479" s="12"/>
    </row>
    <row r="15480" spans="2:3">
      <c r="B15480" s="12"/>
      <c r="C15480" s="12"/>
    </row>
    <row r="15481" spans="2:3">
      <c r="B15481" s="12"/>
      <c r="C15481" s="12"/>
    </row>
    <row r="15482" spans="2:3">
      <c r="B15482" s="12"/>
      <c r="C15482" s="12"/>
    </row>
    <row r="15483" spans="2:3">
      <c r="B15483" s="12"/>
      <c r="C15483" s="12"/>
    </row>
    <row r="15484" spans="2:3">
      <c r="B15484" s="12"/>
      <c r="C15484" s="12"/>
    </row>
    <row r="15485" spans="2:3">
      <c r="B15485" s="12"/>
      <c r="C15485" s="12"/>
    </row>
    <row r="15486" spans="2:3">
      <c r="B15486" s="12"/>
      <c r="C15486" s="12"/>
    </row>
    <row r="15487" spans="2:3">
      <c r="B15487" s="12"/>
      <c r="C15487" s="12"/>
    </row>
    <row r="15488" spans="2:3">
      <c r="B15488" s="12"/>
      <c r="C15488" s="12"/>
    </row>
    <row r="15489" spans="2:3">
      <c r="B15489" s="12"/>
      <c r="C15489" s="12"/>
    </row>
    <row r="15490" spans="2:3">
      <c r="B15490" s="12"/>
      <c r="C15490" s="12"/>
    </row>
    <row r="15491" spans="2:3">
      <c r="B15491" s="12"/>
      <c r="C15491" s="12"/>
    </row>
    <row r="15492" spans="2:3">
      <c r="B15492" s="12"/>
      <c r="C15492" s="12"/>
    </row>
    <row r="15493" spans="2:3">
      <c r="B15493" s="12"/>
      <c r="C15493" s="12"/>
    </row>
    <row r="15494" spans="2:3">
      <c r="B15494" s="12"/>
      <c r="C15494" s="12"/>
    </row>
    <row r="15495" spans="2:3">
      <c r="B15495" s="12"/>
      <c r="C15495" s="12"/>
    </row>
    <row r="15496" spans="2:3">
      <c r="B15496" s="12"/>
      <c r="C15496" s="12"/>
    </row>
    <row r="15497" spans="2:3">
      <c r="B15497" s="12"/>
      <c r="C15497" s="12"/>
    </row>
    <row r="15498" spans="2:3">
      <c r="B15498" s="12"/>
      <c r="C15498" s="12"/>
    </row>
    <row r="15499" spans="2:3">
      <c r="B15499" s="12"/>
      <c r="C15499" s="12"/>
    </row>
    <row r="15500" spans="2:3">
      <c r="B15500" s="12"/>
      <c r="C15500" s="12"/>
    </row>
    <row r="15501" spans="2:3">
      <c r="B15501" s="12"/>
      <c r="C15501" s="12"/>
    </row>
    <row r="15502" spans="2:3">
      <c r="B15502" s="12"/>
      <c r="C15502" s="12"/>
    </row>
    <row r="15503" spans="2:3">
      <c r="B15503" s="12"/>
      <c r="C15503" s="12"/>
    </row>
    <row r="15504" spans="2:3">
      <c r="B15504" s="12"/>
      <c r="C15504" s="12"/>
    </row>
    <row r="15505" spans="2:3">
      <c r="B15505" s="12"/>
      <c r="C15505" s="12"/>
    </row>
    <row r="15506" spans="2:3">
      <c r="B15506" s="12"/>
      <c r="C15506" s="12"/>
    </row>
    <row r="15507" spans="2:3">
      <c r="B15507" s="12"/>
      <c r="C15507" s="12"/>
    </row>
    <row r="15508" spans="2:3">
      <c r="B15508" s="12"/>
      <c r="C15508" s="12"/>
    </row>
    <row r="15509" spans="2:3">
      <c r="B15509" s="12"/>
      <c r="C15509" s="12"/>
    </row>
    <row r="15510" spans="2:3">
      <c r="B15510" s="12"/>
      <c r="C15510" s="12"/>
    </row>
    <row r="15511" spans="2:3">
      <c r="B15511" s="12"/>
      <c r="C15511" s="12"/>
    </row>
    <row r="15512" spans="2:3">
      <c r="B15512" s="12"/>
      <c r="C15512" s="12"/>
    </row>
    <row r="15513" spans="2:3">
      <c r="B15513" s="12"/>
      <c r="C15513" s="12"/>
    </row>
    <row r="15514" spans="2:3">
      <c r="B15514" s="12"/>
      <c r="C15514" s="12"/>
    </row>
    <row r="15515" spans="2:3">
      <c r="B15515" s="12"/>
      <c r="C15515" s="12"/>
    </row>
    <row r="15516" spans="2:3">
      <c r="B15516" s="12"/>
      <c r="C15516" s="12"/>
    </row>
    <row r="15517" spans="2:3">
      <c r="B15517" s="12"/>
      <c r="C15517" s="12"/>
    </row>
    <row r="15518" spans="2:3">
      <c r="B15518" s="12"/>
      <c r="C15518" s="12"/>
    </row>
    <row r="15519" spans="2:3">
      <c r="B15519" s="12"/>
      <c r="C15519" s="12"/>
    </row>
    <row r="15520" spans="2:3">
      <c r="B15520" s="12"/>
      <c r="C15520" s="12"/>
    </row>
    <row r="15521" spans="2:3">
      <c r="B15521" s="12"/>
      <c r="C15521" s="12"/>
    </row>
    <row r="15522" spans="2:3">
      <c r="B15522" s="12"/>
      <c r="C15522" s="12"/>
    </row>
    <row r="15523" spans="2:3">
      <c r="B15523" s="12"/>
      <c r="C15523" s="12"/>
    </row>
    <row r="15524" spans="2:3">
      <c r="B15524" s="12"/>
      <c r="C15524" s="12"/>
    </row>
    <row r="15525" spans="2:3">
      <c r="B15525" s="12"/>
      <c r="C15525" s="12"/>
    </row>
    <row r="15526" spans="2:3">
      <c r="B15526" s="12"/>
      <c r="C15526" s="12"/>
    </row>
    <row r="15527" spans="2:3">
      <c r="B15527" s="12"/>
      <c r="C15527" s="12"/>
    </row>
    <row r="15528" spans="2:3">
      <c r="B15528" s="12"/>
      <c r="C15528" s="12"/>
    </row>
    <row r="15529" spans="2:3">
      <c r="B15529" s="12"/>
      <c r="C15529" s="12"/>
    </row>
    <row r="15530" spans="2:3">
      <c r="B15530" s="12"/>
      <c r="C15530" s="12"/>
    </row>
    <row r="15531" spans="2:3">
      <c r="B15531" s="12"/>
      <c r="C15531" s="12"/>
    </row>
    <row r="15532" spans="2:3">
      <c r="B15532" s="12"/>
      <c r="C15532" s="12"/>
    </row>
    <row r="15533" spans="2:3">
      <c r="B15533" s="12"/>
      <c r="C15533" s="12"/>
    </row>
    <row r="15534" spans="2:3">
      <c r="B15534" s="12"/>
      <c r="C15534" s="12"/>
    </row>
    <row r="15535" spans="2:3">
      <c r="B15535" s="12"/>
      <c r="C15535" s="12"/>
    </row>
    <row r="15536" spans="2:3">
      <c r="B15536" s="12"/>
      <c r="C15536" s="12"/>
    </row>
    <row r="15537" spans="2:3">
      <c r="B15537" s="12"/>
      <c r="C15537" s="12"/>
    </row>
    <row r="15538" spans="2:3">
      <c r="B15538" s="12"/>
      <c r="C15538" s="12"/>
    </row>
    <row r="15539" spans="2:3">
      <c r="B15539" s="12"/>
      <c r="C15539" s="12"/>
    </row>
    <row r="15540" spans="2:3">
      <c r="B15540" s="12"/>
      <c r="C15540" s="12"/>
    </row>
    <row r="15541" spans="2:3">
      <c r="B15541" s="12"/>
      <c r="C15541" s="12"/>
    </row>
    <row r="15542" spans="2:3">
      <c r="B15542" s="12"/>
      <c r="C15542" s="12"/>
    </row>
    <row r="15543" spans="2:3">
      <c r="B15543" s="12"/>
      <c r="C15543" s="12"/>
    </row>
    <row r="15544" spans="2:3">
      <c r="B15544" s="12"/>
      <c r="C15544" s="12"/>
    </row>
    <row r="15545" spans="2:3">
      <c r="B15545" s="12"/>
      <c r="C15545" s="12"/>
    </row>
    <row r="15546" spans="2:3">
      <c r="B15546" s="12"/>
      <c r="C15546" s="12"/>
    </row>
    <row r="15547" spans="2:3">
      <c r="B15547" s="12"/>
      <c r="C15547" s="12"/>
    </row>
    <row r="15548" spans="2:3">
      <c r="B15548" s="12"/>
      <c r="C15548" s="12"/>
    </row>
    <row r="15549" spans="2:3">
      <c r="B15549" s="12"/>
      <c r="C15549" s="12"/>
    </row>
    <row r="15550" spans="2:3">
      <c r="B15550" s="12"/>
      <c r="C15550" s="12"/>
    </row>
    <row r="15551" spans="2:3">
      <c r="B15551" s="12"/>
      <c r="C15551" s="12"/>
    </row>
    <row r="15552" spans="2:3">
      <c r="B15552" s="12"/>
      <c r="C15552" s="12"/>
    </row>
    <row r="15553" spans="2:3">
      <c r="B15553" s="12"/>
      <c r="C15553" s="12"/>
    </row>
    <row r="15554" spans="2:3">
      <c r="B15554" s="12"/>
      <c r="C15554" s="12"/>
    </row>
    <row r="15555" spans="2:3">
      <c r="B15555" s="12"/>
      <c r="C15555" s="12"/>
    </row>
    <row r="15556" spans="2:3">
      <c r="B15556" s="12"/>
      <c r="C15556" s="12"/>
    </row>
    <row r="15557" spans="2:3">
      <c r="B15557" s="12"/>
      <c r="C15557" s="12"/>
    </row>
    <row r="15558" spans="2:3">
      <c r="B15558" s="12"/>
      <c r="C15558" s="12"/>
    </row>
    <row r="15559" spans="2:3">
      <c r="B15559" s="12"/>
      <c r="C15559" s="12"/>
    </row>
    <row r="15560" spans="2:3">
      <c r="B15560" s="12"/>
      <c r="C15560" s="12"/>
    </row>
    <row r="15561" spans="2:3">
      <c r="B15561" s="12"/>
      <c r="C15561" s="12"/>
    </row>
    <row r="15562" spans="2:3">
      <c r="B15562" s="12"/>
      <c r="C15562" s="12"/>
    </row>
    <row r="15563" spans="2:3">
      <c r="B15563" s="12"/>
      <c r="C15563" s="12"/>
    </row>
    <row r="15564" spans="2:3">
      <c r="B15564" s="12"/>
      <c r="C15564" s="12"/>
    </row>
    <row r="15565" spans="2:3">
      <c r="B15565" s="12"/>
      <c r="C15565" s="12"/>
    </row>
    <row r="15566" spans="2:3">
      <c r="B15566" s="12"/>
      <c r="C15566" s="12"/>
    </row>
    <row r="15567" spans="2:3">
      <c r="B15567" s="12"/>
      <c r="C15567" s="12"/>
    </row>
    <row r="15568" spans="2:3">
      <c r="B15568" s="12"/>
      <c r="C15568" s="12"/>
    </row>
    <row r="15569" spans="2:3">
      <c r="B15569" s="12"/>
      <c r="C15569" s="12"/>
    </row>
    <row r="15570" spans="2:3">
      <c r="B15570" s="12"/>
      <c r="C15570" s="12"/>
    </row>
    <row r="15571" spans="2:3">
      <c r="B15571" s="12"/>
      <c r="C15571" s="12"/>
    </row>
    <row r="15572" spans="2:3">
      <c r="B15572" s="12"/>
      <c r="C15572" s="12"/>
    </row>
    <row r="15573" spans="2:3">
      <c r="B15573" s="12"/>
      <c r="C15573" s="12"/>
    </row>
    <row r="15574" spans="2:3">
      <c r="B15574" s="12"/>
      <c r="C15574" s="12"/>
    </row>
    <row r="15575" spans="2:3">
      <c r="B15575" s="12"/>
      <c r="C15575" s="12"/>
    </row>
    <row r="15576" spans="2:3">
      <c r="B15576" s="12"/>
      <c r="C15576" s="12"/>
    </row>
    <row r="15577" spans="2:3">
      <c r="B15577" s="12"/>
      <c r="C15577" s="12"/>
    </row>
    <row r="15578" spans="2:3">
      <c r="B15578" s="12"/>
      <c r="C15578" s="12"/>
    </row>
    <row r="15579" spans="2:3">
      <c r="B15579" s="12"/>
      <c r="C15579" s="12"/>
    </row>
    <row r="15580" spans="2:3">
      <c r="B15580" s="12"/>
      <c r="C15580" s="12"/>
    </row>
    <row r="15581" spans="2:3">
      <c r="B15581" s="12"/>
      <c r="C15581" s="12"/>
    </row>
    <row r="15582" spans="2:3">
      <c r="B15582" s="12"/>
      <c r="C15582" s="12"/>
    </row>
    <row r="15583" spans="2:3">
      <c r="B15583" s="12"/>
      <c r="C15583" s="12"/>
    </row>
    <row r="15584" spans="2:3">
      <c r="B15584" s="12"/>
      <c r="C15584" s="12"/>
    </row>
    <row r="15585" spans="2:3">
      <c r="B15585" s="12"/>
      <c r="C15585" s="12"/>
    </row>
    <row r="15586" spans="2:3">
      <c r="B15586" s="12"/>
      <c r="C15586" s="12"/>
    </row>
    <row r="15587" spans="2:3">
      <c r="B15587" s="12"/>
      <c r="C15587" s="12"/>
    </row>
    <row r="15588" spans="2:3">
      <c r="B15588" s="12"/>
      <c r="C15588" s="12"/>
    </row>
    <row r="15589" spans="2:3">
      <c r="B15589" s="12"/>
      <c r="C15589" s="12"/>
    </row>
    <row r="15590" spans="2:3">
      <c r="B15590" s="12"/>
      <c r="C15590" s="12"/>
    </row>
    <row r="15591" spans="2:3">
      <c r="B15591" s="12"/>
      <c r="C15591" s="12"/>
    </row>
    <row r="15592" spans="2:3">
      <c r="B15592" s="12"/>
      <c r="C15592" s="12"/>
    </row>
    <row r="15593" spans="2:3">
      <c r="B15593" s="12"/>
      <c r="C15593" s="12"/>
    </row>
    <row r="15594" spans="2:3">
      <c r="B15594" s="12"/>
      <c r="C15594" s="12"/>
    </row>
    <row r="15595" spans="2:3">
      <c r="B15595" s="12"/>
      <c r="C15595" s="12"/>
    </row>
    <row r="15596" spans="2:3">
      <c r="B15596" s="12"/>
      <c r="C15596" s="12"/>
    </row>
    <row r="15597" spans="2:3">
      <c r="B15597" s="12"/>
      <c r="C15597" s="12"/>
    </row>
    <row r="15598" spans="2:3">
      <c r="B15598" s="12"/>
      <c r="C15598" s="12"/>
    </row>
    <row r="15599" spans="2:3">
      <c r="B15599" s="12"/>
      <c r="C15599" s="12"/>
    </row>
    <row r="15600" spans="2:3">
      <c r="B15600" s="12"/>
      <c r="C15600" s="12"/>
    </row>
    <row r="15601" spans="2:3">
      <c r="B15601" s="12"/>
      <c r="C15601" s="12"/>
    </row>
    <row r="15602" spans="2:3">
      <c r="B15602" s="12"/>
      <c r="C15602" s="12"/>
    </row>
    <row r="15603" spans="2:3">
      <c r="B15603" s="12"/>
      <c r="C15603" s="12"/>
    </row>
    <row r="15604" spans="2:3">
      <c r="B15604" s="12"/>
      <c r="C15604" s="12"/>
    </row>
    <row r="15605" spans="2:3">
      <c r="B15605" s="12"/>
      <c r="C15605" s="12"/>
    </row>
    <row r="15606" spans="2:3">
      <c r="B15606" s="12"/>
      <c r="C15606" s="12"/>
    </row>
    <row r="15607" spans="2:3">
      <c r="B15607" s="12"/>
      <c r="C15607" s="12"/>
    </row>
    <row r="15608" spans="2:3">
      <c r="B15608" s="12"/>
      <c r="C15608" s="12"/>
    </row>
    <row r="15609" spans="2:3">
      <c r="B15609" s="12"/>
      <c r="C15609" s="12"/>
    </row>
    <row r="15610" spans="2:3">
      <c r="B15610" s="12"/>
      <c r="C15610" s="12"/>
    </row>
    <row r="15611" spans="2:3">
      <c r="B15611" s="12"/>
      <c r="C15611" s="12"/>
    </row>
    <row r="15612" spans="2:3">
      <c r="B15612" s="12"/>
      <c r="C15612" s="12"/>
    </row>
    <row r="15613" spans="2:3">
      <c r="B15613" s="12"/>
      <c r="C15613" s="12"/>
    </row>
    <row r="15614" spans="2:3">
      <c r="B15614" s="12"/>
      <c r="C15614" s="12"/>
    </row>
    <row r="15615" spans="2:3">
      <c r="B15615" s="12"/>
      <c r="C15615" s="12"/>
    </row>
    <row r="15616" spans="2:3">
      <c r="B15616" s="12"/>
      <c r="C15616" s="12"/>
    </row>
    <row r="15617" spans="2:3">
      <c r="B15617" s="12"/>
      <c r="C15617" s="12"/>
    </row>
    <row r="15618" spans="2:3">
      <c r="B15618" s="12"/>
      <c r="C15618" s="12"/>
    </row>
    <row r="15619" spans="2:3">
      <c r="B15619" s="12"/>
      <c r="C15619" s="12"/>
    </row>
    <row r="15620" spans="2:3">
      <c r="B15620" s="12"/>
      <c r="C15620" s="12"/>
    </row>
    <row r="15621" spans="2:3">
      <c r="B15621" s="12"/>
      <c r="C15621" s="12"/>
    </row>
    <row r="15622" spans="2:3">
      <c r="B15622" s="12"/>
      <c r="C15622" s="12"/>
    </row>
    <row r="15623" spans="2:3">
      <c r="B15623" s="12"/>
      <c r="C15623" s="12"/>
    </row>
    <row r="15624" spans="2:3">
      <c r="B15624" s="12"/>
      <c r="C15624" s="12"/>
    </row>
    <row r="15625" spans="2:3">
      <c r="B15625" s="12"/>
      <c r="C15625" s="12"/>
    </row>
    <row r="15626" spans="2:3">
      <c r="B15626" s="12"/>
      <c r="C15626" s="12"/>
    </row>
    <row r="15627" spans="2:3">
      <c r="B15627" s="12"/>
      <c r="C15627" s="12"/>
    </row>
    <row r="15628" spans="2:3">
      <c r="B15628" s="12"/>
      <c r="C15628" s="12"/>
    </row>
    <row r="15629" spans="2:3">
      <c r="B15629" s="12"/>
      <c r="C15629" s="12"/>
    </row>
    <row r="15630" spans="2:3">
      <c r="B15630" s="12"/>
      <c r="C15630" s="12"/>
    </row>
    <row r="15631" spans="2:3">
      <c r="B15631" s="12"/>
      <c r="C15631" s="12"/>
    </row>
    <row r="15632" spans="2:3">
      <c r="B15632" s="12"/>
      <c r="C15632" s="12"/>
    </row>
    <row r="15633" spans="2:3">
      <c r="B15633" s="12"/>
      <c r="C15633" s="12"/>
    </row>
    <row r="15634" spans="2:3">
      <c r="B15634" s="12"/>
      <c r="C15634" s="12"/>
    </row>
    <row r="15635" spans="2:3">
      <c r="B15635" s="12"/>
      <c r="C15635" s="12"/>
    </row>
    <row r="15636" spans="2:3">
      <c r="B15636" s="12"/>
      <c r="C15636" s="12"/>
    </row>
    <row r="15637" spans="2:3">
      <c r="B15637" s="12"/>
      <c r="C15637" s="12"/>
    </row>
    <row r="15638" spans="2:3">
      <c r="B15638" s="12"/>
      <c r="C15638" s="12"/>
    </row>
    <row r="15639" spans="2:3">
      <c r="B15639" s="12"/>
      <c r="C15639" s="12"/>
    </row>
    <row r="15640" spans="2:3">
      <c r="B15640" s="12"/>
      <c r="C15640" s="12"/>
    </row>
    <row r="15641" spans="2:3">
      <c r="B15641" s="12"/>
      <c r="C15641" s="12"/>
    </row>
    <row r="15642" spans="2:3">
      <c r="B15642" s="12"/>
      <c r="C15642" s="12"/>
    </row>
    <row r="15643" spans="2:3">
      <c r="B15643" s="12"/>
      <c r="C15643" s="12"/>
    </row>
    <row r="15644" spans="2:3">
      <c r="B15644" s="12"/>
      <c r="C15644" s="12"/>
    </row>
    <row r="15645" spans="2:3">
      <c r="B15645" s="12"/>
      <c r="C15645" s="12"/>
    </row>
    <row r="15646" spans="2:3">
      <c r="B15646" s="12"/>
      <c r="C15646" s="12"/>
    </row>
    <row r="15647" spans="2:3">
      <c r="B15647" s="12"/>
      <c r="C15647" s="12"/>
    </row>
    <row r="15648" spans="2:3">
      <c r="B15648" s="12"/>
      <c r="C15648" s="12"/>
    </row>
    <row r="15649" spans="2:3">
      <c r="B15649" s="12"/>
      <c r="C15649" s="12"/>
    </row>
    <row r="15650" spans="2:3">
      <c r="B15650" s="12"/>
      <c r="C15650" s="12"/>
    </row>
    <row r="15651" spans="2:3">
      <c r="B15651" s="12"/>
      <c r="C15651" s="12"/>
    </row>
    <row r="15652" spans="2:3">
      <c r="B15652" s="12"/>
      <c r="C15652" s="12"/>
    </row>
    <row r="15653" spans="2:3">
      <c r="B15653" s="12"/>
      <c r="C15653" s="12"/>
    </row>
    <row r="15654" spans="2:3">
      <c r="B15654" s="12"/>
      <c r="C15654" s="12"/>
    </row>
    <row r="15655" spans="2:3">
      <c r="B15655" s="12"/>
      <c r="C15655" s="12"/>
    </row>
    <row r="15656" spans="2:3">
      <c r="B15656" s="12"/>
      <c r="C15656" s="12"/>
    </row>
    <row r="15657" spans="2:3">
      <c r="B15657" s="12"/>
      <c r="C15657" s="12"/>
    </row>
    <row r="15658" spans="2:3">
      <c r="B15658" s="12"/>
      <c r="C15658" s="12"/>
    </row>
    <row r="15659" spans="2:3">
      <c r="B15659" s="12"/>
      <c r="C15659" s="12"/>
    </row>
    <row r="15660" spans="2:3">
      <c r="B15660" s="12"/>
      <c r="C15660" s="12"/>
    </row>
    <row r="15661" spans="2:3">
      <c r="B15661" s="12"/>
      <c r="C15661" s="12"/>
    </row>
    <row r="15662" spans="2:3">
      <c r="B15662" s="12"/>
      <c r="C15662" s="12"/>
    </row>
    <row r="15663" spans="2:3">
      <c r="B15663" s="12"/>
      <c r="C15663" s="12"/>
    </row>
    <row r="15664" spans="2:3">
      <c r="B15664" s="12"/>
      <c r="C15664" s="12"/>
    </row>
    <row r="15665" spans="2:3">
      <c r="B15665" s="12"/>
      <c r="C15665" s="12"/>
    </row>
    <row r="15666" spans="2:3">
      <c r="B15666" s="12"/>
      <c r="C15666" s="12"/>
    </row>
    <row r="15667" spans="2:3">
      <c r="B15667" s="12"/>
      <c r="C15667" s="12"/>
    </row>
    <row r="15668" spans="2:3">
      <c r="B15668" s="12"/>
      <c r="C15668" s="12"/>
    </row>
    <row r="15669" spans="2:3">
      <c r="B15669" s="12"/>
      <c r="C15669" s="12"/>
    </row>
    <row r="15670" spans="2:3">
      <c r="B15670" s="12"/>
      <c r="C15670" s="12"/>
    </row>
    <row r="15671" spans="2:3">
      <c r="B15671" s="12"/>
      <c r="C15671" s="12"/>
    </row>
    <row r="15672" spans="2:3">
      <c r="B15672" s="12"/>
      <c r="C15672" s="12"/>
    </row>
    <row r="15673" spans="2:3">
      <c r="B15673" s="12"/>
      <c r="C15673" s="12"/>
    </row>
    <row r="15674" spans="2:3">
      <c r="B15674" s="12"/>
      <c r="C15674" s="12"/>
    </row>
    <row r="15675" spans="2:3">
      <c r="B15675" s="12"/>
      <c r="C15675" s="12"/>
    </row>
    <row r="15676" spans="2:3">
      <c r="B15676" s="12"/>
      <c r="C15676" s="12"/>
    </row>
    <row r="15677" spans="2:3">
      <c r="B15677" s="12"/>
      <c r="C15677" s="12"/>
    </row>
    <row r="15678" spans="2:3">
      <c r="B15678" s="12"/>
      <c r="C15678" s="12"/>
    </row>
    <row r="15679" spans="2:3">
      <c r="B15679" s="12"/>
      <c r="C15679" s="12"/>
    </row>
    <row r="15680" spans="2:3">
      <c r="B15680" s="12"/>
      <c r="C15680" s="12"/>
    </row>
    <row r="15681" spans="2:3">
      <c r="B15681" s="12"/>
      <c r="C15681" s="12"/>
    </row>
    <row r="15682" spans="2:3">
      <c r="B15682" s="12"/>
      <c r="C15682" s="12"/>
    </row>
    <row r="15683" spans="2:3">
      <c r="B15683" s="12"/>
      <c r="C15683" s="12"/>
    </row>
    <row r="15684" spans="2:3">
      <c r="B15684" s="12"/>
      <c r="C15684" s="12"/>
    </row>
    <row r="15685" spans="2:3">
      <c r="B15685" s="12"/>
      <c r="C15685" s="12"/>
    </row>
    <row r="15686" spans="2:3">
      <c r="B15686" s="12"/>
      <c r="C15686" s="12"/>
    </row>
    <row r="15687" spans="2:3">
      <c r="B15687" s="12"/>
      <c r="C15687" s="12"/>
    </row>
    <row r="15688" spans="2:3">
      <c r="B15688" s="12"/>
      <c r="C15688" s="12"/>
    </row>
    <row r="15689" spans="2:3">
      <c r="B15689" s="12"/>
      <c r="C15689" s="12"/>
    </row>
    <row r="15690" spans="2:3">
      <c r="B15690" s="12"/>
      <c r="C15690" s="12"/>
    </row>
    <row r="15691" spans="2:3">
      <c r="B15691" s="12"/>
      <c r="C15691" s="12"/>
    </row>
    <row r="15692" spans="2:3">
      <c r="B15692" s="12"/>
      <c r="C15692" s="12"/>
    </row>
    <row r="15693" spans="2:3">
      <c r="B15693" s="12"/>
      <c r="C15693" s="12"/>
    </row>
    <row r="15694" spans="2:3">
      <c r="B15694" s="12"/>
      <c r="C15694" s="12"/>
    </row>
    <row r="15695" spans="2:3">
      <c r="B15695" s="12"/>
      <c r="C15695" s="12"/>
    </row>
    <row r="15696" spans="2:3">
      <c r="B15696" s="12"/>
      <c r="C15696" s="12"/>
    </row>
    <row r="15697" spans="2:3">
      <c r="B15697" s="12"/>
      <c r="C15697" s="12"/>
    </row>
    <row r="15698" spans="2:3">
      <c r="B15698" s="12"/>
      <c r="C15698" s="12"/>
    </row>
    <row r="15699" spans="2:3">
      <c r="B15699" s="12"/>
      <c r="C15699" s="12"/>
    </row>
    <row r="15700" spans="2:3">
      <c r="B15700" s="12"/>
      <c r="C15700" s="12"/>
    </row>
    <row r="15701" spans="2:3">
      <c r="B15701" s="12"/>
      <c r="C15701" s="12"/>
    </row>
    <row r="15702" spans="2:3">
      <c r="B15702" s="12"/>
      <c r="C15702" s="12"/>
    </row>
    <row r="15703" spans="2:3">
      <c r="B15703" s="12"/>
      <c r="C15703" s="12"/>
    </row>
    <row r="15704" spans="2:3">
      <c r="B15704" s="12"/>
      <c r="C15704" s="12"/>
    </row>
    <row r="15705" spans="2:3">
      <c r="B15705" s="12"/>
      <c r="C15705" s="12"/>
    </row>
    <row r="15706" spans="2:3">
      <c r="B15706" s="12"/>
      <c r="C15706" s="12"/>
    </row>
    <row r="15707" spans="2:3">
      <c r="B15707" s="12"/>
      <c r="C15707" s="12"/>
    </row>
    <row r="15708" spans="2:3">
      <c r="B15708" s="12"/>
      <c r="C15708" s="12"/>
    </row>
    <row r="15709" spans="2:3">
      <c r="B15709" s="12"/>
      <c r="C15709" s="12"/>
    </row>
    <row r="15710" spans="2:3">
      <c r="B15710" s="12"/>
      <c r="C15710" s="12"/>
    </row>
    <row r="15711" spans="2:3">
      <c r="B15711" s="12"/>
      <c r="C15711" s="12"/>
    </row>
    <row r="15712" spans="2:3">
      <c r="B15712" s="12"/>
      <c r="C15712" s="12"/>
    </row>
    <row r="15713" spans="2:3">
      <c r="B15713" s="12"/>
      <c r="C15713" s="12"/>
    </row>
    <row r="15714" spans="2:3">
      <c r="B15714" s="12"/>
      <c r="C15714" s="12"/>
    </row>
    <row r="15715" spans="2:3">
      <c r="B15715" s="12"/>
      <c r="C15715" s="12"/>
    </row>
    <row r="15716" spans="2:3">
      <c r="B15716" s="12"/>
      <c r="C15716" s="12"/>
    </row>
    <row r="15717" spans="2:3">
      <c r="B15717" s="12"/>
      <c r="C15717" s="12"/>
    </row>
    <row r="15718" spans="2:3">
      <c r="B15718" s="12"/>
      <c r="C15718" s="12"/>
    </row>
    <row r="15719" spans="2:3">
      <c r="B15719" s="12"/>
      <c r="C15719" s="12"/>
    </row>
    <row r="15720" spans="2:3">
      <c r="B15720" s="12"/>
      <c r="C15720" s="12"/>
    </row>
    <row r="15721" spans="2:3">
      <c r="B15721" s="12"/>
      <c r="C15721" s="12"/>
    </row>
    <row r="15722" spans="2:3">
      <c r="B15722" s="12"/>
      <c r="C15722" s="12"/>
    </row>
    <row r="15723" spans="2:3">
      <c r="B15723" s="12"/>
      <c r="C15723" s="12"/>
    </row>
    <row r="15724" spans="2:3">
      <c r="B15724" s="12"/>
      <c r="C15724" s="12"/>
    </row>
    <row r="15725" spans="2:3">
      <c r="B15725" s="12"/>
      <c r="C15725" s="12"/>
    </row>
    <row r="15726" spans="2:3">
      <c r="B15726" s="12"/>
      <c r="C15726" s="12"/>
    </row>
    <row r="15727" spans="2:3">
      <c r="B15727" s="12"/>
      <c r="C15727" s="12"/>
    </row>
    <row r="15728" spans="2:3">
      <c r="B15728" s="12"/>
      <c r="C15728" s="12"/>
    </row>
    <row r="15729" spans="2:3">
      <c r="B15729" s="12"/>
      <c r="C15729" s="12"/>
    </row>
    <row r="15730" spans="2:3">
      <c r="B15730" s="12"/>
      <c r="C15730" s="12"/>
    </row>
    <row r="15731" spans="2:3">
      <c r="B15731" s="12"/>
      <c r="C15731" s="12"/>
    </row>
    <row r="15732" spans="2:3">
      <c r="B15732" s="12"/>
      <c r="C15732" s="12"/>
    </row>
    <row r="15733" spans="2:3">
      <c r="B15733" s="12"/>
      <c r="C15733" s="12"/>
    </row>
    <row r="15734" spans="2:3">
      <c r="B15734" s="12"/>
      <c r="C15734" s="12"/>
    </row>
    <row r="15735" spans="2:3">
      <c r="B15735" s="12"/>
      <c r="C15735" s="12"/>
    </row>
    <row r="15736" spans="2:3">
      <c r="B15736" s="12"/>
      <c r="C15736" s="12"/>
    </row>
    <row r="15737" spans="2:3">
      <c r="B15737" s="12"/>
      <c r="C15737" s="12"/>
    </row>
    <row r="15738" spans="2:3">
      <c r="B15738" s="12"/>
      <c r="C15738" s="12"/>
    </row>
    <row r="15739" spans="2:3">
      <c r="B15739" s="12"/>
      <c r="C15739" s="12"/>
    </row>
    <row r="15740" spans="2:3">
      <c r="B15740" s="12"/>
      <c r="C15740" s="12"/>
    </row>
    <row r="15741" spans="2:3">
      <c r="B15741" s="12"/>
      <c r="C15741" s="12"/>
    </row>
    <row r="15742" spans="2:3">
      <c r="B15742" s="12"/>
      <c r="C15742" s="12"/>
    </row>
    <row r="15743" spans="2:3">
      <c r="B15743" s="12"/>
      <c r="C15743" s="12"/>
    </row>
    <row r="15744" spans="2:3">
      <c r="B15744" s="12"/>
      <c r="C15744" s="12"/>
    </row>
    <row r="15745" spans="2:3">
      <c r="B15745" s="12"/>
      <c r="C15745" s="12"/>
    </row>
    <row r="15746" spans="2:3">
      <c r="B15746" s="12"/>
      <c r="C15746" s="12"/>
    </row>
    <row r="15747" spans="2:3">
      <c r="B15747" s="12"/>
      <c r="C15747" s="12"/>
    </row>
    <row r="15748" spans="2:3">
      <c r="B15748" s="12"/>
      <c r="C15748" s="12"/>
    </row>
    <row r="15749" spans="2:3">
      <c r="B15749" s="12"/>
      <c r="C15749" s="12"/>
    </row>
    <row r="15750" spans="2:3">
      <c r="B15750" s="12"/>
      <c r="C15750" s="12"/>
    </row>
    <row r="15751" spans="2:3">
      <c r="B15751" s="12"/>
      <c r="C15751" s="12"/>
    </row>
    <row r="15752" spans="2:3">
      <c r="B15752" s="12"/>
      <c r="C15752" s="12"/>
    </row>
    <row r="15753" spans="2:3">
      <c r="B15753" s="12"/>
      <c r="C15753" s="12"/>
    </row>
    <row r="15754" spans="2:3">
      <c r="B15754" s="12"/>
      <c r="C15754" s="12"/>
    </row>
    <row r="15755" spans="2:3">
      <c r="B15755" s="12"/>
      <c r="C15755" s="12"/>
    </row>
    <row r="15756" spans="2:3">
      <c r="B15756" s="12"/>
      <c r="C15756" s="12"/>
    </row>
    <row r="15757" spans="2:3">
      <c r="B15757" s="12"/>
      <c r="C15757" s="12"/>
    </row>
    <row r="15758" spans="2:3">
      <c r="B15758" s="12"/>
      <c r="C15758" s="12"/>
    </row>
    <row r="15759" spans="2:3">
      <c r="B15759" s="12"/>
      <c r="C15759" s="12"/>
    </row>
    <row r="15760" spans="2:3">
      <c r="B15760" s="12"/>
      <c r="C15760" s="12"/>
    </row>
    <row r="15761" spans="2:3">
      <c r="B15761" s="12"/>
      <c r="C15761" s="12"/>
    </row>
    <row r="15762" spans="2:3">
      <c r="B15762" s="12"/>
      <c r="C15762" s="12"/>
    </row>
    <row r="15763" spans="2:3">
      <c r="B15763" s="12"/>
      <c r="C15763" s="12"/>
    </row>
    <row r="15764" spans="2:3">
      <c r="B15764" s="12"/>
      <c r="C15764" s="12"/>
    </row>
    <row r="15765" spans="2:3">
      <c r="B15765" s="12"/>
      <c r="C15765" s="12"/>
    </row>
    <row r="15766" spans="2:3">
      <c r="B15766" s="12"/>
      <c r="C15766" s="12"/>
    </row>
    <row r="15767" spans="2:3">
      <c r="B15767" s="12"/>
      <c r="C15767" s="12"/>
    </row>
    <row r="15768" spans="2:3">
      <c r="B15768" s="12"/>
      <c r="C15768" s="12"/>
    </row>
    <row r="15769" spans="2:3">
      <c r="B15769" s="12"/>
      <c r="C15769" s="12"/>
    </row>
    <row r="15770" spans="2:3">
      <c r="B15770" s="12"/>
      <c r="C15770" s="12"/>
    </row>
    <row r="15771" spans="2:3">
      <c r="B15771" s="12"/>
      <c r="C15771" s="12"/>
    </row>
    <row r="15772" spans="2:3">
      <c r="B15772" s="12"/>
      <c r="C15772" s="12"/>
    </row>
    <row r="15773" spans="2:3">
      <c r="B15773" s="12"/>
      <c r="C15773" s="12"/>
    </row>
    <row r="15774" spans="2:3">
      <c r="B15774" s="12"/>
      <c r="C15774" s="12"/>
    </row>
    <row r="15775" spans="2:3">
      <c r="B15775" s="12"/>
      <c r="C15775" s="12"/>
    </row>
    <row r="15776" spans="2:3">
      <c r="B15776" s="12"/>
      <c r="C15776" s="12"/>
    </row>
    <row r="15777" spans="2:3">
      <c r="B15777" s="12"/>
      <c r="C15777" s="12"/>
    </row>
    <row r="15778" spans="2:3">
      <c r="B15778" s="12"/>
      <c r="C15778" s="12"/>
    </row>
    <row r="15779" spans="2:3">
      <c r="B15779" s="12"/>
      <c r="C15779" s="12"/>
    </row>
    <row r="15780" spans="2:3">
      <c r="B15780" s="12"/>
      <c r="C15780" s="12"/>
    </row>
    <row r="15781" spans="2:3">
      <c r="B15781" s="12"/>
      <c r="C15781" s="12"/>
    </row>
    <row r="15782" spans="2:3">
      <c r="B15782" s="12"/>
      <c r="C15782" s="12"/>
    </row>
    <row r="15783" spans="2:3">
      <c r="B15783" s="12"/>
      <c r="C15783" s="12"/>
    </row>
    <row r="15784" spans="2:3">
      <c r="B15784" s="12"/>
      <c r="C15784" s="12"/>
    </row>
    <row r="15785" spans="2:3">
      <c r="B15785" s="12"/>
      <c r="C15785" s="12"/>
    </row>
    <row r="15786" spans="2:3">
      <c r="B15786" s="12"/>
      <c r="C15786" s="12"/>
    </row>
    <row r="15787" spans="2:3">
      <c r="B15787" s="12"/>
      <c r="C15787" s="12"/>
    </row>
    <row r="15788" spans="2:3">
      <c r="B15788" s="12"/>
      <c r="C15788" s="12"/>
    </row>
    <row r="15789" spans="2:3">
      <c r="B15789" s="12"/>
      <c r="C15789" s="12"/>
    </row>
    <row r="15790" spans="2:3">
      <c r="B15790" s="12"/>
      <c r="C15790" s="12"/>
    </row>
    <row r="15791" spans="2:3">
      <c r="B15791" s="12"/>
      <c r="C15791" s="12"/>
    </row>
    <row r="15792" spans="2:3">
      <c r="B15792" s="12"/>
      <c r="C15792" s="12"/>
    </row>
    <row r="15793" spans="2:3">
      <c r="B15793" s="12"/>
      <c r="C15793" s="12"/>
    </row>
    <row r="15794" spans="2:3">
      <c r="B15794" s="12"/>
      <c r="C15794" s="12"/>
    </row>
    <row r="15795" spans="2:3">
      <c r="B15795" s="12"/>
      <c r="C15795" s="12"/>
    </row>
    <row r="15796" spans="2:3">
      <c r="B15796" s="12"/>
      <c r="C15796" s="12"/>
    </row>
    <row r="15797" spans="2:3">
      <c r="B15797" s="12"/>
      <c r="C15797" s="12"/>
    </row>
    <row r="15798" spans="2:3">
      <c r="B15798" s="12"/>
      <c r="C15798" s="12"/>
    </row>
    <row r="15799" spans="2:3">
      <c r="B15799" s="12"/>
      <c r="C15799" s="12"/>
    </row>
    <row r="15800" spans="2:3">
      <c r="B15800" s="12"/>
      <c r="C15800" s="12"/>
    </row>
    <row r="15801" spans="2:3">
      <c r="B15801" s="12"/>
      <c r="C15801" s="12"/>
    </row>
    <row r="15802" spans="2:3">
      <c r="B15802" s="12"/>
      <c r="C15802" s="12"/>
    </row>
    <row r="15803" spans="2:3">
      <c r="B15803" s="12"/>
      <c r="C15803" s="12"/>
    </row>
    <row r="15804" spans="2:3">
      <c r="B15804" s="12"/>
      <c r="C15804" s="12"/>
    </row>
    <row r="15805" spans="2:3">
      <c r="B15805" s="12"/>
      <c r="C15805" s="12"/>
    </row>
    <row r="15806" spans="2:3">
      <c r="B15806" s="12"/>
      <c r="C15806" s="12"/>
    </row>
    <row r="15807" spans="2:3">
      <c r="B15807" s="12"/>
      <c r="C15807" s="12"/>
    </row>
    <row r="15808" spans="2:3">
      <c r="B15808" s="12"/>
      <c r="C15808" s="12"/>
    </row>
    <row r="15809" spans="2:3">
      <c r="B15809" s="12"/>
      <c r="C15809" s="12"/>
    </row>
    <row r="15810" spans="2:3">
      <c r="B15810" s="12"/>
      <c r="C15810" s="12"/>
    </row>
    <row r="15811" spans="2:3">
      <c r="B15811" s="12"/>
      <c r="C15811" s="12"/>
    </row>
    <row r="15812" spans="2:3">
      <c r="B15812" s="12"/>
      <c r="C15812" s="12"/>
    </row>
    <row r="15813" spans="2:3">
      <c r="B15813" s="12"/>
      <c r="C15813" s="12"/>
    </row>
    <row r="15814" spans="2:3">
      <c r="B15814" s="12"/>
      <c r="C15814" s="12"/>
    </row>
    <row r="15815" spans="2:3">
      <c r="B15815" s="12"/>
      <c r="C15815" s="12"/>
    </row>
    <row r="15816" spans="2:3">
      <c r="B15816" s="12"/>
      <c r="C15816" s="12"/>
    </row>
    <row r="15817" spans="2:3">
      <c r="B15817" s="12"/>
      <c r="C15817" s="12"/>
    </row>
    <row r="15818" spans="2:3">
      <c r="B15818" s="12"/>
      <c r="C15818" s="12"/>
    </row>
    <row r="15819" spans="2:3">
      <c r="B15819" s="12"/>
      <c r="C15819" s="12"/>
    </row>
    <row r="15820" spans="2:3">
      <c r="B15820" s="12"/>
      <c r="C15820" s="12"/>
    </row>
    <row r="15821" spans="2:3">
      <c r="B15821" s="12"/>
      <c r="C15821" s="12"/>
    </row>
    <row r="15822" spans="2:3">
      <c r="B15822" s="12"/>
      <c r="C15822" s="12"/>
    </row>
    <row r="15823" spans="2:3">
      <c r="B15823" s="12"/>
      <c r="C15823" s="12"/>
    </row>
    <row r="15824" spans="2:3">
      <c r="B15824" s="12"/>
      <c r="C15824" s="12"/>
    </row>
    <row r="15825" spans="2:3">
      <c r="B15825" s="12"/>
      <c r="C15825" s="12"/>
    </row>
    <row r="15826" spans="2:3">
      <c r="B15826" s="12"/>
      <c r="C15826" s="12"/>
    </row>
    <row r="15827" spans="2:3">
      <c r="B15827" s="12"/>
      <c r="C15827" s="12"/>
    </row>
    <row r="15828" spans="2:3">
      <c r="B15828" s="12"/>
      <c r="C15828" s="12"/>
    </row>
    <row r="15829" spans="2:3">
      <c r="B15829" s="12"/>
      <c r="C15829" s="12"/>
    </row>
    <row r="15830" spans="2:3">
      <c r="B15830" s="12"/>
      <c r="C15830" s="12"/>
    </row>
    <row r="15831" spans="2:3">
      <c r="B15831" s="12"/>
      <c r="C15831" s="12"/>
    </row>
    <row r="15832" spans="2:3">
      <c r="B15832" s="12"/>
      <c r="C15832" s="12"/>
    </row>
    <row r="15833" spans="2:3">
      <c r="B15833" s="12"/>
      <c r="C15833" s="12"/>
    </row>
    <row r="15834" spans="2:3">
      <c r="B15834" s="12"/>
      <c r="C15834" s="12"/>
    </row>
    <row r="15835" spans="2:3">
      <c r="B15835" s="12"/>
      <c r="C15835" s="12"/>
    </row>
    <row r="15836" spans="2:3">
      <c r="B15836" s="12"/>
      <c r="C15836" s="12"/>
    </row>
    <row r="15837" spans="2:3">
      <c r="B15837" s="12"/>
      <c r="C15837" s="12"/>
    </row>
    <row r="15838" spans="2:3">
      <c r="B15838" s="12"/>
      <c r="C15838" s="12"/>
    </row>
    <row r="15839" spans="2:3">
      <c r="B15839" s="12"/>
      <c r="C15839" s="12"/>
    </row>
    <row r="15840" spans="2:3">
      <c r="B15840" s="12"/>
      <c r="C15840" s="12"/>
    </row>
    <row r="15841" spans="2:3">
      <c r="B15841" s="12"/>
      <c r="C15841" s="12"/>
    </row>
    <row r="15842" spans="2:3">
      <c r="B15842" s="12"/>
      <c r="C15842" s="12"/>
    </row>
    <row r="15843" spans="2:3">
      <c r="B15843" s="12"/>
      <c r="C15843" s="12"/>
    </row>
    <row r="15844" spans="2:3">
      <c r="B15844" s="12"/>
      <c r="C15844" s="12"/>
    </row>
    <row r="15845" spans="2:3">
      <c r="B15845" s="12"/>
      <c r="C15845" s="12"/>
    </row>
    <row r="15846" spans="2:3">
      <c r="B15846" s="12"/>
      <c r="C15846" s="12"/>
    </row>
    <row r="15847" spans="2:3">
      <c r="B15847" s="12"/>
      <c r="C15847" s="12"/>
    </row>
    <row r="15848" spans="2:3">
      <c r="B15848" s="12"/>
      <c r="C15848" s="12"/>
    </row>
    <row r="15849" spans="2:3">
      <c r="B15849" s="12"/>
      <c r="C15849" s="12"/>
    </row>
    <row r="15850" spans="2:3">
      <c r="B15850" s="12"/>
      <c r="C15850" s="12"/>
    </row>
    <row r="15851" spans="2:3">
      <c r="B15851" s="12"/>
      <c r="C15851" s="12"/>
    </row>
    <row r="15852" spans="2:3">
      <c r="B15852" s="12"/>
      <c r="C15852" s="12"/>
    </row>
    <row r="15853" spans="2:3">
      <c r="B15853" s="12"/>
      <c r="C15853" s="12"/>
    </row>
    <row r="15854" spans="2:3">
      <c r="B15854" s="12"/>
      <c r="C15854" s="12"/>
    </row>
    <row r="15855" spans="2:3">
      <c r="B15855" s="12"/>
      <c r="C15855" s="12"/>
    </row>
    <row r="15856" spans="2:3">
      <c r="B15856" s="12"/>
      <c r="C15856" s="12"/>
    </row>
    <row r="15857" spans="2:3">
      <c r="B15857" s="12"/>
      <c r="C15857" s="12"/>
    </row>
    <row r="15858" spans="2:3">
      <c r="B15858" s="12"/>
      <c r="C15858" s="12"/>
    </row>
    <row r="15859" spans="2:3">
      <c r="B15859" s="12"/>
      <c r="C15859" s="12"/>
    </row>
    <row r="15860" spans="2:3">
      <c r="B15860" s="12"/>
      <c r="C15860" s="12"/>
    </row>
    <row r="15861" spans="2:3">
      <c r="B15861" s="12"/>
      <c r="C15861" s="12"/>
    </row>
    <row r="15862" spans="2:3">
      <c r="B15862" s="12"/>
      <c r="C15862" s="12"/>
    </row>
    <row r="15863" spans="2:3">
      <c r="B15863" s="12"/>
      <c r="C15863" s="12"/>
    </row>
    <row r="15864" spans="2:3">
      <c r="B15864" s="12"/>
      <c r="C15864" s="12"/>
    </row>
    <row r="15865" spans="2:3">
      <c r="B15865" s="12"/>
      <c r="C15865" s="12"/>
    </row>
    <row r="15866" spans="2:3">
      <c r="B15866" s="12"/>
      <c r="C15866" s="12"/>
    </row>
    <row r="15867" spans="2:3">
      <c r="B15867" s="12"/>
      <c r="C15867" s="12"/>
    </row>
    <row r="15868" spans="2:3">
      <c r="B15868" s="12"/>
      <c r="C15868" s="12"/>
    </row>
    <row r="15869" spans="2:3">
      <c r="B15869" s="12"/>
      <c r="C15869" s="12"/>
    </row>
    <row r="15870" spans="2:3">
      <c r="B15870" s="12"/>
      <c r="C15870" s="12"/>
    </row>
    <row r="15871" spans="2:3">
      <c r="B15871" s="12"/>
      <c r="C15871" s="12"/>
    </row>
    <row r="15872" spans="2:3">
      <c r="B15872" s="12"/>
      <c r="C15872" s="12"/>
    </row>
    <row r="15873" spans="2:3">
      <c r="B15873" s="12"/>
      <c r="C15873" s="12"/>
    </row>
    <row r="15874" spans="2:3">
      <c r="B15874" s="12"/>
      <c r="C15874" s="12"/>
    </row>
    <row r="15875" spans="2:3">
      <c r="B15875" s="12"/>
      <c r="C15875" s="12"/>
    </row>
    <row r="15876" spans="2:3">
      <c r="B15876" s="12"/>
      <c r="C15876" s="12"/>
    </row>
    <row r="15877" spans="2:3">
      <c r="B15877" s="12"/>
      <c r="C15877" s="12"/>
    </row>
    <row r="15878" spans="2:3">
      <c r="B15878" s="12"/>
      <c r="C15878" s="12"/>
    </row>
    <row r="15879" spans="2:3">
      <c r="B15879" s="12"/>
      <c r="C15879" s="12"/>
    </row>
    <row r="15880" spans="2:3">
      <c r="B15880" s="12"/>
      <c r="C15880" s="12"/>
    </row>
    <row r="15881" spans="2:3">
      <c r="B15881" s="12"/>
      <c r="C15881" s="12"/>
    </row>
    <row r="15882" spans="2:3">
      <c r="B15882" s="12"/>
      <c r="C15882" s="12"/>
    </row>
    <row r="15883" spans="2:3">
      <c r="B15883" s="12"/>
      <c r="C15883" s="12"/>
    </row>
    <row r="15884" spans="2:3">
      <c r="B15884" s="12"/>
      <c r="C15884" s="12"/>
    </row>
    <row r="15885" spans="2:3">
      <c r="B15885" s="12"/>
      <c r="C15885" s="12"/>
    </row>
    <row r="15886" spans="2:3">
      <c r="B15886" s="12"/>
      <c r="C15886" s="12"/>
    </row>
    <row r="15887" spans="2:3">
      <c r="B15887" s="12"/>
      <c r="C15887" s="12"/>
    </row>
    <row r="15888" spans="2:3">
      <c r="B15888" s="12"/>
      <c r="C15888" s="12"/>
    </row>
    <row r="15889" spans="2:3">
      <c r="B15889" s="12"/>
      <c r="C15889" s="12"/>
    </row>
    <row r="15890" spans="2:3">
      <c r="B15890" s="12"/>
      <c r="C15890" s="12"/>
    </row>
    <row r="15891" spans="2:3">
      <c r="B15891" s="12"/>
      <c r="C15891" s="12"/>
    </row>
    <row r="15892" spans="2:3">
      <c r="B15892" s="12"/>
      <c r="C15892" s="12"/>
    </row>
    <row r="15893" spans="2:3">
      <c r="B15893" s="12"/>
      <c r="C15893" s="12"/>
    </row>
    <row r="15894" spans="2:3">
      <c r="B15894" s="12"/>
      <c r="C15894" s="12"/>
    </row>
    <row r="15895" spans="2:3">
      <c r="B15895" s="12"/>
      <c r="C15895" s="12"/>
    </row>
    <row r="15896" spans="2:3">
      <c r="B15896" s="12"/>
      <c r="C15896" s="12"/>
    </row>
    <row r="15897" spans="2:3">
      <c r="B15897" s="12"/>
      <c r="C15897" s="12"/>
    </row>
    <row r="15898" spans="2:3">
      <c r="B15898" s="12"/>
      <c r="C15898" s="12"/>
    </row>
    <row r="15899" spans="2:3">
      <c r="B15899" s="12"/>
      <c r="C15899" s="12"/>
    </row>
    <row r="15900" spans="2:3">
      <c r="B15900" s="12"/>
      <c r="C15900" s="12"/>
    </row>
    <row r="15901" spans="2:3">
      <c r="B15901" s="12"/>
      <c r="C15901" s="12"/>
    </row>
    <row r="15902" spans="2:3">
      <c r="B15902" s="12"/>
      <c r="C15902" s="12"/>
    </row>
    <row r="15903" spans="2:3">
      <c r="B15903" s="12"/>
      <c r="C15903" s="12"/>
    </row>
    <row r="15904" spans="2:3">
      <c r="B15904" s="12"/>
      <c r="C15904" s="12"/>
    </row>
    <row r="15905" spans="2:3">
      <c r="B15905" s="12"/>
      <c r="C15905" s="12"/>
    </row>
    <row r="15906" spans="2:3">
      <c r="B15906" s="12"/>
      <c r="C15906" s="12"/>
    </row>
    <row r="15907" spans="2:3">
      <c r="B15907" s="12"/>
      <c r="C15907" s="12"/>
    </row>
    <row r="15908" spans="2:3">
      <c r="B15908" s="12"/>
      <c r="C15908" s="12"/>
    </row>
    <row r="15909" spans="2:3">
      <c r="B15909" s="12"/>
      <c r="C15909" s="12"/>
    </row>
    <row r="15910" spans="2:3">
      <c r="B15910" s="12"/>
      <c r="C15910" s="12"/>
    </row>
    <row r="15911" spans="2:3">
      <c r="B15911" s="12"/>
      <c r="C15911" s="12"/>
    </row>
    <row r="15912" spans="2:3">
      <c r="B15912" s="12"/>
      <c r="C15912" s="12"/>
    </row>
    <row r="15913" spans="2:3">
      <c r="B15913" s="12"/>
      <c r="C15913" s="12"/>
    </row>
    <row r="15914" spans="2:3">
      <c r="B15914" s="12"/>
      <c r="C15914" s="12"/>
    </row>
    <row r="15915" spans="2:3">
      <c r="B15915" s="12"/>
      <c r="C15915" s="12"/>
    </row>
    <row r="15916" spans="2:3">
      <c r="B15916" s="12"/>
      <c r="C15916" s="12"/>
    </row>
    <row r="15917" spans="2:3">
      <c r="B15917" s="12"/>
      <c r="C15917" s="12"/>
    </row>
    <row r="15918" spans="2:3">
      <c r="B15918" s="12"/>
      <c r="C15918" s="12"/>
    </row>
    <row r="15919" spans="2:3">
      <c r="B15919" s="12"/>
      <c r="C15919" s="12"/>
    </row>
    <row r="15920" spans="2:3">
      <c r="B15920" s="12"/>
      <c r="C15920" s="12"/>
    </row>
    <row r="15921" spans="2:3">
      <c r="B15921" s="12"/>
      <c r="C15921" s="12"/>
    </row>
    <row r="15922" spans="2:3">
      <c r="B15922" s="12"/>
      <c r="C15922" s="12"/>
    </row>
    <row r="15923" spans="2:3">
      <c r="B15923" s="12"/>
      <c r="C15923" s="12"/>
    </row>
    <row r="15924" spans="2:3">
      <c r="B15924" s="12"/>
      <c r="C15924" s="12"/>
    </row>
    <row r="15925" spans="2:3">
      <c r="B15925" s="12"/>
      <c r="C15925" s="12"/>
    </row>
    <row r="15926" spans="2:3">
      <c r="B15926" s="12"/>
      <c r="C15926" s="12"/>
    </row>
    <row r="15927" spans="2:3">
      <c r="B15927" s="12"/>
      <c r="C15927" s="12"/>
    </row>
    <row r="15928" spans="2:3">
      <c r="B15928" s="12"/>
      <c r="C15928" s="12"/>
    </row>
    <row r="15929" spans="2:3">
      <c r="B15929" s="12"/>
      <c r="C15929" s="12"/>
    </row>
    <row r="15930" spans="2:3">
      <c r="B15930" s="12"/>
      <c r="C15930" s="12"/>
    </row>
    <row r="15931" spans="2:3">
      <c r="B15931" s="12"/>
      <c r="C15931" s="12"/>
    </row>
    <row r="15932" spans="2:3">
      <c r="B15932" s="12"/>
      <c r="C15932" s="12"/>
    </row>
    <row r="15933" spans="2:3">
      <c r="B15933" s="12"/>
      <c r="C15933" s="12"/>
    </row>
    <row r="15934" spans="2:3">
      <c r="B15934" s="12"/>
      <c r="C15934" s="12"/>
    </row>
    <row r="15935" spans="2:3">
      <c r="B15935" s="12"/>
      <c r="C15935" s="12"/>
    </row>
    <row r="15936" spans="2:3">
      <c r="B15936" s="12"/>
      <c r="C15936" s="12"/>
    </row>
    <row r="15937" spans="2:3">
      <c r="B15937" s="12"/>
      <c r="C15937" s="12"/>
    </row>
    <row r="15938" spans="2:3">
      <c r="B15938" s="12"/>
      <c r="C15938" s="12"/>
    </row>
    <row r="15939" spans="2:3">
      <c r="B15939" s="12"/>
      <c r="C15939" s="12"/>
    </row>
    <row r="15940" spans="2:3">
      <c r="B15940" s="12"/>
      <c r="C15940" s="12"/>
    </row>
    <row r="15941" spans="2:3">
      <c r="B15941" s="12"/>
      <c r="C15941" s="12"/>
    </row>
    <row r="15942" spans="2:3">
      <c r="B15942" s="12"/>
      <c r="C15942" s="12"/>
    </row>
    <row r="15943" spans="2:3">
      <c r="B15943" s="12"/>
      <c r="C15943" s="12"/>
    </row>
    <row r="15944" spans="2:3">
      <c r="B15944" s="12"/>
      <c r="C15944" s="12"/>
    </row>
    <row r="15945" spans="2:3">
      <c r="B15945" s="12"/>
      <c r="C15945" s="12"/>
    </row>
    <row r="15946" spans="2:3">
      <c r="B15946" s="12"/>
      <c r="C15946" s="12"/>
    </row>
    <row r="15947" spans="2:3">
      <c r="B15947" s="12"/>
      <c r="C15947" s="12"/>
    </row>
    <row r="15948" spans="2:3">
      <c r="B15948" s="12"/>
      <c r="C15948" s="12"/>
    </row>
    <row r="15949" spans="2:3">
      <c r="B15949" s="12"/>
      <c r="C15949" s="12"/>
    </row>
    <row r="15950" spans="2:3">
      <c r="B15950" s="12"/>
      <c r="C15950" s="12"/>
    </row>
    <row r="15951" spans="2:3">
      <c r="B15951" s="12"/>
      <c r="C15951" s="12"/>
    </row>
    <row r="15952" spans="2:3">
      <c r="B15952" s="12"/>
      <c r="C15952" s="12"/>
    </row>
    <row r="15953" spans="2:3">
      <c r="B15953" s="12"/>
      <c r="C15953" s="12"/>
    </row>
    <row r="15954" spans="2:3">
      <c r="B15954" s="12"/>
      <c r="C15954" s="12"/>
    </row>
    <row r="15955" spans="2:3">
      <c r="B15955" s="12"/>
      <c r="C15955" s="12"/>
    </row>
    <row r="15956" spans="2:3">
      <c r="B15956" s="12"/>
      <c r="C15956" s="12"/>
    </row>
    <row r="15957" spans="2:3">
      <c r="B15957" s="12"/>
      <c r="C15957" s="12"/>
    </row>
    <row r="15958" spans="2:3">
      <c r="B15958" s="12"/>
      <c r="C15958" s="12"/>
    </row>
    <row r="15959" spans="2:3">
      <c r="B15959" s="12"/>
      <c r="C15959" s="12"/>
    </row>
    <row r="15960" spans="2:3">
      <c r="B15960" s="12"/>
      <c r="C15960" s="12"/>
    </row>
    <row r="15961" spans="2:3">
      <c r="B15961" s="12"/>
      <c r="C15961" s="12"/>
    </row>
    <row r="15962" spans="2:3">
      <c r="B15962" s="12"/>
      <c r="C15962" s="12"/>
    </row>
    <row r="15963" spans="2:3">
      <c r="B15963" s="12"/>
      <c r="C15963" s="12"/>
    </row>
    <row r="15964" spans="2:3">
      <c r="B15964" s="12"/>
      <c r="C15964" s="12"/>
    </row>
    <row r="15965" spans="2:3">
      <c r="B15965" s="12"/>
      <c r="C15965" s="12"/>
    </row>
    <row r="15966" spans="2:3">
      <c r="B15966" s="12"/>
      <c r="C15966" s="12"/>
    </row>
    <row r="15967" spans="2:3">
      <c r="B15967" s="12"/>
      <c r="C15967" s="12"/>
    </row>
    <row r="15968" spans="2:3">
      <c r="B15968" s="12"/>
      <c r="C15968" s="12"/>
    </row>
    <row r="15969" spans="2:3">
      <c r="B15969" s="12"/>
      <c r="C15969" s="12"/>
    </row>
    <row r="15970" spans="2:3">
      <c r="B15970" s="12"/>
      <c r="C15970" s="12"/>
    </row>
    <row r="15971" spans="2:3">
      <c r="B15971" s="12"/>
      <c r="C15971" s="12"/>
    </row>
    <row r="15972" spans="2:3">
      <c r="B15972" s="12"/>
      <c r="C15972" s="12"/>
    </row>
    <row r="15973" spans="2:3">
      <c r="B15973" s="12"/>
      <c r="C15973" s="12"/>
    </row>
    <row r="15974" spans="2:3">
      <c r="B15974" s="12"/>
      <c r="C15974" s="12"/>
    </row>
    <row r="15975" spans="2:3">
      <c r="B15975" s="12"/>
      <c r="C15975" s="12"/>
    </row>
    <row r="15976" spans="2:3">
      <c r="B15976" s="12"/>
      <c r="C15976" s="12"/>
    </row>
    <row r="15977" spans="2:3">
      <c r="B15977" s="12"/>
      <c r="C15977" s="12"/>
    </row>
    <row r="15978" spans="2:3">
      <c r="B15978" s="12"/>
      <c r="C15978" s="12"/>
    </row>
    <row r="15979" spans="2:3">
      <c r="B15979" s="12"/>
      <c r="C15979" s="12"/>
    </row>
    <row r="15980" spans="2:3">
      <c r="B15980" s="12"/>
      <c r="C15980" s="12"/>
    </row>
    <row r="15981" spans="2:3">
      <c r="B15981" s="12"/>
      <c r="C15981" s="12"/>
    </row>
    <row r="15982" spans="2:3">
      <c r="B15982" s="12"/>
      <c r="C15982" s="12"/>
    </row>
    <row r="15983" spans="2:3">
      <c r="B15983" s="12"/>
      <c r="C15983" s="12"/>
    </row>
    <row r="15984" spans="2:3">
      <c r="B15984" s="12"/>
      <c r="C15984" s="12"/>
    </row>
    <row r="15985" spans="2:3">
      <c r="B15985" s="12"/>
      <c r="C15985" s="12"/>
    </row>
    <row r="15986" spans="2:3">
      <c r="B15986" s="12"/>
      <c r="C15986" s="12"/>
    </row>
    <row r="15987" spans="2:3">
      <c r="B15987" s="12"/>
      <c r="C15987" s="12"/>
    </row>
    <row r="15988" spans="2:3">
      <c r="B15988" s="12"/>
      <c r="C15988" s="12"/>
    </row>
    <row r="15989" spans="2:3">
      <c r="B15989" s="12"/>
      <c r="C15989" s="12"/>
    </row>
    <row r="15990" spans="2:3">
      <c r="B15990" s="12"/>
      <c r="C15990" s="12"/>
    </row>
    <row r="15991" spans="2:3">
      <c r="B15991" s="12"/>
      <c r="C15991" s="12"/>
    </row>
    <row r="15992" spans="2:3">
      <c r="B15992" s="12"/>
      <c r="C15992" s="12"/>
    </row>
    <row r="15993" spans="2:3">
      <c r="B15993" s="12"/>
      <c r="C15993" s="12"/>
    </row>
    <row r="15994" spans="2:3">
      <c r="B15994" s="12"/>
      <c r="C15994" s="12"/>
    </row>
    <row r="15995" spans="2:3">
      <c r="B15995" s="12"/>
      <c r="C15995" s="12"/>
    </row>
    <row r="15996" spans="2:3">
      <c r="B15996" s="12"/>
      <c r="C15996" s="12"/>
    </row>
    <row r="15997" spans="2:3">
      <c r="B15997" s="12"/>
      <c r="C15997" s="12"/>
    </row>
    <row r="15998" spans="2:3">
      <c r="B15998" s="12"/>
      <c r="C15998" s="12"/>
    </row>
    <row r="15999" spans="2:3">
      <c r="B15999" s="12"/>
      <c r="C15999" s="12"/>
    </row>
    <row r="16000" spans="2:3">
      <c r="B16000" s="12"/>
      <c r="C16000" s="12"/>
    </row>
    <row r="16001" spans="2:3">
      <c r="B16001" s="12"/>
      <c r="C16001" s="12"/>
    </row>
    <row r="16002" spans="2:3">
      <c r="B16002" s="12"/>
      <c r="C16002" s="12"/>
    </row>
    <row r="16003" spans="2:3">
      <c r="B16003" s="12"/>
      <c r="C16003" s="12"/>
    </row>
    <row r="16004" spans="2:3">
      <c r="B16004" s="12"/>
      <c r="C16004" s="12"/>
    </row>
    <row r="16005" spans="2:3">
      <c r="B16005" s="12"/>
      <c r="C16005" s="12"/>
    </row>
    <row r="16006" spans="2:3">
      <c r="B16006" s="12"/>
      <c r="C16006" s="12"/>
    </row>
    <row r="16007" spans="2:3">
      <c r="B16007" s="12"/>
      <c r="C16007" s="12"/>
    </row>
    <row r="16008" spans="2:3">
      <c r="B16008" s="12"/>
      <c r="C16008" s="12"/>
    </row>
    <row r="16009" spans="2:3">
      <c r="B16009" s="12"/>
      <c r="C16009" s="12"/>
    </row>
    <row r="16010" spans="2:3">
      <c r="B16010" s="12"/>
      <c r="C16010" s="12"/>
    </row>
    <row r="16011" spans="2:3">
      <c r="B16011" s="12"/>
      <c r="C16011" s="12"/>
    </row>
    <row r="16012" spans="2:3">
      <c r="B16012" s="12"/>
      <c r="C16012" s="12"/>
    </row>
    <row r="16013" spans="2:3">
      <c r="B16013" s="12"/>
      <c r="C16013" s="12"/>
    </row>
    <row r="16014" spans="2:3">
      <c r="B16014" s="12"/>
      <c r="C16014" s="12"/>
    </row>
    <row r="16015" spans="2:3">
      <c r="B16015" s="12"/>
      <c r="C16015" s="12"/>
    </row>
    <row r="16016" spans="2:3">
      <c r="B16016" s="12"/>
      <c r="C16016" s="12"/>
    </row>
    <row r="16017" spans="2:3">
      <c r="B16017" s="12"/>
      <c r="C16017" s="12"/>
    </row>
    <row r="16018" spans="2:3">
      <c r="B16018" s="12"/>
      <c r="C16018" s="12"/>
    </row>
    <row r="16019" spans="2:3">
      <c r="B16019" s="12"/>
      <c r="C16019" s="12"/>
    </row>
    <row r="16020" spans="2:3">
      <c r="B16020" s="12"/>
      <c r="C16020" s="12"/>
    </row>
    <row r="16021" spans="2:3">
      <c r="B16021" s="12"/>
      <c r="C16021" s="12"/>
    </row>
    <row r="16022" spans="2:3">
      <c r="B16022" s="12"/>
      <c r="C16022" s="12"/>
    </row>
    <row r="16023" spans="2:3">
      <c r="B16023" s="12"/>
      <c r="C16023" s="12"/>
    </row>
    <row r="16024" spans="2:3">
      <c r="B16024" s="12"/>
      <c r="C16024" s="12"/>
    </row>
    <row r="16025" spans="2:3">
      <c r="B16025" s="12"/>
      <c r="C16025" s="12"/>
    </row>
    <row r="16026" spans="2:3">
      <c r="B16026" s="12"/>
      <c r="C16026" s="12"/>
    </row>
    <row r="16027" spans="2:3">
      <c r="B16027" s="12"/>
      <c r="C16027" s="12"/>
    </row>
    <row r="16028" spans="2:3">
      <c r="B16028" s="12"/>
      <c r="C16028" s="12"/>
    </row>
    <row r="16029" spans="2:3">
      <c r="B16029" s="12"/>
      <c r="C16029" s="12"/>
    </row>
    <row r="16030" spans="2:3">
      <c r="B16030" s="12"/>
      <c r="C16030" s="12"/>
    </row>
    <row r="16031" spans="2:3">
      <c r="B16031" s="12"/>
      <c r="C16031" s="12"/>
    </row>
    <row r="16032" spans="2:3">
      <c r="B16032" s="12"/>
      <c r="C16032" s="12"/>
    </row>
    <row r="16033" spans="2:3">
      <c r="B16033" s="12"/>
      <c r="C16033" s="12"/>
    </row>
    <row r="16034" spans="2:3">
      <c r="B16034" s="12"/>
      <c r="C16034" s="12"/>
    </row>
    <row r="16035" spans="2:3">
      <c r="B16035" s="12"/>
      <c r="C16035" s="12"/>
    </row>
    <row r="16036" spans="2:3">
      <c r="B16036" s="12"/>
      <c r="C16036" s="12"/>
    </row>
    <row r="16037" spans="2:3">
      <c r="B16037" s="12"/>
      <c r="C16037" s="12"/>
    </row>
    <row r="16038" spans="2:3">
      <c r="B16038" s="12"/>
      <c r="C16038" s="12"/>
    </row>
    <row r="16039" spans="2:3">
      <c r="B16039" s="12"/>
      <c r="C16039" s="12"/>
    </row>
    <row r="16040" spans="2:3">
      <c r="B16040" s="12"/>
      <c r="C16040" s="12"/>
    </row>
    <row r="16041" spans="2:3">
      <c r="B16041" s="12"/>
      <c r="C16041" s="12"/>
    </row>
    <row r="16042" spans="2:3">
      <c r="B16042" s="12"/>
      <c r="C16042" s="12"/>
    </row>
    <row r="16043" spans="2:3">
      <c r="B16043" s="12"/>
      <c r="C16043" s="12"/>
    </row>
    <row r="16044" spans="2:3">
      <c r="B16044" s="12"/>
      <c r="C16044" s="12"/>
    </row>
    <row r="16045" spans="2:3">
      <c r="B16045" s="12"/>
      <c r="C16045" s="12"/>
    </row>
    <row r="16046" spans="2:3">
      <c r="B16046" s="12"/>
      <c r="C16046" s="12"/>
    </row>
    <row r="16047" spans="2:3">
      <c r="B16047" s="12"/>
      <c r="C16047" s="12"/>
    </row>
    <row r="16048" spans="2:3">
      <c r="B16048" s="12"/>
      <c r="C16048" s="12"/>
    </row>
    <row r="16049" spans="2:3">
      <c r="B16049" s="12"/>
      <c r="C16049" s="12"/>
    </row>
    <row r="16050" spans="2:3">
      <c r="B16050" s="12"/>
      <c r="C16050" s="12"/>
    </row>
    <row r="16051" spans="2:3">
      <c r="B16051" s="12"/>
      <c r="C16051" s="12"/>
    </row>
    <row r="16052" spans="2:3">
      <c r="B16052" s="12"/>
      <c r="C16052" s="12"/>
    </row>
    <row r="16053" spans="2:3">
      <c r="B16053" s="12"/>
      <c r="C16053" s="12"/>
    </row>
    <row r="16054" spans="2:3">
      <c r="B16054" s="12"/>
      <c r="C16054" s="12"/>
    </row>
    <row r="16055" spans="2:3">
      <c r="B16055" s="12"/>
      <c r="C16055" s="12"/>
    </row>
    <row r="16056" spans="2:3">
      <c r="B16056" s="12"/>
      <c r="C16056" s="12"/>
    </row>
    <row r="16057" spans="2:3">
      <c r="B16057" s="12"/>
      <c r="C16057" s="12"/>
    </row>
    <row r="16058" spans="2:3">
      <c r="B16058" s="12"/>
      <c r="C16058" s="12"/>
    </row>
    <row r="16059" spans="2:3">
      <c r="B16059" s="12"/>
      <c r="C16059" s="12"/>
    </row>
    <row r="16060" spans="2:3">
      <c r="B16060" s="12"/>
      <c r="C16060" s="12"/>
    </row>
    <row r="16061" spans="2:3">
      <c r="B16061" s="12"/>
      <c r="C16061" s="12"/>
    </row>
    <row r="16062" spans="2:3">
      <c r="B16062" s="12"/>
      <c r="C16062" s="12"/>
    </row>
    <row r="16063" spans="2:3">
      <c r="B16063" s="12"/>
      <c r="C16063" s="12"/>
    </row>
    <row r="16064" spans="2:3">
      <c r="B16064" s="12"/>
      <c r="C16064" s="12"/>
    </row>
    <row r="16065" spans="2:3">
      <c r="B16065" s="12"/>
      <c r="C16065" s="12"/>
    </row>
    <row r="16066" spans="2:3">
      <c r="B16066" s="12"/>
      <c r="C16066" s="12"/>
    </row>
    <row r="16067" spans="2:3">
      <c r="B16067" s="12"/>
      <c r="C16067" s="12"/>
    </row>
    <row r="16068" spans="2:3">
      <c r="B16068" s="12"/>
      <c r="C16068" s="12"/>
    </row>
    <row r="16069" spans="2:3">
      <c r="B16069" s="12"/>
      <c r="C16069" s="12"/>
    </row>
    <row r="16070" spans="2:3">
      <c r="B16070" s="12"/>
      <c r="C16070" s="12"/>
    </row>
    <row r="16071" spans="2:3">
      <c r="B16071" s="12"/>
      <c r="C16071" s="12"/>
    </row>
    <row r="16072" spans="2:3">
      <c r="B16072" s="12"/>
      <c r="C16072" s="12"/>
    </row>
    <row r="16073" spans="2:3">
      <c r="B16073" s="12"/>
      <c r="C16073" s="12"/>
    </row>
    <row r="16074" spans="2:3">
      <c r="B16074" s="12"/>
      <c r="C16074" s="12"/>
    </row>
    <row r="16075" spans="2:3">
      <c r="B16075" s="12"/>
      <c r="C16075" s="12"/>
    </row>
    <row r="16076" spans="2:3">
      <c r="B16076" s="12"/>
      <c r="C16076" s="12"/>
    </row>
    <row r="16077" spans="2:3">
      <c r="B16077" s="12"/>
      <c r="C16077" s="12"/>
    </row>
    <row r="16078" spans="2:3">
      <c r="B16078" s="12"/>
      <c r="C16078" s="12"/>
    </row>
    <row r="16079" spans="2:3">
      <c r="B16079" s="12"/>
      <c r="C16079" s="12"/>
    </row>
    <row r="16080" spans="2:3">
      <c r="B16080" s="12"/>
      <c r="C16080" s="12"/>
    </row>
    <row r="16081" spans="2:3">
      <c r="B16081" s="12"/>
      <c r="C16081" s="12"/>
    </row>
    <row r="16082" spans="2:3">
      <c r="B16082" s="12"/>
      <c r="C16082" s="12"/>
    </row>
    <row r="16083" spans="2:3">
      <c r="B16083" s="12"/>
      <c r="C16083" s="12"/>
    </row>
    <row r="16084" spans="2:3">
      <c r="B16084" s="12"/>
      <c r="C16084" s="12"/>
    </row>
    <row r="16085" spans="2:3">
      <c r="B16085" s="12"/>
      <c r="C16085" s="12"/>
    </row>
    <row r="16086" spans="2:3">
      <c r="B16086" s="12"/>
      <c r="C16086" s="12"/>
    </row>
    <row r="16087" spans="2:3">
      <c r="B16087" s="12"/>
      <c r="C16087" s="12"/>
    </row>
    <row r="16088" spans="2:3">
      <c r="B16088" s="12"/>
      <c r="C16088" s="12"/>
    </row>
    <row r="16089" spans="2:3">
      <c r="B16089" s="12"/>
      <c r="C16089" s="12"/>
    </row>
    <row r="16090" spans="2:3">
      <c r="B16090" s="12"/>
      <c r="C16090" s="12"/>
    </row>
    <row r="16091" spans="2:3">
      <c r="B16091" s="12"/>
      <c r="C16091" s="12"/>
    </row>
    <row r="16092" spans="2:3">
      <c r="B16092" s="12"/>
      <c r="C16092" s="12"/>
    </row>
    <row r="16093" spans="2:3">
      <c r="B16093" s="12"/>
      <c r="C16093" s="12"/>
    </row>
    <row r="16094" spans="2:3">
      <c r="B16094" s="12"/>
      <c r="C16094" s="12"/>
    </row>
    <row r="16095" spans="2:3">
      <c r="B16095" s="12"/>
      <c r="C16095" s="12"/>
    </row>
    <row r="16096" spans="2:3">
      <c r="B16096" s="12"/>
      <c r="C16096" s="12"/>
    </row>
    <row r="16097" spans="2:3">
      <c r="B16097" s="12"/>
      <c r="C16097" s="12"/>
    </row>
    <row r="16098" spans="2:3">
      <c r="B16098" s="12"/>
      <c r="C16098" s="12"/>
    </row>
    <row r="16099" spans="2:3">
      <c r="B16099" s="12"/>
      <c r="C16099" s="12"/>
    </row>
    <row r="16100" spans="2:3">
      <c r="B16100" s="12"/>
      <c r="C16100" s="12"/>
    </row>
    <row r="16101" spans="2:3">
      <c r="B16101" s="12"/>
      <c r="C16101" s="12"/>
    </row>
    <row r="16102" spans="2:3">
      <c r="B16102" s="12"/>
      <c r="C16102" s="12"/>
    </row>
    <row r="16103" spans="2:3">
      <c r="B16103" s="12"/>
      <c r="C16103" s="12"/>
    </row>
    <row r="16104" spans="2:3">
      <c r="B16104" s="12"/>
      <c r="C16104" s="12"/>
    </row>
    <row r="16105" spans="2:3">
      <c r="B16105" s="12"/>
      <c r="C16105" s="12"/>
    </row>
    <row r="16106" spans="2:3">
      <c r="B16106" s="12"/>
      <c r="C16106" s="12"/>
    </row>
    <row r="16107" spans="2:3">
      <c r="B16107" s="12"/>
      <c r="C16107" s="12"/>
    </row>
    <row r="16108" spans="2:3">
      <c r="B16108" s="12"/>
      <c r="C16108" s="12"/>
    </row>
    <row r="16109" spans="2:3">
      <c r="B16109" s="12"/>
      <c r="C16109" s="12"/>
    </row>
    <row r="16110" spans="2:3">
      <c r="B16110" s="12"/>
      <c r="C16110" s="12"/>
    </row>
    <row r="16111" spans="2:3">
      <c r="B16111" s="12"/>
      <c r="C16111" s="12"/>
    </row>
    <row r="16112" spans="2:3">
      <c r="B16112" s="12"/>
      <c r="C16112" s="12"/>
    </row>
    <row r="16113" spans="2:3">
      <c r="B16113" s="12"/>
      <c r="C16113" s="12"/>
    </row>
    <row r="16114" spans="2:3">
      <c r="B16114" s="12"/>
      <c r="C16114" s="12"/>
    </row>
    <row r="16115" spans="2:3">
      <c r="B16115" s="12"/>
      <c r="C16115" s="12"/>
    </row>
    <row r="16116" spans="2:3">
      <c r="B16116" s="12"/>
      <c r="C16116" s="12"/>
    </row>
    <row r="16117" spans="2:3">
      <c r="B16117" s="12"/>
      <c r="C16117" s="12"/>
    </row>
    <row r="16118" spans="2:3">
      <c r="B16118" s="12"/>
      <c r="C16118" s="12"/>
    </row>
    <row r="16119" spans="2:3">
      <c r="B16119" s="12"/>
      <c r="C16119" s="12"/>
    </row>
    <row r="16120" spans="2:3">
      <c r="B16120" s="12"/>
      <c r="C16120" s="12"/>
    </row>
    <row r="16121" spans="2:3">
      <c r="B16121" s="12"/>
      <c r="C16121" s="12"/>
    </row>
    <row r="16122" spans="2:3">
      <c r="B16122" s="12"/>
      <c r="C16122" s="12"/>
    </row>
    <row r="16123" spans="2:3">
      <c r="B16123" s="12"/>
      <c r="C16123" s="12"/>
    </row>
    <row r="16124" spans="2:3">
      <c r="B16124" s="12"/>
      <c r="C16124" s="12"/>
    </row>
    <row r="16125" spans="2:3">
      <c r="B16125" s="12"/>
      <c r="C16125" s="12"/>
    </row>
    <row r="16126" spans="2:3">
      <c r="B16126" s="12"/>
      <c r="C16126" s="12"/>
    </row>
    <row r="16127" spans="2:3">
      <c r="B16127" s="12"/>
      <c r="C16127" s="12"/>
    </row>
    <row r="16128" spans="2:3">
      <c r="B16128" s="12"/>
      <c r="C16128" s="12"/>
    </row>
    <row r="16129" spans="2:3">
      <c r="B16129" s="12"/>
      <c r="C16129" s="12"/>
    </row>
    <row r="16130" spans="2:3">
      <c r="B16130" s="12"/>
      <c r="C16130" s="12"/>
    </row>
    <row r="16131" spans="2:3">
      <c r="B16131" s="12"/>
      <c r="C16131" s="12"/>
    </row>
    <row r="16132" spans="2:3">
      <c r="B16132" s="12"/>
      <c r="C16132" s="12"/>
    </row>
    <row r="16133" spans="2:3">
      <c r="B16133" s="12"/>
      <c r="C16133" s="12"/>
    </row>
    <row r="16134" spans="2:3">
      <c r="B16134" s="12"/>
      <c r="C16134" s="12"/>
    </row>
    <row r="16135" spans="2:3">
      <c r="B16135" s="12"/>
      <c r="C16135" s="12"/>
    </row>
    <row r="16136" spans="2:3">
      <c r="B16136" s="12"/>
      <c r="C16136" s="12"/>
    </row>
    <row r="16137" spans="2:3">
      <c r="B16137" s="12"/>
      <c r="C16137" s="12"/>
    </row>
    <row r="16138" spans="2:3">
      <c r="B16138" s="12"/>
      <c r="C16138" s="12"/>
    </row>
    <row r="16139" spans="2:3">
      <c r="B16139" s="12"/>
      <c r="C16139" s="12"/>
    </row>
    <row r="16140" spans="2:3">
      <c r="B16140" s="12"/>
      <c r="C16140" s="12"/>
    </row>
    <row r="16141" spans="2:3">
      <c r="B16141" s="12"/>
      <c r="C16141" s="12"/>
    </row>
    <row r="16142" spans="2:3">
      <c r="B16142" s="12"/>
      <c r="C16142" s="12"/>
    </row>
    <row r="16143" spans="2:3">
      <c r="B16143" s="12"/>
      <c r="C16143" s="12"/>
    </row>
    <row r="16144" spans="2:3">
      <c r="B16144" s="12"/>
      <c r="C16144" s="12"/>
    </row>
    <row r="16145" spans="2:3">
      <c r="B16145" s="12"/>
      <c r="C16145" s="12"/>
    </row>
    <row r="16146" spans="2:3">
      <c r="B16146" s="12"/>
      <c r="C16146" s="12"/>
    </row>
    <row r="16147" spans="2:3">
      <c r="B16147" s="12"/>
      <c r="C16147" s="12"/>
    </row>
    <row r="16148" spans="2:3">
      <c r="B16148" s="12"/>
      <c r="C16148" s="12"/>
    </row>
    <row r="16149" spans="2:3">
      <c r="B16149" s="12"/>
      <c r="C16149" s="12"/>
    </row>
    <row r="16150" spans="2:3">
      <c r="B16150" s="12"/>
      <c r="C16150" s="12"/>
    </row>
    <row r="16151" spans="2:3">
      <c r="B16151" s="12"/>
      <c r="C16151" s="12"/>
    </row>
    <row r="16152" spans="2:3">
      <c r="B16152" s="12"/>
      <c r="C16152" s="12"/>
    </row>
    <row r="16153" spans="2:3">
      <c r="B16153" s="12"/>
      <c r="C16153" s="12"/>
    </row>
    <row r="16154" spans="2:3">
      <c r="B16154" s="12"/>
      <c r="C16154" s="12"/>
    </row>
    <row r="16155" spans="2:3">
      <c r="B16155" s="12"/>
      <c r="C16155" s="12"/>
    </row>
    <row r="16156" spans="2:3">
      <c r="B16156" s="12"/>
      <c r="C16156" s="12"/>
    </row>
    <row r="16157" spans="2:3">
      <c r="B16157" s="12"/>
      <c r="C16157" s="12"/>
    </row>
    <row r="16158" spans="2:3">
      <c r="B16158" s="12"/>
      <c r="C16158" s="12"/>
    </row>
    <row r="16159" spans="2:3">
      <c r="B16159" s="12"/>
      <c r="C16159" s="12"/>
    </row>
    <row r="16160" spans="2:3">
      <c r="B16160" s="12"/>
      <c r="C16160" s="12"/>
    </row>
    <row r="16161" spans="2:3">
      <c r="B16161" s="12"/>
      <c r="C16161" s="12"/>
    </row>
    <row r="16162" spans="2:3">
      <c r="B16162" s="12"/>
      <c r="C16162" s="12"/>
    </row>
    <row r="16163" spans="2:3">
      <c r="B16163" s="12"/>
      <c r="C16163" s="12"/>
    </row>
    <row r="16164" spans="2:3">
      <c r="B16164" s="12"/>
      <c r="C16164" s="12"/>
    </row>
    <row r="16165" spans="2:3">
      <c r="B16165" s="12"/>
      <c r="C16165" s="12"/>
    </row>
    <row r="16166" spans="2:3">
      <c r="B16166" s="12"/>
      <c r="C16166" s="12"/>
    </row>
    <row r="16167" spans="2:3">
      <c r="B16167" s="12"/>
      <c r="C16167" s="12"/>
    </row>
    <row r="16168" spans="2:3">
      <c r="B16168" s="12"/>
      <c r="C16168" s="12"/>
    </row>
    <row r="16169" spans="2:3">
      <c r="B16169" s="12"/>
      <c r="C16169" s="12"/>
    </row>
    <row r="16170" spans="2:3">
      <c r="B16170" s="12"/>
      <c r="C16170" s="12"/>
    </row>
    <row r="16171" spans="2:3">
      <c r="B16171" s="12"/>
      <c r="C16171" s="12"/>
    </row>
    <row r="16172" spans="2:3">
      <c r="B16172" s="12"/>
      <c r="C16172" s="12"/>
    </row>
    <row r="16173" spans="2:3">
      <c r="B16173" s="12"/>
      <c r="C16173" s="12"/>
    </row>
    <row r="16174" spans="2:3">
      <c r="B16174" s="12"/>
      <c r="C16174" s="12"/>
    </row>
    <row r="16175" spans="2:3">
      <c r="B16175" s="12"/>
      <c r="C16175" s="12"/>
    </row>
    <row r="16176" spans="2:3">
      <c r="B16176" s="12"/>
      <c r="C16176" s="12"/>
    </row>
    <row r="16177" spans="2:3">
      <c r="B16177" s="12"/>
      <c r="C16177" s="12"/>
    </row>
    <row r="16178" spans="2:3">
      <c r="B16178" s="12"/>
      <c r="C16178" s="12"/>
    </row>
    <row r="16179" spans="2:3">
      <c r="B16179" s="12"/>
      <c r="C16179" s="12"/>
    </row>
    <row r="16180" spans="2:3">
      <c r="B16180" s="12"/>
      <c r="C16180" s="12"/>
    </row>
    <row r="16181" spans="2:3">
      <c r="B16181" s="12"/>
      <c r="C16181" s="12"/>
    </row>
    <row r="16182" spans="2:3">
      <c r="B16182" s="12"/>
      <c r="C16182" s="12"/>
    </row>
    <row r="16183" spans="2:3">
      <c r="B16183" s="12"/>
      <c r="C16183" s="12"/>
    </row>
    <row r="16184" spans="2:3">
      <c r="B16184" s="12"/>
      <c r="C16184" s="12"/>
    </row>
    <row r="16185" spans="2:3">
      <c r="B16185" s="12"/>
      <c r="C16185" s="12"/>
    </row>
    <row r="16186" spans="2:3">
      <c r="B16186" s="12"/>
      <c r="C16186" s="12"/>
    </row>
    <row r="16187" spans="2:3">
      <c r="B16187" s="12"/>
      <c r="C16187" s="12"/>
    </row>
    <row r="16188" spans="2:3">
      <c r="B16188" s="12"/>
      <c r="C16188" s="12"/>
    </row>
    <row r="16189" spans="2:3">
      <c r="B16189" s="12"/>
      <c r="C16189" s="12"/>
    </row>
    <row r="16190" spans="2:3">
      <c r="B16190" s="12"/>
      <c r="C16190" s="12"/>
    </row>
    <row r="16191" spans="2:3">
      <c r="B16191" s="12"/>
      <c r="C16191" s="12"/>
    </row>
    <row r="16192" spans="2:3">
      <c r="B16192" s="12"/>
      <c r="C16192" s="12"/>
    </row>
    <row r="16193" spans="2:3">
      <c r="B16193" s="12"/>
      <c r="C16193" s="12"/>
    </row>
    <row r="16194" spans="2:3">
      <c r="B16194" s="12"/>
      <c r="C16194" s="12"/>
    </row>
    <row r="16195" spans="2:3">
      <c r="B16195" s="12"/>
      <c r="C16195" s="12"/>
    </row>
    <row r="16196" spans="2:3">
      <c r="B16196" s="12"/>
      <c r="C16196" s="12"/>
    </row>
    <row r="16197" spans="2:3">
      <c r="B16197" s="12"/>
      <c r="C16197" s="12"/>
    </row>
    <row r="16198" spans="2:3">
      <c r="B16198" s="12"/>
      <c r="C16198" s="12"/>
    </row>
    <row r="16199" spans="2:3">
      <c r="B16199" s="12"/>
      <c r="C16199" s="12"/>
    </row>
    <row r="16200" spans="2:3">
      <c r="B16200" s="12"/>
      <c r="C16200" s="12"/>
    </row>
    <row r="16201" spans="2:3">
      <c r="B16201" s="12"/>
      <c r="C16201" s="12"/>
    </row>
    <row r="16202" spans="2:3">
      <c r="B16202" s="12"/>
      <c r="C16202" s="12"/>
    </row>
    <row r="16203" spans="2:3">
      <c r="B16203" s="12"/>
      <c r="C16203" s="12"/>
    </row>
    <row r="16204" spans="2:3">
      <c r="B16204" s="12"/>
      <c r="C16204" s="12"/>
    </row>
    <row r="16205" spans="2:3">
      <c r="B16205" s="12"/>
      <c r="C16205" s="12"/>
    </row>
    <row r="16206" spans="2:3">
      <c r="B16206" s="12"/>
      <c r="C16206" s="12"/>
    </row>
    <row r="16207" spans="2:3">
      <c r="B16207" s="12"/>
      <c r="C16207" s="12"/>
    </row>
    <row r="16208" spans="2:3">
      <c r="B16208" s="12"/>
      <c r="C16208" s="12"/>
    </row>
    <row r="16209" spans="2:3">
      <c r="B16209" s="12"/>
      <c r="C16209" s="12"/>
    </row>
    <row r="16210" spans="2:3">
      <c r="B16210" s="12"/>
      <c r="C16210" s="12"/>
    </row>
    <row r="16211" spans="2:3">
      <c r="B16211" s="12"/>
      <c r="C16211" s="12"/>
    </row>
    <row r="16212" spans="2:3">
      <c r="B16212" s="12"/>
      <c r="C16212" s="12"/>
    </row>
    <row r="16213" spans="2:3">
      <c r="B16213" s="12"/>
      <c r="C16213" s="12"/>
    </row>
    <row r="16214" spans="2:3">
      <c r="B16214" s="12"/>
      <c r="C16214" s="12"/>
    </row>
    <row r="16215" spans="2:3">
      <c r="B16215" s="12"/>
      <c r="C16215" s="12"/>
    </row>
    <row r="16216" spans="2:3">
      <c r="B16216" s="12"/>
      <c r="C16216" s="12"/>
    </row>
    <row r="16217" spans="2:3">
      <c r="B16217" s="12"/>
      <c r="C16217" s="12"/>
    </row>
    <row r="16218" spans="2:3">
      <c r="B16218" s="12"/>
      <c r="C16218" s="12"/>
    </row>
    <row r="16219" spans="2:3">
      <c r="B16219" s="12"/>
      <c r="C16219" s="12"/>
    </row>
    <row r="16220" spans="2:3">
      <c r="B16220" s="12"/>
      <c r="C16220" s="12"/>
    </row>
    <row r="16221" spans="2:3">
      <c r="B16221" s="12"/>
      <c r="C16221" s="12"/>
    </row>
    <row r="16222" spans="2:3">
      <c r="B16222" s="12"/>
      <c r="C16222" s="12"/>
    </row>
    <row r="16223" spans="2:3">
      <c r="B16223" s="12"/>
      <c r="C16223" s="12"/>
    </row>
    <row r="16224" spans="2:3">
      <c r="B16224" s="12"/>
      <c r="C16224" s="12"/>
    </row>
    <row r="16225" spans="2:3">
      <c r="B16225" s="12"/>
      <c r="C16225" s="12"/>
    </row>
    <row r="16226" spans="2:3">
      <c r="B16226" s="12"/>
      <c r="C16226" s="12"/>
    </row>
    <row r="16227" spans="2:3">
      <c r="B16227" s="12"/>
      <c r="C16227" s="12"/>
    </row>
    <row r="16228" spans="2:3">
      <c r="B16228" s="12"/>
      <c r="C16228" s="12"/>
    </row>
    <row r="16229" spans="2:3">
      <c r="B16229" s="12"/>
      <c r="C16229" s="12"/>
    </row>
    <row r="16230" spans="2:3">
      <c r="B16230" s="12"/>
      <c r="C16230" s="12"/>
    </row>
    <row r="16231" spans="2:3">
      <c r="B16231" s="12"/>
      <c r="C16231" s="12"/>
    </row>
    <row r="16232" spans="2:3">
      <c r="B16232" s="12"/>
      <c r="C16232" s="12"/>
    </row>
    <row r="16233" spans="2:3">
      <c r="B16233" s="12"/>
      <c r="C16233" s="12"/>
    </row>
    <row r="16234" spans="2:3">
      <c r="B16234" s="12"/>
      <c r="C16234" s="12"/>
    </row>
    <row r="16235" spans="2:3">
      <c r="B16235" s="12"/>
      <c r="C16235" s="12"/>
    </row>
    <row r="16236" spans="2:3">
      <c r="B16236" s="12"/>
      <c r="C16236" s="12"/>
    </row>
    <row r="16237" spans="2:3">
      <c r="B16237" s="12"/>
      <c r="C16237" s="12"/>
    </row>
    <row r="16238" spans="2:3">
      <c r="B16238" s="12"/>
      <c r="C16238" s="12"/>
    </row>
    <row r="16239" spans="2:3">
      <c r="B16239" s="12"/>
      <c r="C16239" s="12"/>
    </row>
    <row r="16240" spans="2:3">
      <c r="B16240" s="12"/>
      <c r="C16240" s="12"/>
    </row>
    <row r="16241" spans="2:3">
      <c r="B16241" s="12"/>
      <c r="C16241" s="12"/>
    </row>
    <row r="16242" spans="2:3">
      <c r="B16242" s="12"/>
      <c r="C16242" s="12"/>
    </row>
    <row r="16243" spans="2:3">
      <c r="B16243" s="12"/>
      <c r="C16243" s="12"/>
    </row>
    <row r="16244" spans="2:3">
      <c r="B16244" s="12"/>
      <c r="C16244" s="12"/>
    </row>
    <row r="16245" spans="2:3">
      <c r="B16245" s="12"/>
      <c r="C16245" s="12"/>
    </row>
    <row r="16246" spans="2:3">
      <c r="B16246" s="12"/>
      <c r="C16246" s="12"/>
    </row>
    <row r="16247" spans="2:3">
      <c r="B16247" s="12"/>
      <c r="C16247" s="12"/>
    </row>
    <row r="16248" spans="2:3">
      <c r="B16248" s="12"/>
      <c r="C16248" s="12"/>
    </row>
    <row r="16249" spans="2:3">
      <c r="B16249" s="12"/>
      <c r="C16249" s="12"/>
    </row>
    <row r="16250" spans="2:3">
      <c r="B16250" s="12"/>
      <c r="C16250" s="12"/>
    </row>
    <row r="16251" spans="2:3">
      <c r="B16251" s="12"/>
      <c r="C16251" s="12"/>
    </row>
    <row r="16252" spans="2:3">
      <c r="B16252" s="12"/>
      <c r="C16252" s="12"/>
    </row>
    <row r="16253" spans="2:3">
      <c r="B16253" s="12"/>
      <c r="C16253" s="12"/>
    </row>
    <row r="16254" spans="2:3">
      <c r="B16254" s="12"/>
      <c r="C16254" s="12"/>
    </row>
    <row r="16255" spans="2:3">
      <c r="B16255" s="12"/>
      <c r="C16255" s="12"/>
    </row>
    <row r="16256" spans="2:3">
      <c r="B16256" s="12"/>
      <c r="C16256" s="12"/>
    </row>
    <row r="16257" spans="2:3">
      <c r="B16257" s="12"/>
      <c r="C16257" s="12"/>
    </row>
    <row r="16258" spans="2:3">
      <c r="B16258" s="12"/>
      <c r="C16258" s="12"/>
    </row>
    <row r="16259" spans="2:3">
      <c r="B16259" s="12"/>
      <c r="C16259" s="12"/>
    </row>
    <row r="16260" spans="2:3">
      <c r="B16260" s="12"/>
      <c r="C16260" s="12"/>
    </row>
    <row r="16261" spans="2:3">
      <c r="B16261" s="12"/>
      <c r="C16261" s="12"/>
    </row>
    <row r="16262" spans="2:3">
      <c r="B16262" s="12"/>
      <c r="C16262" s="12"/>
    </row>
    <row r="16263" spans="2:3">
      <c r="B16263" s="12"/>
      <c r="C16263" s="12"/>
    </row>
    <row r="16264" spans="2:3">
      <c r="B16264" s="12"/>
      <c r="C16264" s="12"/>
    </row>
    <row r="16265" spans="2:3">
      <c r="B16265" s="12"/>
      <c r="C16265" s="12"/>
    </row>
    <row r="16266" spans="2:3">
      <c r="B16266" s="12"/>
      <c r="C16266" s="12"/>
    </row>
    <row r="16267" spans="2:3">
      <c r="B16267" s="12"/>
      <c r="C16267" s="12"/>
    </row>
    <row r="16268" spans="2:3">
      <c r="B16268" s="12"/>
      <c r="C16268" s="12"/>
    </row>
    <row r="16269" spans="2:3">
      <c r="B16269" s="12"/>
      <c r="C16269" s="12"/>
    </row>
    <row r="16270" spans="2:3">
      <c r="B16270" s="12"/>
      <c r="C16270" s="12"/>
    </row>
    <row r="16271" spans="2:3">
      <c r="B16271" s="12"/>
      <c r="C16271" s="12"/>
    </row>
    <row r="16272" spans="2:3">
      <c r="B16272" s="12"/>
      <c r="C16272" s="12"/>
    </row>
    <row r="16273" spans="2:3">
      <c r="B16273" s="12"/>
      <c r="C16273" s="12"/>
    </row>
    <row r="16274" spans="2:3">
      <c r="B16274" s="12"/>
      <c r="C16274" s="12"/>
    </row>
    <row r="16275" spans="2:3">
      <c r="B16275" s="12"/>
      <c r="C16275" s="12"/>
    </row>
    <row r="16276" spans="2:3">
      <c r="B16276" s="12"/>
      <c r="C16276" s="12"/>
    </row>
    <row r="16277" spans="2:3">
      <c r="B16277" s="12"/>
      <c r="C16277" s="12"/>
    </row>
    <row r="16278" spans="2:3">
      <c r="B16278" s="12"/>
      <c r="C16278" s="12"/>
    </row>
    <row r="16279" spans="2:3">
      <c r="B16279" s="12"/>
      <c r="C16279" s="12"/>
    </row>
    <row r="16280" spans="2:3">
      <c r="B16280" s="12"/>
      <c r="C16280" s="12"/>
    </row>
    <row r="16281" spans="2:3">
      <c r="B16281" s="12"/>
      <c r="C16281" s="12"/>
    </row>
    <row r="16282" spans="2:3">
      <c r="B16282" s="12"/>
      <c r="C16282" s="12"/>
    </row>
    <row r="16283" spans="2:3">
      <c r="B16283" s="12"/>
      <c r="C16283" s="12"/>
    </row>
    <row r="16284" spans="2:3">
      <c r="B16284" s="12"/>
      <c r="C16284" s="12"/>
    </row>
    <row r="16285" spans="2:3">
      <c r="B16285" s="12"/>
      <c r="C16285" s="12"/>
    </row>
    <row r="16286" spans="2:3">
      <c r="B16286" s="12"/>
      <c r="C16286" s="12"/>
    </row>
    <row r="16287" spans="2:3">
      <c r="B16287" s="12"/>
      <c r="C16287" s="12"/>
    </row>
    <row r="16288" spans="2:3">
      <c r="B16288" s="12"/>
      <c r="C16288" s="12"/>
    </row>
    <row r="16289" spans="2:3">
      <c r="B16289" s="12"/>
      <c r="C16289" s="12"/>
    </row>
    <row r="16290" spans="2:3">
      <c r="B16290" s="12"/>
      <c r="C16290" s="12"/>
    </row>
    <row r="16291" spans="2:3">
      <c r="B16291" s="12"/>
      <c r="C16291" s="12"/>
    </row>
    <row r="16292" spans="2:3">
      <c r="B16292" s="12"/>
      <c r="C16292" s="12"/>
    </row>
    <row r="16293" spans="2:3">
      <c r="B16293" s="12"/>
      <c r="C16293" s="12"/>
    </row>
    <row r="16294" spans="2:3">
      <c r="B16294" s="12"/>
      <c r="C16294" s="12"/>
    </row>
    <row r="16295" spans="2:3">
      <c r="B16295" s="12"/>
      <c r="C16295" s="12"/>
    </row>
    <row r="16296" spans="2:3">
      <c r="B16296" s="12"/>
      <c r="C16296" s="12"/>
    </row>
    <row r="16297" spans="2:3">
      <c r="B16297" s="12"/>
      <c r="C16297" s="12"/>
    </row>
    <row r="16298" spans="2:3">
      <c r="B16298" s="12"/>
      <c r="C16298" s="12"/>
    </row>
    <row r="16299" spans="2:3">
      <c r="B16299" s="12"/>
      <c r="C16299" s="12"/>
    </row>
    <row r="16300" spans="2:3">
      <c r="B16300" s="12"/>
      <c r="C16300" s="12"/>
    </row>
    <row r="16301" spans="2:3">
      <c r="B16301" s="12"/>
      <c r="C16301" s="12"/>
    </row>
    <row r="16302" spans="2:3">
      <c r="B16302" s="12"/>
      <c r="C16302" s="12"/>
    </row>
    <row r="16303" spans="2:3">
      <c r="B16303" s="12"/>
      <c r="C16303" s="12"/>
    </row>
    <row r="16304" spans="2:3">
      <c r="B16304" s="12"/>
      <c r="C16304" s="12"/>
    </row>
    <row r="16305" spans="2:3">
      <c r="B16305" s="12"/>
      <c r="C16305" s="12"/>
    </row>
    <row r="16306" spans="2:3">
      <c r="B16306" s="12"/>
      <c r="C16306" s="12"/>
    </row>
    <row r="16307" spans="2:3">
      <c r="B16307" s="12"/>
      <c r="C16307" s="12"/>
    </row>
    <row r="16308" spans="2:3">
      <c r="B16308" s="12"/>
      <c r="C16308" s="12"/>
    </row>
    <row r="16309" spans="2:3">
      <c r="B16309" s="12"/>
      <c r="C16309" s="12"/>
    </row>
    <row r="16310" spans="2:3">
      <c r="B16310" s="12"/>
      <c r="C16310" s="12"/>
    </row>
    <row r="16311" spans="2:3">
      <c r="B16311" s="12"/>
      <c r="C16311" s="12"/>
    </row>
    <row r="16312" spans="2:3">
      <c r="B16312" s="12"/>
      <c r="C16312" s="12"/>
    </row>
    <row r="16313" spans="2:3">
      <c r="B16313" s="12"/>
      <c r="C16313" s="12"/>
    </row>
    <row r="16314" spans="2:3">
      <c r="B16314" s="12"/>
      <c r="C16314" s="12"/>
    </row>
    <row r="16315" spans="2:3">
      <c r="B16315" s="12"/>
      <c r="C16315" s="12"/>
    </row>
    <row r="16316" spans="2:3">
      <c r="B16316" s="12"/>
      <c r="C16316" s="12"/>
    </row>
    <row r="16317" spans="2:3">
      <c r="B16317" s="12"/>
      <c r="C16317" s="12"/>
    </row>
    <row r="16318" spans="2:3">
      <c r="B16318" s="12"/>
      <c r="C16318" s="12"/>
    </row>
    <row r="16319" spans="2:3">
      <c r="B16319" s="12"/>
      <c r="C16319" s="12"/>
    </row>
    <row r="16320" spans="2:3">
      <c r="B16320" s="12"/>
      <c r="C16320" s="12"/>
    </row>
    <row r="16321" spans="2:3">
      <c r="B16321" s="12"/>
      <c r="C16321" s="12"/>
    </row>
    <row r="16322" spans="2:3">
      <c r="B16322" s="12"/>
      <c r="C16322" s="12"/>
    </row>
    <row r="16323" spans="2:3">
      <c r="B16323" s="12"/>
      <c r="C16323" s="12"/>
    </row>
    <row r="16324" spans="2:3">
      <c r="B16324" s="12"/>
      <c r="C16324" s="12"/>
    </row>
    <row r="16325" spans="2:3">
      <c r="B16325" s="12"/>
      <c r="C16325" s="12"/>
    </row>
    <row r="16326" spans="2:3">
      <c r="B16326" s="12"/>
      <c r="C16326" s="12"/>
    </row>
    <row r="16327" spans="2:3">
      <c r="B16327" s="12"/>
      <c r="C16327" s="12"/>
    </row>
    <row r="16328" spans="2:3">
      <c r="B16328" s="12"/>
      <c r="C16328" s="12"/>
    </row>
    <row r="16329" spans="2:3">
      <c r="B16329" s="12"/>
      <c r="C16329" s="12"/>
    </row>
    <row r="16330" spans="2:3">
      <c r="B16330" s="12"/>
      <c r="C16330" s="12"/>
    </row>
    <row r="16331" spans="2:3">
      <c r="B16331" s="12"/>
      <c r="C16331" s="12"/>
    </row>
    <row r="16332" spans="2:3">
      <c r="B16332" s="12"/>
      <c r="C16332" s="12"/>
    </row>
    <row r="16333" spans="2:3">
      <c r="B16333" s="12"/>
      <c r="C16333" s="12"/>
    </row>
    <row r="16334" spans="2:3">
      <c r="B16334" s="12"/>
      <c r="C16334" s="12"/>
    </row>
    <row r="16335" spans="2:3">
      <c r="B16335" s="12"/>
      <c r="C16335" s="12"/>
    </row>
    <row r="16336" spans="2:3">
      <c r="B16336" s="12"/>
      <c r="C16336" s="12"/>
    </row>
    <row r="16337" spans="2:3">
      <c r="B16337" s="12"/>
      <c r="C16337" s="12"/>
    </row>
    <row r="16338" spans="2:3">
      <c r="B16338" s="12"/>
      <c r="C16338" s="12"/>
    </row>
    <row r="16339" spans="2:3">
      <c r="B16339" s="12"/>
      <c r="C16339" s="12"/>
    </row>
    <row r="16340" spans="2:3">
      <c r="B16340" s="12"/>
      <c r="C16340" s="12"/>
    </row>
    <row r="16341" spans="2:3">
      <c r="B16341" s="12"/>
      <c r="C16341" s="12"/>
    </row>
    <row r="16342" spans="2:3">
      <c r="B16342" s="12"/>
      <c r="C16342" s="12"/>
    </row>
    <row r="16343" spans="2:3">
      <c r="B16343" s="12"/>
      <c r="C16343" s="12"/>
    </row>
    <row r="16344" spans="2:3">
      <c r="B16344" s="12"/>
      <c r="C16344" s="12"/>
    </row>
    <row r="16345" spans="2:3">
      <c r="B16345" s="12"/>
      <c r="C16345" s="12"/>
    </row>
    <row r="16346" spans="2:3">
      <c r="B16346" s="12"/>
      <c r="C16346" s="12"/>
    </row>
    <row r="16347" spans="2:3">
      <c r="B16347" s="12"/>
      <c r="C16347" s="12"/>
    </row>
    <row r="16348" spans="2:3">
      <c r="B16348" s="12"/>
      <c r="C16348" s="12"/>
    </row>
    <row r="16349" spans="2:3">
      <c r="B16349" s="12"/>
      <c r="C16349" s="12"/>
    </row>
    <row r="16350" spans="2:3">
      <c r="B16350" s="12"/>
      <c r="C16350" s="12"/>
    </row>
    <row r="16351" spans="2:3">
      <c r="B16351" s="12"/>
      <c r="C16351" s="12"/>
    </row>
    <row r="16352" spans="2:3">
      <c r="B16352" s="12"/>
      <c r="C16352" s="12"/>
    </row>
    <row r="16353" spans="2:3">
      <c r="B16353" s="12"/>
      <c r="C16353" s="12"/>
    </row>
    <row r="16354" spans="2:3">
      <c r="B16354" s="12"/>
      <c r="C16354" s="12"/>
    </row>
    <row r="16355" spans="2:3">
      <c r="B16355" s="12"/>
      <c r="C16355" s="12"/>
    </row>
    <row r="16356" spans="2:3">
      <c r="B16356" s="12"/>
      <c r="C16356" s="12"/>
    </row>
    <row r="16357" spans="2:3">
      <c r="B16357" s="12"/>
      <c r="C16357" s="12"/>
    </row>
    <row r="16358" spans="2:3">
      <c r="B16358" s="12"/>
      <c r="C16358" s="12"/>
    </row>
    <row r="16359" spans="2:3">
      <c r="B16359" s="12"/>
      <c r="C16359" s="12"/>
    </row>
    <row r="16360" spans="2:3">
      <c r="B16360" s="12"/>
      <c r="C16360" s="12"/>
    </row>
    <row r="16361" spans="2:3">
      <c r="B16361" s="12"/>
      <c r="C16361" s="12"/>
    </row>
    <row r="16362" spans="2:3">
      <c r="B16362" s="12"/>
      <c r="C16362" s="12"/>
    </row>
    <row r="16363" spans="2:3">
      <c r="B16363" s="12"/>
      <c r="C16363" s="12"/>
    </row>
    <row r="16364" spans="2:3">
      <c r="B16364" s="12"/>
      <c r="C16364" s="12"/>
    </row>
    <row r="16365" spans="2:3">
      <c r="B16365" s="12"/>
      <c r="C16365" s="12"/>
    </row>
    <row r="16366" spans="2:3">
      <c r="B16366" s="12"/>
      <c r="C16366" s="12"/>
    </row>
    <row r="16367" spans="2:3">
      <c r="B16367" s="12"/>
      <c r="C16367" s="12"/>
    </row>
    <row r="16368" spans="2:3">
      <c r="B16368" s="12"/>
      <c r="C16368" s="12"/>
    </row>
    <row r="16369" spans="2:3">
      <c r="B16369" s="12"/>
      <c r="C16369" s="12"/>
    </row>
    <row r="16370" spans="2:3">
      <c r="B16370" s="12"/>
      <c r="C16370" s="12"/>
    </row>
    <row r="16371" spans="2:3">
      <c r="B16371" s="12"/>
      <c r="C16371" s="12"/>
    </row>
    <row r="16372" spans="2:3">
      <c r="B16372" s="12"/>
      <c r="C16372" s="12"/>
    </row>
    <row r="16373" spans="2:3">
      <c r="B16373" s="12"/>
      <c r="C16373" s="12"/>
    </row>
    <row r="16374" spans="2:3">
      <c r="B16374" s="12"/>
      <c r="C16374" s="12"/>
    </row>
    <row r="16375" spans="2:3">
      <c r="B16375" s="12"/>
      <c r="C16375" s="12"/>
    </row>
    <row r="16376" spans="2:3">
      <c r="B16376" s="12"/>
      <c r="C16376" s="12"/>
    </row>
    <row r="16377" spans="2:3">
      <c r="B16377" s="12"/>
      <c r="C16377" s="12"/>
    </row>
    <row r="16378" spans="2:3">
      <c r="B16378" s="12"/>
      <c r="C16378" s="12"/>
    </row>
    <row r="16379" spans="2:3">
      <c r="B16379" s="12"/>
      <c r="C16379" s="12"/>
    </row>
    <row r="16380" spans="2:3">
      <c r="B16380" s="12"/>
      <c r="C16380" s="12"/>
    </row>
    <row r="16381" spans="2:3">
      <c r="B16381" s="12"/>
      <c r="C16381" s="12"/>
    </row>
    <row r="16382" spans="2:3">
      <c r="B16382" s="12"/>
      <c r="C16382" s="12"/>
    </row>
    <row r="16383" spans="2:3">
      <c r="B16383" s="12"/>
      <c r="C16383" s="12"/>
    </row>
    <row r="16384" spans="2:3">
      <c r="B16384" s="12"/>
      <c r="C16384" s="12"/>
    </row>
    <row r="16385" spans="2:3">
      <c r="B16385" s="12"/>
      <c r="C16385" s="12"/>
    </row>
    <row r="16386" spans="2:3">
      <c r="B16386" s="12"/>
      <c r="C16386" s="12"/>
    </row>
    <row r="16387" spans="2:3">
      <c r="B16387" s="12"/>
      <c r="C16387" s="12"/>
    </row>
    <row r="16388" spans="2:3">
      <c r="B16388" s="12"/>
      <c r="C16388" s="12"/>
    </row>
    <row r="16389" spans="2:3">
      <c r="B16389" s="12"/>
      <c r="C16389" s="12"/>
    </row>
    <row r="16390" spans="2:3">
      <c r="B16390" s="12"/>
      <c r="C16390" s="12"/>
    </row>
    <row r="16391" spans="2:3">
      <c r="B16391" s="12"/>
      <c r="C16391" s="12"/>
    </row>
    <row r="16392" spans="2:3">
      <c r="B16392" s="12"/>
      <c r="C16392" s="12"/>
    </row>
    <row r="16393" spans="2:3">
      <c r="B16393" s="12"/>
      <c r="C16393" s="12"/>
    </row>
    <row r="16394" spans="2:3">
      <c r="B16394" s="12"/>
      <c r="C16394" s="12"/>
    </row>
    <row r="16395" spans="2:3">
      <c r="B16395" s="12"/>
      <c r="C16395" s="12"/>
    </row>
    <row r="16396" spans="2:3">
      <c r="B16396" s="12"/>
      <c r="C16396" s="12"/>
    </row>
    <row r="16397" spans="2:3">
      <c r="B16397" s="12"/>
      <c r="C16397" s="12"/>
    </row>
    <row r="16398" spans="2:3">
      <c r="B16398" s="12"/>
      <c r="C16398" s="12"/>
    </row>
    <row r="16399" spans="2:3">
      <c r="B16399" s="12"/>
      <c r="C16399" s="12"/>
    </row>
    <row r="16400" spans="2:3">
      <c r="B16400" s="12"/>
      <c r="C16400" s="12"/>
    </row>
    <row r="16401" spans="2:3">
      <c r="B16401" s="12"/>
      <c r="C16401" s="12"/>
    </row>
    <row r="16402" spans="2:3">
      <c r="B16402" s="12"/>
      <c r="C16402" s="12"/>
    </row>
    <row r="16403" spans="2:3">
      <c r="B16403" s="12"/>
      <c r="C16403" s="12"/>
    </row>
    <row r="16404" spans="2:3">
      <c r="B16404" s="12"/>
      <c r="C16404" s="12"/>
    </row>
    <row r="16405" spans="2:3">
      <c r="B16405" s="12"/>
      <c r="C16405" s="12"/>
    </row>
    <row r="16406" spans="2:3">
      <c r="B16406" s="12"/>
      <c r="C16406" s="12"/>
    </row>
    <row r="16407" spans="2:3">
      <c r="B16407" s="12"/>
      <c r="C16407" s="12"/>
    </row>
    <row r="16408" spans="2:3">
      <c r="B16408" s="12"/>
      <c r="C16408" s="12"/>
    </row>
    <row r="16409" spans="2:3">
      <c r="B16409" s="12"/>
      <c r="C16409" s="12"/>
    </row>
    <row r="16410" spans="2:3">
      <c r="B16410" s="12"/>
      <c r="C16410" s="12"/>
    </row>
    <row r="16411" spans="2:3">
      <c r="B16411" s="12"/>
      <c r="C16411" s="12"/>
    </row>
    <row r="16412" spans="2:3">
      <c r="B16412" s="12"/>
      <c r="C16412" s="12"/>
    </row>
    <row r="16413" spans="2:3">
      <c r="B16413" s="12"/>
      <c r="C16413" s="12"/>
    </row>
    <row r="16414" spans="2:3">
      <c r="B16414" s="12"/>
      <c r="C16414" s="12"/>
    </row>
    <row r="16415" spans="2:3">
      <c r="B16415" s="12"/>
      <c r="C16415" s="12"/>
    </row>
    <row r="16416" spans="2:3">
      <c r="B16416" s="12"/>
      <c r="C16416" s="12"/>
    </row>
    <row r="16417" spans="2:3">
      <c r="B16417" s="12"/>
      <c r="C16417" s="12"/>
    </row>
    <row r="16418" spans="2:3">
      <c r="B16418" s="12"/>
      <c r="C16418" s="12"/>
    </row>
    <row r="16419" spans="2:3">
      <c r="B16419" s="12"/>
      <c r="C16419" s="12"/>
    </row>
    <row r="16420" spans="2:3">
      <c r="B16420" s="12"/>
      <c r="C16420" s="12"/>
    </row>
    <row r="16421" spans="2:3">
      <c r="B16421" s="12"/>
      <c r="C16421" s="12"/>
    </row>
    <row r="16422" spans="2:3">
      <c r="B16422" s="12"/>
      <c r="C16422" s="12"/>
    </row>
    <row r="16423" spans="2:3">
      <c r="B16423" s="12"/>
      <c r="C16423" s="12"/>
    </row>
    <row r="16424" spans="2:3">
      <c r="B16424" s="12"/>
      <c r="C16424" s="12"/>
    </row>
    <row r="16425" spans="2:3">
      <c r="B16425" s="12"/>
      <c r="C16425" s="12"/>
    </row>
    <row r="16426" spans="2:3">
      <c r="B16426" s="12"/>
      <c r="C16426" s="12"/>
    </row>
    <row r="16427" spans="2:3">
      <c r="B16427" s="12"/>
      <c r="C16427" s="12"/>
    </row>
    <row r="16428" spans="2:3">
      <c r="B16428" s="12"/>
      <c r="C16428" s="12"/>
    </row>
    <row r="16429" spans="2:3">
      <c r="B16429" s="12"/>
      <c r="C16429" s="12"/>
    </row>
    <row r="16430" spans="2:3">
      <c r="B16430" s="12"/>
      <c r="C16430" s="12"/>
    </row>
    <row r="16431" spans="2:3">
      <c r="B16431" s="12"/>
      <c r="C16431" s="12"/>
    </row>
    <row r="16432" spans="2:3">
      <c r="B16432" s="12"/>
      <c r="C16432" s="12"/>
    </row>
    <row r="16433" spans="2:3">
      <c r="B16433" s="12"/>
      <c r="C16433" s="12"/>
    </row>
    <row r="16434" spans="2:3">
      <c r="B16434" s="12"/>
      <c r="C16434" s="12"/>
    </row>
    <row r="16435" spans="2:3">
      <c r="B16435" s="12"/>
      <c r="C16435" s="12"/>
    </row>
    <row r="16436" spans="2:3">
      <c r="B16436" s="12"/>
      <c r="C16436" s="12"/>
    </row>
    <row r="16437" spans="2:3">
      <c r="B16437" s="12"/>
      <c r="C16437" s="12"/>
    </row>
    <row r="16438" spans="2:3">
      <c r="B16438" s="12"/>
      <c r="C16438" s="12"/>
    </row>
    <row r="16439" spans="2:3">
      <c r="B16439" s="12"/>
      <c r="C16439" s="12"/>
    </row>
    <row r="16440" spans="2:3">
      <c r="B16440" s="12"/>
      <c r="C16440" s="12"/>
    </row>
    <row r="16441" spans="2:3">
      <c r="B16441" s="12"/>
      <c r="C16441" s="12"/>
    </row>
    <row r="16442" spans="2:3">
      <c r="B16442" s="12"/>
      <c r="C16442" s="12"/>
    </row>
    <row r="16443" spans="2:3">
      <c r="B16443" s="12"/>
      <c r="C16443" s="12"/>
    </row>
    <row r="16444" spans="2:3">
      <c r="B16444" s="12"/>
      <c r="C16444" s="12"/>
    </row>
    <row r="16445" spans="2:3">
      <c r="B16445" s="12"/>
      <c r="C16445" s="12"/>
    </row>
    <row r="16446" spans="2:3">
      <c r="B16446" s="12"/>
      <c r="C16446" s="12"/>
    </row>
    <row r="16447" spans="2:3">
      <c r="B16447" s="12"/>
      <c r="C16447" s="12"/>
    </row>
    <row r="16448" spans="2:3">
      <c r="B16448" s="12"/>
      <c r="C16448" s="12"/>
    </row>
    <row r="16449" spans="2:3">
      <c r="B16449" s="12"/>
      <c r="C16449" s="12"/>
    </row>
    <row r="16450" spans="2:3">
      <c r="B16450" s="12"/>
      <c r="C16450" s="12"/>
    </row>
    <row r="16451" spans="2:3">
      <c r="B16451" s="12"/>
      <c r="C16451" s="12"/>
    </row>
    <row r="16452" spans="2:3">
      <c r="B16452" s="12"/>
      <c r="C16452" s="12"/>
    </row>
    <row r="16453" spans="2:3">
      <c r="B16453" s="12"/>
      <c r="C16453" s="12"/>
    </row>
    <row r="16454" spans="2:3">
      <c r="B16454" s="12"/>
      <c r="C16454" s="12"/>
    </row>
    <row r="16455" spans="2:3">
      <c r="B16455" s="12"/>
      <c r="C16455" s="12"/>
    </row>
    <row r="16456" spans="2:3">
      <c r="B16456" s="12"/>
      <c r="C16456" s="12"/>
    </row>
    <row r="16457" spans="2:3">
      <c r="B16457" s="12"/>
      <c r="C16457" s="12"/>
    </row>
    <row r="16458" spans="2:3">
      <c r="B16458" s="12"/>
      <c r="C16458" s="12"/>
    </row>
    <row r="16459" spans="2:3">
      <c r="B16459" s="12"/>
      <c r="C16459" s="12"/>
    </row>
    <row r="16460" spans="2:3">
      <c r="B16460" s="12"/>
      <c r="C16460" s="12"/>
    </row>
    <row r="16461" spans="2:3">
      <c r="B16461" s="12"/>
      <c r="C16461" s="12"/>
    </row>
    <row r="16462" spans="2:3">
      <c r="B16462" s="12"/>
      <c r="C16462" s="12"/>
    </row>
    <row r="16463" spans="2:3">
      <c r="B16463" s="12"/>
      <c r="C16463" s="12"/>
    </row>
    <row r="16464" spans="2:3">
      <c r="B16464" s="12"/>
      <c r="C16464" s="12"/>
    </row>
    <row r="16465" spans="2:3">
      <c r="B16465" s="12"/>
      <c r="C16465" s="12"/>
    </row>
    <row r="16466" spans="2:3">
      <c r="B16466" s="12"/>
      <c r="C16466" s="12"/>
    </row>
    <row r="16467" spans="2:3">
      <c r="B16467" s="12"/>
      <c r="C16467" s="12"/>
    </row>
    <row r="16468" spans="2:3">
      <c r="B16468" s="12"/>
      <c r="C16468" s="12"/>
    </row>
    <row r="16469" spans="2:3">
      <c r="B16469" s="12"/>
      <c r="C16469" s="12"/>
    </row>
    <row r="16470" spans="2:3">
      <c r="B16470" s="12"/>
      <c r="C16470" s="12"/>
    </row>
    <row r="16471" spans="2:3">
      <c r="B16471" s="12"/>
      <c r="C16471" s="12"/>
    </row>
    <row r="16472" spans="2:3">
      <c r="B16472" s="12"/>
      <c r="C16472" s="12"/>
    </row>
    <row r="16473" spans="2:3">
      <c r="B16473" s="12"/>
      <c r="C16473" s="12"/>
    </row>
    <row r="16474" spans="2:3">
      <c r="B16474" s="12"/>
      <c r="C16474" s="12"/>
    </row>
    <row r="16475" spans="2:3">
      <c r="B16475" s="12"/>
      <c r="C16475" s="12"/>
    </row>
    <row r="16476" spans="2:3">
      <c r="B16476" s="12"/>
      <c r="C16476" s="12"/>
    </row>
    <row r="16477" spans="2:3">
      <c r="B16477" s="12"/>
      <c r="C16477" s="12"/>
    </row>
    <row r="16478" spans="2:3">
      <c r="B16478" s="12"/>
      <c r="C16478" s="12"/>
    </row>
    <row r="16479" spans="2:3">
      <c r="B16479" s="12"/>
      <c r="C16479" s="12"/>
    </row>
    <row r="16480" spans="2:3">
      <c r="B16480" s="12"/>
      <c r="C16480" s="12"/>
    </row>
    <row r="16481" spans="2:3">
      <c r="B16481" s="12"/>
      <c r="C16481" s="12"/>
    </row>
    <row r="16482" spans="2:3">
      <c r="B16482" s="12"/>
      <c r="C16482" s="12"/>
    </row>
    <row r="16483" spans="2:3">
      <c r="B16483" s="12"/>
      <c r="C16483" s="12"/>
    </row>
    <row r="16484" spans="2:3">
      <c r="B16484" s="12"/>
      <c r="C16484" s="12"/>
    </row>
    <row r="16485" spans="2:3">
      <c r="B16485" s="12"/>
      <c r="C16485" s="12"/>
    </row>
    <row r="16486" spans="2:3">
      <c r="B16486" s="12"/>
      <c r="C16486" s="12"/>
    </row>
    <row r="16487" spans="2:3">
      <c r="B16487" s="12"/>
      <c r="C16487" s="12"/>
    </row>
    <row r="16488" spans="2:3">
      <c r="B16488" s="12"/>
      <c r="C16488" s="12"/>
    </row>
    <row r="16489" spans="2:3">
      <c r="B16489" s="12"/>
      <c r="C16489" s="12"/>
    </row>
    <row r="16490" spans="2:3">
      <c r="B16490" s="12"/>
      <c r="C16490" s="12"/>
    </row>
    <row r="16491" spans="2:3">
      <c r="B16491" s="12"/>
      <c r="C16491" s="12"/>
    </row>
    <row r="16492" spans="2:3">
      <c r="B16492" s="12"/>
      <c r="C16492" s="12"/>
    </row>
    <row r="16493" spans="2:3">
      <c r="B16493" s="12"/>
      <c r="C16493" s="12"/>
    </row>
    <row r="16494" spans="2:3">
      <c r="B16494" s="12"/>
      <c r="C16494" s="12"/>
    </row>
    <row r="16495" spans="2:3">
      <c r="B16495" s="12"/>
      <c r="C16495" s="12"/>
    </row>
    <row r="16496" spans="2:3">
      <c r="B16496" s="12"/>
      <c r="C16496" s="12"/>
    </row>
    <row r="16497" spans="2:3">
      <c r="B16497" s="12"/>
      <c r="C16497" s="12"/>
    </row>
    <row r="16498" spans="2:3">
      <c r="B16498" s="12"/>
      <c r="C16498" s="12"/>
    </row>
    <row r="16499" spans="2:3">
      <c r="B16499" s="12"/>
      <c r="C16499" s="12"/>
    </row>
    <row r="16500" spans="2:3">
      <c r="B16500" s="12"/>
      <c r="C16500" s="12"/>
    </row>
    <row r="16501" spans="2:3">
      <c r="B16501" s="12"/>
      <c r="C16501" s="12"/>
    </row>
    <row r="16502" spans="2:3">
      <c r="B16502" s="12"/>
      <c r="C16502" s="12"/>
    </row>
    <row r="16503" spans="2:3">
      <c r="B16503" s="12"/>
      <c r="C16503" s="12"/>
    </row>
    <row r="16504" spans="2:3">
      <c r="B16504" s="12"/>
      <c r="C16504" s="12"/>
    </row>
    <row r="16505" spans="2:3">
      <c r="B16505" s="12"/>
      <c r="C16505" s="12"/>
    </row>
    <row r="16506" spans="2:3">
      <c r="B16506" s="12"/>
      <c r="C16506" s="12"/>
    </row>
    <row r="16507" spans="2:3">
      <c r="B16507" s="12"/>
      <c r="C16507" s="12"/>
    </row>
    <row r="16508" spans="2:3">
      <c r="B16508" s="12"/>
      <c r="C16508" s="12"/>
    </row>
    <row r="16509" spans="2:3">
      <c r="B16509" s="12"/>
      <c r="C16509" s="12"/>
    </row>
    <row r="16510" spans="2:3">
      <c r="B16510" s="12"/>
      <c r="C16510" s="12"/>
    </row>
    <row r="16511" spans="2:3">
      <c r="B16511" s="12"/>
      <c r="C16511" s="12"/>
    </row>
    <row r="16512" spans="2:3">
      <c r="B16512" s="12"/>
      <c r="C16512" s="12"/>
    </row>
    <row r="16513" spans="2:3">
      <c r="B16513" s="12"/>
      <c r="C16513" s="12"/>
    </row>
    <row r="16514" spans="2:3">
      <c r="B16514" s="12"/>
      <c r="C16514" s="12"/>
    </row>
    <row r="16515" spans="2:3">
      <c r="B16515" s="12"/>
      <c r="C16515" s="12"/>
    </row>
    <row r="16516" spans="2:3">
      <c r="B16516" s="12"/>
      <c r="C16516" s="12"/>
    </row>
    <row r="16517" spans="2:3">
      <c r="B16517" s="12"/>
      <c r="C16517" s="12"/>
    </row>
    <row r="16518" spans="2:3">
      <c r="B16518" s="12"/>
      <c r="C16518" s="12"/>
    </row>
    <row r="16519" spans="2:3">
      <c r="B16519" s="12"/>
      <c r="C16519" s="12"/>
    </row>
    <row r="16520" spans="2:3">
      <c r="B16520" s="12"/>
      <c r="C16520" s="12"/>
    </row>
    <row r="16521" spans="2:3">
      <c r="B16521" s="12"/>
      <c r="C16521" s="12"/>
    </row>
    <row r="16522" spans="2:3">
      <c r="B16522" s="12"/>
      <c r="C16522" s="12"/>
    </row>
    <row r="16523" spans="2:3">
      <c r="B16523" s="12"/>
      <c r="C16523" s="12"/>
    </row>
    <row r="16524" spans="2:3">
      <c r="B16524" s="12"/>
      <c r="C16524" s="12"/>
    </row>
    <row r="16525" spans="2:3">
      <c r="B16525" s="12"/>
      <c r="C16525" s="12"/>
    </row>
    <row r="16526" spans="2:3">
      <c r="B16526" s="12"/>
      <c r="C16526" s="12"/>
    </row>
    <row r="16527" spans="2:3">
      <c r="B16527" s="12"/>
      <c r="C16527" s="12"/>
    </row>
    <row r="16528" spans="2:3">
      <c r="B16528" s="12"/>
      <c r="C16528" s="12"/>
    </row>
    <row r="16529" spans="2:3">
      <c r="B16529" s="12"/>
      <c r="C16529" s="12"/>
    </row>
    <row r="16530" spans="2:3">
      <c r="B16530" s="12"/>
      <c r="C16530" s="12"/>
    </row>
    <row r="16531" spans="2:3">
      <c r="B16531" s="12"/>
      <c r="C16531" s="12"/>
    </row>
    <row r="16532" spans="2:3">
      <c r="B16532" s="12"/>
      <c r="C16532" s="12"/>
    </row>
    <row r="16533" spans="2:3">
      <c r="B16533" s="12"/>
      <c r="C16533" s="12"/>
    </row>
    <row r="16534" spans="2:3">
      <c r="B16534" s="12"/>
      <c r="C16534" s="12"/>
    </row>
    <row r="16535" spans="2:3">
      <c r="B16535" s="12"/>
      <c r="C16535" s="12"/>
    </row>
    <row r="16536" spans="2:3">
      <c r="B16536" s="12"/>
      <c r="C16536" s="12"/>
    </row>
    <row r="16537" spans="2:3">
      <c r="B16537" s="12"/>
      <c r="C16537" s="12"/>
    </row>
    <row r="16538" spans="2:3">
      <c r="B16538" s="12"/>
      <c r="C16538" s="12"/>
    </row>
    <row r="16539" spans="2:3">
      <c r="B16539" s="12"/>
      <c r="C16539" s="12"/>
    </row>
    <row r="16540" spans="2:3">
      <c r="B16540" s="12"/>
      <c r="C16540" s="12"/>
    </row>
    <row r="16541" spans="2:3">
      <c r="B16541" s="12"/>
      <c r="C16541" s="12"/>
    </row>
    <row r="16542" spans="2:3">
      <c r="B16542" s="12"/>
      <c r="C16542" s="12"/>
    </row>
    <row r="16543" spans="2:3">
      <c r="B16543" s="12"/>
      <c r="C16543" s="12"/>
    </row>
    <row r="16544" spans="2:3">
      <c r="B16544" s="12"/>
      <c r="C16544" s="12"/>
    </row>
    <row r="16545" spans="2:3">
      <c r="B16545" s="12"/>
      <c r="C16545" s="12"/>
    </row>
    <row r="16546" spans="2:3">
      <c r="B16546" s="12"/>
      <c r="C16546" s="12"/>
    </row>
    <row r="16547" spans="2:3">
      <c r="B16547" s="12"/>
      <c r="C16547" s="12"/>
    </row>
    <row r="16548" spans="2:3">
      <c r="B16548" s="12"/>
      <c r="C16548" s="12"/>
    </row>
    <row r="16549" spans="2:3">
      <c r="B16549" s="12"/>
      <c r="C16549" s="12"/>
    </row>
    <row r="16550" spans="2:3">
      <c r="B16550" s="12"/>
      <c r="C16550" s="12"/>
    </row>
    <row r="16551" spans="2:3">
      <c r="B16551" s="12"/>
      <c r="C16551" s="12"/>
    </row>
    <row r="16552" spans="2:3">
      <c r="B16552" s="12"/>
      <c r="C16552" s="12"/>
    </row>
    <row r="16553" spans="2:3">
      <c r="B16553" s="12"/>
      <c r="C16553" s="12"/>
    </row>
    <row r="16554" spans="2:3">
      <c r="B16554" s="12"/>
      <c r="C16554" s="12"/>
    </row>
    <row r="16555" spans="2:3">
      <c r="B16555" s="12"/>
      <c r="C16555" s="12"/>
    </row>
    <row r="16556" spans="2:3">
      <c r="B16556" s="12"/>
      <c r="C16556" s="12"/>
    </row>
    <row r="16557" spans="2:3">
      <c r="B16557" s="12"/>
      <c r="C16557" s="12"/>
    </row>
    <row r="16558" spans="2:3">
      <c r="B16558" s="12"/>
      <c r="C16558" s="12"/>
    </row>
    <row r="16559" spans="2:3">
      <c r="B16559" s="12"/>
      <c r="C16559" s="12"/>
    </row>
    <row r="16560" spans="2:3">
      <c r="B16560" s="12"/>
      <c r="C16560" s="12"/>
    </row>
    <row r="16561" spans="2:3">
      <c r="B16561" s="12"/>
      <c r="C16561" s="12"/>
    </row>
    <row r="16562" spans="2:3">
      <c r="B16562" s="12"/>
      <c r="C16562" s="12"/>
    </row>
    <row r="16563" spans="2:3">
      <c r="B16563" s="12"/>
      <c r="C16563" s="12"/>
    </row>
    <row r="16564" spans="2:3">
      <c r="B16564" s="12"/>
      <c r="C16564" s="12"/>
    </row>
    <row r="16565" spans="2:3">
      <c r="B16565" s="12"/>
      <c r="C16565" s="12"/>
    </row>
    <row r="16566" spans="2:3">
      <c r="B16566" s="12"/>
      <c r="C16566" s="12"/>
    </row>
    <row r="16567" spans="2:3">
      <c r="B16567" s="12"/>
      <c r="C16567" s="12"/>
    </row>
    <row r="16568" spans="2:3">
      <c r="B16568" s="12"/>
      <c r="C16568" s="12"/>
    </row>
    <row r="16569" spans="2:3">
      <c r="B16569" s="12"/>
      <c r="C16569" s="12"/>
    </row>
    <row r="16570" spans="2:3">
      <c r="B16570" s="12"/>
      <c r="C16570" s="12"/>
    </row>
    <row r="16571" spans="2:3">
      <c r="B16571" s="12"/>
      <c r="C16571" s="12"/>
    </row>
    <row r="16572" spans="2:3">
      <c r="B16572" s="12"/>
      <c r="C16572" s="12"/>
    </row>
    <row r="16573" spans="2:3">
      <c r="B16573" s="12"/>
      <c r="C16573" s="12"/>
    </row>
    <row r="16574" spans="2:3">
      <c r="B16574" s="12"/>
      <c r="C16574" s="12"/>
    </row>
    <row r="16575" spans="2:3">
      <c r="B16575" s="12"/>
      <c r="C16575" s="12"/>
    </row>
    <row r="16576" spans="2:3">
      <c r="B16576" s="12"/>
      <c r="C16576" s="12"/>
    </row>
    <row r="16577" spans="2:3">
      <c r="B16577" s="12"/>
      <c r="C16577" s="12"/>
    </row>
    <row r="16578" spans="2:3">
      <c r="B16578" s="12"/>
      <c r="C16578" s="12"/>
    </row>
    <row r="16579" spans="2:3">
      <c r="B16579" s="12"/>
      <c r="C16579" s="12"/>
    </row>
    <row r="16580" spans="2:3">
      <c r="B16580" s="12"/>
      <c r="C16580" s="12"/>
    </row>
    <row r="16581" spans="2:3">
      <c r="B16581" s="12"/>
      <c r="C16581" s="12"/>
    </row>
    <row r="16582" spans="2:3">
      <c r="B16582" s="12"/>
      <c r="C16582" s="12"/>
    </row>
    <row r="16583" spans="2:3">
      <c r="B16583" s="12"/>
      <c r="C16583" s="12"/>
    </row>
    <row r="16584" spans="2:3">
      <c r="B16584" s="12"/>
      <c r="C16584" s="12"/>
    </row>
    <row r="16585" spans="2:3">
      <c r="B16585" s="12"/>
      <c r="C16585" s="12"/>
    </row>
    <row r="16586" spans="2:3">
      <c r="B16586" s="12"/>
      <c r="C16586" s="12"/>
    </row>
    <row r="16587" spans="2:3">
      <c r="B16587" s="12"/>
      <c r="C16587" s="12"/>
    </row>
    <row r="16588" spans="2:3">
      <c r="B16588" s="12"/>
      <c r="C16588" s="12"/>
    </row>
    <row r="16589" spans="2:3">
      <c r="B16589" s="12"/>
      <c r="C16589" s="12"/>
    </row>
    <row r="16590" spans="2:3">
      <c r="B16590" s="12"/>
      <c r="C16590" s="12"/>
    </row>
    <row r="16591" spans="2:3">
      <c r="B16591" s="12"/>
      <c r="C16591" s="12"/>
    </row>
    <row r="16592" spans="2:3">
      <c r="B16592" s="12"/>
      <c r="C16592" s="12"/>
    </row>
    <row r="16593" spans="2:3">
      <c r="B16593" s="12"/>
      <c r="C16593" s="12"/>
    </row>
    <row r="16594" spans="2:3">
      <c r="B16594" s="12"/>
      <c r="C16594" s="12"/>
    </row>
    <row r="16595" spans="2:3">
      <c r="B16595" s="12"/>
      <c r="C16595" s="12"/>
    </row>
    <row r="16596" spans="2:3">
      <c r="B16596" s="12"/>
      <c r="C16596" s="12"/>
    </row>
    <row r="16597" spans="2:3">
      <c r="B16597" s="12"/>
      <c r="C16597" s="12"/>
    </row>
    <row r="16598" spans="2:3">
      <c r="B16598" s="12"/>
      <c r="C16598" s="12"/>
    </row>
    <row r="16599" spans="2:3">
      <c r="B16599" s="12"/>
      <c r="C16599" s="12"/>
    </row>
    <row r="16600" spans="2:3">
      <c r="B16600" s="12"/>
      <c r="C16600" s="12"/>
    </row>
    <row r="16601" spans="2:3">
      <c r="B16601" s="12"/>
      <c r="C16601" s="12"/>
    </row>
    <row r="16602" spans="2:3">
      <c r="B16602" s="12"/>
      <c r="C16602" s="12"/>
    </row>
    <row r="16603" spans="2:3">
      <c r="B16603" s="12"/>
      <c r="C16603" s="12"/>
    </row>
    <row r="16604" spans="2:3">
      <c r="B16604" s="12"/>
      <c r="C16604" s="12"/>
    </row>
    <row r="16605" spans="2:3">
      <c r="B16605" s="12"/>
      <c r="C16605" s="12"/>
    </row>
    <row r="16606" spans="2:3">
      <c r="B16606" s="12"/>
      <c r="C16606" s="12"/>
    </row>
    <row r="16607" spans="2:3">
      <c r="B16607" s="12"/>
      <c r="C16607" s="12"/>
    </row>
    <row r="16608" spans="2:3">
      <c r="B16608" s="12"/>
      <c r="C16608" s="12"/>
    </row>
    <row r="16609" spans="2:3">
      <c r="B16609" s="12"/>
      <c r="C16609" s="12"/>
    </row>
    <row r="16610" spans="2:3">
      <c r="B16610" s="12"/>
      <c r="C16610" s="12"/>
    </row>
    <row r="16611" spans="2:3">
      <c r="B16611" s="12"/>
      <c r="C16611" s="12"/>
    </row>
    <row r="16612" spans="2:3">
      <c r="B16612" s="12"/>
      <c r="C16612" s="12"/>
    </row>
    <row r="16613" spans="2:3">
      <c r="B16613" s="12"/>
      <c r="C16613" s="12"/>
    </row>
    <row r="16614" spans="2:3">
      <c r="B16614" s="12"/>
      <c r="C16614" s="12"/>
    </row>
    <row r="16615" spans="2:3">
      <c r="B16615" s="12"/>
      <c r="C16615" s="12"/>
    </row>
    <row r="16616" spans="2:3">
      <c r="B16616" s="12"/>
      <c r="C16616" s="12"/>
    </row>
    <row r="16617" spans="2:3">
      <c r="B16617" s="12"/>
      <c r="C16617" s="12"/>
    </row>
    <row r="16618" spans="2:3">
      <c r="B16618" s="12"/>
      <c r="C16618" s="12"/>
    </row>
    <row r="16619" spans="2:3">
      <c r="B16619" s="12"/>
      <c r="C16619" s="12"/>
    </row>
    <row r="16620" spans="2:3">
      <c r="B16620" s="12"/>
      <c r="C16620" s="12"/>
    </row>
    <row r="16621" spans="2:3">
      <c r="B16621" s="12"/>
      <c r="C16621" s="12"/>
    </row>
    <row r="16622" spans="2:3">
      <c r="B16622" s="12"/>
      <c r="C16622" s="12"/>
    </row>
    <row r="16623" spans="2:3">
      <c r="B16623" s="12"/>
      <c r="C16623" s="12"/>
    </row>
    <row r="16624" spans="2:3">
      <c r="B16624" s="12"/>
      <c r="C16624" s="12"/>
    </row>
    <row r="16625" spans="2:3">
      <c r="B16625" s="12"/>
      <c r="C16625" s="12"/>
    </row>
    <row r="16626" spans="2:3">
      <c r="B16626" s="12"/>
      <c r="C16626" s="12"/>
    </row>
    <row r="16627" spans="2:3">
      <c r="B16627" s="12"/>
      <c r="C16627" s="12"/>
    </row>
    <row r="16628" spans="2:3">
      <c r="B16628" s="12"/>
      <c r="C16628" s="12"/>
    </row>
    <row r="16629" spans="2:3">
      <c r="B16629" s="12"/>
      <c r="C16629" s="12"/>
    </row>
    <row r="16630" spans="2:3">
      <c r="B16630" s="12"/>
      <c r="C16630" s="12"/>
    </row>
    <row r="16631" spans="2:3">
      <c r="B16631" s="12"/>
      <c r="C16631" s="12"/>
    </row>
    <row r="16632" spans="2:3">
      <c r="B16632" s="12"/>
      <c r="C16632" s="12"/>
    </row>
    <row r="16633" spans="2:3">
      <c r="B16633" s="12"/>
      <c r="C16633" s="12"/>
    </row>
    <row r="16634" spans="2:3">
      <c r="B16634" s="12"/>
      <c r="C16634" s="12"/>
    </row>
    <row r="16635" spans="2:3">
      <c r="B16635" s="12"/>
      <c r="C16635" s="12"/>
    </row>
    <row r="16636" spans="2:3">
      <c r="B16636" s="12"/>
      <c r="C16636" s="12"/>
    </row>
    <row r="16637" spans="2:3">
      <c r="B16637" s="12"/>
      <c r="C16637" s="12"/>
    </row>
    <row r="16638" spans="2:3">
      <c r="B16638" s="12"/>
      <c r="C16638" s="12"/>
    </row>
    <row r="16639" spans="2:3">
      <c r="B16639" s="12"/>
      <c r="C16639" s="12"/>
    </row>
    <row r="16640" spans="2:3">
      <c r="B16640" s="12"/>
      <c r="C16640" s="12"/>
    </row>
    <row r="16641" spans="2:3">
      <c r="B16641" s="12"/>
      <c r="C16641" s="12"/>
    </row>
    <row r="16642" spans="2:3">
      <c r="B16642" s="12"/>
      <c r="C16642" s="12"/>
    </row>
    <row r="16643" spans="2:3">
      <c r="B16643" s="12"/>
      <c r="C16643" s="12"/>
    </row>
    <row r="16644" spans="2:3">
      <c r="B16644" s="12"/>
      <c r="C16644" s="12"/>
    </row>
    <row r="16645" spans="2:3">
      <c r="B16645" s="12"/>
      <c r="C16645" s="12"/>
    </row>
    <row r="16646" spans="2:3">
      <c r="B16646" s="12"/>
      <c r="C16646" s="12"/>
    </row>
    <row r="16647" spans="2:3">
      <c r="B16647" s="12"/>
      <c r="C16647" s="12"/>
    </row>
    <row r="16648" spans="2:3">
      <c r="B16648" s="12"/>
      <c r="C16648" s="12"/>
    </row>
    <row r="16649" spans="2:3">
      <c r="B16649" s="12"/>
      <c r="C16649" s="12"/>
    </row>
    <row r="16650" spans="2:3">
      <c r="B16650" s="12"/>
      <c r="C16650" s="12"/>
    </row>
    <row r="16651" spans="2:3">
      <c r="B16651" s="12"/>
      <c r="C16651" s="12"/>
    </row>
    <row r="16652" spans="2:3">
      <c r="B16652" s="12"/>
      <c r="C16652" s="12"/>
    </row>
    <row r="16653" spans="2:3">
      <c r="B16653" s="12"/>
      <c r="C16653" s="12"/>
    </row>
    <row r="16654" spans="2:3">
      <c r="B16654" s="12"/>
      <c r="C16654" s="12"/>
    </row>
    <row r="16655" spans="2:3">
      <c r="B16655" s="12"/>
      <c r="C16655" s="12"/>
    </row>
    <row r="16656" spans="2:3">
      <c r="B16656" s="12"/>
      <c r="C16656" s="12"/>
    </row>
    <row r="16657" spans="2:3">
      <c r="B16657" s="12"/>
      <c r="C16657" s="12"/>
    </row>
    <row r="16658" spans="2:3">
      <c r="B16658" s="12"/>
      <c r="C16658" s="12"/>
    </row>
    <row r="16659" spans="2:3">
      <c r="B16659" s="12"/>
      <c r="C16659" s="12"/>
    </row>
    <row r="16660" spans="2:3">
      <c r="B16660" s="12"/>
      <c r="C16660" s="12"/>
    </row>
    <row r="16661" spans="2:3">
      <c r="B16661" s="12"/>
      <c r="C16661" s="12"/>
    </row>
    <row r="16662" spans="2:3">
      <c r="B16662" s="12"/>
      <c r="C16662" s="12"/>
    </row>
    <row r="16663" spans="2:3">
      <c r="B16663" s="12"/>
      <c r="C16663" s="12"/>
    </row>
    <row r="16664" spans="2:3">
      <c r="B16664" s="12"/>
      <c r="C16664" s="12"/>
    </row>
    <row r="16665" spans="2:3">
      <c r="B16665" s="12"/>
      <c r="C16665" s="12"/>
    </row>
    <row r="16666" spans="2:3">
      <c r="B16666" s="12"/>
      <c r="C16666" s="12"/>
    </row>
    <row r="16667" spans="2:3">
      <c r="B16667" s="12"/>
      <c r="C16667" s="12"/>
    </row>
    <row r="16668" spans="2:3">
      <c r="B16668" s="12"/>
      <c r="C16668" s="12"/>
    </row>
    <row r="16669" spans="2:3">
      <c r="B16669" s="12"/>
      <c r="C16669" s="12"/>
    </row>
    <row r="16670" spans="2:3">
      <c r="B16670" s="12"/>
      <c r="C16670" s="12"/>
    </row>
    <row r="16671" spans="2:3">
      <c r="B16671" s="12"/>
      <c r="C16671" s="12"/>
    </row>
    <row r="16672" spans="2:3">
      <c r="B16672" s="12"/>
      <c r="C16672" s="12"/>
    </row>
    <row r="16673" spans="2:3">
      <c r="B16673" s="12"/>
      <c r="C16673" s="12"/>
    </row>
    <row r="16674" spans="2:3">
      <c r="B16674" s="12"/>
      <c r="C16674" s="12"/>
    </row>
    <row r="16675" spans="2:3">
      <c r="B16675" s="12"/>
      <c r="C16675" s="12"/>
    </row>
    <row r="16676" spans="2:3">
      <c r="B16676" s="12"/>
      <c r="C16676" s="12"/>
    </row>
    <row r="16677" spans="2:3">
      <c r="B16677" s="12"/>
      <c r="C16677" s="12"/>
    </row>
    <row r="16678" spans="2:3">
      <c r="B16678" s="12"/>
      <c r="C16678" s="12"/>
    </row>
    <row r="16679" spans="2:3">
      <c r="B16679" s="12"/>
      <c r="C16679" s="12"/>
    </row>
    <row r="16680" spans="2:3">
      <c r="B16680" s="12"/>
      <c r="C16680" s="12"/>
    </row>
    <row r="16681" spans="2:3">
      <c r="B16681" s="12"/>
      <c r="C16681" s="12"/>
    </row>
    <row r="16682" spans="2:3">
      <c r="B16682" s="12"/>
      <c r="C16682" s="12"/>
    </row>
    <row r="16683" spans="2:3">
      <c r="B16683" s="12"/>
      <c r="C16683" s="12"/>
    </row>
    <row r="16684" spans="2:3">
      <c r="B16684" s="12"/>
      <c r="C16684" s="12"/>
    </row>
    <row r="16685" spans="2:3">
      <c r="B16685" s="12"/>
      <c r="C16685" s="12"/>
    </row>
    <row r="16686" spans="2:3">
      <c r="B16686" s="12"/>
      <c r="C16686" s="12"/>
    </row>
    <row r="16687" spans="2:3">
      <c r="B16687" s="12"/>
      <c r="C16687" s="12"/>
    </row>
    <row r="16688" spans="2:3">
      <c r="B16688" s="12"/>
      <c r="C16688" s="12"/>
    </row>
    <row r="16689" spans="2:3">
      <c r="B16689" s="12"/>
      <c r="C16689" s="12"/>
    </row>
    <row r="16690" spans="2:3">
      <c r="B16690" s="12"/>
      <c r="C16690" s="12"/>
    </row>
    <row r="16691" spans="2:3">
      <c r="B16691" s="12"/>
      <c r="C16691" s="12"/>
    </row>
    <row r="16692" spans="2:3">
      <c r="B16692" s="12"/>
      <c r="C16692" s="12"/>
    </row>
    <row r="16693" spans="2:3">
      <c r="B16693" s="12"/>
      <c r="C16693" s="12"/>
    </row>
    <row r="16694" spans="2:3">
      <c r="B16694" s="12"/>
      <c r="C16694" s="12"/>
    </row>
    <row r="16695" spans="2:3">
      <c r="B16695" s="12"/>
      <c r="C16695" s="12"/>
    </row>
    <row r="16696" spans="2:3">
      <c r="B16696" s="12"/>
      <c r="C16696" s="12"/>
    </row>
    <row r="16697" spans="2:3">
      <c r="B16697" s="12"/>
      <c r="C16697" s="12"/>
    </row>
    <row r="16698" spans="2:3">
      <c r="B16698" s="12"/>
      <c r="C16698" s="12"/>
    </row>
    <row r="16699" spans="2:3">
      <c r="B16699" s="12"/>
      <c r="C16699" s="12"/>
    </row>
    <row r="16700" spans="2:3">
      <c r="B16700" s="12"/>
      <c r="C16700" s="12"/>
    </row>
    <row r="16701" spans="2:3">
      <c r="B16701" s="12"/>
      <c r="C16701" s="12"/>
    </row>
    <row r="16702" spans="2:3">
      <c r="B16702" s="12"/>
      <c r="C16702" s="12"/>
    </row>
    <row r="16703" spans="2:3">
      <c r="B16703" s="12"/>
      <c r="C16703" s="12"/>
    </row>
    <row r="16704" spans="2:3">
      <c r="B16704" s="12"/>
      <c r="C16704" s="12"/>
    </row>
    <row r="16705" spans="2:3">
      <c r="B16705" s="12"/>
      <c r="C16705" s="12"/>
    </row>
    <row r="16706" spans="2:3">
      <c r="B16706" s="12"/>
      <c r="C16706" s="12"/>
    </row>
    <row r="16707" spans="2:3">
      <c r="B16707" s="12"/>
      <c r="C16707" s="12"/>
    </row>
    <row r="16708" spans="2:3">
      <c r="B16708" s="12"/>
      <c r="C16708" s="12"/>
    </row>
    <row r="16709" spans="2:3">
      <c r="B16709" s="12"/>
      <c r="C16709" s="12"/>
    </row>
    <row r="16710" spans="2:3">
      <c r="B16710" s="12"/>
      <c r="C16710" s="12"/>
    </row>
    <row r="16711" spans="2:3">
      <c r="B16711" s="12"/>
      <c r="C16711" s="12"/>
    </row>
    <row r="16712" spans="2:3">
      <c r="B16712" s="12"/>
      <c r="C16712" s="12"/>
    </row>
    <row r="16713" spans="2:3">
      <c r="B16713" s="12"/>
      <c r="C16713" s="12"/>
    </row>
    <row r="16714" spans="2:3">
      <c r="B16714" s="12"/>
      <c r="C16714" s="12"/>
    </row>
    <row r="16715" spans="2:3">
      <c r="B16715" s="12"/>
      <c r="C16715" s="12"/>
    </row>
    <row r="16716" spans="2:3">
      <c r="B16716" s="12"/>
      <c r="C16716" s="12"/>
    </row>
    <row r="16717" spans="2:3">
      <c r="B16717" s="12"/>
      <c r="C16717" s="12"/>
    </row>
    <row r="16718" spans="2:3">
      <c r="B16718" s="12"/>
      <c r="C16718" s="12"/>
    </row>
    <row r="16719" spans="2:3">
      <c r="B16719" s="12"/>
      <c r="C16719" s="12"/>
    </row>
    <row r="16720" spans="2:3">
      <c r="B16720" s="12"/>
      <c r="C16720" s="12"/>
    </row>
    <row r="16721" spans="2:3">
      <c r="B16721" s="12"/>
      <c r="C16721" s="12"/>
    </row>
    <row r="16722" spans="2:3">
      <c r="B16722" s="12"/>
      <c r="C16722" s="12"/>
    </row>
    <row r="16723" spans="2:3">
      <c r="B16723" s="12"/>
      <c r="C16723" s="12"/>
    </row>
    <row r="16724" spans="2:3">
      <c r="B16724" s="12"/>
      <c r="C16724" s="12"/>
    </row>
    <row r="16725" spans="2:3">
      <c r="B16725" s="12"/>
      <c r="C16725" s="12"/>
    </row>
    <row r="16726" spans="2:3">
      <c r="B16726" s="12"/>
      <c r="C16726" s="12"/>
    </row>
    <row r="16727" spans="2:3">
      <c r="B16727" s="12"/>
      <c r="C16727" s="12"/>
    </row>
    <row r="16728" spans="2:3">
      <c r="B16728" s="12"/>
      <c r="C16728" s="12"/>
    </row>
    <row r="16729" spans="2:3">
      <c r="B16729" s="12"/>
      <c r="C16729" s="12"/>
    </row>
    <row r="16730" spans="2:3">
      <c r="B16730" s="12"/>
      <c r="C16730" s="12"/>
    </row>
    <row r="16731" spans="2:3">
      <c r="B16731" s="12"/>
      <c r="C16731" s="12"/>
    </row>
    <row r="16732" spans="2:3">
      <c r="B16732" s="12"/>
      <c r="C16732" s="12"/>
    </row>
    <row r="16733" spans="2:3">
      <c r="B16733" s="12"/>
      <c r="C16733" s="12"/>
    </row>
    <row r="16734" spans="2:3">
      <c r="B16734" s="12"/>
      <c r="C16734" s="12"/>
    </row>
    <row r="16735" spans="2:3">
      <c r="B16735" s="12"/>
      <c r="C16735" s="12"/>
    </row>
    <row r="16736" spans="2:3">
      <c r="B16736" s="12"/>
      <c r="C16736" s="12"/>
    </row>
    <row r="16737" spans="2:3">
      <c r="B16737" s="12"/>
      <c r="C16737" s="12"/>
    </row>
    <row r="16738" spans="2:3">
      <c r="B16738" s="12"/>
      <c r="C16738" s="12"/>
    </row>
    <row r="16739" spans="2:3">
      <c r="B16739" s="12"/>
      <c r="C16739" s="12"/>
    </row>
    <row r="16740" spans="2:3">
      <c r="B16740" s="12"/>
      <c r="C16740" s="12"/>
    </row>
    <row r="16741" spans="2:3">
      <c r="B16741" s="12"/>
      <c r="C16741" s="12"/>
    </row>
    <row r="16742" spans="2:3">
      <c r="B16742" s="12"/>
      <c r="C16742" s="12"/>
    </row>
    <row r="16743" spans="2:3">
      <c r="B16743" s="12"/>
      <c r="C16743" s="12"/>
    </row>
    <row r="16744" spans="2:3">
      <c r="B16744" s="12"/>
      <c r="C16744" s="12"/>
    </row>
    <row r="16745" spans="2:3">
      <c r="B16745" s="12"/>
      <c r="C16745" s="12"/>
    </row>
    <row r="16746" spans="2:3">
      <c r="B16746" s="12"/>
      <c r="C16746" s="12"/>
    </row>
    <row r="16747" spans="2:3">
      <c r="B16747" s="12"/>
      <c r="C16747" s="12"/>
    </row>
    <row r="16748" spans="2:3">
      <c r="B16748" s="12"/>
      <c r="C16748" s="12"/>
    </row>
    <row r="16749" spans="2:3">
      <c r="B16749" s="12"/>
      <c r="C16749" s="12"/>
    </row>
    <row r="16750" spans="2:3">
      <c r="B16750" s="12"/>
      <c r="C16750" s="12"/>
    </row>
    <row r="16751" spans="2:3">
      <c r="B16751" s="12"/>
      <c r="C16751" s="12"/>
    </row>
    <row r="16752" spans="2:3">
      <c r="B16752" s="12"/>
      <c r="C16752" s="12"/>
    </row>
    <row r="16753" spans="2:3">
      <c r="B16753" s="12"/>
      <c r="C16753" s="12"/>
    </row>
    <row r="16754" spans="2:3">
      <c r="B16754" s="12"/>
      <c r="C16754" s="12"/>
    </row>
    <row r="16755" spans="2:3">
      <c r="B16755" s="12"/>
      <c r="C16755" s="12"/>
    </row>
    <row r="16756" spans="2:3">
      <c r="B16756" s="12"/>
      <c r="C16756" s="12"/>
    </row>
    <row r="16757" spans="2:3">
      <c r="B16757" s="12"/>
      <c r="C16757" s="12"/>
    </row>
    <row r="16758" spans="2:3">
      <c r="B16758" s="12"/>
      <c r="C16758" s="12"/>
    </row>
    <row r="16759" spans="2:3">
      <c r="B16759" s="12"/>
      <c r="C16759" s="12"/>
    </row>
    <row r="16760" spans="2:3">
      <c r="B16760" s="12"/>
      <c r="C16760" s="12"/>
    </row>
    <row r="16761" spans="2:3">
      <c r="B16761" s="12"/>
      <c r="C16761" s="12"/>
    </row>
    <row r="16762" spans="2:3">
      <c r="B16762" s="12"/>
      <c r="C16762" s="12"/>
    </row>
    <row r="16763" spans="2:3">
      <c r="B16763" s="12"/>
      <c r="C16763" s="12"/>
    </row>
    <row r="16764" spans="2:3">
      <c r="B16764" s="12"/>
      <c r="C16764" s="12"/>
    </row>
    <row r="16765" spans="2:3">
      <c r="B16765" s="12"/>
      <c r="C16765" s="12"/>
    </row>
    <row r="16766" spans="2:3">
      <c r="B16766" s="12"/>
      <c r="C16766" s="12"/>
    </row>
    <row r="16767" spans="2:3">
      <c r="B16767" s="12"/>
      <c r="C16767" s="12"/>
    </row>
    <row r="16768" spans="2:3">
      <c r="B16768" s="12"/>
      <c r="C16768" s="12"/>
    </row>
    <row r="16769" spans="2:3">
      <c r="B16769" s="12"/>
      <c r="C16769" s="12"/>
    </row>
    <row r="16770" spans="2:3">
      <c r="B16770" s="12"/>
      <c r="C16770" s="12"/>
    </row>
    <row r="16771" spans="2:3">
      <c r="B16771" s="12"/>
      <c r="C16771" s="12"/>
    </row>
    <row r="16772" spans="2:3">
      <c r="B16772" s="12"/>
      <c r="C16772" s="12"/>
    </row>
    <row r="16773" spans="2:3">
      <c r="B16773" s="12"/>
      <c r="C16773" s="12"/>
    </row>
    <row r="16774" spans="2:3">
      <c r="B16774" s="12"/>
      <c r="C16774" s="12"/>
    </row>
    <row r="16775" spans="2:3">
      <c r="B16775" s="12"/>
      <c r="C16775" s="12"/>
    </row>
    <row r="16776" spans="2:3">
      <c r="B16776" s="12"/>
      <c r="C16776" s="12"/>
    </row>
    <row r="16777" spans="2:3">
      <c r="B16777" s="12"/>
      <c r="C16777" s="12"/>
    </row>
    <row r="16778" spans="2:3">
      <c r="B16778" s="12"/>
      <c r="C16778" s="12"/>
    </row>
    <row r="16779" spans="2:3">
      <c r="B16779" s="12"/>
      <c r="C16779" s="12"/>
    </row>
    <row r="16780" spans="2:3">
      <c r="B16780" s="12"/>
      <c r="C16780" s="12"/>
    </row>
    <row r="16781" spans="2:3">
      <c r="B16781" s="12"/>
      <c r="C16781" s="12"/>
    </row>
    <row r="16782" spans="2:3">
      <c r="B16782" s="12"/>
      <c r="C16782" s="12"/>
    </row>
    <row r="16783" spans="2:3">
      <c r="B16783" s="12"/>
      <c r="C16783" s="12"/>
    </row>
    <row r="16784" spans="2:3">
      <c r="B16784" s="12"/>
      <c r="C16784" s="12"/>
    </row>
    <row r="16785" spans="2:3">
      <c r="B16785" s="12"/>
      <c r="C16785" s="12"/>
    </row>
    <row r="16786" spans="2:3">
      <c r="B16786" s="12"/>
      <c r="C16786" s="12"/>
    </row>
    <row r="16787" spans="2:3">
      <c r="B16787" s="12"/>
      <c r="C16787" s="12"/>
    </row>
    <row r="16788" spans="2:3">
      <c r="B16788" s="12"/>
      <c r="C16788" s="12"/>
    </row>
    <row r="16789" spans="2:3">
      <c r="B16789" s="12"/>
      <c r="C16789" s="12"/>
    </row>
    <row r="16790" spans="2:3">
      <c r="B16790" s="12"/>
      <c r="C16790" s="12"/>
    </row>
    <row r="16791" spans="2:3">
      <c r="B16791" s="12"/>
      <c r="C16791" s="12"/>
    </row>
    <row r="16792" spans="2:3">
      <c r="B16792" s="12"/>
      <c r="C16792" s="12"/>
    </row>
    <row r="16793" spans="2:3">
      <c r="B16793" s="12"/>
      <c r="C16793" s="12"/>
    </row>
    <row r="16794" spans="2:3">
      <c r="B16794" s="12"/>
      <c r="C16794" s="12"/>
    </row>
    <row r="16795" spans="2:3">
      <c r="B16795" s="12"/>
      <c r="C16795" s="12"/>
    </row>
    <row r="16796" spans="2:3">
      <c r="B16796" s="12"/>
      <c r="C16796" s="12"/>
    </row>
    <row r="16797" spans="2:3">
      <c r="B16797" s="12"/>
      <c r="C16797" s="12"/>
    </row>
    <row r="16798" spans="2:3">
      <c r="B16798" s="12"/>
      <c r="C16798" s="12"/>
    </row>
    <row r="16799" spans="2:3">
      <c r="B16799" s="12"/>
      <c r="C16799" s="12"/>
    </row>
    <row r="16800" spans="2:3">
      <c r="B16800" s="12"/>
      <c r="C16800" s="12"/>
    </row>
    <row r="16801" spans="2:3">
      <c r="B16801" s="12"/>
      <c r="C16801" s="12"/>
    </row>
    <row r="16802" spans="2:3">
      <c r="B16802" s="12"/>
      <c r="C16802" s="12"/>
    </row>
    <row r="16803" spans="2:3">
      <c r="B16803" s="12"/>
      <c r="C16803" s="12"/>
    </row>
    <row r="16804" spans="2:3">
      <c r="B16804" s="12"/>
      <c r="C16804" s="12"/>
    </row>
    <row r="16805" spans="2:3">
      <c r="B16805" s="12"/>
      <c r="C16805" s="12"/>
    </row>
    <row r="16806" spans="2:3">
      <c r="B16806" s="12"/>
      <c r="C16806" s="12"/>
    </row>
    <row r="16807" spans="2:3">
      <c r="B16807" s="12"/>
      <c r="C16807" s="12"/>
    </row>
    <row r="16808" spans="2:3">
      <c r="B16808" s="12"/>
      <c r="C16808" s="12"/>
    </row>
    <row r="16809" spans="2:3">
      <c r="B16809" s="12"/>
      <c r="C16809" s="12"/>
    </row>
    <row r="16810" spans="2:3">
      <c r="B16810" s="12"/>
      <c r="C16810" s="12"/>
    </row>
    <row r="16811" spans="2:3">
      <c r="B16811" s="12"/>
      <c r="C16811" s="12"/>
    </row>
    <row r="16812" spans="2:3">
      <c r="B16812" s="12"/>
      <c r="C16812" s="12"/>
    </row>
    <row r="16813" spans="2:3">
      <c r="B16813" s="12"/>
      <c r="C16813" s="12"/>
    </row>
    <row r="16814" spans="2:3">
      <c r="B16814" s="12"/>
      <c r="C16814" s="12"/>
    </row>
    <row r="16815" spans="2:3">
      <c r="B16815" s="12"/>
      <c r="C16815" s="12"/>
    </row>
    <row r="16816" spans="2:3">
      <c r="B16816" s="12"/>
      <c r="C16816" s="12"/>
    </row>
    <row r="16817" spans="2:3">
      <c r="B16817" s="12"/>
      <c r="C16817" s="12"/>
    </row>
    <row r="16818" spans="2:3">
      <c r="B16818" s="12"/>
      <c r="C16818" s="12"/>
    </row>
    <row r="16819" spans="2:3">
      <c r="B16819" s="12"/>
      <c r="C16819" s="12"/>
    </row>
    <row r="16820" spans="2:3">
      <c r="B16820" s="12"/>
      <c r="C16820" s="12"/>
    </row>
    <row r="16821" spans="2:3">
      <c r="B16821" s="12"/>
      <c r="C16821" s="12"/>
    </row>
    <row r="16822" spans="2:3">
      <c r="B16822" s="12"/>
      <c r="C16822" s="12"/>
    </row>
    <row r="16823" spans="2:3">
      <c r="B16823" s="12"/>
      <c r="C16823" s="12"/>
    </row>
    <row r="16824" spans="2:3">
      <c r="B16824" s="12"/>
      <c r="C16824" s="12"/>
    </row>
    <row r="16825" spans="2:3">
      <c r="B16825" s="12"/>
      <c r="C16825" s="12"/>
    </row>
    <row r="16826" spans="2:3">
      <c r="B16826" s="12"/>
      <c r="C16826" s="12"/>
    </row>
    <row r="16827" spans="2:3">
      <c r="B16827" s="12"/>
      <c r="C16827" s="12"/>
    </row>
    <row r="16828" spans="2:3">
      <c r="B16828" s="12"/>
      <c r="C16828" s="12"/>
    </row>
    <row r="16829" spans="2:3">
      <c r="B16829" s="12"/>
      <c r="C16829" s="12"/>
    </row>
    <row r="16830" spans="2:3">
      <c r="B16830" s="12"/>
      <c r="C16830" s="12"/>
    </row>
    <row r="16831" spans="2:3">
      <c r="B16831" s="12"/>
      <c r="C16831" s="12"/>
    </row>
    <row r="16832" spans="2:3">
      <c r="B16832" s="12"/>
      <c r="C16832" s="12"/>
    </row>
    <row r="16833" spans="2:3">
      <c r="B16833" s="12"/>
      <c r="C16833" s="12"/>
    </row>
    <row r="16834" spans="2:3">
      <c r="B16834" s="12"/>
      <c r="C16834" s="12"/>
    </row>
    <row r="16835" spans="2:3">
      <c r="B16835" s="12"/>
      <c r="C16835" s="12"/>
    </row>
    <row r="16836" spans="2:3">
      <c r="B16836" s="12"/>
      <c r="C16836" s="12"/>
    </row>
    <row r="16837" spans="2:3">
      <c r="B16837" s="12"/>
      <c r="C16837" s="12"/>
    </row>
    <row r="16838" spans="2:3">
      <c r="B16838" s="12"/>
      <c r="C16838" s="12"/>
    </row>
    <row r="16839" spans="2:3">
      <c r="B16839" s="12"/>
      <c r="C16839" s="12"/>
    </row>
    <row r="16840" spans="2:3">
      <c r="B16840" s="12"/>
      <c r="C16840" s="12"/>
    </row>
    <row r="16841" spans="2:3">
      <c r="B16841" s="12"/>
      <c r="C16841" s="12"/>
    </row>
    <row r="16842" spans="2:3">
      <c r="B16842" s="12"/>
      <c r="C16842" s="12"/>
    </row>
    <row r="16843" spans="2:3">
      <c r="B16843" s="12"/>
      <c r="C16843" s="12"/>
    </row>
    <row r="16844" spans="2:3">
      <c r="B16844" s="12"/>
      <c r="C16844" s="12"/>
    </row>
    <row r="16845" spans="2:3">
      <c r="B16845" s="12"/>
      <c r="C16845" s="12"/>
    </row>
    <row r="16846" spans="2:3">
      <c r="B16846" s="12"/>
      <c r="C16846" s="12"/>
    </row>
    <row r="16847" spans="2:3">
      <c r="B16847" s="12"/>
      <c r="C16847" s="12"/>
    </row>
    <row r="16848" spans="2:3">
      <c r="B16848" s="12"/>
      <c r="C16848" s="12"/>
    </row>
    <row r="16849" spans="2:3">
      <c r="B16849" s="12"/>
      <c r="C16849" s="12"/>
    </row>
    <row r="16850" spans="2:3">
      <c r="B16850" s="12"/>
      <c r="C16850" s="12"/>
    </row>
    <row r="16851" spans="2:3">
      <c r="B16851" s="12"/>
      <c r="C16851" s="12"/>
    </row>
    <row r="16852" spans="2:3">
      <c r="B16852" s="12"/>
      <c r="C16852" s="12"/>
    </row>
    <row r="16853" spans="2:3">
      <c r="B16853" s="12"/>
      <c r="C16853" s="12"/>
    </row>
    <row r="16854" spans="2:3">
      <c r="B16854" s="12"/>
      <c r="C16854" s="12"/>
    </row>
    <row r="16855" spans="2:3">
      <c r="B16855" s="12"/>
      <c r="C16855" s="12"/>
    </row>
    <row r="16856" spans="2:3">
      <c r="B16856" s="12"/>
      <c r="C16856" s="12"/>
    </row>
    <row r="16857" spans="2:3">
      <c r="B16857" s="12"/>
      <c r="C16857" s="12"/>
    </row>
    <row r="16858" spans="2:3">
      <c r="B16858" s="12"/>
      <c r="C16858" s="12"/>
    </row>
    <row r="16859" spans="2:3">
      <c r="B16859" s="12"/>
      <c r="C16859" s="12"/>
    </row>
    <row r="16860" spans="2:3">
      <c r="B16860" s="12"/>
      <c r="C16860" s="12"/>
    </row>
    <row r="16861" spans="2:3">
      <c r="B16861" s="12"/>
      <c r="C16861" s="12"/>
    </row>
    <row r="16862" spans="2:3">
      <c r="B16862" s="12"/>
      <c r="C16862" s="12"/>
    </row>
    <row r="16863" spans="2:3">
      <c r="B16863" s="12"/>
      <c r="C16863" s="12"/>
    </row>
    <row r="16864" spans="2:3">
      <c r="B16864" s="12"/>
      <c r="C16864" s="12"/>
    </row>
    <row r="16865" spans="2:3">
      <c r="B16865" s="12"/>
      <c r="C16865" s="12"/>
    </row>
    <row r="16866" spans="2:3">
      <c r="B16866" s="12"/>
      <c r="C16866" s="12"/>
    </row>
    <row r="16867" spans="2:3">
      <c r="B16867" s="12"/>
      <c r="C16867" s="12"/>
    </row>
    <row r="16868" spans="2:3">
      <c r="B16868" s="12"/>
      <c r="C16868" s="12"/>
    </row>
    <row r="16869" spans="2:3">
      <c r="B16869" s="12"/>
      <c r="C16869" s="12"/>
    </row>
    <row r="16870" spans="2:3">
      <c r="B16870" s="12"/>
      <c r="C16870" s="12"/>
    </row>
    <row r="16871" spans="2:3">
      <c r="B16871" s="12"/>
      <c r="C16871" s="12"/>
    </row>
    <row r="16872" spans="2:3">
      <c r="B16872" s="12"/>
      <c r="C16872" s="12"/>
    </row>
    <row r="16873" spans="2:3">
      <c r="B16873" s="12"/>
      <c r="C16873" s="12"/>
    </row>
    <row r="16874" spans="2:3">
      <c r="B16874" s="12"/>
      <c r="C16874" s="12"/>
    </row>
    <row r="16875" spans="2:3">
      <c r="B16875" s="12"/>
      <c r="C16875" s="12"/>
    </row>
    <row r="16876" spans="2:3">
      <c r="B16876" s="12"/>
      <c r="C16876" s="12"/>
    </row>
    <row r="16877" spans="2:3">
      <c r="B16877" s="12"/>
      <c r="C16877" s="12"/>
    </row>
    <row r="16878" spans="2:3">
      <c r="B16878" s="12"/>
      <c r="C16878" s="12"/>
    </row>
    <row r="16879" spans="2:3">
      <c r="B16879" s="12"/>
      <c r="C16879" s="12"/>
    </row>
    <row r="16880" spans="2:3">
      <c r="B16880" s="12"/>
      <c r="C16880" s="12"/>
    </row>
    <row r="16881" spans="2:3">
      <c r="B16881" s="12"/>
      <c r="C16881" s="12"/>
    </row>
    <row r="16882" spans="2:3">
      <c r="B16882" s="12"/>
      <c r="C16882" s="12"/>
    </row>
    <row r="16883" spans="2:3">
      <c r="B16883" s="12"/>
      <c r="C16883" s="12"/>
    </row>
    <row r="16884" spans="2:3">
      <c r="B16884" s="12"/>
      <c r="C16884" s="12"/>
    </row>
    <row r="16885" spans="2:3">
      <c r="B16885" s="12"/>
      <c r="C16885" s="12"/>
    </row>
    <row r="16886" spans="2:3">
      <c r="B16886" s="12"/>
      <c r="C16886" s="12"/>
    </row>
    <row r="16887" spans="2:3">
      <c r="B16887" s="12"/>
      <c r="C16887" s="12"/>
    </row>
    <row r="16888" spans="2:3">
      <c r="B16888" s="12"/>
      <c r="C16888" s="12"/>
    </row>
    <row r="16889" spans="2:3">
      <c r="B16889" s="12"/>
      <c r="C16889" s="12"/>
    </row>
    <row r="16890" spans="2:3">
      <c r="B16890" s="12"/>
      <c r="C16890" s="12"/>
    </row>
    <row r="16891" spans="2:3">
      <c r="B16891" s="12"/>
      <c r="C16891" s="12"/>
    </row>
    <row r="16892" spans="2:3">
      <c r="B16892" s="12"/>
      <c r="C16892" s="12"/>
    </row>
    <row r="16893" spans="2:3">
      <c r="B16893" s="12"/>
      <c r="C16893" s="12"/>
    </row>
    <row r="16894" spans="2:3">
      <c r="B16894" s="12"/>
      <c r="C16894" s="12"/>
    </row>
    <row r="16895" spans="2:3">
      <c r="B16895" s="12"/>
      <c r="C16895" s="12"/>
    </row>
    <row r="16896" spans="2:3">
      <c r="B16896" s="12"/>
      <c r="C16896" s="12"/>
    </row>
    <row r="16897" spans="2:3">
      <c r="B16897" s="12"/>
      <c r="C16897" s="12"/>
    </row>
    <row r="16898" spans="2:3">
      <c r="B16898" s="12"/>
      <c r="C16898" s="12"/>
    </row>
    <row r="16899" spans="2:3">
      <c r="B16899" s="12"/>
      <c r="C16899" s="12"/>
    </row>
    <row r="16900" spans="2:3">
      <c r="B16900" s="12"/>
      <c r="C16900" s="12"/>
    </row>
    <row r="16901" spans="2:3">
      <c r="B16901" s="12"/>
      <c r="C16901" s="12"/>
    </row>
    <row r="16902" spans="2:3">
      <c r="B16902" s="12"/>
      <c r="C16902" s="12"/>
    </row>
    <row r="16903" spans="2:3">
      <c r="B16903" s="12"/>
      <c r="C16903" s="12"/>
    </row>
    <row r="16904" spans="2:3">
      <c r="B16904" s="12"/>
      <c r="C16904" s="12"/>
    </row>
    <row r="16905" spans="2:3">
      <c r="B16905" s="12"/>
      <c r="C16905" s="12"/>
    </row>
    <row r="16906" spans="2:3">
      <c r="B16906" s="12"/>
      <c r="C16906" s="12"/>
    </row>
    <row r="16907" spans="2:3">
      <c r="B16907" s="12"/>
      <c r="C16907" s="12"/>
    </row>
    <row r="16908" spans="2:3">
      <c r="B16908" s="12"/>
      <c r="C16908" s="12"/>
    </row>
    <row r="16909" spans="2:3">
      <c r="B16909" s="12"/>
      <c r="C16909" s="12"/>
    </row>
    <row r="16910" spans="2:3">
      <c r="B16910" s="12"/>
      <c r="C16910" s="12"/>
    </row>
    <row r="16911" spans="2:3">
      <c r="B16911" s="12"/>
      <c r="C16911" s="12"/>
    </row>
    <row r="16912" spans="2:3">
      <c r="B16912" s="12"/>
      <c r="C16912" s="12"/>
    </row>
    <row r="16913" spans="2:3">
      <c r="B16913" s="12"/>
      <c r="C16913" s="12"/>
    </row>
    <row r="16914" spans="2:3">
      <c r="B16914" s="12"/>
      <c r="C16914" s="12"/>
    </row>
    <row r="16915" spans="2:3">
      <c r="B16915" s="12"/>
      <c r="C16915" s="12"/>
    </row>
    <row r="16916" spans="2:3">
      <c r="B16916" s="12"/>
      <c r="C16916" s="12"/>
    </row>
    <row r="16917" spans="2:3">
      <c r="B16917" s="12"/>
      <c r="C16917" s="12"/>
    </row>
    <row r="16918" spans="2:3">
      <c r="B16918" s="12"/>
      <c r="C16918" s="12"/>
    </row>
    <row r="16919" spans="2:3">
      <c r="B16919" s="12"/>
      <c r="C16919" s="12"/>
    </row>
    <row r="16920" spans="2:3">
      <c r="B16920" s="12"/>
      <c r="C16920" s="12"/>
    </row>
    <row r="16921" spans="2:3">
      <c r="B16921" s="12"/>
      <c r="C16921" s="12"/>
    </row>
    <row r="16922" spans="2:3">
      <c r="B16922" s="12"/>
      <c r="C16922" s="12"/>
    </row>
    <row r="16923" spans="2:3">
      <c r="B16923" s="12"/>
      <c r="C16923" s="12"/>
    </row>
    <row r="16924" spans="2:3">
      <c r="B16924" s="12"/>
      <c r="C16924" s="12"/>
    </row>
    <row r="16925" spans="2:3">
      <c r="B16925" s="12"/>
      <c r="C16925" s="12"/>
    </row>
    <row r="16926" spans="2:3">
      <c r="B16926" s="12"/>
      <c r="C16926" s="12"/>
    </row>
    <row r="16927" spans="2:3">
      <c r="B16927" s="12"/>
      <c r="C16927" s="12"/>
    </row>
    <row r="16928" spans="2:3">
      <c r="B16928" s="12"/>
      <c r="C16928" s="12"/>
    </row>
    <row r="16929" spans="2:3">
      <c r="B16929" s="12"/>
      <c r="C16929" s="12"/>
    </row>
    <row r="16930" spans="2:3">
      <c r="B16930" s="12"/>
      <c r="C16930" s="12"/>
    </row>
    <row r="16931" spans="2:3">
      <c r="B16931" s="12"/>
      <c r="C16931" s="12"/>
    </row>
    <row r="16932" spans="2:3">
      <c r="B16932" s="12"/>
      <c r="C16932" s="12"/>
    </row>
    <row r="16933" spans="2:3">
      <c r="B16933" s="12"/>
      <c r="C16933" s="12"/>
    </row>
    <row r="16934" spans="2:3">
      <c r="B16934" s="12"/>
      <c r="C16934" s="12"/>
    </row>
    <row r="16935" spans="2:3">
      <c r="B16935" s="12"/>
      <c r="C16935" s="12"/>
    </row>
    <row r="16936" spans="2:3">
      <c r="B16936" s="12"/>
      <c r="C16936" s="12"/>
    </row>
    <row r="16937" spans="2:3">
      <c r="B16937" s="12"/>
      <c r="C16937" s="12"/>
    </row>
    <row r="16938" spans="2:3">
      <c r="B16938" s="12"/>
      <c r="C16938" s="12"/>
    </row>
    <row r="16939" spans="2:3">
      <c r="B16939" s="12"/>
      <c r="C16939" s="12"/>
    </row>
    <row r="16940" spans="2:3">
      <c r="B16940" s="12"/>
      <c r="C16940" s="12"/>
    </row>
    <row r="16941" spans="2:3">
      <c r="B16941" s="12"/>
      <c r="C16941" s="12"/>
    </row>
    <row r="16942" spans="2:3">
      <c r="B16942" s="12"/>
      <c r="C16942" s="12"/>
    </row>
    <row r="16943" spans="2:3">
      <c r="B16943" s="12"/>
      <c r="C16943" s="12"/>
    </row>
    <row r="16944" spans="2:3">
      <c r="B16944" s="12"/>
      <c r="C16944" s="12"/>
    </row>
    <row r="16945" spans="2:3">
      <c r="B16945" s="12"/>
      <c r="C16945" s="12"/>
    </row>
    <row r="16946" spans="2:3">
      <c r="B16946" s="12"/>
      <c r="C16946" s="12"/>
    </row>
    <row r="16947" spans="2:3">
      <c r="B16947" s="12"/>
      <c r="C16947" s="12"/>
    </row>
    <row r="16948" spans="2:3">
      <c r="B16948" s="12"/>
      <c r="C16948" s="12"/>
    </row>
    <row r="16949" spans="2:3">
      <c r="B16949" s="12"/>
      <c r="C16949" s="12"/>
    </row>
    <row r="16950" spans="2:3">
      <c r="B16950" s="12"/>
      <c r="C16950" s="12"/>
    </row>
    <row r="16951" spans="2:3">
      <c r="B16951" s="12"/>
      <c r="C16951" s="12"/>
    </row>
    <row r="16952" spans="2:3">
      <c r="B16952" s="12"/>
      <c r="C16952" s="12"/>
    </row>
    <row r="16953" spans="2:3">
      <c r="B16953" s="12"/>
      <c r="C16953" s="12"/>
    </row>
    <row r="16954" spans="2:3">
      <c r="B16954" s="12"/>
      <c r="C16954" s="12"/>
    </row>
    <row r="16955" spans="2:3">
      <c r="B16955" s="12"/>
      <c r="C16955" s="12"/>
    </row>
    <row r="16956" spans="2:3">
      <c r="B16956" s="12"/>
      <c r="C16956" s="12"/>
    </row>
    <row r="16957" spans="2:3">
      <c r="B16957" s="12"/>
      <c r="C16957" s="12"/>
    </row>
    <row r="16958" spans="2:3">
      <c r="B16958" s="12"/>
      <c r="C16958" s="12"/>
    </row>
    <row r="16959" spans="2:3">
      <c r="B16959" s="12"/>
      <c r="C16959" s="12"/>
    </row>
    <row r="16960" spans="2:3">
      <c r="B16960" s="12"/>
      <c r="C16960" s="12"/>
    </row>
    <row r="16961" spans="2:3">
      <c r="B16961" s="12"/>
      <c r="C16961" s="12"/>
    </row>
    <row r="16962" spans="2:3">
      <c r="B16962" s="12"/>
      <c r="C16962" s="12"/>
    </row>
    <row r="16963" spans="2:3">
      <c r="B16963" s="12"/>
      <c r="C16963" s="12"/>
    </row>
    <row r="16964" spans="2:3">
      <c r="B16964" s="12"/>
      <c r="C16964" s="12"/>
    </row>
    <row r="16965" spans="2:3">
      <c r="B16965" s="12"/>
      <c r="C16965" s="12"/>
    </row>
    <row r="16966" spans="2:3">
      <c r="B16966" s="12"/>
      <c r="C16966" s="12"/>
    </row>
    <row r="16967" spans="2:3">
      <c r="B16967" s="12"/>
      <c r="C16967" s="12"/>
    </row>
    <row r="16968" spans="2:3">
      <c r="B16968" s="12"/>
      <c r="C16968" s="12"/>
    </row>
    <row r="16969" spans="2:3">
      <c r="B16969" s="12"/>
      <c r="C16969" s="12"/>
    </row>
    <row r="16970" spans="2:3">
      <c r="B16970" s="12"/>
      <c r="C16970" s="12"/>
    </row>
    <row r="16971" spans="2:3">
      <c r="B16971" s="12"/>
      <c r="C16971" s="12"/>
    </row>
    <row r="16972" spans="2:3">
      <c r="B16972" s="12"/>
      <c r="C16972" s="12"/>
    </row>
    <row r="16973" spans="2:3">
      <c r="B16973" s="12"/>
      <c r="C16973" s="12"/>
    </row>
    <row r="16974" spans="2:3">
      <c r="B16974" s="12"/>
      <c r="C16974" s="12"/>
    </row>
    <row r="16975" spans="2:3">
      <c r="B16975" s="12"/>
      <c r="C16975" s="12"/>
    </row>
    <row r="16976" spans="2:3">
      <c r="B16976" s="12"/>
      <c r="C16976" s="12"/>
    </row>
    <row r="16977" spans="2:3">
      <c r="B16977" s="12"/>
      <c r="C16977" s="12"/>
    </row>
    <row r="16978" spans="2:3">
      <c r="B16978" s="12"/>
      <c r="C16978" s="12"/>
    </row>
    <row r="16979" spans="2:3">
      <c r="B16979" s="12"/>
      <c r="C16979" s="12"/>
    </row>
    <row r="16980" spans="2:3">
      <c r="B16980" s="12"/>
      <c r="C16980" s="12"/>
    </row>
    <row r="16981" spans="2:3">
      <c r="B16981" s="12"/>
      <c r="C16981" s="12"/>
    </row>
    <row r="16982" spans="2:3">
      <c r="B16982" s="12"/>
      <c r="C16982" s="12"/>
    </row>
    <row r="16983" spans="2:3">
      <c r="B16983" s="12"/>
      <c r="C16983" s="12"/>
    </row>
    <row r="16984" spans="2:3">
      <c r="B16984" s="12"/>
      <c r="C16984" s="12"/>
    </row>
    <row r="16985" spans="2:3">
      <c r="B16985" s="12"/>
      <c r="C16985" s="12"/>
    </row>
    <row r="16986" spans="2:3">
      <c r="B16986" s="12"/>
      <c r="C16986" s="12"/>
    </row>
    <row r="16987" spans="2:3">
      <c r="B16987" s="12"/>
      <c r="C16987" s="12"/>
    </row>
    <row r="16988" spans="2:3">
      <c r="B16988" s="12"/>
      <c r="C16988" s="12"/>
    </row>
    <row r="16989" spans="2:3">
      <c r="B16989" s="12"/>
      <c r="C16989" s="12"/>
    </row>
    <row r="16990" spans="2:3">
      <c r="B16990" s="12"/>
      <c r="C16990" s="12"/>
    </row>
    <row r="16991" spans="2:3">
      <c r="B16991" s="12"/>
      <c r="C16991" s="12"/>
    </row>
    <row r="16992" spans="2:3">
      <c r="B16992" s="12"/>
      <c r="C16992" s="12"/>
    </row>
    <row r="16993" spans="2:3">
      <c r="B16993" s="12"/>
      <c r="C16993" s="12"/>
    </row>
    <row r="16994" spans="2:3">
      <c r="B16994" s="12"/>
      <c r="C16994" s="12"/>
    </row>
    <row r="16995" spans="2:3">
      <c r="B16995" s="12"/>
      <c r="C16995" s="12"/>
    </row>
    <row r="16996" spans="2:3">
      <c r="B16996" s="12"/>
      <c r="C16996" s="12"/>
    </row>
    <row r="16997" spans="2:3">
      <c r="B16997" s="12"/>
      <c r="C16997" s="12"/>
    </row>
    <row r="16998" spans="2:3">
      <c r="B16998" s="12"/>
      <c r="C16998" s="12"/>
    </row>
    <row r="16999" spans="2:3">
      <c r="B16999" s="12"/>
      <c r="C16999" s="12"/>
    </row>
    <row r="17000" spans="2:3">
      <c r="B17000" s="12"/>
      <c r="C17000" s="12"/>
    </row>
    <row r="17001" spans="2:3">
      <c r="B17001" s="12"/>
      <c r="C17001" s="12"/>
    </row>
    <row r="17002" spans="2:3">
      <c r="B17002" s="12"/>
      <c r="C17002" s="12"/>
    </row>
    <row r="17003" spans="2:3">
      <c r="B17003" s="12"/>
      <c r="C17003" s="12"/>
    </row>
    <row r="17004" spans="2:3">
      <c r="B17004" s="12"/>
      <c r="C17004" s="12"/>
    </row>
    <row r="17005" spans="2:3">
      <c r="B17005" s="12"/>
      <c r="C17005" s="12"/>
    </row>
    <row r="17006" spans="2:3">
      <c r="B17006" s="12"/>
      <c r="C17006" s="12"/>
    </row>
    <row r="17007" spans="2:3">
      <c r="B17007" s="12"/>
      <c r="C17007" s="12"/>
    </row>
    <row r="17008" spans="2:3">
      <c r="B17008" s="12"/>
      <c r="C17008" s="12"/>
    </row>
    <row r="17009" spans="2:3">
      <c r="B17009" s="12"/>
      <c r="C17009" s="12"/>
    </row>
    <row r="17010" spans="2:3">
      <c r="B17010" s="12"/>
      <c r="C17010" s="12"/>
    </row>
    <row r="17011" spans="2:3">
      <c r="B17011" s="12"/>
      <c r="C17011" s="12"/>
    </row>
    <row r="17012" spans="2:3">
      <c r="B17012" s="12"/>
      <c r="C17012" s="12"/>
    </row>
    <row r="17013" spans="2:3">
      <c r="B17013" s="12"/>
      <c r="C17013" s="12"/>
    </row>
    <row r="17014" spans="2:3">
      <c r="B17014" s="12"/>
      <c r="C17014" s="12"/>
    </row>
    <row r="17015" spans="2:3">
      <c r="B17015" s="12"/>
      <c r="C17015" s="12"/>
    </row>
    <row r="17016" spans="2:3">
      <c r="B17016" s="12"/>
      <c r="C17016" s="12"/>
    </row>
    <row r="17017" spans="2:3">
      <c r="B17017" s="12"/>
      <c r="C17017" s="12"/>
    </row>
    <row r="17018" spans="2:3">
      <c r="B17018" s="12"/>
      <c r="C17018" s="12"/>
    </row>
    <row r="17019" spans="2:3">
      <c r="B17019" s="12"/>
      <c r="C17019" s="12"/>
    </row>
    <row r="17020" spans="2:3">
      <c r="B17020" s="12"/>
      <c r="C17020" s="12"/>
    </row>
    <row r="17021" spans="2:3">
      <c r="B17021" s="12"/>
      <c r="C17021" s="12"/>
    </row>
    <row r="17022" spans="2:3">
      <c r="B17022" s="12"/>
      <c r="C17022" s="12"/>
    </row>
    <row r="17023" spans="2:3">
      <c r="B17023" s="12"/>
      <c r="C17023" s="12"/>
    </row>
    <row r="17024" spans="2:3">
      <c r="B17024" s="12"/>
      <c r="C17024" s="12"/>
    </row>
    <row r="17025" spans="2:3">
      <c r="B17025" s="12"/>
      <c r="C17025" s="12"/>
    </row>
    <row r="17026" spans="2:3">
      <c r="B17026" s="12"/>
      <c r="C17026" s="12"/>
    </row>
    <row r="17027" spans="2:3">
      <c r="B17027" s="12"/>
      <c r="C17027" s="12"/>
    </row>
    <row r="17028" spans="2:3">
      <c r="B17028" s="12"/>
      <c r="C17028" s="12"/>
    </row>
    <row r="17029" spans="2:3">
      <c r="B17029" s="12"/>
      <c r="C17029" s="12"/>
    </row>
    <row r="17030" spans="2:3">
      <c r="B17030" s="12"/>
      <c r="C17030" s="12"/>
    </row>
    <row r="17031" spans="2:3">
      <c r="B17031" s="12"/>
      <c r="C17031" s="12"/>
    </row>
    <row r="17032" spans="2:3">
      <c r="B17032" s="12"/>
      <c r="C17032" s="12"/>
    </row>
    <row r="17033" spans="2:3">
      <c r="B17033" s="12"/>
      <c r="C17033" s="12"/>
    </row>
    <row r="17034" spans="2:3">
      <c r="B17034" s="12"/>
      <c r="C17034" s="12"/>
    </row>
    <row r="17035" spans="2:3">
      <c r="B17035" s="12"/>
      <c r="C17035" s="12"/>
    </row>
    <row r="17036" spans="2:3">
      <c r="B17036" s="12"/>
      <c r="C17036" s="12"/>
    </row>
    <row r="17037" spans="2:3">
      <c r="B17037" s="12"/>
      <c r="C17037" s="12"/>
    </row>
    <row r="17038" spans="2:3">
      <c r="B17038" s="12"/>
      <c r="C17038" s="12"/>
    </row>
    <row r="17039" spans="2:3">
      <c r="B17039" s="12"/>
      <c r="C17039" s="12"/>
    </row>
    <row r="17040" spans="2:3">
      <c r="B17040" s="12"/>
      <c r="C17040" s="12"/>
    </row>
    <row r="17041" spans="2:3">
      <c r="B17041" s="12"/>
      <c r="C17041" s="12"/>
    </row>
    <row r="17042" spans="2:3">
      <c r="B17042" s="12"/>
      <c r="C17042" s="12"/>
    </row>
    <row r="17043" spans="2:3">
      <c r="B17043" s="12"/>
      <c r="C17043" s="12"/>
    </row>
    <row r="17044" spans="2:3">
      <c r="B17044" s="12"/>
      <c r="C17044" s="12"/>
    </row>
    <row r="17045" spans="2:3">
      <c r="B17045" s="12"/>
      <c r="C17045" s="12"/>
    </row>
    <row r="17046" spans="2:3">
      <c r="B17046" s="12"/>
      <c r="C17046" s="12"/>
    </row>
    <row r="17047" spans="2:3">
      <c r="B17047" s="12"/>
      <c r="C17047" s="12"/>
    </row>
    <row r="17048" spans="2:3">
      <c r="B17048" s="12"/>
      <c r="C17048" s="12"/>
    </row>
    <row r="17049" spans="2:3">
      <c r="B17049" s="12"/>
      <c r="C17049" s="12"/>
    </row>
    <row r="17050" spans="2:3">
      <c r="B17050" s="12"/>
      <c r="C17050" s="12"/>
    </row>
    <row r="17051" spans="2:3">
      <c r="B17051" s="12"/>
      <c r="C17051" s="12"/>
    </row>
    <row r="17052" spans="2:3">
      <c r="B17052" s="12"/>
      <c r="C17052" s="12"/>
    </row>
    <row r="17053" spans="2:3">
      <c r="B17053" s="12"/>
      <c r="C17053" s="12"/>
    </row>
    <row r="17054" spans="2:3">
      <c r="B17054" s="12"/>
      <c r="C17054" s="12"/>
    </row>
    <row r="17055" spans="2:3">
      <c r="B17055" s="12"/>
      <c r="C17055" s="12"/>
    </row>
    <row r="17056" spans="2:3">
      <c r="B17056" s="12"/>
      <c r="C17056" s="12"/>
    </row>
    <row r="17057" spans="2:3">
      <c r="B17057" s="12"/>
      <c r="C17057" s="12"/>
    </row>
    <row r="17058" spans="2:3">
      <c r="B17058" s="12"/>
      <c r="C17058" s="12"/>
    </row>
    <row r="17059" spans="2:3">
      <c r="B17059" s="12"/>
      <c r="C17059" s="12"/>
    </row>
    <row r="17060" spans="2:3">
      <c r="B17060" s="12"/>
      <c r="C17060" s="12"/>
    </row>
    <row r="17061" spans="2:3">
      <c r="B17061" s="12"/>
      <c r="C17061" s="12"/>
    </row>
    <row r="17062" spans="2:3">
      <c r="B17062" s="12"/>
      <c r="C17062" s="12"/>
    </row>
    <row r="17063" spans="2:3">
      <c r="B17063" s="12"/>
      <c r="C17063" s="12"/>
    </row>
    <row r="17064" spans="2:3">
      <c r="B17064" s="12"/>
      <c r="C17064" s="12"/>
    </row>
    <row r="17065" spans="2:3">
      <c r="B17065" s="12"/>
      <c r="C17065" s="12"/>
    </row>
    <row r="17066" spans="2:3">
      <c r="B17066" s="12"/>
      <c r="C17066" s="12"/>
    </row>
    <row r="17067" spans="2:3">
      <c r="B17067" s="12"/>
      <c r="C17067" s="12"/>
    </row>
    <row r="17068" spans="2:3">
      <c r="B17068" s="12"/>
      <c r="C17068" s="12"/>
    </row>
    <row r="17069" spans="2:3">
      <c r="B17069" s="12"/>
      <c r="C17069" s="12"/>
    </row>
    <row r="17070" spans="2:3">
      <c r="B17070" s="12"/>
      <c r="C17070" s="12"/>
    </row>
    <row r="17071" spans="2:3">
      <c r="B17071" s="12"/>
      <c r="C17071" s="12"/>
    </row>
    <row r="17072" spans="2:3">
      <c r="B17072" s="12"/>
      <c r="C17072" s="12"/>
    </row>
    <row r="17073" spans="2:3">
      <c r="B17073" s="12"/>
      <c r="C17073" s="12"/>
    </row>
    <row r="17074" spans="2:3">
      <c r="B17074" s="12"/>
      <c r="C17074" s="12"/>
    </row>
    <row r="17075" spans="2:3">
      <c r="B17075" s="12"/>
      <c r="C17075" s="12"/>
    </row>
    <row r="17076" spans="2:3">
      <c r="B17076" s="12"/>
      <c r="C17076" s="12"/>
    </row>
    <row r="17077" spans="2:3">
      <c r="B17077" s="12"/>
      <c r="C17077" s="12"/>
    </row>
    <row r="17078" spans="2:3">
      <c r="B17078" s="12"/>
      <c r="C17078" s="12"/>
    </row>
    <row r="17079" spans="2:3">
      <c r="B17079" s="12"/>
      <c r="C17079" s="12"/>
    </row>
    <row r="17080" spans="2:3">
      <c r="B17080" s="12"/>
      <c r="C17080" s="12"/>
    </row>
    <row r="17081" spans="2:3">
      <c r="B17081" s="12"/>
      <c r="C17081" s="12"/>
    </row>
    <row r="17082" spans="2:3">
      <c r="B17082" s="12"/>
      <c r="C17082" s="12"/>
    </row>
    <row r="17083" spans="2:3">
      <c r="B17083" s="12"/>
      <c r="C17083" s="12"/>
    </row>
    <row r="17084" spans="2:3">
      <c r="B17084" s="12"/>
      <c r="C17084" s="12"/>
    </row>
    <row r="17085" spans="2:3">
      <c r="B17085" s="12"/>
      <c r="C17085" s="12"/>
    </row>
    <row r="17086" spans="2:3">
      <c r="B17086" s="12"/>
      <c r="C17086" s="12"/>
    </row>
    <row r="17087" spans="2:3">
      <c r="B17087" s="12"/>
      <c r="C17087" s="12"/>
    </row>
    <row r="17088" spans="2:3">
      <c r="B17088" s="12"/>
      <c r="C17088" s="12"/>
    </row>
    <row r="17089" spans="2:3">
      <c r="B17089" s="12"/>
      <c r="C17089" s="12"/>
    </row>
    <row r="17090" spans="2:3">
      <c r="B17090" s="12"/>
      <c r="C17090" s="12"/>
    </row>
    <row r="17091" spans="2:3">
      <c r="B17091" s="12"/>
      <c r="C17091" s="12"/>
    </row>
    <row r="17092" spans="2:3">
      <c r="B17092" s="12"/>
      <c r="C17092" s="12"/>
    </row>
    <row r="17093" spans="2:3">
      <c r="B17093" s="12"/>
      <c r="C17093" s="12"/>
    </row>
    <row r="17094" spans="2:3">
      <c r="B17094" s="12"/>
      <c r="C17094" s="12"/>
    </row>
    <row r="17095" spans="2:3">
      <c r="B17095" s="12"/>
      <c r="C17095" s="12"/>
    </row>
    <row r="17096" spans="2:3">
      <c r="B17096" s="12"/>
      <c r="C17096" s="12"/>
    </row>
    <row r="17097" spans="2:3">
      <c r="B17097" s="12"/>
      <c r="C17097" s="12"/>
    </row>
    <row r="17098" spans="2:3">
      <c r="B17098" s="12"/>
      <c r="C17098" s="12"/>
    </row>
    <row r="17099" spans="2:3">
      <c r="B17099" s="12"/>
      <c r="C17099" s="12"/>
    </row>
    <row r="17100" spans="2:3">
      <c r="B17100" s="12"/>
      <c r="C17100" s="12"/>
    </row>
    <row r="17101" spans="2:3">
      <c r="B17101" s="12"/>
      <c r="C17101" s="12"/>
    </row>
    <row r="17102" spans="2:3">
      <c r="B17102" s="12"/>
      <c r="C17102" s="12"/>
    </row>
    <row r="17103" spans="2:3">
      <c r="B17103" s="12"/>
      <c r="C17103" s="12"/>
    </row>
    <row r="17104" spans="2:3">
      <c r="B17104" s="12"/>
      <c r="C17104" s="12"/>
    </row>
    <row r="17105" spans="2:3">
      <c r="B17105" s="12"/>
      <c r="C17105" s="12"/>
    </row>
    <row r="17106" spans="2:3">
      <c r="B17106" s="12"/>
      <c r="C17106" s="12"/>
    </row>
    <row r="17107" spans="2:3">
      <c r="B17107" s="12"/>
      <c r="C17107" s="12"/>
    </row>
    <row r="17108" spans="2:3">
      <c r="B17108" s="12"/>
      <c r="C17108" s="12"/>
    </row>
    <row r="17109" spans="2:3">
      <c r="B17109" s="12"/>
      <c r="C17109" s="12"/>
    </row>
    <row r="17110" spans="2:3">
      <c r="B17110" s="12"/>
      <c r="C17110" s="12"/>
    </row>
    <row r="17111" spans="2:3">
      <c r="B17111" s="12"/>
      <c r="C17111" s="12"/>
    </row>
    <row r="17112" spans="2:3">
      <c r="B17112" s="12"/>
      <c r="C17112" s="12"/>
    </row>
    <row r="17113" spans="2:3">
      <c r="B17113" s="12"/>
      <c r="C17113" s="12"/>
    </row>
    <row r="17114" spans="2:3">
      <c r="B17114" s="12"/>
      <c r="C17114" s="12"/>
    </row>
    <row r="17115" spans="2:3">
      <c r="B17115" s="12"/>
      <c r="C17115" s="12"/>
    </row>
    <row r="17116" spans="2:3">
      <c r="B17116" s="12"/>
      <c r="C17116" s="12"/>
    </row>
    <row r="17117" spans="2:3">
      <c r="B17117" s="12"/>
      <c r="C17117" s="12"/>
    </row>
    <row r="17118" spans="2:3">
      <c r="B17118" s="12"/>
      <c r="C17118" s="12"/>
    </row>
    <row r="17119" spans="2:3">
      <c r="B17119" s="12"/>
      <c r="C17119" s="12"/>
    </row>
    <row r="17120" spans="2:3">
      <c r="B17120" s="12"/>
      <c r="C17120" s="12"/>
    </row>
    <row r="17121" spans="2:3">
      <c r="B17121" s="12"/>
      <c r="C17121" s="12"/>
    </row>
    <row r="17122" spans="2:3">
      <c r="B17122" s="12"/>
      <c r="C17122" s="12"/>
    </row>
    <row r="17123" spans="2:3">
      <c r="B17123" s="12"/>
      <c r="C17123" s="12"/>
    </row>
    <row r="17124" spans="2:3">
      <c r="B17124" s="12"/>
      <c r="C17124" s="12"/>
    </row>
    <row r="17125" spans="2:3">
      <c r="B17125" s="12"/>
      <c r="C17125" s="12"/>
    </row>
    <row r="17126" spans="2:3">
      <c r="B17126" s="12"/>
      <c r="C17126" s="12"/>
    </row>
    <row r="17127" spans="2:3">
      <c r="B17127" s="12"/>
      <c r="C17127" s="12"/>
    </row>
    <row r="17128" spans="2:3">
      <c r="B17128" s="12"/>
      <c r="C17128" s="12"/>
    </row>
    <row r="17129" spans="2:3">
      <c r="B17129" s="12"/>
      <c r="C17129" s="12"/>
    </row>
    <row r="17130" spans="2:3">
      <c r="B17130" s="12"/>
      <c r="C17130" s="12"/>
    </row>
    <row r="17131" spans="2:3">
      <c r="B17131" s="12"/>
      <c r="C17131" s="12"/>
    </row>
    <row r="17132" spans="2:3">
      <c r="B17132" s="12"/>
      <c r="C17132" s="12"/>
    </row>
    <row r="17133" spans="2:3">
      <c r="B17133" s="12"/>
      <c r="C17133" s="12"/>
    </row>
    <row r="17134" spans="2:3">
      <c r="B17134" s="12"/>
      <c r="C17134" s="12"/>
    </row>
    <row r="17135" spans="2:3">
      <c r="B17135" s="12"/>
      <c r="C17135" s="12"/>
    </row>
    <row r="17136" spans="2:3">
      <c r="B17136" s="12"/>
      <c r="C17136" s="12"/>
    </row>
    <row r="17137" spans="2:3">
      <c r="B17137" s="12"/>
      <c r="C17137" s="12"/>
    </row>
    <row r="17138" spans="2:3">
      <c r="B17138" s="12"/>
      <c r="C17138" s="12"/>
    </row>
    <row r="17139" spans="2:3">
      <c r="B17139" s="12"/>
      <c r="C17139" s="12"/>
    </row>
    <row r="17140" spans="2:3">
      <c r="B17140" s="12"/>
      <c r="C17140" s="12"/>
    </row>
    <row r="17141" spans="2:3">
      <c r="B17141" s="12"/>
      <c r="C17141" s="12"/>
    </row>
    <row r="17142" spans="2:3">
      <c r="B17142" s="12"/>
      <c r="C17142" s="12"/>
    </row>
    <row r="17143" spans="2:3">
      <c r="B17143" s="12"/>
      <c r="C17143" s="12"/>
    </row>
    <row r="17144" spans="2:3">
      <c r="B17144" s="12"/>
      <c r="C17144" s="12"/>
    </row>
    <row r="17145" spans="2:3">
      <c r="B17145" s="12"/>
      <c r="C17145" s="12"/>
    </row>
    <row r="17146" spans="2:3">
      <c r="B17146" s="12"/>
      <c r="C17146" s="12"/>
    </row>
    <row r="17147" spans="2:3">
      <c r="B17147" s="12"/>
      <c r="C17147" s="12"/>
    </row>
    <row r="17148" spans="2:3">
      <c r="B17148" s="12"/>
      <c r="C17148" s="12"/>
    </row>
    <row r="17149" spans="2:3">
      <c r="B17149" s="12"/>
      <c r="C17149" s="12"/>
    </row>
    <row r="17150" spans="2:3">
      <c r="B17150" s="12"/>
      <c r="C17150" s="12"/>
    </row>
    <row r="17151" spans="2:3">
      <c r="B17151" s="12"/>
      <c r="C17151" s="12"/>
    </row>
    <row r="17152" spans="2:3">
      <c r="B17152" s="12"/>
      <c r="C17152" s="12"/>
    </row>
    <row r="17153" spans="2:3">
      <c r="B17153" s="12"/>
      <c r="C17153" s="12"/>
    </row>
    <row r="17154" spans="2:3">
      <c r="B17154" s="12"/>
      <c r="C17154" s="12"/>
    </row>
    <row r="17155" spans="2:3">
      <c r="B17155" s="12"/>
      <c r="C17155" s="12"/>
    </row>
    <row r="17156" spans="2:3">
      <c r="B17156" s="12"/>
      <c r="C17156" s="12"/>
    </row>
    <row r="17157" spans="2:3">
      <c r="B17157" s="12"/>
      <c r="C17157" s="12"/>
    </row>
    <row r="17158" spans="2:3">
      <c r="B17158" s="12"/>
      <c r="C17158" s="12"/>
    </row>
    <row r="17159" spans="2:3">
      <c r="B17159" s="12"/>
      <c r="C17159" s="12"/>
    </row>
    <row r="17160" spans="2:3">
      <c r="B17160" s="12"/>
      <c r="C17160" s="12"/>
    </row>
    <row r="17161" spans="2:3">
      <c r="B17161" s="12"/>
      <c r="C17161" s="12"/>
    </row>
    <row r="17162" spans="2:3">
      <c r="B17162" s="12"/>
      <c r="C17162" s="12"/>
    </row>
    <row r="17163" spans="2:3">
      <c r="B17163" s="12"/>
      <c r="C17163" s="12"/>
    </row>
    <row r="17164" spans="2:3">
      <c r="B17164" s="12"/>
      <c r="C17164" s="12"/>
    </row>
    <row r="17165" spans="2:3">
      <c r="B17165" s="12"/>
      <c r="C17165" s="12"/>
    </row>
    <row r="17166" spans="2:3">
      <c r="B17166" s="12"/>
      <c r="C17166" s="12"/>
    </row>
    <row r="17167" spans="2:3">
      <c r="B17167" s="12"/>
      <c r="C17167" s="12"/>
    </row>
    <row r="17168" spans="2:3">
      <c r="B17168" s="12"/>
      <c r="C17168" s="12"/>
    </row>
    <row r="17169" spans="2:3">
      <c r="B17169" s="12"/>
      <c r="C17169" s="12"/>
    </row>
    <row r="17170" spans="2:3">
      <c r="B17170" s="12"/>
      <c r="C17170" s="12"/>
    </row>
    <row r="17171" spans="2:3">
      <c r="B17171" s="12"/>
      <c r="C17171" s="12"/>
    </row>
    <row r="17172" spans="2:3">
      <c r="B17172" s="12"/>
      <c r="C17172" s="12"/>
    </row>
    <row r="17173" spans="2:3">
      <c r="B17173" s="12"/>
      <c r="C17173" s="12"/>
    </row>
    <row r="17174" spans="2:3">
      <c r="B17174" s="12"/>
      <c r="C17174" s="12"/>
    </row>
    <row r="17175" spans="2:3">
      <c r="B17175" s="12"/>
      <c r="C17175" s="12"/>
    </row>
    <row r="17176" spans="2:3">
      <c r="B17176" s="12"/>
      <c r="C17176" s="12"/>
    </row>
    <row r="17177" spans="2:3">
      <c r="B17177" s="12"/>
      <c r="C17177" s="12"/>
    </row>
    <row r="17178" spans="2:3">
      <c r="B17178" s="12"/>
      <c r="C17178" s="12"/>
    </row>
    <row r="17179" spans="2:3">
      <c r="B17179" s="12"/>
      <c r="C17179" s="12"/>
    </row>
    <row r="17180" spans="2:3">
      <c r="B17180" s="12"/>
      <c r="C17180" s="12"/>
    </row>
    <row r="17181" spans="2:3">
      <c r="B17181" s="12"/>
      <c r="C17181" s="12"/>
    </row>
    <row r="17182" spans="2:3">
      <c r="B17182" s="12"/>
      <c r="C17182" s="12"/>
    </row>
    <row r="17183" spans="2:3">
      <c r="B17183" s="12"/>
      <c r="C17183" s="12"/>
    </row>
    <row r="17184" spans="2:3">
      <c r="B17184" s="12"/>
      <c r="C17184" s="12"/>
    </row>
    <row r="17185" spans="2:3">
      <c r="B17185" s="12"/>
      <c r="C17185" s="12"/>
    </row>
    <row r="17186" spans="2:3">
      <c r="B17186" s="12"/>
      <c r="C17186" s="12"/>
    </row>
    <row r="17187" spans="2:3">
      <c r="B17187" s="12"/>
      <c r="C17187" s="12"/>
    </row>
    <row r="17188" spans="2:3">
      <c r="B17188" s="12"/>
      <c r="C17188" s="12"/>
    </row>
    <row r="17189" spans="2:3">
      <c r="B17189" s="12"/>
      <c r="C17189" s="12"/>
    </row>
    <row r="17190" spans="2:3">
      <c r="B17190" s="12"/>
      <c r="C17190" s="12"/>
    </row>
    <row r="17191" spans="2:3">
      <c r="B17191" s="12"/>
      <c r="C17191" s="12"/>
    </row>
    <row r="17192" spans="2:3">
      <c r="B17192" s="12"/>
      <c r="C17192" s="12"/>
    </row>
    <row r="17193" spans="2:3">
      <c r="B17193" s="12"/>
      <c r="C17193" s="12"/>
    </row>
    <row r="17194" spans="2:3">
      <c r="B17194" s="12"/>
      <c r="C17194" s="12"/>
    </row>
    <row r="17195" spans="2:3">
      <c r="B17195" s="12"/>
      <c r="C17195" s="12"/>
    </row>
    <row r="17196" spans="2:3">
      <c r="B17196" s="12"/>
      <c r="C17196" s="12"/>
    </row>
    <row r="17197" spans="2:3">
      <c r="B17197" s="12"/>
      <c r="C17197" s="12"/>
    </row>
    <row r="17198" spans="2:3">
      <c r="B17198" s="12"/>
      <c r="C17198" s="12"/>
    </row>
    <row r="17199" spans="2:3">
      <c r="B17199" s="12"/>
      <c r="C17199" s="12"/>
    </row>
    <row r="17200" spans="2:3">
      <c r="B17200" s="12"/>
      <c r="C17200" s="12"/>
    </row>
    <row r="17201" spans="2:3">
      <c r="B17201" s="12"/>
      <c r="C17201" s="12"/>
    </row>
    <row r="17202" spans="2:3">
      <c r="B17202" s="12"/>
      <c r="C17202" s="12"/>
    </row>
    <row r="17203" spans="2:3">
      <c r="B17203" s="12"/>
      <c r="C17203" s="12"/>
    </row>
    <row r="17204" spans="2:3">
      <c r="B17204" s="12"/>
      <c r="C17204" s="12"/>
    </row>
    <row r="17205" spans="2:3">
      <c r="B17205" s="12"/>
      <c r="C17205" s="12"/>
    </row>
    <row r="17206" spans="2:3">
      <c r="B17206" s="12"/>
      <c r="C17206" s="12"/>
    </row>
    <row r="17207" spans="2:3">
      <c r="B17207" s="12"/>
      <c r="C17207" s="12"/>
    </row>
    <row r="17208" spans="2:3">
      <c r="B17208" s="12"/>
      <c r="C17208" s="12"/>
    </row>
    <row r="17209" spans="2:3">
      <c r="B17209" s="12"/>
      <c r="C17209" s="12"/>
    </row>
    <row r="17210" spans="2:3">
      <c r="B17210" s="12"/>
      <c r="C17210" s="12"/>
    </row>
    <row r="17211" spans="2:3">
      <c r="B17211" s="12"/>
      <c r="C17211" s="12"/>
    </row>
    <row r="17212" spans="2:3">
      <c r="B17212" s="12"/>
      <c r="C17212" s="12"/>
    </row>
    <row r="17213" spans="2:3">
      <c r="B17213" s="12"/>
      <c r="C17213" s="12"/>
    </row>
    <row r="17214" spans="2:3">
      <c r="B17214" s="12"/>
      <c r="C17214" s="12"/>
    </row>
    <row r="17215" spans="2:3">
      <c r="B17215" s="12"/>
      <c r="C17215" s="12"/>
    </row>
    <row r="17216" spans="2:3">
      <c r="B17216" s="12"/>
      <c r="C17216" s="12"/>
    </row>
    <row r="17217" spans="2:3">
      <c r="B17217" s="12"/>
      <c r="C17217" s="12"/>
    </row>
    <row r="17218" spans="2:3">
      <c r="B17218" s="12"/>
      <c r="C17218" s="12"/>
    </row>
    <row r="17219" spans="2:3">
      <c r="B17219" s="12"/>
      <c r="C17219" s="12"/>
    </row>
    <row r="17220" spans="2:3">
      <c r="B17220" s="12"/>
      <c r="C17220" s="12"/>
    </row>
    <row r="17221" spans="2:3">
      <c r="B17221" s="12"/>
      <c r="C17221" s="12"/>
    </row>
    <row r="17222" spans="2:3">
      <c r="B17222" s="12"/>
      <c r="C17222" s="12"/>
    </row>
    <row r="17223" spans="2:3">
      <c r="B17223" s="12"/>
      <c r="C17223" s="12"/>
    </row>
    <row r="17224" spans="2:3">
      <c r="B17224" s="12"/>
      <c r="C17224" s="12"/>
    </row>
    <row r="17225" spans="2:3">
      <c r="B17225" s="12"/>
      <c r="C17225" s="12"/>
    </row>
    <row r="17226" spans="2:3">
      <c r="B17226" s="12"/>
      <c r="C17226" s="12"/>
    </row>
    <row r="17227" spans="2:3">
      <c r="B17227" s="12"/>
      <c r="C17227" s="12"/>
    </row>
    <row r="17228" spans="2:3">
      <c r="B17228" s="12"/>
      <c r="C17228" s="12"/>
    </row>
    <row r="17229" spans="2:3">
      <c r="B17229" s="12"/>
      <c r="C17229" s="12"/>
    </row>
    <row r="17230" spans="2:3">
      <c r="B17230" s="12"/>
      <c r="C17230" s="12"/>
    </row>
    <row r="17231" spans="2:3">
      <c r="B17231" s="12"/>
      <c r="C17231" s="12"/>
    </row>
    <row r="17232" spans="2:3">
      <c r="B17232" s="12"/>
      <c r="C17232" s="12"/>
    </row>
    <row r="17233" spans="2:3">
      <c r="B17233" s="12"/>
      <c r="C17233" s="12"/>
    </row>
    <row r="17234" spans="2:3">
      <c r="B17234" s="12"/>
      <c r="C17234" s="12"/>
    </row>
    <row r="17235" spans="2:3">
      <c r="B17235" s="12"/>
      <c r="C17235" s="12"/>
    </row>
    <row r="17236" spans="2:3">
      <c r="B17236" s="12"/>
      <c r="C17236" s="12"/>
    </row>
    <row r="17237" spans="2:3">
      <c r="B17237" s="12"/>
      <c r="C17237" s="12"/>
    </row>
    <row r="17238" spans="2:3">
      <c r="B17238" s="12"/>
      <c r="C17238" s="12"/>
    </row>
    <row r="17239" spans="2:3">
      <c r="B17239" s="12"/>
      <c r="C17239" s="12"/>
    </row>
    <row r="17240" spans="2:3">
      <c r="B17240" s="12"/>
      <c r="C17240" s="12"/>
    </row>
    <row r="17241" spans="2:3">
      <c r="B17241" s="12"/>
      <c r="C17241" s="12"/>
    </row>
    <row r="17242" spans="2:3">
      <c r="B17242" s="12"/>
      <c r="C17242" s="12"/>
    </row>
    <row r="17243" spans="2:3">
      <c r="B17243" s="12"/>
      <c r="C17243" s="12"/>
    </row>
    <row r="17244" spans="2:3">
      <c r="B17244" s="12"/>
      <c r="C17244" s="12"/>
    </row>
    <row r="17245" spans="2:3">
      <c r="B17245" s="12"/>
      <c r="C17245" s="12"/>
    </row>
    <row r="17246" spans="2:3">
      <c r="B17246" s="12"/>
      <c r="C17246" s="12"/>
    </row>
    <row r="17247" spans="2:3">
      <c r="B17247" s="12"/>
      <c r="C17247" s="12"/>
    </row>
    <row r="17248" spans="2:3">
      <c r="B17248" s="12"/>
      <c r="C17248" s="12"/>
    </row>
    <row r="17249" spans="2:3">
      <c r="B17249" s="12"/>
      <c r="C17249" s="12"/>
    </row>
    <row r="17250" spans="2:3">
      <c r="B17250" s="12"/>
      <c r="C17250" s="12"/>
    </row>
    <row r="17251" spans="2:3">
      <c r="B17251" s="12"/>
      <c r="C17251" s="12"/>
    </row>
    <row r="17252" spans="2:3">
      <c r="B17252" s="12"/>
      <c r="C17252" s="12"/>
    </row>
    <row r="17253" spans="2:3">
      <c r="B17253" s="12"/>
      <c r="C17253" s="12"/>
    </row>
    <row r="17254" spans="2:3">
      <c r="B17254" s="12"/>
      <c r="C17254" s="12"/>
    </row>
    <row r="17255" spans="2:3">
      <c r="B17255" s="12"/>
      <c r="C17255" s="12"/>
    </row>
    <row r="17256" spans="2:3">
      <c r="B17256" s="12"/>
      <c r="C17256" s="12"/>
    </row>
    <row r="17257" spans="2:3">
      <c r="B17257" s="12"/>
      <c r="C17257" s="12"/>
    </row>
    <row r="17258" spans="2:3">
      <c r="B17258" s="12"/>
      <c r="C17258" s="12"/>
    </row>
    <row r="17259" spans="2:3">
      <c r="B17259" s="12"/>
      <c r="C17259" s="12"/>
    </row>
    <row r="17260" spans="2:3">
      <c r="B17260" s="12"/>
      <c r="C17260" s="12"/>
    </row>
    <row r="17261" spans="2:3">
      <c r="B17261" s="12"/>
      <c r="C17261" s="12"/>
    </row>
    <row r="17262" spans="2:3">
      <c r="B17262" s="12"/>
      <c r="C17262" s="12"/>
    </row>
    <row r="17263" spans="2:3">
      <c r="B17263" s="12"/>
      <c r="C17263" s="12"/>
    </row>
    <row r="17264" spans="2:3">
      <c r="B17264" s="12"/>
      <c r="C17264" s="12"/>
    </row>
    <row r="17265" spans="2:3">
      <c r="B17265" s="12"/>
      <c r="C17265" s="12"/>
    </row>
    <row r="17266" spans="2:3">
      <c r="B17266" s="12"/>
      <c r="C17266" s="12"/>
    </row>
    <row r="17267" spans="2:3">
      <c r="B17267" s="12"/>
      <c r="C17267" s="12"/>
    </row>
    <row r="17268" spans="2:3">
      <c r="B17268" s="12"/>
      <c r="C17268" s="12"/>
    </row>
    <row r="17269" spans="2:3">
      <c r="B17269" s="12"/>
      <c r="C17269" s="12"/>
    </row>
    <row r="17270" spans="2:3">
      <c r="B17270" s="12"/>
      <c r="C17270" s="12"/>
    </row>
    <row r="17271" spans="2:3">
      <c r="B17271" s="12"/>
      <c r="C17271" s="12"/>
    </row>
    <row r="17272" spans="2:3">
      <c r="B17272" s="12"/>
      <c r="C17272" s="12"/>
    </row>
    <row r="17273" spans="2:3">
      <c r="B17273" s="12"/>
      <c r="C17273" s="12"/>
    </row>
    <row r="17274" spans="2:3">
      <c r="B17274" s="12"/>
      <c r="C17274" s="12"/>
    </row>
    <row r="17275" spans="2:3">
      <c r="B17275" s="12"/>
      <c r="C17275" s="12"/>
    </row>
    <row r="17276" spans="2:3">
      <c r="B17276" s="12"/>
      <c r="C17276" s="12"/>
    </row>
    <row r="17277" spans="2:3">
      <c r="B17277" s="12"/>
      <c r="C17277" s="12"/>
    </row>
    <row r="17278" spans="2:3">
      <c r="B17278" s="12"/>
      <c r="C17278" s="12"/>
    </row>
    <row r="17279" spans="2:3">
      <c r="B17279" s="12"/>
      <c r="C17279" s="12"/>
    </row>
    <row r="17280" spans="2:3">
      <c r="B17280" s="12"/>
      <c r="C17280" s="12"/>
    </row>
    <row r="17281" spans="2:3">
      <c r="B17281" s="12"/>
      <c r="C17281" s="12"/>
    </row>
    <row r="17282" spans="2:3">
      <c r="B17282" s="12"/>
      <c r="C17282" s="12"/>
    </row>
    <row r="17283" spans="2:3">
      <c r="B17283" s="12"/>
      <c r="C17283" s="12"/>
    </row>
    <row r="17284" spans="2:3">
      <c r="B17284" s="12"/>
      <c r="C17284" s="12"/>
    </row>
    <row r="17285" spans="2:3">
      <c r="B17285" s="12"/>
      <c r="C17285" s="12"/>
    </row>
    <row r="17286" spans="2:3">
      <c r="B17286" s="12"/>
      <c r="C17286" s="12"/>
    </row>
    <row r="17287" spans="2:3">
      <c r="B17287" s="12"/>
      <c r="C17287" s="12"/>
    </row>
    <row r="17288" spans="2:3">
      <c r="B17288" s="12"/>
      <c r="C17288" s="12"/>
    </row>
    <row r="17289" spans="2:3">
      <c r="B17289" s="12"/>
      <c r="C17289" s="12"/>
    </row>
    <row r="17290" spans="2:3">
      <c r="B17290" s="12"/>
      <c r="C17290" s="12"/>
    </row>
    <row r="17291" spans="2:3">
      <c r="B17291" s="12"/>
      <c r="C17291" s="12"/>
    </row>
    <row r="17292" spans="2:3">
      <c r="B17292" s="12"/>
      <c r="C17292" s="12"/>
    </row>
    <row r="17293" spans="2:3">
      <c r="B17293" s="12"/>
      <c r="C17293" s="12"/>
    </row>
    <row r="17294" spans="2:3">
      <c r="B17294" s="12"/>
      <c r="C17294" s="12"/>
    </row>
    <row r="17295" spans="2:3">
      <c r="B17295" s="12"/>
      <c r="C17295" s="12"/>
    </row>
    <row r="17296" spans="2:3">
      <c r="B17296" s="12"/>
      <c r="C17296" s="12"/>
    </row>
    <row r="17297" spans="2:3">
      <c r="B17297" s="12"/>
      <c r="C17297" s="12"/>
    </row>
    <row r="17298" spans="2:3">
      <c r="B17298" s="12"/>
      <c r="C17298" s="12"/>
    </row>
    <row r="17299" spans="2:3">
      <c r="B17299" s="12"/>
      <c r="C17299" s="12"/>
    </row>
    <row r="17300" spans="2:3">
      <c r="B17300" s="12"/>
      <c r="C17300" s="12"/>
    </row>
    <row r="17301" spans="2:3">
      <c r="B17301" s="12"/>
      <c r="C17301" s="12"/>
    </row>
    <row r="17302" spans="2:3">
      <c r="B17302" s="12"/>
      <c r="C17302" s="12"/>
    </row>
    <row r="17303" spans="2:3">
      <c r="B17303" s="12"/>
      <c r="C17303" s="12"/>
    </row>
    <row r="17304" spans="2:3">
      <c r="B17304" s="12"/>
      <c r="C17304" s="12"/>
    </row>
    <row r="17305" spans="2:3">
      <c r="B17305" s="12"/>
      <c r="C17305" s="12"/>
    </row>
    <row r="17306" spans="2:3">
      <c r="B17306" s="12"/>
      <c r="C17306" s="12"/>
    </row>
    <row r="17307" spans="2:3">
      <c r="B17307" s="12"/>
      <c r="C17307" s="12"/>
    </row>
    <row r="17308" spans="2:3">
      <c r="B17308" s="12"/>
      <c r="C17308" s="12"/>
    </row>
    <row r="17309" spans="2:3">
      <c r="B17309" s="12"/>
      <c r="C17309" s="12"/>
    </row>
    <row r="17310" spans="2:3">
      <c r="B17310" s="12"/>
      <c r="C17310" s="12"/>
    </row>
    <row r="17311" spans="2:3">
      <c r="B17311" s="12"/>
      <c r="C17311" s="12"/>
    </row>
    <row r="17312" spans="2:3">
      <c r="B17312" s="12"/>
      <c r="C17312" s="12"/>
    </row>
    <row r="17313" spans="2:3">
      <c r="B17313" s="12"/>
      <c r="C17313" s="12"/>
    </row>
    <row r="17314" spans="2:3">
      <c r="B17314" s="12"/>
      <c r="C17314" s="12"/>
    </row>
    <row r="17315" spans="2:3">
      <c r="B17315" s="12"/>
      <c r="C17315" s="12"/>
    </row>
    <row r="17316" spans="2:3">
      <c r="B17316" s="12"/>
      <c r="C17316" s="12"/>
    </row>
    <row r="17317" spans="2:3">
      <c r="B17317" s="12"/>
      <c r="C17317" s="12"/>
    </row>
    <row r="17318" spans="2:3">
      <c r="B17318" s="12"/>
      <c r="C17318" s="12"/>
    </row>
    <row r="17319" spans="2:3">
      <c r="B17319" s="12"/>
      <c r="C17319" s="12"/>
    </row>
    <row r="17320" spans="2:3">
      <c r="B17320" s="12"/>
      <c r="C17320" s="12"/>
    </row>
    <row r="17321" spans="2:3">
      <c r="B17321" s="12"/>
      <c r="C17321" s="12"/>
    </row>
    <row r="17322" spans="2:3">
      <c r="B17322" s="12"/>
      <c r="C17322" s="12"/>
    </row>
    <row r="17323" spans="2:3">
      <c r="B17323" s="12"/>
      <c r="C17323" s="12"/>
    </row>
    <row r="17324" spans="2:3">
      <c r="B17324" s="12"/>
      <c r="C17324" s="12"/>
    </row>
    <row r="17325" spans="2:3">
      <c r="B17325" s="12"/>
      <c r="C17325" s="12"/>
    </row>
    <row r="17326" spans="2:3">
      <c r="B17326" s="12"/>
      <c r="C17326" s="12"/>
    </row>
    <row r="17327" spans="2:3">
      <c r="B17327" s="12"/>
      <c r="C17327" s="12"/>
    </row>
    <row r="17328" spans="2:3">
      <c r="B17328" s="12"/>
      <c r="C17328" s="12"/>
    </row>
    <row r="17329" spans="2:3">
      <c r="B17329" s="12"/>
      <c r="C17329" s="12"/>
    </row>
    <row r="17330" spans="2:3">
      <c r="B17330" s="12"/>
      <c r="C17330" s="12"/>
    </row>
    <row r="17331" spans="2:3">
      <c r="B17331" s="12"/>
      <c r="C17331" s="12"/>
    </row>
    <row r="17332" spans="2:3">
      <c r="B17332" s="12"/>
      <c r="C17332" s="12"/>
    </row>
    <row r="17333" spans="2:3">
      <c r="B17333" s="12"/>
      <c r="C17333" s="12"/>
    </row>
    <row r="17334" spans="2:3">
      <c r="B17334" s="12"/>
      <c r="C17334" s="12"/>
    </row>
    <row r="17335" spans="2:3">
      <c r="B17335" s="12"/>
      <c r="C17335" s="12"/>
    </row>
    <row r="17336" spans="2:3">
      <c r="B17336" s="12"/>
      <c r="C17336" s="12"/>
    </row>
    <row r="17337" spans="2:3">
      <c r="B17337" s="12"/>
      <c r="C17337" s="12"/>
    </row>
    <row r="17338" spans="2:3">
      <c r="B17338" s="12"/>
      <c r="C17338" s="12"/>
    </row>
    <row r="17339" spans="2:3">
      <c r="B17339" s="12"/>
      <c r="C17339" s="12"/>
    </row>
    <row r="17340" spans="2:3">
      <c r="B17340" s="12"/>
      <c r="C17340" s="12"/>
    </row>
    <row r="17341" spans="2:3">
      <c r="B17341" s="12"/>
      <c r="C17341" s="12"/>
    </row>
    <row r="17342" spans="2:3">
      <c r="B17342" s="12"/>
      <c r="C17342" s="12"/>
    </row>
    <row r="17343" spans="2:3">
      <c r="B17343" s="12"/>
      <c r="C17343" s="12"/>
    </row>
    <row r="17344" spans="2:3">
      <c r="B17344" s="12"/>
      <c r="C17344" s="12"/>
    </row>
    <row r="17345" spans="2:3">
      <c r="B17345" s="12"/>
      <c r="C17345" s="12"/>
    </row>
    <row r="17346" spans="2:3">
      <c r="B17346" s="12"/>
      <c r="C17346" s="12"/>
    </row>
    <row r="17347" spans="2:3">
      <c r="B17347" s="12"/>
      <c r="C17347" s="12"/>
    </row>
    <row r="17348" spans="2:3">
      <c r="B17348" s="12"/>
      <c r="C17348" s="12"/>
    </row>
    <row r="17349" spans="2:3">
      <c r="B17349" s="12"/>
      <c r="C17349" s="12"/>
    </row>
    <row r="17350" spans="2:3">
      <c r="B17350" s="12"/>
      <c r="C17350" s="12"/>
    </row>
    <row r="17351" spans="2:3">
      <c r="B17351" s="12"/>
      <c r="C17351" s="12"/>
    </row>
    <row r="17352" spans="2:3">
      <c r="B17352" s="12"/>
      <c r="C17352" s="12"/>
    </row>
    <row r="17353" spans="2:3">
      <c r="B17353" s="12"/>
      <c r="C17353" s="12"/>
    </row>
    <row r="17354" spans="2:3">
      <c r="B17354" s="12"/>
      <c r="C17354" s="12"/>
    </row>
    <row r="17355" spans="2:3">
      <c r="B17355" s="12"/>
      <c r="C17355" s="12"/>
    </row>
    <row r="17356" spans="2:3">
      <c r="B17356" s="12"/>
      <c r="C17356" s="12"/>
    </row>
    <row r="17357" spans="2:3">
      <c r="B17357" s="12"/>
      <c r="C17357" s="12"/>
    </row>
    <row r="17358" spans="2:3">
      <c r="B17358" s="12"/>
      <c r="C17358" s="12"/>
    </row>
    <row r="17359" spans="2:3">
      <c r="B17359" s="12"/>
      <c r="C17359" s="12"/>
    </row>
    <row r="17360" spans="2:3">
      <c r="B17360" s="12"/>
      <c r="C17360" s="12"/>
    </row>
    <row r="17361" spans="2:3">
      <c r="B17361" s="12"/>
      <c r="C17361" s="12"/>
    </row>
    <row r="17362" spans="2:3">
      <c r="B17362" s="12"/>
      <c r="C17362" s="12"/>
    </row>
    <row r="17363" spans="2:3">
      <c r="B17363" s="12"/>
      <c r="C17363" s="12"/>
    </row>
    <row r="17364" spans="2:3">
      <c r="B17364" s="12"/>
      <c r="C17364" s="12"/>
    </row>
    <row r="17365" spans="2:3">
      <c r="B17365" s="12"/>
      <c r="C17365" s="12"/>
    </row>
    <row r="17366" spans="2:3">
      <c r="B17366" s="12"/>
      <c r="C17366" s="12"/>
    </row>
    <row r="17367" spans="2:3">
      <c r="B17367" s="12"/>
      <c r="C17367" s="12"/>
    </row>
    <row r="17368" spans="2:3">
      <c r="B17368" s="12"/>
      <c r="C17368" s="12"/>
    </row>
    <row r="17369" spans="2:3">
      <c r="B17369" s="12"/>
      <c r="C17369" s="12"/>
    </row>
    <row r="17370" spans="2:3">
      <c r="B17370" s="12"/>
      <c r="C17370" s="12"/>
    </row>
    <row r="17371" spans="2:3">
      <c r="B17371" s="12"/>
      <c r="C17371" s="12"/>
    </row>
    <row r="17372" spans="2:3">
      <c r="B17372" s="12"/>
      <c r="C17372" s="12"/>
    </row>
    <row r="17373" spans="2:3">
      <c r="B17373" s="12"/>
      <c r="C17373" s="12"/>
    </row>
    <row r="17374" spans="2:3">
      <c r="B17374" s="12"/>
      <c r="C17374" s="12"/>
    </row>
    <row r="17375" spans="2:3">
      <c r="B17375" s="12"/>
      <c r="C17375" s="12"/>
    </row>
    <row r="17376" spans="2:3">
      <c r="B17376" s="12"/>
      <c r="C17376" s="12"/>
    </row>
    <row r="17377" spans="2:3">
      <c r="B17377" s="12"/>
      <c r="C17377" s="12"/>
    </row>
    <row r="17378" spans="2:3">
      <c r="B17378" s="12"/>
      <c r="C17378" s="12"/>
    </row>
    <row r="17379" spans="2:3">
      <c r="B17379" s="12"/>
      <c r="C17379" s="12"/>
    </row>
    <row r="17380" spans="2:3">
      <c r="B17380" s="12"/>
      <c r="C17380" s="12"/>
    </row>
    <row r="17381" spans="2:3">
      <c r="B17381" s="12"/>
      <c r="C17381" s="12"/>
    </row>
    <row r="17382" spans="2:3">
      <c r="B17382" s="12"/>
      <c r="C17382" s="12"/>
    </row>
    <row r="17383" spans="2:3">
      <c r="B17383" s="12"/>
      <c r="C17383" s="12"/>
    </row>
    <row r="17384" spans="2:3">
      <c r="B17384" s="12"/>
      <c r="C17384" s="12"/>
    </row>
    <row r="17385" spans="2:3">
      <c r="B17385" s="12"/>
      <c r="C17385" s="12"/>
    </row>
    <row r="17386" spans="2:3">
      <c r="B17386" s="12"/>
      <c r="C17386" s="12"/>
    </row>
    <row r="17387" spans="2:3">
      <c r="B17387" s="12"/>
      <c r="C17387" s="12"/>
    </row>
    <row r="17388" spans="2:3">
      <c r="B17388" s="12"/>
      <c r="C17388" s="12"/>
    </row>
    <row r="17389" spans="2:3">
      <c r="B17389" s="12"/>
      <c r="C17389" s="12"/>
    </row>
    <row r="17390" spans="2:3">
      <c r="B17390" s="12"/>
      <c r="C17390" s="12"/>
    </row>
    <row r="17391" spans="2:3">
      <c r="B17391" s="12"/>
      <c r="C17391" s="12"/>
    </row>
    <row r="17392" spans="2:3">
      <c r="B17392" s="12"/>
      <c r="C17392" s="12"/>
    </row>
    <row r="17393" spans="2:3">
      <c r="B17393" s="12"/>
      <c r="C17393" s="12"/>
    </row>
    <row r="17394" spans="2:3">
      <c r="B17394" s="12"/>
      <c r="C17394" s="12"/>
    </row>
    <row r="17395" spans="2:3">
      <c r="B17395" s="12"/>
      <c r="C17395" s="12"/>
    </row>
    <row r="17396" spans="2:3">
      <c r="B17396" s="12"/>
      <c r="C17396" s="12"/>
    </row>
    <row r="17397" spans="2:3">
      <c r="B17397" s="12"/>
      <c r="C17397" s="12"/>
    </row>
    <row r="17398" spans="2:3">
      <c r="B17398" s="12"/>
      <c r="C17398" s="12"/>
    </row>
    <row r="17399" spans="2:3">
      <c r="B17399" s="12"/>
      <c r="C17399" s="12"/>
    </row>
    <row r="17400" spans="2:3">
      <c r="B17400" s="12"/>
      <c r="C17400" s="12"/>
    </row>
    <row r="17401" spans="2:3">
      <c r="B17401" s="12"/>
      <c r="C17401" s="12"/>
    </row>
    <row r="17402" spans="2:3">
      <c r="B17402" s="12"/>
      <c r="C17402" s="12"/>
    </row>
    <row r="17403" spans="2:3">
      <c r="B17403" s="12"/>
      <c r="C17403" s="12"/>
    </row>
    <row r="17404" spans="2:3">
      <c r="B17404" s="12"/>
      <c r="C17404" s="12"/>
    </row>
    <row r="17405" spans="2:3">
      <c r="B17405" s="12"/>
      <c r="C17405" s="12"/>
    </row>
    <row r="17406" spans="2:3">
      <c r="B17406" s="12"/>
      <c r="C17406" s="12"/>
    </row>
    <row r="17407" spans="2:3">
      <c r="B17407" s="12"/>
      <c r="C17407" s="12"/>
    </row>
    <row r="17408" spans="2:3">
      <c r="B17408" s="12"/>
      <c r="C17408" s="12"/>
    </row>
    <row r="17409" spans="2:3">
      <c r="B17409" s="12"/>
      <c r="C17409" s="12"/>
    </row>
    <row r="17410" spans="2:3">
      <c r="B17410" s="12"/>
      <c r="C17410" s="12"/>
    </row>
    <row r="17411" spans="2:3">
      <c r="B17411" s="12"/>
      <c r="C17411" s="12"/>
    </row>
    <row r="17412" spans="2:3">
      <c r="B17412" s="12"/>
      <c r="C17412" s="12"/>
    </row>
    <row r="17413" spans="2:3">
      <c r="B17413" s="12"/>
      <c r="C17413" s="12"/>
    </row>
    <row r="17414" spans="2:3">
      <c r="B17414" s="12"/>
      <c r="C17414" s="12"/>
    </row>
    <row r="17415" spans="2:3">
      <c r="B17415" s="12"/>
      <c r="C17415" s="12"/>
    </row>
    <row r="17416" spans="2:3">
      <c r="B17416" s="12"/>
      <c r="C17416" s="12"/>
    </row>
    <row r="17417" spans="2:3">
      <c r="B17417" s="12"/>
      <c r="C17417" s="12"/>
    </row>
    <row r="17418" spans="2:3">
      <c r="B17418" s="12"/>
      <c r="C17418" s="12"/>
    </row>
    <row r="17419" spans="2:3">
      <c r="B17419" s="12"/>
      <c r="C17419" s="12"/>
    </row>
    <row r="17420" spans="2:3">
      <c r="B17420" s="12"/>
      <c r="C17420" s="12"/>
    </row>
    <row r="17421" spans="2:3">
      <c r="B17421" s="12"/>
      <c r="C17421" s="12"/>
    </row>
    <row r="17422" spans="2:3">
      <c r="B17422" s="12"/>
      <c r="C17422" s="12"/>
    </row>
    <row r="17423" spans="2:3">
      <c r="B17423" s="12"/>
      <c r="C17423" s="12"/>
    </row>
    <row r="17424" spans="2:3">
      <c r="B17424" s="12"/>
      <c r="C17424" s="12"/>
    </row>
    <row r="17425" spans="2:3">
      <c r="B17425" s="12"/>
      <c r="C17425" s="12"/>
    </row>
    <row r="17426" spans="2:3">
      <c r="B17426" s="12"/>
      <c r="C17426" s="12"/>
    </row>
    <row r="17427" spans="2:3">
      <c r="B17427" s="12"/>
      <c r="C17427" s="12"/>
    </row>
    <row r="17428" spans="2:3">
      <c r="B17428" s="12"/>
      <c r="C17428" s="12"/>
    </row>
    <row r="17429" spans="2:3">
      <c r="B17429" s="12"/>
      <c r="C17429" s="12"/>
    </row>
    <row r="17430" spans="2:3">
      <c r="B17430" s="12"/>
      <c r="C17430" s="12"/>
    </row>
    <row r="17431" spans="2:3">
      <c r="B17431" s="12"/>
      <c r="C17431" s="12"/>
    </row>
    <row r="17432" spans="2:3">
      <c r="B17432" s="12"/>
      <c r="C17432" s="12"/>
    </row>
    <row r="17433" spans="2:3">
      <c r="B17433" s="12"/>
      <c r="C17433" s="12"/>
    </row>
    <row r="17434" spans="2:3">
      <c r="B17434" s="12"/>
      <c r="C17434" s="12"/>
    </row>
    <row r="17435" spans="2:3">
      <c r="B17435" s="12"/>
      <c r="C17435" s="12"/>
    </row>
    <row r="17436" spans="2:3">
      <c r="B17436" s="12"/>
      <c r="C17436" s="12"/>
    </row>
    <row r="17437" spans="2:3">
      <c r="B17437" s="12"/>
      <c r="C17437" s="12"/>
    </row>
    <row r="17438" spans="2:3">
      <c r="B17438" s="12"/>
      <c r="C17438" s="12"/>
    </row>
    <row r="17439" spans="2:3">
      <c r="B17439" s="12"/>
      <c r="C17439" s="12"/>
    </row>
    <row r="17440" spans="2:3">
      <c r="B17440" s="12"/>
      <c r="C17440" s="12"/>
    </row>
    <row r="17441" spans="2:3">
      <c r="B17441" s="12"/>
      <c r="C17441" s="12"/>
    </row>
    <row r="17442" spans="2:3">
      <c r="B17442" s="12"/>
      <c r="C17442" s="12"/>
    </row>
    <row r="17443" spans="2:3">
      <c r="B17443" s="12"/>
      <c r="C17443" s="12"/>
    </row>
    <row r="17444" spans="2:3">
      <c r="B17444" s="12"/>
      <c r="C17444" s="12"/>
    </row>
    <row r="17445" spans="2:3">
      <c r="B17445" s="12"/>
      <c r="C17445" s="12"/>
    </row>
    <row r="17446" spans="2:3">
      <c r="B17446" s="12"/>
      <c r="C17446" s="12"/>
    </row>
    <row r="17447" spans="2:3">
      <c r="B17447" s="12"/>
      <c r="C17447" s="12"/>
    </row>
    <row r="17448" spans="2:3">
      <c r="B17448" s="12"/>
      <c r="C17448" s="12"/>
    </row>
    <row r="17449" spans="2:3">
      <c r="B17449" s="12"/>
      <c r="C17449" s="12"/>
    </row>
    <row r="17450" spans="2:3">
      <c r="B17450" s="12"/>
      <c r="C17450" s="12"/>
    </row>
    <row r="17451" spans="2:3">
      <c r="B17451" s="12"/>
      <c r="C17451" s="12"/>
    </row>
    <row r="17452" spans="2:3">
      <c r="B17452" s="12"/>
      <c r="C17452" s="12"/>
    </row>
    <row r="17453" spans="2:3">
      <c r="B17453" s="12"/>
      <c r="C17453" s="12"/>
    </row>
    <row r="17454" spans="2:3">
      <c r="B17454" s="12"/>
      <c r="C17454" s="12"/>
    </row>
    <row r="17455" spans="2:3">
      <c r="B17455" s="12"/>
      <c r="C17455" s="12"/>
    </row>
    <row r="17456" spans="2:3">
      <c r="B17456" s="12"/>
      <c r="C17456" s="12"/>
    </row>
    <row r="17457" spans="2:3">
      <c r="B17457" s="12"/>
      <c r="C17457" s="12"/>
    </row>
    <row r="17458" spans="2:3">
      <c r="B17458" s="12"/>
      <c r="C17458" s="12"/>
    </row>
    <row r="17459" spans="2:3">
      <c r="B17459" s="12"/>
      <c r="C17459" s="12"/>
    </row>
    <row r="17460" spans="2:3">
      <c r="B17460" s="12"/>
      <c r="C17460" s="12"/>
    </row>
    <row r="17461" spans="2:3">
      <c r="B17461" s="12"/>
      <c r="C17461" s="12"/>
    </row>
    <row r="17462" spans="2:3">
      <c r="B17462" s="12"/>
      <c r="C17462" s="12"/>
    </row>
    <row r="17463" spans="2:3">
      <c r="B17463" s="12"/>
      <c r="C17463" s="12"/>
    </row>
    <row r="17464" spans="2:3">
      <c r="B17464" s="12"/>
      <c r="C17464" s="12"/>
    </row>
    <row r="17465" spans="2:3">
      <c r="B17465" s="12"/>
      <c r="C17465" s="12"/>
    </row>
    <row r="17466" spans="2:3">
      <c r="B17466" s="12"/>
      <c r="C17466" s="12"/>
    </row>
    <row r="17467" spans="2:3">
      <c r="B17467" s="12"/>
      <c r="C17467" s="12"/>
    </row>
    <row r="17468" spans="2:3">
      <c r="B17468" s="12"/>
      <c r="C17468" s="12"/>
    </row>
    <row r="17469" spans="2:3">
      <c r="B17469" s="12"/>
      <c r="C17469" s="12"/>
    </row>
    <row r="17470" spans="2:3">
      <c r="B17470" s="12"/>
      <c r="C17470" s="12"/>
    </row>
    <row r="17471" spans="2:3">
      <c r="B17471" s="12"/>
      <c r="C17471" s="12"/>
    </row>
    <row r="17472" spans="2:3">
      <c r="B17472" s="12"/>
      <c r="C17472" s="12"/>
    </row>
    <row r="17473" spans="2:3">
      <c r="B17473" s="12"/>
      <c r="C17473" s="12"/>
    </row>
    <row r="17474" spans="2:3">
      <c r="B17474" s="12"/>
      <c r="C17474" s="12"/>
    </row>
    <row r="17475" spans="2:3">
      <c r="B17475" s="12"/>
      <c r="C17475" s="12"/>
    </row>
    <row r="17476" spans="2:3">
      <c r="B17476" s="12"/>
      <c r="C17476" s="12"/>
    </row>
    <row r="17477" spans="2:3">
      <c r="B17477" s="12"/>
      <c r="C17477" s="12"/>
    </row>
    <row r="17478" spans="2:3">
      <c r="B17478" s="12"/>
      <c r="C17478" s="12"/>
    </row>
    <row r="17479" spans="2:3">
      <c r="B17479" s="12"/>
      <c r="C17479" s="12"/>
    </row>
    <row r="17480" spans="2:3">
      <c r="B17480" s="12"/>
      <c r="C17480" s="12"/>
    </row>
    <row r="17481" spans="2:3">
      <c r="B17481" s="12"/>
      <c r="C17481" s="12"/>
    </row>
    <row r="17482" spans="2:3">
      <c r="B17482" s="12"/>
      <c r="C17482" s="12"/>
    </row>
    <row r="17483" spans="2:3">
      <c r="B17483" s="12"/>
      <c r="C17483" s="12"/>
    </row>
    <row r="17484" spans="2:3">
      <c r="B17484" s="12"/>
      <c r="C17484" s="12"/>
    </row>
    <row r="17485" spans="2:3">
      <c r="B17485" s="12"/>
      <c r="C17485" s="12"/>
    </row>
    <row r="17486" spans="2:3">
      <c r="B17486" s="12"/>
      <c r="C17486" s="12"/>
    </row>
    <row r="17487" spans="2:3">
      <c r="B17487" s="12"/>
      <c r="C17487" s="12"/>
    </row>
    <row r="17488" spans="2:3">
      <c r="B17488" s="12"/>
      <c r="C17488" s="12"/>
    </row>
    <row r="17489" spans="2:3">
      <c r="B17489" s="12"/>
      <c r="C17489" s="12"/>
    </row>
    <row r="17490" spans="2:3">
      <c r="B17490" s="12"/>
      <c r="C17490" s="12"/>
    </row>
    <row r="17491" spans="2:3">
      <c r="B17491" s="12"/>
      <c r="C17491" s="12"/>
    </row>
    <row r="17492" spans="2:3">
      <c r="B17492" s="12"/>
      <c r="C17492" s="12"/>
    </row>
    <row r="17493" spans="2:3">
      <c r="B17493" s="12"/>
      <c r="C17493" s="12"/>
    </row>
    <row r="17494" spans="2:3">
      <c r="B17494" s="12"/>
      <c r="C17494" s="12"/>
    </row>
    <row r="17495" spans="2:3">
      <c r="B17495" s="12"/>
      <c r="C17495" s="12"/>
    </row>
    <row r="17496" spans="2:3">
      <c r="B17496" s="12"/>
      <c r="C17496" s="12"/>
    </row>
    <row r="17497" spans="2:3">
      <c r="B17497" s="12"/>
      <c r="C17497" s="12"/>
    </row>
    <row r="17498" spans="2:3">
      <c r="B17498" s="12"/>
      <c r="C17498" s="12"/>
    </row>
    <row r="17499" spans="2:3">
      <c r="B17499" s="12"/>
      <c r="C17499" s="12"/>
    </row>
    <row r="17500" spans="2:3">
      <c r="B17500" s="12"/>
      <c r="C17500" s="12"/>
    </row>
    <row r="17501" spans="2:3">
      <c r="B17501" s="12"/>
      <c r="C17501" s="12"/>
    </row>
    <row r="17502" spans="2:3">
      <c r="B17502" s="12"/>
      <c r="C17502" s="12"/>
    </row>
    <row r="17503" spans="2:3">
      <c r="B17503" s="12"/>
      <c r="C17503" s="12"/>
    </row>
    <row r="17504" spans="2:3">
      <c r="B17504" s="12"/>
      <c r="C17504" s="12"/>
    </row>
    <row r="17505" spans="2:3">
      <c r="B17505" s="12"/>
      <c r="C17505" s="12"/>
    </row>
    <row r="17506" spans="2:3">
      <c r="B17506" s="12"/>
      <c r="C17506" s="12"/>
    </row>
    <row r="17507" spans="2:3">
      <c r="B17507" s="12"/>
      <c r="C17507" s="12"/>
    </row>
    <row r="17508" spans="2:3">
      <c r="B17508" s="12"/>
      <c r="C17508" s="12"/>
    </row>
    <row r="17509" spans="2:3">
      <c r="B17509" s="12"/>
      <c r="C17509" s="12"/>
    </row>
    <row r="17510" spans="2:3">
      <c r="B17510" s="12"/>
      <c r="C17510" s="12"/>
    </row>
    <row r="17511" spans="2:3">
      <c r="B17511" s="12"/>
      <c r="C17511" s="12"/>
    </row>
    <row r="17512" spans="2:3">
      <c r="B17512" s="12"/>
      <c r="C17512" s="12"/>
    </row>
    <row r="17513" spans="2:3">
      <c r="B17513" s="12"/>
      <c r="C17513" s="12"/>
    </row>
    <row r="17514" spans="2:3">
      <c r="B17514" s="12"/>
      <c r="C17514" s="12"/>
    </row>
    <row r="17515" spans="2:3">
      <c r="B17515" s="12"/>
      <c r="C17515" s="12"/>
    </row>
    <row r="17516" spans="2:3">
      <c r="B17516" s="12"/>
      <c r="C17516" s="12"/>
    </row>
    <row r="17517" spans="2:3">
      <c r="B17517" s="12"/>
      <c r="C17517" s="12"/>
    </row>
    <row r="17518" spans="2:3">
      <c r="B17518" s="12"/>
      <c r="C17518" s="12"/>
    </row>
    <row r="17519" spans="2:3">
      <c r="B17519" s="12"/>
      <c r="C17519" s="12"/>
    </row>
    <row r="17520" spans="2:3">
      <c r="B17520" s="12"/>
      <c r="C17520" s="12"/>
    </row>
    <row r="17521" spans="2:3">
      <c r="B17521" s="12"/>
      <c r="C17521" s="12"/>
    </row>
    <row r="17522" spans="2:3">
      <c r="B17522" s="12"/>
      <c r="C17522" s="12"/>
    </row>
    <row r="17523" spans="2:3">
      <c r="B17523" s="12"/>
      <c r="C17523" s="12"/>
    </row>
    <row r="17524" spans="2:3">
      <c r="B17524" s="12"/>
      <c r="C17524" s="12"/>
    </row>
    <row r="17525" spans="2:3">
      <c r="B17525" s="12"/>
      <c r="C17525" s="12"/>
    </row>
    <row r="17526" spans="2:3">
      <c r="B17526" s="12"/>
      <c r="C17526" s="12"/>
    </row>
    <row r="17527" spans="2:3">
      <c r="B17527" s="12"/>
      <c r="C17527" s="12"/>
    </row>
    <row r="17528" spans="2:3">
      <c r="B17528" s="12"/>
      <c r="C17528" s="12"/>
    </row>
    <row r="17529" spans="2:3">
      <c r="B17529" s="12"/>
      <c r="C17529" s="12"/>
    </row>
    <row r="17530" spans="2:3">
      <c r="B17530" s="12"/>
      <c r="C17530" s="12"/>
    </row>
    <row r="17531" spans="2:3">
      <c r="B17531" s="12"/>
      <c r="C17531" s="12"/>
    </row>
    <row r="17532" spans="2:3">
      <c r="B17532" s="12"/>
      <c r="C17532" s="12"/>
    </row>
    <row r="17533" spans="2:3">
      <c r="B17533" s="12"/>
      <c r="C17533" s="12"/>
    </row>
    <row r="17534" spans="2:3">
      <c r="B17534" s="12"/>
      <c r="C17534" s="12"/>
    </row>
    <row r="17535" spans="2:3">
      <c r="B17535" s="12"/>
      <c r="C17535" s="12"/>
    </row>
    <row r="17536" spans="2:3">
      <c r="B17536" s="12"/>
      <c r="C17536" s="12"/>
    </row>
    <row r="17537" spans="2:3">
      <c r="B17537" s="12"/>
      <c r="C17537" s="12"/>
    </row>
    <row r="17538" spans="2:3">
      <c r="B17538" s="12"/>
      <c r="C17538" s="12"/>
    </row>
    <row r="17539" spans="2:3">
      <c r="B17539" s="12"/>
      <c r="C17539" s="12"/>
    </row>
    <row r="17540" spans="2:3">
      <c r="B17540" s="12"/>
      <c r="C17540" s="12"/>
    </row>
    <row r="17541" spans="2:3">
      <c r="B17541" s="12"/>
      <c r="C17541" s="12"/>
    </row>
    <row r="17542" spans="2:3">
      <c r="B17542" s="12"/>
      <c r="C17542" s="12"/>
    </row>
    <row r="17543" spans="2:3">
      <c r="B17543" s="12"/>
      <c r="C17543" s="12"/>
    </row>
    <row r="17544" spans="2:3">
      <c r="B17544" s="12"/>
      <c r="C17544" s="12"/>
    </row>
    <row r="17545" spans="2:3">
      <c r="B17545" s="12"/>
      <c r="C17545" s="12"/>
    </row>
    <row r="17546" spans="2:3">
      <c r="B17546" s="12"/>
      <c r="C17546" s="12"/>
    </row>
    <row r="17547" spans="2:3">
      <c r="B17547" s="12"/>
      <c r="C17547" s="12"/>
    </row>
    <row r="17548" spans="2:3">
      <c r="B17548" s="12"/>
      <c r="C17548" s="12"/>
    </row>
    <row r="17549" spans="2:3">
      <c r="B17549" s="12"/>
      <c r="C17549" s="12"/>
    </row>
    <row r="17550" spans="2:3">
      <c r="B17550" s="12"/>
      <c r="C17550" s="12"/>
    </row>
    <row r="17551" spans="2:3">
      <c r="B17551" s="12"/>
      <c r="C17551" s="12"/>
    </row>
    <row r="17552" spans="2:3">
      <c r="B17552" s="12"/>
      <c r="C17552" s="12"/>
    </row>
    <row r="17553" spans="2:3">
      <c r="B17553" s="12"/>
      <c r="C17553" s="12"/>
    </row>
    <row r="17554" spans="2:3">
      <c r="B17554" s="12"/>
      <c r="C17554" s="12"/>
    </row>
    <row r="17555" spans="2:3">
      <c r="B17555" s="12"/>
      <c r="C17555" s="12"/>
    </row>
    <row r="17556" spans="2:3">
      <c r="B17556" s="12"/>
      <c r="C17556" s="12"/>
    </row>
    <row r="17557" spans="2:3">
      <c r="B17557" s="12"/>
      <c r="C17557" s="12"/>
    </row>
    <row r="17558" spans="2:3">
      <c r="B17558" s="12"/>
      <c r="C17558" s="12"/>
    </row>
    <row r="17559" spans="2:3">
      <c r="B17559" s="12"/>
      <c r="C17559" s="12"/>
    </row>
    <row r="17560" spans="2:3">
      <c r="B17560" s="12"/>
      <c r="C17560" s="12"/>
    </row>
    <row r="17561" spans="2:3">
      <c r="B17561" s="12"/>
      <c r="C17561" s="12"/>
    </row>
    <row r="17562" spans="2:3">
      <c r="B17562" s="12"/>
      <c r="C17562" s="12"/>
    </row>
    <row r="17563" spans="2:3">
      <c r="B17563" s="12"/>
      <c r="C17563" s="12"/>
    </row>
    <row r="17564" spans="2:3">
      <c r="B17564" s="12"/>
      <c r="C17564" s="12"/>
    </row>
    <row r="17565" spans="2:3">
      <c r="B17565" s="12"/>
      <c r="C17565" s="12"/>
    </row>
    <row r="17566" spans="2:3">
      <c r="B17566" s="12"/>
      <c r="C17566" s="12"/>
    </row>
    <row r="17567" spans="2:3">
      <c r="B17567" s="12"/>
      <c r="C17567" s="12"/>
    </row>
    <row r="17568" spans="2:3">
      <c r="B17568" s="12"/>
      <c r="C17568" s="12"/>
    </row>
    <row r="17569" spans="2:3">
      <c r="B17569" s="12"/>
      <c r="C17569" s="12"/>
    </row>
    <row r="17570" spans="2:3">
      <c r="B17570" s="12"/>
      <c r="C17570" s="12"/>
    </row>
    <row r="17571" spans="2:3">
      <c r="B17571" s="12"/>
      <c r="C17571" s="12"/>
    </row>
    <row r="17572" spans="2:3">
      <c r="B17572" s="12"/>
      <c r="C17572" s="12"/>
    </row>
    <row r="17573" spans="2:3">
      <c r="B17573" s="12"/>
      <c r="C17573" s="12"/>
    </row>
    <row r="17574" spans="2:3">
      <c r="B17574" s="12"/>
      <c r="C17574" s="12"/>
    </row>
    <row r="17575" spans="2:3">
      <c r="B17575" s="12"/>
      <c r="C17575" s="12"/>
    </row>
    <row r="17576" spans="2:3">
      <c r="B17576" s="12"/>
      <c r="C17576" s="12"/>
    </row>
    <row r="17577" spans="2:3">
      <c r="B17577" s="12"/>
      <c r="C17577" s="12"/>
    </row>
    <row r="17578" spans="2:3">
      <c r="B17578" s="12"/>
      <c r="C17578" s="12"/>
    </row>
    <row r="17579" spans="2:3">
      <c r="B17579" s="12"/>
      <c r="C17579" s="12"/>
    </row>
    <row r="17580" spans="2:3">
      <c r="B17580" s="12"/>
      <c r="C17580" s="12"/>
    </row>
    <row r="17581" spans="2:3">
      <c r="B17581" s="12"/>
      <c r="C17581" s="12"/>
    </row>
    <row r="17582" spans="2:3">
      <c r="B17582" s="12"/>
      <c r="C17582" s="12"/>
    </row>
    <row r="17583" spans="2:3">
      <c r="B17583" s="12"/>
      <c r="C17583" s="12"/>
    </row>
    <row r="17584" spans="2:3">
      <c r="B17584" s="12"/>
      <c r="C17584" s="12"/>
    </row>
    <row r="17585" spans="2:3">
      <c r="B17585" s="12"/>
      <c r="C17585" s="12"/>
    </row>
    <row r="17586" spans="2:3">
      <c r="B17586" s="12"/>
      <c r="C17586" s="12"/>
    </row>
    <row r="17587" spans="2:3">
      <c r="B17587" s="12"/>
      <c r="C17587" s="12"/>
    </row>
    <row r="17588" spans="2:3">
      <c r="B17588" s="12"/>
      <c r="C17588" s="12"/>
    </row>
    <row r="17589" spans="2:3">
      <c r="B17589" s="12"/>
      <c r="C17589" s="12"/>
    </row>
    <row r="17590" spans="2:3">
      <c r="B17590" s="12"/>
      <c r="C17590" s="12"/>
    </row>
    <row r="17591" spans="2:3">
      <c r="B17591" s="12"/>
      <c r="C17591" s="12"/>
    </row>
    <row r="17592" spans="2:3">
      <c r="B17592" s="12"/>
      <c r="C17592" s="12"/>
    </row>
    <row r="17593" spans="2:3">
      <c r="B17593" s="12"/>
      <c r="C17593" s="12"/>
    </row>
    <row r="17594" spans="2:3">
      <c r="B17594" s="12"/>
      <c r="C17594" s="12"/>
    </row>
    <row r="17595" spans="2:3">
      <c r="B17595" s="12"/>
      <c r="C17595" s="12"/>
    </row>
    <row r="17596" spans="2:3">
      <c r="B17596" s="12"/>
      <c r="C17596" s="12"/>
    </row>
    <row r="17597" spans="2:3">
      <c r="B17597" s="12"/>
      <c r="C17597" s="12"/>
    </row>
    <row r="17598" spans="2:3">
      <c r="B17598" s="12"/>
      <c r="C17598" s="12"/>
    </row>
    <row r="17599" spans="2:3">
      <c r="B17599" s="12"/>
      <c r="C17599" s="12"/>
    </row>
    <row r="17600" spans="2:3">
      <c r="B17600" s="12"/>
      <c r="C17600" s="12"/>
    </row>
    <row r="17601" spans="2:3">
      <c r="B17601" s="12"/>
      <c r="C17601" s="12"/>
    </row>
    <row r="17602" spans="2:3">
      <c r="B17602" s="12"/>
      <c r="C17602" s="12"/>
    </row>
    <row r="17603" spans="2:3">
      <c r="B17603" s="12"/>
      <c r="C17603" s="12"/>
    </row>
    <row r="17604" spans="2:3">
      <c r="B17604" s="12"/>
      <c r="C17604" s="12"/>
    </row>
    <row r="17605" spans="2:3">
      <c r="B17605" s="12"/>
      <c r="C17605" s="12"/>
    </row>
    <row r="17606" spans="2:3">
      <c r="B17606" s="12"/>
      <c r="C17606" s="12"/>
    </row>
    <row r="17607" spans="2:3">
      <c r="B17607" s="12"/>
      <c r="C17607" s="12"/>
    </row>
    <row r="17608" spans="2:3">
      <c r="B17608" s="12"/>
      <c r="C17608" s="12"/>
    </row>
    <row r="17609" spans="2:3">
      <c r="B17609" s="12"/>
      <c r="C17609" s="12"/>
    </row>
    <row r="17610" spans="2:3">
      <c r="B17610" s="12"/>
      <c r="C17610" s="12"/>
    </row>
    <row r="17611" spans="2:3">
      <c r="B17611" s="12"/>
      <c r="C17611" s="12"/>
    </row>
    <row r="17612" spans="2:3">
      <c r="B17612" s="12"/>
      <c r="C17612" s="12"/>
    </row>
    <row r="17613" spans="2:3">
      <c r="B17613" s="12"/>
      <c r="C17613" s="12"/>
    </row>
    <row r="17614" spans="2:3">
      <c r="B17614" s="12"/>
      <c r="C17614" s="12"/>
    </row>
    <row r="17615" spans="2:3">
      <c r="B17615" s="12"/>
      <c r="C17615" s="12"/>
    </row>
    <row r="17616" spans="2:3">
      <c r="B17616" s="12"/>
      <c r="C17616" s="12"/>
    </row>
    <row r="17617" spans="2:3">
      <c r="B17617" s="12"/>
      <c r="C17617" s="12"/>
    </row>
    <row r="17618" spans="2:3">
      <c r="B17618" s="12"/>
      <c r="C17618" s="12"/>
    </row>
    <row r="17619" spans="2:3">
      <c r="B17619" s="12"/>
      <c r="C17619" s="12"/>
    </row>
    <row r="17620" spans="2:3">
      <c r="B17620" s="12"/>
      <c r="C17620" s="12"/>
    </row>
    <row r="17621" spans="2:3">
      <c r="B17621" s="12"/>
      <c r="C17621" s="12"/>
    </row>
    <row r="17622" spans="2:3">
      <c r="B17622" s="12"/>
      <c r="C17622" s="12"/>
    </row>
    <row r="17623" spans="2:3">
      <c r="B17623" s="12"/>
      <c r="C17623" s="12"/>
    </row>
    <row r="17624" spans="2:3">
      <c r="B17624" s="12"/>
      <c r="C17624" s="12"/>
    </row>
    <row r="17625" spans="2:3">
      <c r="B17625" s="12"/>
      <c r="C17625" s="12"/>
    </row>
    <row r="17626" spans="2:3">
      <c r="B17626" s="12"/>
      <c r="C17626" s="12"/>
    </row>
    <row r="17627" spans="2:3">
      <c r="B17627" s="12"/>
      <c r="C17627" s="12"/>
    </row>
    <row r="17628" spans="2:3">
      <c r="B17628" s="12"/>
      <c r="C17628" s="12"/>
    </row>
    <row r="17629" spans="2:3">
      <c r="B17629" s="12"/>
      <c r="C17629" s="12"/>
    </row>
    <row r="17630" spans="2:3">
      <c r="B17630" s="12"/>
      <c r="C17630" s="12"/>
    </row>
    <row r="17631" spans="2:3">
      <c r="B17631" s="12"/>
      <c r="C17631" s="12"/>
    </row>
    <row r="17632" spans="2:3">
      <c r="B17632" s="12"/>
      <c r="C17632" s="12"/>
    </row>
    <row r="17633" spans="2:3">
      <c r="B17633" s="12"/>
      <c r="C17633" s="12"/>
    </row>
    <row r="17634" spans="2:3">
      <c r="B17634" s="12"/>
      <c r="C17634" s="12"/>
    </row>
    <row r="17635" spans="2:3">
      <c r="B17635" s="12"/>
      <c r="C17635" s="12"/>
    </row>
    <row r="17636" spans="2:3">
      <c r="B17636" s="12"/>
      <c r="C17636" s="12"/>
    </row>
    <row r="17637" spans="2:3">
      <c r="B17637" s="12"/>
      <c r="C17637" s="12"/>
    </row>
    <row r="17638" spans="2:3">
      <c r="B17638" s="12"/>
      <c r="C17638" s="12"/>
    </row>
    <row r="17639" spans="2:3">
      <c r="B17639" s="12"/>
      <c r="C17639" s="12"/>
    </row>
    <row r="17640" spans="2:3">
      <c r="B17640" s="12"/>
      <c r="C17640" s="12"/>
    </row>
    <row r="17641" spans="2:3">
      <c r="B17641" s="12"/>
      <c r="C17641" s="12"/>
    </row>
    <row r="17642" spans="2:3">
      <c r="B17642" s="12"/>
      <c r="C17642" s="12"/>
    </row>
    <row r="17643" spans="2:3">
      <c r="B17643" s="12"/>
      <c r="C17643" s="12"/>
    </row>
    <row r="17644" spans="2:3">
      <c r="B17644" s="12"/>
      <c r="C17644" s="12"/>
    </row>
    <row r="17645" spans="2:3">
      <c r="B17645" s="12"/>
      <c r="C17645" s="12"/>
    </row>
    <row r="17646" spans="2:3">
      <c r="B17646" s="12"/>
      <c r="C17646" s="12"/>
    </row>
    <row r="17647" spans="2:3">
      <c r="B17647" s="12"/>
      <c r="C17647" s="12"/>
    </row>
    <row r="17648" spans="2:3">
      <c r="B17648" s="12"/>
      <c r="C17648" s="12"/>
    </row>
    <row r="17649" spans="2:3">
      <c r="B17649" s="12"/>
      <c r="C17649" s="12"/>
    </row>
    <row r="17650" spans="2:3">
      <c r="B17650" s="12"/>
      <c r="C17650" s="12"/>
    </row>
    <row r="17651" spans="2:3">
      <c r="B17651" s="12"/>
      <c r="C17651" s="12"/>
    </row>
    <row r="17652" spans="2:3">
      <c r="B17652" s="12"/>
      <c r="C17652" s="12"/>
    </row>
    <row r="17653" spans="2:3">
      <c r="B17653" s="12"/>
      <c r="C17653" s="12"/>
    </row>
    <row r="17654" spans="2:3">
      <c r="B17654" s="12"/>
      <c r="C17654" s="12"/>
    </row>
    <row r="17655" spans="2:3">
      <c r="B17655" s="12"/>
      <c r="C17655" s="12"/>
    </row>
    <row r="17656" spans="2:3">
      <c r="B17656" s="12"/>
      <c r="C17656" s="12"/>
    </row>
    <row r="17657" spans="2:3">
      <c r="B17657" s="12"/>
      <c r="C17657" s="12"/>
    </row>
    <row r="17658" spans="2:3">
      <c r="B17658" s="12"/>
      <c r="C17658" s="12"/>
    </row>
    <row r="17659" spans="2:3">
      <c r="B17659" s="12"/>
      <c r="C17659" s="12"/>
    </row>
    <row r="17660" spans="2:3">
      <c r="B17660" s="12"/>
      <c r="C17660" s="12"/>
    </row>
    <row r="17661" spans="2:3">
      <c r="B17661" s="12"/>
      <c r="C17661" s="12"/>
    </row>
    <row r="17662" spans="2:3">
      <c r="B17662" s="12"/>
      <c r="C17662" s="12"/>
    </row>
    <row r="17663" spans="2:3">
      <c r="B17663" s="12"/>
      <c r="C17663" s="12"/>
    </row>
    <row r="17664" spans="2:3">
      <c r="B17664" s="12"/>
      <c r="C17664" s="12"/>
    </row>
    <row r="17665" spans="2:3">
      <c r="B17665" s="12"/>
      <c r="C17665" s="12"/>
    </row>
    <row r="17666" spans="2:3">
      <c r="B17666" s="12"/>
      <c r="C17666" s="12"/>
    </row>
    <row r="17667" spans="2:3">
      <c r="B17667" s="12"/>
      <c r="C17667" s="12"/>
    </row>
    <row r="17668" spans="2:3">
      <c r="B17668" s="12"/>
      <c r="C17668" s="12"/>
    </row>
    <row r="17669" spans="2:3">
      <c r="B17669" s="12"/>
      <c r="C17669" s="12"/>
    </row>
    <row r="17670" spans="2:3">
      <c r="B17670" s="12"/>
      <c r="C17670" s="12"/>
    </row>
    <row r="17671" spans="2:3">
      <c r="B17671" s="12"/>
      <c r="C17671" s="12"/>
    </row>
    <row r="17672" spans="2:3">
      <c r="B17672" s="12"/>
      <c r="C17672" s="12"/>
    </row>
    <row r="17673" spans="2:3">
      <c r="B17673" s="12"/>
      <c r="C17673" s="12"/>
    </row>
    <row r="17674" spans="2:3">
      <c r="B17674" s="12"/>
      <c r="C17674" s="12"/>
    </row>
    <row r="17675" spans="2:3">
      <c r="B17675" s="12"/>
      <c r="C17675" s="12"/>
    </row>
    <row r="17676" spans="2:3">
      <c r="B17676" s="12"/>
      <c r="C17676" s="12"/>
    </row>
    <row r="17677" spans="2:3">
      <c r="B17677" s="12"/>
      <c r="C17677" s="12"/>
    </row>
    <row r="17678" spans="2:3">
      <c r="B17678" s="12"/>
      <c r="C17678" s="12"/>
    </row>
    <row r="17679" spans="2:3">
      <c r="B17679" s="12"/>
      <c r="C17679" s="12"/>
    </row>
    <row r="17680" spans="2:3">
      <c r="B17680" s="12"/>
      <c r="C17680" s="12"/>
    </row>
    <row r="17681" spans="2:3">
      <c r="B17681" s="12"/>
      <c r="C17681" s="12"/>
    </row>
    <row r="17682" spans="2:3">
      <c r="B17682" s="12"/>
      <c r="C17682" s="12"/>
    </row>
    <row r="17683" spans="2:3">
      <c r="B17683" s="12"/>
      <c r="C17683" s="12"/>
    </row>
    <row r="17684" spans="2:3">
      <c r="B17684" s="12"/>
      <c r="C17684" s="12"/>
    </row>
    <row r="17685" spans="2:3">
      <c r="B17685" s="12"/>
      <c r="C17685" s="12"/>
    </row>
    <row r="17686" spans="2:3">
      <c r="B17686" s="12"/>
      <c r="C17686" s="12"/>
    </row>
    <row r="17687" spans="2:3">
      <c r="B17687" s="12"/>
      <c r="C17687" s="12"/>
    </row>
    <row r="17688" spans="2:3">
      <c r="B17688" s="12"/>
      <c r="C17688" s="12"/>
    </row>
    <row r="17689" spans="2:3">
      <c r="B17689" s="12"/>
      <c r="C17689" s="12"/>
    </row>
    <row r="17690" spans="2:3">
      <c r="B17690" s="12"/>
      <c r="C17690" s="12"/>
    </row>
    <row r="17691" spans="2:3">
      <c r="B17691" s="12"/>
      <c r="C17691" s="12"/>
    </row>
    <row r="17692" spans="2:3">
      <c r="B17692" s="12"/>
      <c r="C17692" s="12"/>
    </row>
    <row r="17693" spans="2:3">
      <c r="B17693" s="12"/>
      <c r="C17693" s="12"/>
    </row>
    <row r="17694" spans="2:3">
      <c r="B17694" s="12"/>
      <c r="C17694" s="12"/>
    </row>
    <row r="17695" spans="2:3">
      <c r="B17695" s="12"/>
      <c r="C17695" s="12"/>
    </row>
    <row r="17696" spans="2:3">
      <c r="B17696" s="12"/>
      <c r="C17696" s="12"/>
    </row>
    <row r="17697" spans="2:3">
      <c r="B17697" s="12"/>
      <c r="C17697" s="12"/>
    </row>
    <row r="17698" spans="2:3">
      <c r="B17698" s="12"/>
      <c r="C17698" s="12"/>
    </row>
    <row r="17699" spans="2:3">
      <c r="B17699" s="12"/>
      <c r="C17699" s="12"/>
    </row>
    <row r="17700" spans="2:3">
      <c r="B17700" s="12"/>
      <c r="C17700" s="12"/>
    </row>
    <row r="17701" spans="2:3">
      <c r="B17701" s="12"/>
      <c r="C17701" s="12"/>
    </row>
    <row r="17702" spans="2:3">
      <c r="B17702" s="12"/>
      <c r="C17702" s="12"/>
    </row>
    <row r="17703" spans="2:3">
      <c r="B17703" s="12"/>
      <c r="C17703" s="12"/>
    </row>
    <row r="17704" spans="2:3">
      <c r="B17704" s="12"/>
      <c r="C17704" s="12"/>
    </row>
    <row r="17705" spans="2:3">
      <c r="B17705" s="12"/>
      <c r="C17705" s="12"/>
    </row>
    <row r="17706" spans="2:3">
      <c r="B17706" s="12"/>
      <c r="C17706" s="12"/>
    </row>
    <row r="17707" spans="2:3">
      <c r="B17707" s="12"/>
      <c r="C17707" s="12"/>
    </row>
    <row r="17708" spans="2:3">
      <c r="B17708" s="12"/>
      <c r="C17708" s="12"/>
    </row>
    <row r="17709" spans="2:3">
      <c r="B17709" s="12"/>
      <c r="C17709" s="12"/>
    </row>
    <row r="17710" spans="2:3">
      <c r="B17710" s="12"/>
      <c r="C17710" s="12"/>
    </row>
    <row r="17711" spans="2:3">
      <c r="B17711" s="12"/>
      <c r="C17711" s="12"/>
    </row>
    <row r="17712" spans="2:3">
      <c r="B17712" s="12"/>
      <c r="C17712" s="12"/>
    </row>
    <row r="17713" spans="2:3">
      <c r="B17713" s="12"/>
      <c r="C17713" s="12"/>
    </row>
    <row r="17714" spans="2:3">
      <c r="B17714" s="12"/>
      <c r="C17714" s="12"/>
    </row>
    <row r="17715" spans="2:3">
      <c r="B17715" s="12"/>
      <c r="C17715" s="12"/>
    </row>
    <row r="17716" spans="2:3">
      <c r="B17716" s="12"/>
      <c r="C17716" s="12"/>
    </row>
    <row r="17717" spans="2:3">
      <c r="B17717" s="12"/>
      <c r="C17717" s="12"/>
    </row>
    <row r="17718" spans="2:3">
      <c r="B17718" s="12"/>
      <c r="C17718" s="12"/>
    </row>
    <row r="17719" spans="2:3">
      <c r="B17719" s="12"/>
      <c r="C17719" s="12"/>
    </row>
    <row r="17720" spans="2:3">
      <c r="B17720" s="12"/>
      <c r="C17720" s="12"/>
    </row>
    <row r="17721" spans="2:3">
      <c r="B17721" s="12"/>
      <c r="C17721" s="12"/>
    </row>
    <row r="17722" spans="2:3">
      <c r="B17722" s="12"/>
      <c r="C17722" s="12"/>
    </row>
    <row r="17723" spans="2:3">
      <c r="B17723" s="12"/>
      <c r="C17723" s="12"/>
    </row>
    <row r="17724" spans="2:3">
      <c r="B17724" s="12"/>
      <c r="C17724" s="12"/>
    </row>
    <row r="17725" spans="2:3">
      <c r="B17725" s="12"/>
      <c r="C17725" s="12"/>
    </row>
    <row r="17726" spans="2:3">
      <c r="B17726" s="12"/>
      <c r="C17726" s="12"/>
    </row>
    <row r="17727" spans="2:3">
      <c r="B17727" s="12"/>
      <c r="C17727" s="12"/>
    </row>
    <row r="17728" spans="2:3">
      <c r="B17728" s="12"/>
      <c r="C17728" s="12"/>
    </row>
    <row r="17729" spans="2:3">
      <c r="B17729" s="12"/>
      <c r="C17729" s="12"/>
    </row>
    <row r="17730" spans="2:3">
      <c r="B17730" s="12"/>
      <c r="C17730" s="12"/>
    </row>
    <row r="17731" spans="2:3">
      <c r="B17731" s="12"/>
      <c r="C17731" s="12"/>
    </row>
    <row r="17732" spans="2:3">
      <c r="B17732" s="12"/>
      <c r="C17732" s="12"/>
    </row>
    <row r="17733" spans="2:3">
      <c r="B17733" s="12"/>
      <c r="C17733" s="12"/>
    </row>
    <row r="17734" spans="2:3">
      <c r="B17734" s="12"/>
      <c r="C17734" s="12"/>
    </row>
    <row r="17735" spans="2:3">
      <c r="B17735" s="12"/>
      <c r="C17735" s="12"/>
    </row>
    <row r="17736" spans="2:3">
      <c r="B17736" s="12"/>
      <c r="C17736" s="12"/>
    </row>
    <row r="17737" spans="2:3">
      <c r="B17737" s="12"/>
      <c r="C17737" s="12"/>
    </row>
    <row r="17738" spans="2:3">
      <c r="B17738" s="12"/>
      <c r="C17738" s="12"/>
    </row>
    <row r="17739" spans="2:3">
      <c r="B17739" s="12"/>
      <c r="C17739" s="12"/>
    </row>
    <row r="17740" spans="2:3">
      <c r="B17740" s="12"/>
      <c r="C17740" s="12"/>
    </row>
    <row r="17741" spans="2:3">
      <c r="B17741" s="12"/>
      <c r="C17741" s="12"/>
    </row>
    <row r="17742" spans="2:3">
      <c r="B17742" s="12"/>
      <c r="C17742" s="12"/>
    </row>
    <row r="17743" spans="2:3">
      <c r="B17743" s="12"/>
      <c r="C17743" s="12"/>
    </row>
    <row r="17744" spans="2:3">
      <c r="B17744" s="12"/>
      <c r="C17744" s="12"/>
    </row>
    <row r="17745" spans="2:3">
      <c r="B17745" s="12"/>
      <c r="C17745" s="12"/>
    </row>
    <row r="17746" spans="2:3">
      <c r="B17746" s="12"/>
      <c r="C17746" s="12"/>
    </row>
    <row r="17747" spans="2:3">
      <c r="B17747" s="12"/>
      <c r="C17747" s="12"/>
    </row>
    <row r="17748" spans="2:3">
      <c r="B17748" s="12"/>
      <c r="C17748" s="12"/>
    </row>
    <row r="17749" spans="2:3">
      <c r="B17749" s="12"/>
      <c r="C17749" s="12"/>
    </row>
    <row r="17750" spans="2:3">
      <c r="B17750" s="12"/>
      <c r="C17750" s="12"/>
    </row>
    <row r="17751" spans="2:3">
      <c r="B17751" s="12"/>
      <c r="C17751" s="12"/>
    </row>
    <row r="17752" spans="2:3">
      <c r="B17752" s="12"/>
      <c r="C17752" s="12"/>
    </row>
    <row r="17753" spans="2:3">
      <c r="B17753" s="12"/>
      <c r="C17753" s="12"/>
    </row>
    <row r="17754" spans="2:3">
      <c r="B17754" s="12"/>
      <c r="C17754" s="12"/>
    </row>
    <row r="17755" spans="2:3">
      <c r="B17755" s="12"/>
      <c r="C17755" s="12"/>
    </row>
    <row r="17756" spans="2:3">
      <c r="B17756" s="12"/>
      <c r="C17756" s="12"/>
    </row>
    <row r="17757" spans="2:3">
      <c r="B17757" s="12"/>
      <c r="C17757" s="12"/>
    </row>
    <row r="17758" spans="2:3">
      <c r="B17758" s="12"/>
      <c r="C17758" s="12"/>
    </row>
    <row r="17759" spans="2:3">
      <c r="B17759" s="12"/>
      <c r="C17759" s="12"/>
    </row>
    <row r="17760" spans="2:3">
      <c r="B17760" s="12"/>
      <c r="C17760" s="12"/>
    </row>
    <row r="17761" spans="2:3">
      <c r="B17761" s="12"/>
      <c r="C17761" s="12"/>
    </row>
    <row r="17762" spans="2:3">
      <c r="B17762" s="12"/>
      <c r="C17762" s="12"/>
    </row>
    <row r="17763" spans="2:3">
      <c r="B17763" s="12"/>
      <c r="C17763" s="12"/>
    </row>
    <row r="17764" spans="2:3">
      <c r="B17764" s="12"/>
      <c r="C17764" s="12"/>
    </row>
    <row r="17765" spans="2:3">
      <c r="B17765" s="12"/>
      <c r="C17765" s="12"/>
    </row>
    <row r="17766" spans="2:3">
      <c r="B17766" s="12"/>
      <c r="C17766" s="12"/>
    </row>
    <row r="17767" spans="2:3">
      <c r="B17767" s="12"/>
      <c r="C17767" s="12"/>
    </row>
    <row r="17768" spans="2:3">
      <c r="B17768" s="12"/>
      <c r="C17768" s="12"/>
    </row>
    <row r="17769" spans="2:3">
      <c r="B17769" s="12"/>
      <c r="C17769" s="12"/>
    </row>
    <row r="17770" spans="2:3">
      <c r="B17770" s="12"/>
      <c r="C17770" s="12"/>
    </row>
    <row r="17771" spans="2:3">
      <c r="B17771" s="12"/>
      <c r="C17771" s="12"/>
    </row>
    <row r="17772" spans="2:3">
      <c r="B17772" s="12"/>
      <c r="C17772" s="12"/>
    </row>
    <row r="17773" spans="2:3">
      <c r="B17773" s="12"/>
      <c r="C17773" s="12"/>
    </row>
    <row r="17774" spans="2:3">
      <c r="B17774" s="12"/>
      <c r="C17774" s="12"/>
    </row>
    <row r="17775" spans="2:3">
      <c r="B17775" s="12"/>
      <c r="C17775" s="12"/>
    </row>
    <row r="17776" spans="2:3">
      <c r="B17776" s="12"/>
      <c r="C17776" s="12"/>
    </row>
    <row r="17777" spans="2:3">
      <c r="B17777" s="12"/>
      <c r="C17777" s="12"/>
    </row>
    <row r="17778" spans="2:3">
      <c r="B17778" s="12"/>
      <c r="C17778" s="12"/>
    </row>
    <row r="17779" spans="2:3">
      <c r="B17779" s="12"/>
      <c r="C17779" s="12"/>
    </row>
    <row r="17780" spans="2:3">
      <c r="B17780" s="12"/>
      <c r="C17780" s="12"/>
    </row>
    <row r="17781" spans="2:3">
      <c r="B17781" s="12"/>
      <c r="C17781" s="12"/>
    </row>
    <row r="17782" spans="2:3">
      <c r="B17782" s="12"/>
      <c r="C17782" s="12"/>
    </row>
    <row r="17783" spans="2:3">
      <c r="B17783" s="12"/>
      <c r="C17783" s="12"/>
    </row>
    <row r="17784" spans="2:3">
      <c r="B17784" s="12"/>
      <c r="C17784" s="12"/>
    </row>
    <row r="17785" spans="2:3">
      <c r="B17785" s="12"/>
      <c r="C17785" s="12"/>
    </row>
    <row r="17786" spans="2:3">
      <c r="B17786" s="12"/>
      <c r="C17786" s="12"/>
    </row>
    <row r="17787" spans="2:3">
      <c r="B17787" s="12"/>
      <c r="C17787" s="12"/>
    </row>
    <row r="17788" spans="2:3">
      <c r="B17788" s="12"/>
      <c r="C17788" s="12"/>
    </row>
    <row r="17789" spans="2:3">
      <c r="B17789" s="12"/>
      <c r="C17789" s="12"/>
    </row>
    <row r="17790" spans="2:3">
      <c r="B17790" s="12"/>
      <c r="C17790" s="12"/>
    </row>
    <row r="17791" spans="2:3">
      <c r="B17791" s="12"/>
      <c r="C17791" s="12"/>
    </row>
    <row r="17792" spans="2:3">
      <c r="B17792" s="12"/>
      <c r="C17792" s="12"/>
    </row>
    <row r="17793" spans="2:3">
      <c r="B17793" s="12"/>
      <c r="C17793" s="12"/>
    </row>
    <row r="17794" spans="2:3">
      <c r="B17794" s="12"/>
      <c r="C17794" s="12"/>
    </row>
    <row r="17795" spans="2:3">
      <c r="B17795" s="12"/>
      <c r="C17795" s="12"/>
    </row>
    <row r="17796" spans="2:3">
      <c r="B17796" s="12"/>
      <c r="C17796" s="12"/>
    </row>
    <row r="17797" spans="2:3">
      <c r="B17797" s="12"/>
      <c r="C17797" s="12"/>
    </row>
    <row r="17798" spans="2:3">
      <c r="B17798" s="12"/>
      <c r="C17798" s="12"/>
    </row>
    <row r="17799" spans="2:3">
      <c r="B17799" s="12"/>
      <c r="C17799" s="12"/>
    </row>
    <row r="17800" spans="2:3">
      <c r="B17800" s="12"/>
      <c r="C17800" s="12"/>
    </row>
    <row r="17801" spans="2:3">
      <c r="B17801" s="12"/>
      <c r="C17801" s="12"/>
    </row>
    <row r="17802" spans="2:3">
      <c r="B17802" s="12"/>
      <c r="C17802" s="12"/>
    </row>
    <row r="17803" spans="2:3">
      <c r="B17803" s="12"/>
      <c r="C17803" s="12"/>
    </row>
    <row r="17804" spans="2:3">
      <c r="B17804" s="12"/>
      <c r="C17804" s="12"/>
    </row>
    <row r="17805" spans="2:3">
      <c r="B17805" s="12"/>
      <c r="C17805" s="12"/>
    </row>
    <row r="17806" spans="2:3">
      <c r="B17806" s="12"/>
      <c r="C17806" s="12"/>
    </row>
    <row r="17807" spans="2:3">
      <c r="B17807" s="12"/>
      <c r="C17807" s="12"/>
    </row>
    <row r="17808" spans="2:3">
      <c r="B17808" s="12"/>
      <c r="C17808" s="12"/>
    </row>
    <row r="17809" spans="2:3">
      <c r="B17809" s="12"/>
      <c r="C17809" s="12"/>
    </row>
    <row r="17810" spans="2:3">
      <c r="B17810" s="12"/>
      <c r="C17810" s="12"/>
    </row>
    <row r="17811" spans="2:3">
      <c r="B17811" s="12"/>
      <c r="C17811" s="12"/>
    </row>
    <row r="17812" spans="2:3">
      <c r="B17812" s="12"/>
      <c r="C17812" s="12"/>
    </row>
    <row r="17813" spans="2:3">
      <c r="B17813" s="12"/>
      <c r="C17813" s="12"/>
    </row>
    <row r="17814" spans="2:3">
      <c r="B17814" s="12"/>
      <c r="C17814" s="12"/>
    </row>
    <row r="17815" spans="2:3">
      <c r="B17815" s="12"/>
      <c r="C17815" s="12"/>
    </row>
    <row r="17816" spans="2:3">
      <c r="B17816" s="12"/>
      <c r="C17816" s="12"/>
    </row>
    <row r="17817" spans="2:3">
      <c r="B17817" s="12"/>
      <c r="C17817" s="12"/>
    </row>
    <row r="17818" spans="2:3">
      <c r="B17818" s="12"/>
      <c r="C17818" s="12"/>
    </row>
    <row r="17819" spans="2:3">
      <c r="B17819" s="12"/>
      <c r="C17819" s="12"/>
    </row>
    <row r="17820" spans="2:3">
      <c r="B17820" s="12"/>
      <c r="C17820" s="12"/>
    </row>
    <row r="17821" spans="2:3">
      <c r="B17821" s="12"/>
      <c r="C17821" s="12"/>
    </row>
    <row r="17822" spans="2:3">
      <c r="B17822" s="12"/>
      <c r="C17822" s="12"/>
    </row>
    <row r="17823" spans="2:3">
      <c r="B17823" s="12"/>
      <c r="C17823" s="12"/>
    </row>
    <row r="17824" spans="2:3">
      <c r="B17824" s="12"/>
      <c r="C17824" s="12"/>
    </row>
    <row r="17825" spans="2:3">
      <c r="B17825" s="12"/>
      <c r="C17825" s="12"/>
    </row>
    <row r="17826" spans="2:3">
      <c r="B17826" s="12"/>
      <c r="C17826" s="12"/>
    </row>
    <row r="17827" spans="2:3">
      <c r="B17827" s="12"/>
      <c r="C17827" s="12"/>
    </row>
    <row r="17828" spans="2:3">
      <c r="B17828" s="12"/>
      <c r="C17828" s="12"/>
    </row>
    <row r="17829" spans="2:3">
      <c r="B17829" s="12"/>
      <c r="C17829" s="12"/>
    </row>
    <row r="17830" spans="2:3">
      <c r="B17830" s="12"/>
      <c r="C17830" s="12"/>
    </row>
    <row r="17831" spans="2:3">
      <c r="B17831" s="12"/>
      <c r="C17831" s="12"/>
    </row>
    <row r="17832" spans="2:3">
      <c r="B17832" s="12"/>
      <c r="C17832" s="12"/>
    </row>
    <row r="17833" spans="2:3">
      <c r="B17833" s="12"/>
      <c r="C17833" s="12"/>
    </row>
    <row r="17834" spans="2:3">
      <c r="B17834" s="12"/>
      <c r="C17834" s="12"/>
    </row>
    <row r="17835" spans="2:3">
      <c r="B17835" s="12"/>
      <c r="C17835" s="12"/>
    </row>
    <row r="17836" spans="2:3">
      <c r="B17836" s="12"/>
      <c r="C17836" s="12"/>
    </row>
    <row r="17837" spans="2:3">
      <c r="B17837" s="12"/>
      <c r="C17837" s="12"/>
    </row>
    <row r="17838" spans="2:3">
      <c r="B17838" s="12"/>
      <c r="C17838" s="12"/>
    </row>
    <row r="17839" spans="2:3">
      <c r="B17839" s="12"/>
      <c r="C17839" s="12"/>
    </row>
    <row r="17840" spans="2:3">
      <c r="B17840" s="12"/>
      <c r="C17840" s="12"/>
    </row>
    <row r="17841" spans="2:3">
      <c r="B17841" s="12"/>
      <c r="C17841" s="12"/>
    </row>
    <row r="17842" spans="2:3">
      <c r="B17842" s="12"/>
      <c r="C17842" s="12"/>
    </row>
    <row r="17843" spans="2:3">
      <c r="B17843" s="12"/>
      <c r="C17843" s="12"/>
    </row>
    <row r="17844" spans="2:3">
      <c r="B17844" s="12"/>
      <c r="C17844" s="12"/>
    </row>
    <row r="17845" spans="2:3">
      <c r="B17845" s="12"/>
      <c r="C17845" s="12"/>
    </row>
    <row r="17846" spans="2:3">
      <c r="B17846" s="12"/>
      <c r="C17846" s="12"/>
    </row>
    <row r="17847" spans="2:3">
      <c r="B17847" s="12"/>
      <c r="C17847" s="12"/>
    </row>
    <row r="17848" spans="2:3">
      <c r="B17848" s="12"/>
      <c r="C17848" s="12"/>
    </row>
    <row r="17849" spans="2:3">
      <c r="B17849" s="12"/>
      <c r="C17849" s="12"/>
    </row>
    <row r="17850" spans="2:3">
      <c r="B17850" s="12"/>
      <c r="C17850" s="12"/>
    </row>
    <row r="17851" spans="2:3">
      <c r="B17851" s="12"/>
      <c r="C17851" s="12"/>
    </row>
    <row r="17852" spans="2:3">
      <c r="B17852" s="12"/>
      <c r="C17852" s="12"/>
    </row>
    <row r="17853" spans="2:3">
      <c r="B17853" s="12"/>
      <c r="C17853" s="12"/>
    </row>
    <row r="17854" spans="2:3">
      <c r="B17854" s="12"/>
      <c r="C17854" s="12"/>
    </row>
    <row r="17855" spans="2:3">
      <c r="B17855" s="12"/>
      <c r="C17855" s="12"/>
    </row>
    <row r="17856" spans="2:3">
      <c r="B17856" s="12"/>
      <c r="C17856" s="12"/>
    </row>
    <row r="17857" spans="2:3">
      <c r="B17857" s="12"/>
      <c r="C17857" s="12"/>
    </row>
    <row r="17858" spans="2:3">
      <c r="B17858" s="12"/>
      <c r="C17858" s="12"/>
    </row>
    <row r="17859" spans="2:3">
      <c r="B17859" s="12"/>
      <c r="C17859" s="12"/>
    </row>
    <row r="17860" spans="2:3">
      <c r="B17860" s="12"/>
      <c r="C17860" s="12"/>
    </row>
    <row r="17861" spans="2:3">
      <c r="B17861" s="12"/>
      <c r="C17861" s="12"/>
    </row>
    <row r="17862" spans="2:3">
      <c r="B17862" s="12"/>
      <c r="C17862" s="12"/>
    </row>
    <row r="17863" spans="2:3">
      <c r="B17863" s="12"/>
      <c r="C17863" s="12"/>
    </row>
    <row r="17864" spans="2:3">
      <c r="B17864" s="12"/>
      <c r="C17864" s="12"/>
    </row>
    <row r="17865" spans="2:3">
      <c r="B17865" s="12"/>
      <c r="C17865" s="12"/>
    </row>
    <row r="17866" spans="2:3">
      <c r="B17866" s="12"/>
      <c r="C17866" s="12"/>
    </row>
    <row r="17867" spans="2:3">
      <c r="B17867" s="12"/>
      <c r="C17867" s="12"/>
    </row>
    <row r="17868" spans="2:3">
      <c r="B17868" s="12"/>
      <c r="C17868" s="12"/>
    </row>
    <row r="17869" spans="2:3">
      <c r="B17869" s="12"/>
      <c r="C17869" s="12"/>
    </row>
    <row r="17870" spans="2:3">
      <c r="B17870" s="12"/>
      <c r="C17870" s="12"/>
    </row>
    <row r="17871" spans="2:3">
      <c r="B17871" s="12"/>
      <c r="C17871" s="12"/>
    </row>
    <row r="17872" spans="2:3">
      <c r="B17872" s="12"/>
      <c r="C17872" s="12"/>
    </row>
    <row r="17873" spans="2:3">
      <c r="B17873" s="12"/>
      <c r="C17873" s="12"/>
    </row>
    <row r="17874" spans="2:3">
      <c r="B17874" s="12"/>
      <c r="C17874" s="12"/>
    </row>
    <row r="17875" spans="2:3">
      <c r="B17875" s="12"/>
      <c r="C17875" s="12"/>
    </row>
    <row r="17876" spans="2:3">
      <c r="B17876" s="12"/>
      <c r="C17876" s="12"/>
    </row>
    <row r="17877" spans="2:3">
      <c r="B17877" s="12"/>
      <c r="C17877" s="12"/>
    </row>
    <row r="17878" spans="2:3">
      <c r="B17878" s="12"/>
      <c r="C17878" s="12"/>
    </row>
    <row r="17879" spans="2:3">
      <c r="B17879" s="12"/>
      <c r="C17879" s="12"/>
    </row>
    <row r="17880" spans="2:3">
      <c r="B17880" s="12"/>
      <c r="C17880" s="12"/>
    </row>
    <row r="17881" spans="2:3">
      <c r="B17881" s="12"/>
      <c r="C17881" s="12"/>
    </row>
    <row r="17882" spans="2:3">
      <c r="B17882" s="12"/>
      <c r="C17882" s="12"/>
    </row>
    <row r="17883" spans="2:3">
      <c r="B17883" s="12"/>
      <c r="C17883" s="12"/>
    </row>
    <row r="17884" spans="2:3">
      <c r="B17884" s="12"/>
      <c r="C17884" s="12"/>
    </row>
    <row r="17885" spans="2:3">
      <c r="B17885" s="12"/>
      <c r="C17885" s="12"/>
    </row>
    <row r="17886" spans="2:3">
      <c r="B17886" s="12"/>
      <c r="C17886" s="12"/>
    </row>
    <row r="17887" spans="2:3">
      <c r="B17887" s="12"/>
      <c r="C17887" s="12"/>
    </row>
    <row r="17888" spans="2:3">
      <c r="B17888" s="12"/>
      <c r="C17888" s="12"/>
    </row>
    <row r="17889" spans="2:3">
      <c r="B17889" s="12"/>
      <c r="C17889" s="12"/>
    </row>
    <row r="17890" spans="2:3">
      <c r="B17890" s="12"/>
      <c r="C17890" s="12"/>
    </row>
    <row r="17891" spans="2:3">
      <c r="B17891" s="12"/>
      <c r="C17891" s="12"/>
    </row>
    <row r="17892" spans="2:3">
      <c r="B17892" s="12"/>
      <c r="C17892" s="12"/>
    </row>
    <row r="17893" spans="2:3">
      <c r="B17893" s="12"/>
      <c r="C17893" s="12"/>
    </row>
    <row r="17894" spans="2:3">
      <c r="B17894" s="12"/>
      <c r="C17894" s="12"/>
    </row>
    <row r="17895" spans="2:3">
      <c r="B17895" s="12"/>
      <c r="C17895" s="12"/>
    </row>
    <row r="17896" spans="2:3">
      <c r="B17896" s="12"/>
      <c r="C17896" s="12"/>
    </row>
    <row r="17897" spans="2:3">
      <c r="B17897" s="12"/>
      <c r="C17897" s="12"/>
    </row>
    <row r="17898" spans="2:3">
      <c r="B17898" s="12"/>
      <c r="C17898" s="12"/>
    </row>
    <row r="17899" spans="2:3">
      <c r="B17899" s="12"/>
      <c r="C17899" s="12"/>
    </row>
    <row r="17900" spans="2:3">
      <c r="B17900" s="12"/>
      <c r="C17900" s="12"/>
    </row>
    <row r="17901" spans="2:3">
      <c r="B17901" s="12"/>
      <c r="C17901" s="12"/>
    </row>
    <row r="17902" spans="2:3">
      <c r="B17902" s="12"/>
      <c r="C17902" s="12"/>
    </row>
    <row r="17903" spans="2:3">
      <c r="B17903" s="12"/>
      <c r="C17903" s="12"/>
    </row>
    <row r="17904" spans="2:3">
      <c r="B17904" s="12"/>
      <c r="C17904" s="12"/>
    </row>
    <row r="17905" spans="2:3">
      <c r="B17905" s="12"/>
      <c r="C17905" s="12"/>
    </row>
    <row r="17906" spans="2:3">
      <c r="B17906" s="12"/>
      <c r="C17906" s="12"/>
    </row>
    <row r="17907" spans="2:3">
      <c r="B17907" s="12"/>
      <c r="C17907" s="12"/>
    </row>
    <row r="17908" spans="2:3">
      <c r="B17908" s="12"/>
      <c r="C17908" s="12"/>
    </row>
    <row r="17909" spans="2:3">
      <c r="B17909" s="12"/>
      <c r="C17909" s="12"/>
    </row>
    <row r="17910" spans="2:3">
      <c r="B17910" s="12"/>
      <c r="C17910" s="12"/>
    </row>
    <row r="17911" spans="2:3">
      <c r="B17911" s="12"/>
      <c r="C17911" s="12"/>
    </row>
    <row r="17912" spans="2:3">
      <c r="B17912" s="12"/>
      <c r="C17912" s="12"/>
    </row>
    <row r="17913" spans="2:3">
      <c r="B17913" s="12"/>
      <c r="C17913" s="12"/>
    </row>
    <row r="17914" spans="2:3">
      <c r="B17914" s="12"/>
      <c r="C17914" s="12"/>
    </row>
    <row r="17915" spans="2:3">
      <c r="B17915" s="12"/>
      <c r="C17915" s="12"/>
    </row>
    <row r="17916" spans="2:3">
      <c r="B17916" s="12"/>
      <c r="C17916" s="12"/>
    </row>
    <row r="17917" spans="2:3">
      <c r="B17917" s="12"/>
      <c r="C17917" s="12"/>
    </row>
    <row r="17918" spans="2:3">
      <c r="B17918" s="12"/>
      <c r="C17918" s="12"/>
    </row>
    <row r="17919" spans="2:3">
      <c r="B17919" s="12"/>
      <c r="C17919" s="12"/>
    </row>
    <row r="17920" spans="2:3">
      <c r="B17920" s="12"/>
      <c r="C17920" s="12"/>
    </row>
    <row r="17921" spans="2:3">
      <c r="B17921" s="12"/>
      <c r="C17921" s="12"/>
    </row>
    <row r="17922" spans="2:3">
      <c r="B17922" s="12"/>
      <c r="C17922" s="12"/>
    </row>
    <row r="17923" spans="2:3">
      <c r="B17923" s="12"/>
      <c r="C17923" s="12"/>
    </row>
    <row r="17924" spans="2:3">
      <c r="B17924" s="12"/>
      <c r="C17924" s="12"/>
    </row>
    <row r="17925" spans="2:3">
      <c r="B17925" s="12"/>
      <c r="C17925" s="12"/>
    </row>
    <row r="17926" spans="2:3">
      <c r="B17926" s="12"/>
      <c r="C17926" s="12"/>
    </row>
    <row r="17927" spans="2:3">
      <c r="B17927" s="12"/>
      <c r="C17927" s="12"/>
    </row>
    <row r="17928" spans="2:3">
      <c r="B17928" s="12"/>
      <c r="C17928" s="12"/>
    </row>
    <row r="17929" spans="2:3">
      <c r="B17929" s="12"/>
      <c r="C17929" s="12"/>
    </row>
    <row r="17930" spans="2:3">
      <c r="B17930" s="12"/>
      <c r="C17930" s="12"/>
    </row>
    <row r="17931" spans="2:3">
      <c r="B17931" s="12"/>
      <c r="C17931" s="12"/>
    </row>
    <row r="17932" spans="2:3">
      <c r="B17932" s="12"/>
      <c r="C17932" s="12"/>
    </row>
    <row r="17933" spans="2:3">
      <c r="B17933" s="12"/>
      <c r="C17933" s="12"/>
    </row>
    <row r="17934" spans="2:3">
      <c r="B17934" s="12"/>
      <c r="C17934" s="12"/>
    </row>
    <row r="17935" spans="2:3">
      <c r="B17935" s="12"/>
      <c r="C17935" s="12"/>
    </row>
    <row r="17936" spans="2:3">
      <c r="B17936" s="12"/>
      <c r="C17936" s="12"/>
    </row>
    <row r="17937" spans="2:3">
      <c r="B17937" s="12"/>
      <c r="C17937" s="12"/>
    </row>
    <row r="17938" spans="2:3">
      <c r="B17938" s="12"/>
      <c r="C17938" s="12"/>
    </row>
    <row r="17939" spans="2:3">
      <c r="B17939" s="12"/>
      <c r="C17939" s="12"/>
    </row>
    <row r="17940" spans="2:3">
      <c r="B17940" s="12"/>
      <c r="C17940" s="12"/>
    </row>
    <row r="17941" spans="2:3">
      <c r="B17941" s="12"/>
      <c r="C17941" s="12"/>
    </row>
    <row r="17942" spans="2:3">
      <c r="B17942" s="12"/>
      <c r="C17942" s="12"/>
    </row>
    <row r="17943" spans="2:3">
      <c r="B17943" s="12"/>
      <c r="C17943" s="12"/>
    </row>
    <row r="17944" spans="2:3">
      <c r="B17944" s="12"/>
      <c r="C17944" s="12"/>
    </row>
    <row r="17945" spans="2:3">
      <c r="B17945" s="12"/>
      <c r="C17945" s="12"/>
    </row>
    <row r="17946" spans="2:3">
      <c r="B17946" s="12"/>
      <c r="C17946" s="12"/>
    </row>
    <row r="17947" spans="2:3">
      <c r="B17947" s="12"/>
      <c r="C17947" s="12"/>
    </row>
    <row r="17948" spans="2:3">
      <c r="B17948" s="12"/>
      <c r="C17948" s="12"/>
    </row>
    <row r="17949" spans="2:3">
      <c r="B17949" s="12"/>
      <c r="C17949" s="12"/>
    </row>
    <row r="17950" spans="2:3">
      <c r="B17950" s="12"/>
      <c r="C17950" s="12"/>
    </row>
    <row r="17951" spans="2:3">
      <c r="B17951" s="12"/>
      <c r="C17951" s="12"/>
    </row>
    <row r="17952" spans="2:3">
      <c r="B17952" s="12"/>
      <c r="C17952" s="12"/>
    </row>
    <row r="17953" spans="2:3">
      <c r="B17953" s="12"/>
      <c r="C17953" s="12"/>
    </row>
    <row r="17954" spans="2:3">
      <c r="B17954" s="12"/>
      <c r="C17954" s="12"/>
    </row>
    <row r="17955" spans="2:3">
      <c r="B17955" s="12"/>
      <c r="C17955" s="12"/>
    </row>
    <row r="17956" spans="2:3">
      <c r="B17956" s="12"/>
      <c r="C17956" s="12"/>
    </row>
    <row r="17957" spans="2:3">
      <c r="B17957" s="12"/>
      <c r="C17957" s="12"/>
    </row>
    <row r="17958" spans="2:3">
      <c r="B17958" s="12"/>
      <c r="C17958" s="12"/>
    </row>
    <row r="17959" spans="2:3">
      <c r="B17959" s="12"/>
      <c r="C17959" s="12"/>
    </row>
    <row r="17960" spans="2:3">
      <c r="B17960" s="12"/>
      <c r="C17960" s="12"/>
    </row>
    <row r="17961" spans="2:3">
      <c r="B17961" s="12"/>
      <c r="C17961" s="12"/>
    </row>
    <row r="17962" spans="2:3">
      <c r="B17962" s="12"/>
      <c r="C17962" s="12"/>
    </row>
    <row r="17963" spans="2:3">
      <c r="B17963" s="12"/>
      <c r="C17963" s="12"/>
    </row>
    <row r="17964" spans="2:3">
      <c r="B17964" s="12"/>
      <c r="C17964" s="12"/>
    </row>
    <row r="17965" spans="2:3">
      <c r="B17965" s="12"/>
      <c r="C17965" s="12"/>
    </row>
    <row r="17966" spans="2:3">
      <c r="B17966" s="12"/>
      <c r="C17966" s="12"/>
    </row>
    <row r="17967" spans="2:3">
      <c r="B17967" s="12"/>
      <c r="C17967" s="12"/>
    </row>
    <row r="17968" spans="2:3">
      <c r="B17968" s="12"/>
      <c r="C17968" s="12"/>
    </row>
    <row r="17969" spans="2:3">
      <c r="B17969" s="12"/>
      <c r="C17969" s="12"/>
    </row>
    <row r="17970" spans="2:3">
      <c r="B17970" s="12"/>
      <c r="C17970" s="12"/>
    </row>
    <row r="17971" spans="2:3">
      <c r="B17971" s="12"/>
      <c r="C17971" s="12"/>
    </row>
    <row r="17972" spans="2:3">
      <c r="B17972" s="12"/>
      <c r="C17972" s="12"/>
    </row>
    <row r="17973" spans="2:3">
      <c r="B17973" s="12"/>
      <c r="C17973" s="12"/>
    </row>
    <row r="17974" spans="2:3">
      <c r="B17974" s="12"/>
      <c r="C17974" s="12"/>
    </row>
    <row r="17975" spans="2:3">
      <c r="B17975" s="12"/>
      <c r="C17975" s="12"/>
    </row>
    <row r="17976" spans="2:3">
      <c r="B17976" s="12"/>
      <c r="C17976" s="12"/>
    </row>
    <row r="17977" spans="2:3">
      <c r="B17977" s="12"/>
      <c r="C17977" s="12"/>
    </row>
    <row r="17978" spans="2:3">
      <c r="B17978" s="12"/>
      <c r="C17978" s="12"/>
    </row>
    <row r="17979" spans="2:3">
      <c r="B17979" s="12"/>
      <c r="C17979" s="12"/>
    </row>
    <row r="17980" spans="2:3">
      <c r="B17980" s="12"/>
      <c r="C17980" s="12"/>
    </row>
    <row r="17981" spans="2:3">
      <c r="B17981" s="12"/>
      <c r="C17981" s="12"/>
    </row>
    <row r="17982" spans="2:3">
      <c r="B17982" s="12"/>
      <c r="C17982" s="12"/>
    </row>
    <row r="17983" spans="2:3">
      <c r="B17983" s="12"/>
      <c r="C17983" s="12"/>
    </row>
    <row r="17984" spans="2:3">
      <c r="B17984" s="12"/>
      <c r="C17984" s="12"/>
    </row>
    <row r="17985" spans="2:3">
      <c r="B17985" s="12"/>
      <c r="C17985" s="12"/>
    </row>
    <row r="17986" spans="2:3">
      <c r="B17986" s="12"/>
      <c r="C17986" s="12"/>
    </row>
    <row r="17987" spans="2:3">
      <c r="B17987" s="12"/>
      <c r="C17987" s="12"/>
    </row>
    <row r="17988" spans="2:3">
      <c r="B17988" s="12"/>
      <c r="C17988" s="12"/>
    </row>
    <row r="17989" spans="2:3">
      <c r="B17989" s="12"/>
      <c r="C17989" s="12"/>
    </row>
    <row r="17990" spans="2:3">
      <c r="B17990" s="12"/>
      <c r="C17990" s="12"/>
    </row>
    <row r="17991" spans="2:3">
      <c r="B17991" s="12"/>
      <c r="C17991" s="12"/>
    </row>
    <row r="17992" spans="2:3">
      <c r="B17992" s="12"/>
      <c r="C17992" s="12"/>
    </row>
    <row r="17993" spans="2:3">
      <c r="B17993" s="12"/>
      <c r="C17993" s="12"/>
    </row>
    <row r="17994" spans="2:3">
      <c r="B17994" s="12"/>
      <c r="C17994" s="12"/>
    </row>
    <row r="17995" spans="2:3">
      <c r="B17995" s="12"/>
      <c r="C17995" s="12"/>
    </row>
    <row r="17996" spans="2:3">
      <c r="B17996" s="12"/>
      <c r="C17996" s="12"/>
    </row>
    <row r="17997" spans="2:3">
      <c r="B17997" s="12"/>
      <c r="C17997" s="12"/>
    </row>
    <row r="17998" spans="2:3">
      <c r="B17998" s="12"/>
      <c r="C17998" s="12"/>
    </row>
    <row r="17999" spans="2:3">
      <c r="B17999" s="12"/>
      <c r="C17999" s="12"/>
    </row>
    <row r="18000" spans="2:3">
      <c r="B18000" s="12"/>
      <c r="C18000" s="12"/>
    </row>
    <row r="18001" spans="2:3">
      <c r="B18001" s="12"/>
      <c r="C18001" s="12"/>
    </row>
    <row r="18002" spans="2:3">
      <c r="B18002" s="12"/>
      <c r="C18002" s="12"/>
    </row>
    <row r="18003" spans="2:3">
      <c r="B18003" s="12"/>
      <c r="C18003" s="12"/>
    </row>
    <row r="18004" spans="2:3">
      <c r="B18004" s="12"/>
      <c r="C18004" s="12"/>
    </row>
    <row r="18005" spans="2:3">
      <c r="B18005" s="12"/>
      <c r="C18005" s="12"/>
    </row>
    <row r="18006" spans="2:3">
      <c r="B18006" s="12"/>
      <c r="C18006" s="12"/>
    </row>
    <row r="18007" spans="2:3">
      <c r="B18007" s="12"/>
      <c r="C18007" s="12"/>
    </row>
    <row r="18008" spans="2:3">
      <c r="B18008" s="12"/>
      <c r="C18008" s="12"/>
    </row>
    <row r="18009" spans="2:3">
      <c r="B18009" s="12"/>
      <c r="C18009" s="12"/>
    </row>
    <row r="18010" spans="2:3">
      <c r="B18010" s="12"/>
      <c r="C18010" s="12"/>
    </row>
    <row r="18011" spans="2:3">
      <c r="B18011" s="12"/>
      <c r="C18011" s="12"/>
    </row>
    <row r="18012" spans="2:3">
      <c r="B18012" s="12"/>
      <c r="C18012" s="12"/>
    </row>
    <row r="18013" spans="2:3">
      <c r="B18013" s="12"/>
      <c r="C18013" s="12"/>
    </row>
    <row r="18014" spans="2:3">
      <c r="B18014" s="12"/>
      <c r="C18014" s="12"/>
    </row>
    <row r="18015" spans="2:3">
      <c r="B18015" s="12"/>
      <c r="C18015" s="12"/>
    </row>
    <row r="18016" spans="2:3">
      <c r="B18016" s="12"/>
      <c r="C18016" s="12"/>
    </row>
    <row r="18017" spans="2:3">
      <c r="B18017" s="12"/>
      <c r="C18017" s="12"/>
    </row>
    <row r="18018" spans="2:3">
      <c r="B18018" s="12"/>
      <c r="C18018" s="12"/>
    </row>
    <row r="18019" spans="2:3">
      <c r="B18019" s="12"/>
      <c r="C18019" s="12"/>
    </row>
    <row r="18020" spans="2:3">
      <c r="B18020" s="12"/>
      <c r="C18020" s="12"/>
    </row>
    <row r="18021" spans="2:3">
      <c r="B18021" s="12"/>
      <c r="C18021" s="12"/>
    </row>
    <row r="18022" spans="2:3">
      <c r="B18022" s="12"/>
      <c r="C18022" s="12"/>
    </row>
    <row r="18023" spans="2:3">
      <c r="B18023" s="12"/>
      <c r="C18023" s="12"/>
    </row>
    <row r="18024" spans="2:3">
      <c r="B18024" s="12"/>
      <c r="C18024" s="12"/>
    </row>
    <row r="18025" spans="2:3">
      <c r="B18025" s="12"/>
      <c r="C18025" s="12"/>
    </row>
    <row r="18026" spans="2:3">
      <c r="B18026" s="12"/>
      <c r="C18026" s="12"/>
    </row>
    <row r="18027" spans="2:3">
      <c r="B18027" s="12"/>
      <c r="C18027" s="12"/>
    </row>
    <row r="18028" spans="2:3">
      <c r="B18028" s="12"/>
      <c r="C18028" s="12"/>
    </row>
    <row r="18029" spans="2:3">
      <c r="B18029" s="12"/>
      <c r="C18029" s="12"/>
    </row>
    <row r="18030" spans="2:3">
      <c r="B18030" s="12"/>
      <c r="C18030" s="12"/>
    </row>
    <row r="18031" spans="2:3">
      <c r="B18031" s="12"/>
      <c r="C18031" s="12"/>
    </row>
    <row r="18032" spans="2:3">
      <c r="B18032" s="12"/>
      <c r="C18032" s="12"/>
    </row>
    <row r="18033" spans="2:3">
      <c r="B18033" s="12"/>
      <c r="C18033" s="12"/>
    </row>
    <row r="18034" spans="2:3">
      <c r="B18034" s="12"/>
      <c r="C18034" s="12"/>
    </row>
    <row r="18035" spans="2:3">
      <c r="B18035" s="12"/>
      <c r="C18035" s="12"/>
    </row>
    <row r="18036" spans="2:3">
      <c r="B18036" s="12"/>
      <c r="C18036" s="12"/>
    </row>
    <row r="18037" spans="2:3">
      <c r="B18037" s="12"/>
      <c r="C18037" s="12"/>
    </row>
    <row r="18038" spans="2:3">
      <c r="B18038" s="12"/>
      <c r="C18038" s="12"/>
    </row>
    <row r="18039" spans="2:3">
      <c r="B18039" s="12"/>
      <c r="C18039" s="12"/>
    </row>
    <row r="18040" spans="2:3">
      <c r="B18040" s="12"/>
      <c r="C18040" s="12"/>
    </row>
    <row r="18041" spans="2:3">
      <c r="B18041" s="12"/>
      <c r="C18041" s="12"/>
    </row>
    <row r="18042" spans="2:3">
      <c r="B18042" s="12"/>
      <c r="C18042" s="12"/>
    </row>
    <row r="18043" spans="2:3">
      <c r="B18043" s="12"/>
      <c r="C18043" s="12"/>
    </row>
    <row r="18044" spans="2:3">
      <c r="B18044" s="12"/>
      <c r="C18044" s="12"/>
    </row>
    <row r="18045" spans="2:3">
      <c r="B18045" s="12"/>
      <c r="C18045" s="12"/>
    </row>
    <row r="18046" spans="2:3">
      <c r="B18046" s="12"/>
      <c r="C18046" s="12"/>
    </row>
    <row r="18047" spans="2:3">
      <c r="B18047" s="12"/>
      <c r="C18047" s="12"/>
    </row>
    <row r="18048" spans="2:3">
      <c r="B18048" s="12"/>
      <c r="C18048" s="12"/>
    </row>
    <row r="18049" spans="2:3">
      <c r="B18049" s="12"/>
      <c r="C18049" s="12"/>
    </row>
    <row r="18050" spans="2:3">
      <c r="B18050" s="12"/>
      <c r="C18050" s="12"/>
    </row>
    <row r="18051" spans="2:3">
      <c r="B18051" s="12"/>
      <c r="C18051" s="12"/>
    </row>
    <row r="18052" spans="2:3">
      <c r="B18052" s="12"/>
      <c r="C18052" s="12"/>
    </row>
    <row r="18053" spans="2:3">
      <c r="B18053" s="12"/>
      <c r="C18053" s="12"/>
    </row>
    <row r="18054" spans="2:3">
      <c r="B18054" s="12"/>
      <c r="C18054" s="12"/>
    </row>
    <row r="18055" spans="2:3">
      <c r="B18055" s="12"/>
      <c r="C18055" s="12"/>
    </row>
    <row r="18056" spans="2:3">
      <c r="B18056" s="12"/>
      <c r="C18056" s="12"/>
    </row>
    <row r="18057" spans="2:3">
      <c r="B18057" s="12"/>
      <c r="C18057" s="12"/>
    </row>
    <row r="18058" spans="2:3">
      <c r="B18058" s="12"/>
      <c r="C18058" s="12"/>
    </row>
    <row r="18059" spans="2:3">
      <c r="B18059" s="12"/>
      <c r="C18059" s="12"/>
    </row>
    <row r="18060" spans="2:3">
      <c r="B18060" s="12"/>
      <c r="C18060" s="12"/>
    </row>
    <row r="18061" spans="2:3">
      <c r="B18061" s="12"/>
      <c r="C18061" s="12"/>
    </row>
    <row r="18062" spans="2:3">
      <c r="B18062" s="12"/>
      <c r="C18062" s="12"/>
    </row>
    <row r="18063" spans="2:3">
      <c r="B18063" s="12"/>
      <c r="C18063" s="12"/>
    </row>
    <row r="18064" spans="2:3">
      <c r="B18064" s="12"/>
      <c r="C18064" s="12"/>
    </row>
    <row r="18065" spans="2:3">
      <c r="B18065" s="12"/>
      <c r="C18065" s="12"/>
    </row>
    <row r="18066" spans="2:3">
      <c r="B18066" s="12"/>
      <c r="C18066" s="12"/>
    </row>
    <row r="18067" spans="2:3">
      <c r="B18067" s="12"/>
      <c r="C18067" s="12"/>
    </row>
    <row r="18068" spans="2:3">
      <c r="B18068" s="12"/>
      <c r="C18068" s="12"/>
    </row>
    <row r="18069" spans="2:3">
      <c r="B18069" s="12"/>
      <c r="C18069" s="12"/>
    </row>
    <row r="18070" spans="2:3">
      <c r="B18070" s="12"/>
      <c r="C18070" s="12"/>
    </row>
    <row r="18071" spans="2:3">
      <c r="B18071" s="12"/>
      <c r="C18071" s="12"/>
    </row>
    <row r="18072" spans="2:3">
      <c r="B18072" s="12"/>
      <c r="C18072" s="12"/>
    </row>
    <row r="18073" spans="2:3">
      <c r="B18073" s="12"/>
      <c r="C18073" s="12"/>
    </row>
    <row r="18074" spans="2:3">
      <c r="B18074" s="12"/>
      <c r="C18074" s="12"/>
    </row>
    <row r="18075" spans="2:3">
      <c r="B18075" s="12"/>
      <c r="C18075" s="12"/>
    </row>
    <row r="18076" spans="2:3">
      <c r="B18076" s="12"/>
      <c r="C18076" s="12"/>
    </row>
    <row r="18077" spans="2:3">
      <c r="B18077" s="12"/>
      <c r="C18077" s="12"/>
    </row>
    <row r="18078" spans="2:3">
      <c r="B18078" s="12"/>
      <c r="C18078" s="12"/>
    </row>
    <row r="18079" spans="2:3">
      <c r="B18079" s="12"/>
      <c r="C18079" s="12"/>
    </row>
    <row r="18080" spans="2:3">
      <c r="B18080" s="12"/>
      <c r="C18080" s="12"/>
    </row>
    <row r="18081" spans="2:3">
      <c r="B18081" s="12"/>
      <c r="C18081" s="12"/>
    </row>
    <row r="18082" spans="2:3">
      <c r="B18082" s="12"/>
      <c r="C18082" s="12"/>
    </row>
    <row r="18083" spans="2:3">
      <c r="B18083" s="12"/>
      <c r="C18083" s="12"/>
    </row>
    <row r="18084" spans="2:3">
      <c r="B18084" s="12"/>
      <c r="C18084" s="12"/>
    </row>
    <row r="18085" spans="2:3">
      <c r="B18085" s="12"/>
      <c r="C18085" s="12"/>
    </row>
    <row r="18086" spans="2:3">
      <c r="B18086" s="12"/>
      <c r="C18086" s="12"/>
    </row>
    <row r="18087" spans="2:3">
      <c r="B18087" s="12"/>
      <c r="C18087" s="12"/>
    </row>
    <row r="18088" spans="2:3">
      <c r="B18088" s="12"/>
      <c r="C18088" s="12"/>
    </row>
    <row r="18089" spans="2:3">
      <c r="B18089" s="12"/>
      <c r="C18089" s="12"/>
    </row>
    <row r="18090" spans="2:3">
      <c r="B18090" s="12"/>
      <c r="C18090" s="12"/>
    </row>
    <row r="18091" spans="2:3">
      <c r="B18091" s="12"/>
      <c r="C18091" s="12"/>
    </row>
    <row r="18092" spans="2:3">
      <c r="B18092" s="12"/>
      <c r="C18092" s="12"/>
    </row>
    <row r="18093" spans="2:3">
      <c r="B18093" s="12"/>
      <c r="C18093" s="12"/>
    </row>
    <row r="18094" spans="2:3">
      <c r="B18094" s="12"/>
      <c r="C18094" s="12"/>
    </row>
    <row r="18095" spans="2:3">
      <c r="B18095" s="12"/>
      <c r="C18095" s="12"/>
    </row>
    <row r="18096" spans="2:3">
      <c r="B18096" s="12"/>
      <c r="C18096" s="12"/>
    </row>
    <row r="18097" spans="2:3">
      <c r="B18097" s="12"/>
      <c r="C18097" s="12"/>
    </row>
    <row r="18098" spans="2:3">
      <c r="B18098" s="12"/>
      <c r="C18098" s="12"/>
    </row>
    <row r="18099" spans="2:3">
      <c r="B18099" s="12"/>
      <c r="C18099" s="12"/>
    </row>
    <row r="18100" spans="2:3">
      <c r="B18100" s="12"/>
      <c r="C18100" s="12"/>
    </row>
    <row r="18101" spans="2:3">
      <c r="B18101" s="12"/>
      <c r="C18101" s="12"/>
    </row>
    <row r="18102" spans="2:3">
      <c r="B18102" s="12"/>
      <c r="C18102" s="12"/>
    </row>
    <row r="18103" spans="2:3">
      <c r="B18103" s="12"/>
      <c r="C18103" s="12"/>
    </row>
    <row r="18104" spans="2:3">
      <c r="B18104" s="12"/>
      <c r="C18104" s="12"/>
    </row>
    <row r="18105" spans="2:3">
      <c r="B18105" s="12"/>
      <c r="C18105" s="12"/>
    </row>
    <row r="18106" spans="2:3">
      <c r="B18106" s="12"/>
      <c r="C18106" s="12"/>
    </row>
    <row r="18107" spans="2:3">
      <c r="B18107" s="12"/>
      <c r="C18107" s="12"/>
    </row>
    <row r="18108" spans="2:3">
      <c r="B18108" s="12"/>
      <c r="C18108" s="12"/>
    </row>
    <row r="18109" spans="2:3">
      <c r="B18109" s="12"/>
      <c r="C18109" s="12"/>
    </row>
    <row r="18110" spans="2:3">
      <c r="B18110" s="12"/>
      <c r="C18110" s="12"/>
    </row>
    <row r="18111" spans="2:3">
      <c r="B18111" s="12"/>
      <c r="C18111" s="12"/>
    </row>
    <row r="18112" spans="2:3">
      <c r="B18112" s="12"/>
      <c r="C18112" s="12"/>
    </row>
    <row r="18113" spans="2:3">
      <c r="B18113" s="12"/>
      <c r="C18113" s="12"/>
    </row>
    <row r="18114" spans="2:3">
      <c r="B18114" s="12"/>
      <c r="C18114" s="12"/>
    </row>
    <row r="18115" spans="2:3">
      <c r="B18115" s="12"/>
      <c r="C18115" s="12"/>
    </row>
    <row r="18116" spans="2:3">
      <c r="B18116" s="12"/>
      <c r="C18116" s="12"/>
    </row>
    <row r="18117" spans="2:3">
      <c r="B18117" s="12"/>
      <c r="C18117" s="12"/>
    </row>
    <row r="18118" spans="2:3">
      <c r="B18118" s="12"/>
      <c r="C18118" s="12"/>
    </row>
    <row r="18119" spans="2:3">
      <c r="B18119" s="12"/>
      <c r="C18119" s="12"/>
    </row>
    <row r="18120" spans="2:3">
      <c r="B18120" s="12"/>
      <c r="C18120" s="12"/>
    </row>
    <row r="18121" spans="2:3">
      <c r="B18121" s="12"/>
      <c r="C18121" s="12"/>
    </row>
    <row r="18122" spans="2:3">
      <c r="B18122" s="12"/>
      <c r="C18122" s="12"/>
    </row>
    <row r="18123" spans="2:3">
      <c r="B18123" s="12"/>
      <c r="C18123" s="12"/>
    </row>
    <row r="18124" spans="2:3">
      <c r="B18124" s="12"/>
      <c r="C18124" s="12"/>
    </row>
    <row r="18125" spans="2:3">
      <c r="B18125" s="12"/>
      <c r="C18125" s="12"/>
    </row>
    <row r="18126" spans="2:3">
      <c r="B18126" s="12"/>
      <c r="C18126" s="12"/>
    </row>
    <row r="18127" spans="2:3">
      <c r="B18127" s="12"/>
      <c r="C18127" s="12"/>
    </row>
    <row r="18128" spans="2:3">
      <c r="B18128" s="12"/>
      <c r="C18128" s="12"/>
    </row>
    <row r="18129" spans="2:3">
      <c r="B18129" s="12"/>
      <c r="C18129" s="12"/>
    </row>
    <row r="18130" spans="2:3">
      <c r="B18130" s="12"/>
      <c r="C18130" s="12"/>
    </row>
    <row r="18131" spans="2:3">
      <c r="B18131" s="12"/>
      <c r="C18131" s="12"/>
    </row>
    <row r="18132" spans="2:3">
      <c r="B18132" s="12"/>
      <c r="C18132" s="12"/>
    </row>
    <row r="18133" spans="2:3">
      <c r="B18133" s="12"/>
      <c r="C18133" s="12"/>
    </row>
    <row r="18134" spans="2:3">
      <c r="B18134" s="12"/>
      <c r="C18134" s="12"/>
    </row>
    <row r="18135" spans="2:3">
      <c r="B18135" s="12"/>
      <c r="C18135" s="12"/>
    </row>
    <row r="18136" spans="2:3">
      <c r="B18136" s="12"/>
      <c r="C18136" s="12"/>
    </row>
    <row r="18137" spans="2:3">
      <c r="B18137" s="12"/>
      <c r="C18137" s="12"/>
    </row>
    <row r="18138" spans="2:3">
      <c r="B18138" s="12"/>
      <c r="C18138" s="12"/>
    </row>
    <row r="18139" spans="2:3">
      <c r="B18139" s="12"/>
      <c r="C18139" s="12"/>
    </row>
    <row r="18140" spans="2:3">
      <c r="B18140" s="12"/>
      <c r="C18140" s="12"/>
    </row>
    <row r="18141" spans="2:3">
      <c r="B18141" s="12"/>
      <c r="C18141" s="12"/>
    </row>
    <row r="18142" spans="2:3">
      <c r="B18142" s="12"/>
      <c r="C18142" s="12"/>
    </row>
    <row r="18143" spans="2:3">
      <c r="B18143" s="12"/>
      <c r="C18143" s="12"/>
    </row>
    <row r="18144" spans="2:3">
      <c r="B18144" s="12"/>
      <c r="C18144" s="12"/>
    </row>
    <row r="18145" spans="2:3">
      <c r="B18145" s="12"/>
      <c r="C18145" s="12"/>
    </row>
    <row r="18146" spans="2:3">
      <c r="B18146" s="12"/>
      <c r="C18146" s="12"/>
    </row>
    <row r="18147" spans="2:3">
      <c r="B18147" s="12"/>
      <c r="C18147" s="12"/>
    </row>
    <row r="18148" spans="2:3">
      <c r="B18148" s="12"/>
      <c r="C18148" s="12"/>
    </row>
    <row r="18149" spans="2:3">
      <c r="B18149" s="12"/>
      <c r="C18149" s="12"/>
    </row>
    <row r="18150" spans="2:3">
      <c r="B18150" s="12"/>
      <c r="C18150" s="12"/>
    </row>
    <row r="18151" spans="2:3">
      <c r="B18151" s="12"/>
      <c r="C18151" s="12"/>
    </row>
    <row r="18152" spans="2:3">
      <c r="B18152" s="12"/>
      <c r="C18152" s="12"/>
    </row>
    <row r="18153" spans="2:3">
      <c r="B18153" s="12"/>
      <c r="C18153" s="12"/>
    </row>
    <row r="18154" spans="2:3">
      <c r="B18154" s="12"/>
      <c r="C18154" s="12"/>
    </row>
    <row r="18155" spans="2:3">
      <c r="B18155" s="12"/>
      <c r="C18155" s="12"/>
    </row>
    <row r="18156" spans="2:3">
      <c r="B18156" s="12"/>
      <c r="C18156" s="12"/>
    </row>
    <row r="18157" spans="2:3">
      <c r="B18157" s="12"/>
      <c r="C18157" s="12"/>
    </row>
    <row r="18158" spans="2:3">
      <c r="B18158" s="12"/>
      <c r="C18158" s="12"/>
    </row>
    <row r="18159" spans="2:3">
      <c r="B18159" s="12"/>
      <c r="C18159" s="12"/>
    </row>
    <row r="18160" spans="2:3">
      <c r="B18160" s="12"/>
      <c r="C18160" s="12"/>
    </row>
    <row r="18161" spans="2:3">
      <c r="B18161" s="12"/>
      <c r="C18161" s="12"/>
    </row>
    <row r="18162" spans="2:3">
      <c r="B18162" s="12"/>
      <c r="C18162" s="12"/>
    </row>
    <row r="18163" spans="2:3">
      <c r="B18163" s="12"/>
      <c r="C18163" s="12"/>
    </row>
    <row r="18164" spans="2:3">
      <c r="B18164" s="12"/>
      <c r="C18164" s="12"/>
    </row>
    <row r="18165" spans="2:3">
      <c r="B18165" s="12"/>
      <c r="C18165" s="12"/>
    </row>
    <row r="18166" spans="2:3">
      <c r="B18166" s="12"/>
      <c r="C18166" s="12"/>
    </row>
    <row r="18167" spans="2:3">
      <c r="B18167" s="12"/>
      <c r="C18167" s="12"/>
    </row>
    <row r="18168" spans="2:3">
      <c r="B18168" s="12"/>
      <c r="C18168" s="12"/>
    </row>
    <row r="18169" spans="2:3">
      <c r="B18169" s="12"/>
      <c r="C18169" s="12"/>
    </row>
    <row r="18170" spans="2:3">
      <c r="B18170" s="12"/>
      <c r="C18170" s="12"/>
    </row>
    <row r="18171" spans="2:3">
      <c r="B18171" s="12"/>
      <c r="C18171" s="12"/>
    </row>
    <row r="18172" spans="2:3">
      <c r="B18172" s="12"/>
      <c r="C18172" s="12"/>
    </row>
    <row r="18173" spans="2:3">
      <c r="B18173" s="12"/>
      <c r="C18173" s="12"/>
    </row>
    <row r="18174" spans="2:3">
      <c r="B18174" s="12"/>
      <c r="C18174" s="12"/>
    </row>
    <row r="18175" spans="2:3">
      <c r="B18175" s="12"/>
      <c r="C18175" s="12"/>
    </row>
    <row r="18176" spans="2:3">
      <c r="B18176" s="12"/>
      <c r="C18176" s="12"/>
    </row>
    <row r="18177" spans="2:3">
      <c r="B18177" s="12"/>
      <c r="C18177" s="12"/>
    </row>
    <row r="18178" spans="2:3">
      <c r="B18178" s="12"/>
      <c r="C18178" s="12"/>
    </row>
    <row r="18179" spans="2:3">
      <c r="B18179" s="12"/>
      <c r="C18179" s="12"/>
    </row>
    <row r="18180" spans="2:3">
      <c r="B18180" s="12"/>
      <c r="C18180" s="12"/>
    </row>
    <row r="18181" spans="2:3">
      <c r="B18181" s="12"/>
      <c r="C18181" s="12"/>
    </row>
    <row r="18182" spans="2:3">
      <c r="B18182" s="12"/>
      <c r="C18182" s="12"/>
    </row>
    <row r="18183" spans="2:3">
      <c r="B18183" s="12"/>
      <c r="C18183" s="12"/>
    </row>
    <row r="18184" spans="2:3">
      <c r="B18184" s="12"/>
      <c r="C18184" s="12"/>
    </row>
    <row r="18185" spans="2:3">
      <c r="B18185" s="12"/>
      <c r="C18185" s="12"/>
    </row>
    <row r="18186" spans="2:3">
      <c r="B18186" s="12"/>
      <c r="C18186" s="12"/>
    </row>
    <row r="18187" spans="2:3">
      <c r="B18187" s="12"/>
      <c r="C18187" s="12"/>
    </row>
    <row r="18188" spans="2:3">
      <c r="B18188" s="12"/>
      <c r="C18188" s="12"/>
    </row>
    <row r="18189" spans="2:3">
      <c r="B18189" s="12"/>
      <c r="C18189" s="12"/>
    </row>
    <row r="18190" spans="2:3">
      <c r="B18190" s="12"/>
      <c r="C18190" s="12"/>
    </row>
    <row r="18191" spans="2:3">
      <c r="B18191" s="12"/>
      <c r="C18191" s="12"/>
    </row>
    <row r="18192" spans="2:3">
      <c r="B18192" s="12"/>
      <c r="C18192" s="12"/>
    </row>
    <row r="18193" spans="2:3">
      <c r="B18193" s="12"/>
      <c r="C18193" s="12"/>
    </row>
    <row r="18194" spans="2:3">
      <c r="B18194" s="12"/>
      <c r="C18194" s="12"/>
    </row>
    <row r="18195" spans="2:3">
      <c r="B18195" s="12"/>
      <c r="C18195" s="12"/>
    </row>
    <row r="18196" spans="2:3">
      <c r="B18196" s="12"/>
      <c r="C18196" s="12"/>
    </row>
    <row r="18197" spans="2:3">
      <c r="B18197" s="12"/>
      <c r="C18197" s="12"/>
    </row>
    <row r="18198" spans="2:3">
      <c r="B18198" s="12"/>
      <c r="C18198" s="12"/>
    </row>
    <row r="18199" spans="2:3">
      <c r="B18199" s="12"/>
      <c r="C18199" s="12"/>
    </row>
    <row r="18200" spans="2:3">
      <c r="B18200" s="12"/>
      <c r="C18200" s="12"/>
    </row>
    <row r="18201" spans="2:3">
      <c r="B18201" s="12"/>
      <c r="C18201" s="12"/>
    </row>
    <row r="18202" spans="2:3">
      <c r="B18202" s="12"/>
      <c r="C18202" s="12"/>
    </row>
    <row r="18203" spans="2:3">
      <c r="B18203" s="12"/>
      <c r="C18203" s="12"/>
    </row>
    <row r="18204" spans="2:3">
      <c r="B18204" s="12"/>
      <c r="C18204" s="12"/>
    </row>
    <row r="18205" spans="2:3">
      <c r="B18205" s="12"/>
      <c r="C18205" s="12"/>
    </row>
    <row r="18206" spans="2:3">
      <c r="B18206" s="12"/>
      <c r="C18206" s="12"/>
    </row>
    <row r="18207" spans="2:3">
      <c r="B18207" s="12"/>
      <c r="C18207" s="12"/>
    </row>
    <row r="18208" spans="2:3">
      <c r="B18208" s="12"/>
      <c r="C18208" s="12"/>
    </row>
    <row r="18209" spans="2:3">
      <c r="B18209" s="12"/>
      <c r="C18209" s="12"/>
    </row>
    <row r="18210" spans="2:3">
      <c r="B18210" s="12"/>
      <c r="C18210" s="12"/>
    </row>
    <row r="18211" spans="2:3">
      <c r="B18211" s="12"/>
      <c r="C18211" s="12"/>
    </row>
    <row r="18212" spans="2:3">
      <c r="B18212" s="12"/>
      <c r="C18212" s="12"/>
    </row>
    <row r="18213" spans="2:3">
      <c r="B18213" s="12"/>
      <c r="C18213" s="12"/>
    </row>
    <row r="18214" spans="2:3">
      <c r="B18214" s="12"/>
      <c r="C18214" s="12"/>
    </row>
    <row r="18215" spans="2:3">
      <c r="B18215" s="12"/>
      <c r="C18215" s="12"/>
    </row>
    <row r="18216" spans="2:3">
      <c r="B18216" s="12"/>
      <c r="C18216" s="12"/>
    </row>
    <row r="18217" spans="2:3">
      <c r="B18217" s="12"/>
      <c r="C18217" s="12"/>
    </row>
    <row r="18218" spans="2:3">
      <c r="B18218" s="12"/>
      <c r="C18218" s="12"/>
    </row>
    <row r="18219" spans="2:3">
      <c r="B18219" s="12"/>
      <c r="C18219" s="12"/>
    </row>
    <row r="18220" spans="2:3">
      <c r="B18220" s="12"/>
      <c r="C18220" s="12"/>
    </row>
    <row r="18221" spans="2:3">
      <c r="B18221" s="12"/>
      <c r="C18221" s="12"/>
    </row>
    <row r="18222" spans="2:3">
      <c r="B18222" s="12"/>
      <c r="C18222" s="12"/>
    </row>
    <row r="18223" spans="2:3">
      <c r="B18223" s="12"/>
      <c r="C18223" s="12"/>
    </row>
    <row r="18224" spans="2:3">
      <c r="B18224" s="12"/>
      <c r="C18224" s="12"/>
    </row>
    <row r="18225" spans="2:3">
      <c r="B18225" s="12"/>
      <c r="C18225" s="12"/>
    </row>
    <row r="18226" spans="2:3">
      <c r="B18226" s="12"/>
      <c r="C18226" s="12"/>
    </row>
    <row r="18227" spans="2:3">
      <c r="B18227" s="12"/>
      <c r="C18227" s="12"/>
    </row>
    <row r="18228" spans="2:3">
      <c r="B18228" s="12"/>
      <c r="C18228" s="12"/>
    </row>
    <row r="18229" spans="2:3">
      <c r="B18229" s="12"/>
      <c r="C18229" s="12"/>
    </row>
    <row r="18230" spans="2:3">
      <c r="B18230" s="12"/>
      <c r="C18230" s="12"/>
    </row>
    <row r="18231" spans="2:3">
      <c r="B18231" s="12"/>
      <c r="C18231" s="12"/>
    </row>
    <row r="18232" spans="2:3">
      <c r="B18232" s="12"/>
      <c r="C18232" s="12"/>
    </row>
    <row r="18233" spans="2:3">
      <c r="B18233" s="12"/>
      <c r="C18233" s="12"/>
    </row>
    <row r="18234" spans="2:3">
      <c r="B18234" s="12"/>
      <c r="C18234" s="12"/>
    </row>
    <row r="18235" spans="2:3">
      <c r="B18235" s="12"/>
      <c r="C18235" s="12"/>
    </row>
    <row r="18236" spans="2:3">
      <c r="B18236" s="12"/>
      <c r="C18236" s="12"/>
    </row>
    <row r="18237" spans="2:3">
      <c r="B18237" s="12"/>
      <c r="C18237" s="12"/>
    </row>
    <row r="18238" spans="2:3">
      <c r="B18238" s="12"/>
      <c r="C18238" s="12"/>
    </row>
    <row r="18239" spans="2:3">
      <c r="B18239" s="12"/>
      <c r="C18239" s="12"/>
    </row>
    <row r="18240" spans="2:3">
      <c r="B18240" s="12"/>
      <c r="C18240" s="12"/>
    </row>
    <row r="18241" spans="2:3">
      <c r="B18241" s="12"/>
      <c r="C18241" s="12"/>
    </row>
    <row r="18242" spans="2:3">
      <c r="B18242" s="12"/>
      <c r="C18242" s="12"/>
    </row>
    <row r="18243" spans="2:3">
      <c r="B18243" s="12"/>
      <c r="C18243" s="12"/>
    </row>
    <row r="18244" spans="2:3">
      <c r="B18244" s="12"/>
      <c r="C18244" s="12"/>
    </row>
    <row r="18245" spans="2:3">
      <c r="B18245" s="12"/>
      <c r="C18245" s="12"/>
    </row>
    <row r="18246" spans="2:3">
      <c r="B18246" s="12"/>
      <c r="C18246" s="12"/>
    </row>
    <row r="18247" spans="2:3">
      <c r="B18247" s="12"/>
      <c r="C18247" s="12"/>
    </row>
    <row r="18248" spans="2:3">
      <c r="B18248" s="12"/>
      <c r="C18248" s="12"/>
    </row>
    <row r="18249" spans="2:3">
      <c r="B18249" s="12"/>
      <c r="C18249" s="12"/>
    </row>
    <row r="18250" spans="2:3">
      <c r="B18250" s="12"/>
      <c r="C18250" s="12"/>
    </row>
    <row r="18251" spans="2:3">
      <c r="B18251" s="12"/>
      <c r="C18251" s="12"/>
    </row>
    <row r="18252" spans="2:3">
      <c r="B18252" s="12"/>
      <c r="C18252" s="12"/>
    </row>
    <row r="18253" spans="2:3">
      <c r="B18253" s="12"/>
      <c r="C18253" s="12"/>
    </row>
    <row r="18254" spans="2:3">
      <c r="B18254" s="12"/>
      <c r="C18254" s="12"/>
    </row>
    <row r="18255" spans="2:3">
      <c r="B18255" s="12"/>
      <c r="C18255" s="12"/>
    </row>
    <row r="18256" spans="2:3">
      <c r="B18256" s="12"/>
      <c r="C18256" s="12"/>
    </row>
    <row r="18257" spans="2:3">
      <c r="B18257" s="12"/>
      <c r="C18257" s="12"/>
    </row>
    <row r="18258" spans="2:3">
      <c r="B18258" s="12"/>
      <c r="C18258" s="12"/>
    </row>
    <row r="18259" spans="2:3">
      <c r="B18259" s="12"/>
      <c r="C18259" s="12"/>
    </row>
    <row r="18260" spans="2:3">
      <c r="B18260" s="12"/>
      <c r="C18260" s="12"/>
    </row>
    <row r="18261" spans="2:3">
      <c r="B18261" s="12"/>
      <c r="C18261" s="12"/>
    </row>
    <row r="18262" spans="2:3">
      <c r="B18262" s="12"/>
      <c r="C18262" s="12"/>
    </row>
    <row r="18263" spans="2:3">
      <c r="B18263" s="12"/>
      <c r="C18263" s="12"/>
    </row>
    <row r="18264" spans="2:3">
      <c r="B18264" s="12"/>
      <c r="C18264" s="12"/>
    </row>
    <row r="18265" spans="2:3">
      <c r="B18265" s="12"/>
      <c r="C18265" s="12"/>
    </row>
    <row r="18266" spans="2:3">
      <c r="B18266" s="12"/>
      <c r="C18266" s="12"/>
    </row>
    <row r="18267" spans="2:3">
      <c r="B18267" s="12"/>
      <c r="C18267" s="12"/>
    </row>
    <row r="18268" spans="2:3">
      <c r="B18268" s="12"/>
      <c r="C18268" s="12"/>
    </row>
    <row r="18269" spans="2:3">
      <c r="B18269" s="12"/>
      <c r="C18269" s="12"/>
    </row>
    <row r="18270" spans="2:3">
      <c r="B18270" s="12"/>
      <c r="C18270" s="12"/>
    </row>
    <row r="18271" spans="2:3">
      <c r="B18271" s="12"/>
      <c r="C18271" s="12"/>
    </row>
    <row r="18272" spans="2:3">
      <c r="B18272" s="12"/>
      <c r="C18272" s="12"/>
    </row>
    <row r="18273" spans="2:3">
      <c r="B18273" s="12"/>
      <c r="C18273" s="12"/>
    </row>
    <row r="18274" spans="2:3">
      <c r="B18274" s="12"/>
      <c r="C18274" s="12"/>
    </row>
    <row r="18275" spans="2:3">
      <c r="B18275" s="12"/>
      <c r="C18275" s="12"/>
    </row>
    <row r="18276" spans="2:3">
      <c r="B18276" s="12"/>
      <c r="C18276" s="12"/>
    </row>
    <row r="18277" spans="2:3">
      <c r="B18277" s="12"/>
      <c r="C18277" s="12"/>
    </row>
    <row r="18278" spans="2:3">
      <c r="B18278" s="12"/>
      <c r="C18278" s="12"/>
    </row>
    <row r="18279" spans="2:3">
      <c r="B18279" s="12"/>
      <c r="C18279" s="12"/>
    </row>
    <row r="18280" spans="2:3">
      <c r="B18280" s="12"/>
      <c r="C18280" s="12"/>
    </row>
    <row r="18281" spans="2:3">
      <c r="B18281" s="12"/>
      <c r="C18281" s="12"/>
    </row>
    <row r="18282" spans="2:3">
      <c r="B18282" s="12"/>
      <c r="C18282" s="12"/>
    </row>
    <row r="18283" spans="2:3">
      <c r="B18283" s="12"/>
      <c r="C18283" s="12"/>
    </row>
    <row r="18284" spans="2:3">
      <c r="B18284" s="12"/>
      <c r="C18284" s="12"/>
    </row>
    <row r="18285" spans="2:3">
      <c r="B18285" s="12"/>
      <c r="C18285" s="12"/>
    </row>
    <row r="18286" spans="2:3">
      <c r="B18286" s="12"/>
      <c r="C18286" s="12"/>
    </row>
    <row r="18287" spans="2:3">
      <c r="B18287" s="12"/>
      <c r="C18287" s="12"/>
    </row>
    <row r="18288" spans="2:3">
      <c r="B18288" s="12"/>
      <c r="C18288" s="12"/>
    </row>
    <row r="18289" spans="2:3">
      <c r="B18289" s="12"/>
      <c r="C18289" s="12"/>
    </row>
    <row r="18290" spans="2:3">
      <c r="B18290" s="12"/>
      <c r="C18290" s="12"/>
    </row>
    <row r="18291" spans="2:3">
      <c r="B18291" s="12"/>
      <c r="C18291" s="12"/>
    </row>
    <row r="18292" spans="2:3">
      <c r="B18292" s="12"/>
      <c r="C18292" s="12"/>
    </row>
    <row r="18293" spans="2:3">
      <c r="B18293" s="12"/>
      <c r="C18293" s="12"/>
    </row>
    <row r="18294" spans="2:3">
      <c r="B18294" s="12"/>
      <c r="C18294" s="12"/>
    </row>
    <row r="18295" spans="2:3">
      <c r="B18295" s="12"/>
      <c r="C18295" s="12"/>
    </row>
    <row r="18296" spans="2:3">
      <c r="B18296" s="12"/>
      <c r="C18296" s="12"/>
    </row>
    <row r="18297" spans="2:3">
      <c r="B18297" s="12"/>
      <c r="C18297" s="12"/>
    </row>
    <row r="18298" spans="2:3">
      <c r="B18298" s="12"/>
      <c r="C18298" s="12"/>
    </row>
    <row r="18299" spans="2:3">
      <c r="B18299" s="12"/>
      <c r="C18299" s="12"/>
    </row>
    <row r="18300" spans="2:3">
      <c r="B18300" s="12"/>
      <c r="C18300" s="12"/>
    </row>
    <row r="18301" spans="2:3">
      <c r="B18301" s="12"/>
      <c r="C18301" s="12"/>
    </row>
    <row r="18302" spans="2:3">
      <c r="B18302" s="12"/>
      <c r="C18302" s="12"/>
    </row>
    <row r="18303" spans="2:3">
      <c r="B18303" s="12"/>
      <c r="C18303" s="12"/>
    </row>
    <row r="18304" spans="2:3">
      <c r="B18304" s="12"/>
      <c r="C18304" s="12"/>
    </row>
    <row r="18305" spans="2:3">
      <c r="B18305" s="12"/>
      <c r="C18305" s="12"/>
    </row>
    <row r="18306" spans="2:3">
      <c r="B18306" s="12"/>
      <c r="C18306" s="12"/>
    </row>
    <row r="18307" spans="2:3">
      <c r="B18307" s="12"/>
      <c r="C18307" s="12"/>
    </row>
    <row r="18308" spans="2:3">
      <c r="B18308" s="12"/>
      <c r="C18308" s="12"/>
    </row>
    <row r="18309" spans="2:3">
      <c r="B18309" s="12"/>
      <c r="C18309" s="12"/>
    </row>
    <row r="18310" spans="2:3">
      <c r="B18310" s="12"/>
      <c r="C18310" s="12"/>
    </row>
    <row r="18311" spans="2:3">
      <c r="B18311" s="12"/>
      <c r="C18311" s="12"/>
    </row>
    <row r="18312" spans="2:3">
      <c r="B18312" s="12"/>
      <c r="C18312" s="12"/>
    </row>
    <row r="18313" spans="2:3">
      <c r="B18313" s="12"/>
      <c r="C18313" s="12"/>
    </row>
    <row r="18314" spans="2:3">
      <c r="B18314" s="12"/>
      <c r="C18314" s="12"/>
    </row>
    <row r="18315" spans="2:3">
      <c r="B18315" s="12"/>
      <c r="C18315" s="12"/>
    </row>
    <row r="18316" spans="2:3">
      <c r="B18316" s="12"/>
      <c r="C18316" s="12"/>
    </row>
    <row r="18317" spans="2:3">
      <c r="B18317" s="12"/>
      <c r="C18317" s="12"/>
    </row>
    <row r="18318" spans="2:3">
      <c r="B18318" s="12"/>
      <c r="C18318" s="12"/>
    </row>
    <row r="18319" spans="2:3">
      <c r="B18319" s="12"/>
      <c r="C18319" s="12"/>
    </row>
    <row r="18320" spans="2:3">
      <c r="B18320" s="12"/>
      <c r="C18320" s="12"/>
    </row>
    <row r="18321" spans="2:3">
      <c r="B18321" s="12"/>
      <c r="C18321" s="12"/>
    </row>
    <row r="18322" spans="2:3">
      <c r="B18322" s="12"/>
      <c r="C18322" s="12"/>
    </row>
    <row r="18323" spans="2:3">
      <c r="B18323" s="12"/>
      <c r="C18323" s="12"/>
    </row>
    <row r="18324" spans="2:3">
      <c r="B18324" s="12"/>
      <c r="C18324" s="12"/>
    </row>
    <row r="18325" spans="2:3">
      <c r="B18325" s="12"/>
      <c r="C18325" s="12"/>
    </row>
    <row r="18326" spans="2:3">
      <c r="B18326" s="12"/>
      <c r="C18326" s="12"/>
    </row>
    <row r="18327" spans="2:3">
      <c r="B18327" s="12"/>
      <c r="C18327" s="12"/>
    </row>
    <row r="18328" spans="2:3">
      <c r="B18328" s="12"/>
      <c r="C18328" s="12"/>
    </row>
    <row r="18329" spans="2:3">
      <c r="B18329" s="12"/>
      <c r="C18329" s="12"/>
    </row>
    <row r="18330" spans="2:3">
      <c r="B18330" s="12"/>
      <c r="C18330" s="12"/>
    </row>
    <row r="18331" spans="2:3">
      <c r="B18331" s="12"/>
      <c r="C18331" s="12"/>
    </row>
    <row r="18332" spans="2:3">
      <c r="B18332" s="12"/>
      <c r="C18332" s="12"/>
    </row>
    <row r="18333" spans="2:3">
      <c r="B18333" s="12"/>
      <c r="C18333" s="12"/>
    </row>
    <row r="18334" spans="2:3">
      <c r="B18334" s="12"/>
      <c r="C18334" s="12"/>
    </row>
    <row r="18335" spans="2:3">
      <c r="B18335" s="12"/>
      <c r="C18335" s="12"/>
    </row>
    <row r="18336" spans="2:3">
      <c r="B18336" s="12"/>
      <c r="C18336" s="12"/>
    </row>
    <row r="18337" spans="2:3">
      <c r="B18337" s="12"/>
      <c r="C18337" s="12"/>
    </row>
    <row r="18338" spans="2:3">
      <c r="B18338" s="12"/>
      <c r="C18338" s="12"/>
    </row>
    <row r="18339" spans="2:3">
      <c r="B18339" s="12"/>
      <c r="C18339" s="12"/>
    </row>
    <row r="18340" spans="2:3">
      <c r="B18340" s="12"/>
      <c r="C18340" s="12"/>
    </row>
    <row r="18341" spans="2:3">
      <c r="B18341" s="12"/>
      <c r="C18341" s="12"/>
    </row>
    <row r="18342" spans="2:3">
      <c r="B18342" s="12"/>
      <c r="C18342" s="12"/>
    </row>
    <row r="18343" spans="2:3">
      <c r="B18343" s="12"/>
      <c r="C18343" s="12"/>
    </row>
    <row r="18344" spans="2:3">
      <c r="B18344" s="12"/>
      <c r="C18344" s="12"/>
    </row>
    <row r="18345" spans="2:3">
      <c r="B18345" s="12"/>
      <c r="C18345" s="12"/>
    </row>
    <row r="18346" spans="2:3">
      <c r="B18346" s="12"/>
      <c r="C18346" s="12"/>
    </row>
    <row r="18347" spans="2:3">
      <c r="B18347" s="12"/>
      <c r="C18347" s="12"/>
    </row>
    <row r="18348" spans="2:3">
      <c r="B18348" s="12"/>
      <c r="C18348" s="12"/>
    </row>
    <row r="18349" spans="2:3">
      <c r="B18349" s="12"/>
      <c r="C18349" s="12"/>
    </row>
    <row r="18350" spans="2:3">
      <c r="B18350" s="12"/>
      <c r="C18350" s="12"/>
    </row>
    <row r="18351" spans="2:3">
      <c r="B18351" s="12"/>
      <c r="C18351" s="12"/>
    </row>
    <row r="18352" spans="2:3">
      <c r="B18352" s="12"/>
      <c r="C18352" s="12"/>
    </row>
    <row r="18353" spans="2:3">
      <c r="B18353" s="12"/>
      <c r="C18353" s="12"/>
    </row>
    <row r="18354" spans="2:3">
      <c r="B18354" s="12"/>
      <c r="C18354" s="12"/>
    </row>
    <row r="18355" spans="2:3">
      <c r="B18355" s="12"/>
      <c r="C18355" s="12"/>
    </row>
    <row r="18356" spans="2:3">
      <c r="B18356" s="12"/>
      <c r="C18356" s="12"/>
    </row>
    <row r="18357" spans="2:3">
      <c r="B18357" s="12"/>
      <c r="C18357" s="12"/>
    </row>
    <row r="18358" spans="2:3">
      <c r="B18358" s="12"/>
      <c r="C18358" s="12"/>
    </row>
    <row r="18359" spans="2:3">
      <c r="B18359" s="12"/>
      <c r="C18359" s="12"/>
    </row>
    <row r="18360" spans="2:3">
      <c r="B18360" s="12"/>
      <c r="C18360" s="12"/>
    </row>
    <row r="18361" spans="2:3">
      <c r="B18361" s="12"/>
      <c r="C18361" s="12"/>
    </row>
    <row r="18362" spans="2:3">
      <c r="B18362" s="12"/>
      <c r="C18362" s="12"/>
    </row>
    <row r="18363" spans="2:3">
      <c r="B18363" s="12"/>
      <c r="C18363" s="12"/>
    </row>
    <row r="18364" spans="2:3">
      <c r="B18364" s="12"/>
      <c r="C18364" s="12"/>
    </row>
    <row r="18365" spans="2:3">
      <c r="B18365" s="12"/>
      <c r="C18365" s="12"/>
    </row>
    <row r="18366" spans="2:3">
      <c r="B18366" s="12"/>
      <c r="C18366" s="12"/>
    </row>
    <row r="18367" spans="2:3">
      <c r="B18367" s="12"/>
      <c r="C18367" s="12"/>
    </row>
    <row r="18368" spans="2:3">
      <c r="B18368" s="12"/>
      <c r="C18368" s="12"/>
    </row>
    <row r="18369" spans="2:3">
      <c r="B18369" s="12"/>
      <c r="C18369" s="12"/>
    </row>
    <row r="18370" spans="2:3">
      <c r="B18370" s="12"/>
      <c r="C18370" s="12"/>
    </row>
    <row r="18371" spans="2:3">
      <c r="B18371" s="12"/>
      <c r="C18371" s="12"/>
    </row>
    <row r="18372" spans="2:3">
      <c r="B18372" s="12"/>
      <c r="C18372" s="12"/>
    </row>
    <row r="18373" spans="2:3">
      <c r="B18373" s="12"/>
      <c r="C18373" s="12"/>
    </row>
    <row r="18374" spans="2:3">
      <c r="B18374" s="12"/>
      <c r="C18374" s="12"/>
    </row>
    <row r="18375" spans="2:3">
      <c r="B18375" s="12"/>
      <c r="C18375" s="12"/>
    </row>
    <row r="18376" spans="2:3">
      <c r="B18376" s="12"/>
      <c r="C18376" s="12"/>
    </row>
    <row r="18377" spans="2:3">
      <c r="B18377" s="12"/>
      <c r="C18377" s="12"/>
    </row>
    <row r="18378" spans="2:3">
      <c r="B18378" s="12"/>
      <c r="C18378" s="12"/>
    </row>
    <row r="18379" spans="2:3">
      <c r="B18379" s="12"/>
      <c r="C18379" s="12"/>
    </row>
    <row r="18380" spans="2:3">
      <c r="B18380" s="12"/>
      <c r="C18380" s="12"/>
    </row>
    <row r="18381" spans="2:3">
      <c r="B18381" s="12"/>
      <c r="C18381" s="12"/>
    </row>
    <row r="18382" spans="2:3">
      <c r="B18382" s="12"/>
      <c r="C18382" s="12"/>
    </row>
    <row r="18383" spans="2:3">
      <c r="B18383" s="12"/>
      <c r="C18383" s="12"/>
    </row>
    <row r="18384" spans="2:3">
      <c r="B18384" s="12"/>
      <c r="C18384" s="12"/>
    </row>
    <row r="18385" spans="2:3">
      <c r="B18385" s="12"/>
      <c r="C18385" s="12"/>
    </row>
    <row r="18386" spans="2:3">
      <c r="B18386" s="12"/>
      <c r="C18386" s="12"/>
    </row>
    <row r="18387" spans="2:3">
      <c r="B18387" s="12"/>
      <c r="C18387" s="12"/>
    </row>
    <row r="18388" spans="2:3">
      <c r="B18388" s="12"/>
      <c r="C18388" s="12"/>
    </row>
    <row r="18389" spans="2:3">
      <c r="B18389" s="12"/>
      <c r="C18389" s="12"/>
    </row>
    <row r="18390" spans="2:3">
      <c r="B18390" s="12"/>
      <c r="C18390" s="12"/>
    </row>
    <row r="18391" spans="2:3">
      <c r="B18391" s="12"/>
      <c r="C18391" s="12"/>
    </row>
    <row r="18392" spans="2:3">
      <c r="B18392" s="12"/>
      <c r="C18392" s="12"/>
    </row>
    <row r="18393" spans="2:3">
      <c r="B18393" s="12"/>
      <c r="C18393" s="12"/>
    </row>
    <row r="18394" spans="2:3">
      <c r="B18394" s="12"/>
      <c r="C18394" s="12"/>
    </row>
    <row r="18395" spans="2:3">
      <c r="B18395" s="12"/>
      <c r="C18395" s="12"/>
    </row>
    <row r="18396" spans="2:3">
      <c r="B18396" s="12"/>
      <c r="C18396" s="12"/>
    </row>
    <row r="18397" spans="2:3">
      <c r="B18397" s="12"/>
      <c r="C18397" s="12"/>
    </row>
    <row r="18398" spans="2:3">
      <c r="B18398" s="12"/>
      <c r="C18398" s="12"/>
    </row>
    <row r="18399" spans="2:3">
      <c r="B18399" s="12"/>
      <c r="C18399" s="12"/>
    </row>
    <row r="18400" spans="2:3">
      <c r="B18400" s="12"/>
      <c r="C18400" s="12"/>
    </row>
    <row r="18401" spans="2:3">
      <c r="B18401" s="12"/>
      <c r="C18401" s="12"/>
    </row>
    <row r="18402" spans="2:3">
      <c r="B18402" s="12"/>
      <c r="C18402" s="12"/>
    </row>
    <row r="18403" spans="2:3">
      <c r="B18403" s="12"/>
      <c r="C18403" s="12"/>
    </row>
    <row r="18404" spans="2:3">
      <c r="B18404" s="12"/>
      <c r="C18404" s="12"/>
    </row>
    <row r="18405" spans="2:3">
      <c r="B18405" s="12"/>
      <c r="C18405" s="12"/>
    </row>
    <row r="18406" spans="2:3">
      <c r="B18406" s="12"/>
      <c r="C18406" s="12"/>
    </row>
    <row r="18407" spans="2:3">
      <c r="B18407" s="12"/>
      <c r="C18407" s="12"/>
    </row>
    <row r="18408" spans="2:3">
      <c r="B18408" s="12"/>
      <c r="C18408" s="12"/>
    </row>
    <row r="18409" spans="2:3">
      <c r="B18409" s="12"/>
      <c r="C18409" s="12"/>
    </row>
    <row r="18410" spans="2:3">
      <c r="B18410" s="12"/>
      <c r="C18410" s="12"/>
    </row>
    <row r="18411" spans="2:3">
      <c r="B18411" s="12"/>
      <c r="C18411" s="12"/>
    </row>
    <row r="18412" spans="2:3">
      <c r="B18412" s="12"/>
      <c r="C18412" s="12"/>
    </row>
    <row r="18413" spans="2:3">
      <c r="B18413" s="12"/>
      <c r="C18413" s="12"/>
    </row>
    <row r="18414" spans="2:3">
      <c r="B18414" s="12"/>
      <c r="C18414" s="12"/>
    </row>
    <row r="18415" spans="2:3">
      <c r="B18415" s="12"/>
      <c r="C18415" s="12"/>
    </row>
    <row r="18416" spans="2:3">
      <c r="B18416" s="12"/>
      <c r="C18416" s="12"/>
    </row>
    <row r="18417" spans="2:3">
      <c r="B18417" s="12"/>
      <c r="C18417" s="12"/>
    </row>
    <row r="18418" spans="2:3">
      <c r="B18418" s="12"/>
      <c r="C18418" s="12"/>
    </row>
    <row r="18419" spans="2:3">
      <c r="B18419" s="12"/>
      <c r="C18419" s="12"/>
    </row>
    <row r="18420" spans="2:3">
      <c r="B18420" s="12"/>
      <c r="C18420" s="12"/>
    </row>
    <row r="18421" spans="2:3">
      <c r="B18421" s="12"/>
      <c r="C18421" s="12"/>
    </row>
    <row r="18422" spans="2:3">
      <c r="B18422" s="12"/>
      <c r="C18422" s="12"/>
    </row>
    <row r="18423" spans="2:3">
      <c r="B18423" s="12"/>
      <c r="C18423" s="12"/>
    </row>
    <row r="18424" spans="2:3">
      <c r="B18424" s="12"/>
      <c r="C18424" s="12"/>
    </row>
    <row r="18425" spans="2:3">
      <c r="B18425" s="12"/>
      <c r="C18425" s="12"/>
    </row>
    <row r="18426" spans="2:3">
      <c r="B18426" s="12"/>
      <c r="C18426" s="12"/>
    </row>
    <row r="18427" spans="2:3">
      <c r="B18427" s="12"/>
      <c r="C18427" s="12"/>
    </row>
    <row r="18428" spans="2:3">
      <c r="B18428" s="12"/>
      <c r="C18428" s="12"/>
    </row>
    <row r="18429" spans="2:3">
      <c r="B18429" s="12"/>
      <c r="C18429" s="12"/>
    </row>
    <row r="18430" spans="2:3">
      <c r="B18430" s="12"/>
      <c r="C18430" s="12"/>
    </row>
    <row r="18431" spans="2:3">
      <c r="B18431" s="12"/>
      <c r="C18431" s="12"/>
    </row>
    <row r="18432" spans="2:3">
      <c r="B18432" s="12"/>
      <c r="C18432" s="12"/>
    </row>
    <row r="18433" spans="2:3">
      <c r="B18433" s="12"/>
      <c r="C18433" s="12"/>
    </row>
    <row r="18434" spans="2:3">
      <c r="B18434" s="12"/>
      <c r="C18434" s="12"/>
    </row>
    <row r="18435" spans="2:3">
      <c r="B18435" s="12"/>
      <c r="C18435" s="12"/>
    </row>
    <row r="18436" spans="2:3">
      <c r="B18436" s="12"/>
      <c r="C18436" s="12"/>
    </row>
    <row r="18437" spans="2:3">
      <c r="B18437" s="12"/>
      <c r="C18437" s="12"/>
    </row>
    <row r="18438" spans="2:3">
      <c r="B18438" s="12"/>
      <c r="C18438" s="12"/>
    </row>
    <row r="18439" spans="2:3">
      <c r="B18439" s="12"/>
      <c r="C18439" s="12"/>
    </row>
    <row r="18440" spans="2:3">
      <c r="B18440" s="12"/>
      <c r="C18440" s="12"/>
    </row>
    <row r="18441" spans="2:3">
      <c r="B18441" s="12"/>
      <c r="C18441" s="12"/>
    </row>
    <row r="18442" spans="2:3">
      <c r="B18442" s="12"/>
      <c r="C18442" s="12"/>
    </row>
    <row r="18443" spans="2:3">
      <c r="B18443" s="12"/>
      <c r="C18443" s="12"/>
    </row>
    <row r="18444" spans="2:3">
      <c r="B18444" s="12"/>
      <c r="C18444" s="12"/>
    </row>
    <row r="18445" spans="2:3">
      <c r="B18445" s="12"/>
      <c r="C18445" s="12"/>
    </row>
    <row r="18446" spans="2:3">
      <c r="B18446" s="12"/>
      <c r="C18446" s="12"/>
    </row>
    <row r="18447" spans="2:3">
      <c r="B18447" s="12"/>
      <c r="C18447" s="12"/>
    </row>
    <row r="18448" spans="2:3">
      <c r="B18448" s="12"/>
      <c r="C18448" s="12"/>
    </row>
    <row r="18449" spans="2:3">
      <c r="B18449" s="12"/>
      <c r="C18449" s="12"/>
    </row>
    <row r="18450" spans="2:3">
      <c r="B18450" s="12"/>
      <c r="C18450" s="12"/>
    </row>
    <row r="18451" spans="2:3">
      <c r="B18451" s="12"/>
      <c r="C18451" s="12"/>
    </row>
    <row r="18452" spans="2:3">
      <c r="B18452" s="12"/>
      <c r="C18452" s="12"/>
    </row>
    <row r="18453" spans="2:3">
      <c r="B18453" s="12"/>
      <c r="C18453" s="12"/>
    </row>
    <row r="18454" spans="2:3">
      <c r="B18454" s="12"/>
      <c r="C18454" s="12"/>
    </row>
    <row r="18455" spans="2:3">
      <c r="B18455" s="12"/>
      <c r="C18455" s="12"/>
    </row>
    <row r="18456" spans="2:3">
      <c r="B18456" s="12"/>
      <c r="C18456" s="12"/>
    </row>
    <row r="18457" spans="2:3">
      <c r="B18457" s="12"/>
      <c r="C18457" s="12"/>
    </row>
    <row r="18458" spans="2:3">
      <c r="B18458" s="12"/>
      <c r="C18458" s="12"/>
    </row>
    <row r="18459" spans="2:3">
      <c r="B18459" s="12"/>
      <c r="C18459" s="12"/>
    </row>
    <row r="18460" spans="2:3">
      <c r="B18460" s="12"/>
      <c r="C18460" s="12"/>
    </row>
    <row r="18461" spans="2:3">
      <c r="B18461" s="12"/>
      <c r="C18461" s="12"/>
    </row>
    <row r="18462" spans="2:3">
      <c r="B18462" s="12"/>
      <c r="C18462" s="12"/>
    </row>
    <row r="18463" spans="2:3">
      <c r="B18463" s="12"/>
      <c r="C18463" s="12"/>
    </row>
    <row r="18464" spans="2:3">
      <c r="B18464" s="12"/>
      <c r="C18464" s="12"/>
    </row>
    <row r="18465" spans="2:3">
      <c r="B18465" s="12"/>
      <c r="C18465" s="12"/>
    </row>
    <row r="18466" spans="2:3">
      <c r="B18466" s="12"/>
      <c r="C18466" s="12"/>
    </row>
    <row r="18467" spans="2:3">
      <c r="B18467" s="12"/>
      <c r="C18467" s="12"/>
    </row>
    <row r="18468" spans="2:3">
      <c r="B18468" s="12"/>
      <c r="C18468" s="12"/>
    </row>
    <row r="18469" spans="2:3">
      <c r="B18469" s="12"/>
      <c r="C18469" s="12"/>
    </row>
    <row r="18470" spans="2:3">
      <c r="B18470" s="12"/>
      <c r="C18470" s="12"/>
    </row>
    <row r="18471" spans="2:3">
      <c r="B18471" s="12"/>
      <c r="C18471" s="12"/>
    </row>
    <row r="18472" spans="2:3">
      <c r="B18472" s="12"/>
      <c r="C18472" s="12"/>
    </row>
    <row r="18473" spans="2:3">
      <c r="B18473" s="12"/>
      <c r="C18473" s="12"/>
    </row>
    <row r="18474" spans="2:3">
      <c r="B18474" s="12"/>
      <c r="C18474" s="12"/>
    </row>
    <row r="18475" spans="2:3">
      <c r="B18475" s="12"/>
      <c r="C18475" s="12"/>
    </row>
    <row r="18476" spans="2:3">
      <c r="B18476" s="12"/>
      <c r="C18476" s="12"/>
    </row>
    <row r="18477" spans="2:3">
      <c r="B18477" s="12"/>
      <c r="C18477" s="12"/>
    </row>
    <row r="18478" spans="2:3">
      <c r="B18478" s="12"/>
      <c r="C18478" s="12"/>
    </row>
    <row r="18479" spans="2:3">
      <c r="B18479" s="12"/>
      <c r="C18479" s="12"/>
    </row>
    <row r="18480" spans="2:3">
      <c r="B18480" s="12"/>
      <c r="C18480" s="12"/>
    </row>
    <row r="18481" spans="2:3">
      <c r="B18481" s="12"/>
      <c r="C18481" s="12"/>
    </row>
    <row r="18482" spans="2:3">
      <c r="B18482" s="12"/>
      <c r="C18482" s="12"/>
    </row>
    <row r="18483" spans="2:3">
      <c r="B18483" s="12"/>
      <c r="C18483" s="12"/>
    </row>
    <row r="18484" spans="2:3">
      <c r="B18484" s="12"/>
      <c r="C18484" s="12"/>
    </row>
    <row r="18485" spans="2:3">
      <c r="B18485" s="12"/>
      <c r="C18485" s="12"/>
    </row>
    <row r="18486" spans="2:3">
      <c r="B18486" s="12"/>
      <c r="C18486" s="12"/>
    </row>
    <row r="18487" spans="2:3">
      <c r="B18487" s="12"/>
      <c r="C18487" s="12"/>
    </row>
    <row r="18488" spans="2:3">
      <c r="B18488" s="12"/>
      <c r="C18488" s="12"/>
    </row>
    <row r="18489" spans="2:3">
      <c r="B18489" s="12"/>
      <c r="C18489" s="12"/>
    </row>
    <row r="18490" spans="2:3">
      <c r="B18490" s="12"/>
      <c r="C18490" s="12"/>
    </row>
    <row r="18491" spans="2:3">
      <c r="B18491" s="12"/>
      <c r="C18491" s="12"/>
    </row>
    <row r="18492" spans="2:3">
      <c r="B18492" s="12"/>
      <c r="C18492" s="12"/>
    </row>
    <row r="18493" spans="2:3">
      <c r="B18493" s="12"/>
      <c r="C18493" s="12"/>
    </row>
    <row r="18494" spans="2:3">
      <c r="B18494" s="12"/>
      <c r="C18494" s="12"/>
    </row>
    <row r="18495" spans="2:3">
      <c r="B18495" s="12"/>
      <c r="C18495" s="12"/>
    </row>
    <row r="18496" spans="2:3">
      <c r="B18496" s="12"/>
      <c r="C18496" s="12"/>
    </row>
    <row r="18497" spans="2:3">
      <c r="B18497" s="12"/>
      <c r="C18497" s="12"/>
    </row>
    <row r="18498" spans="2:3">
      <c r="B18498" s="12"/>
      <c r="C18498" s="12"/>
    </row>
    <row r="18499" spans="2:3">
      <c r="B18499" s="12"/>
      <c r="C18499" s="12"/>
    </row>
    <row r="18500" spans="2:3">
      <c r="B18500" s="12"/>
      <c r="C18500" s="12"/>
    </row>
    <row r="18501" spans="2:3">
      <c r="B18501" s="12"/>
      <c r="C18501" s="12"/>
    </row>
    <row r="18502" spans="2:3">
      <c r="B18502" s="12"/>
      <c r="C18502" s="12"/>
    </row>
    <row r="18503" spans="2:3">
      <c r="B18503" s="12"/>
      <c r="C18503" s="12"/>
    </row>
    <row r="18504" spans="2:3">
      <c r="B18504" s="12"/>
      <c r="C18504" s="12"/>
    </row>
    <row r="18505" spans="2:3">
      <c r="B18505" s="12"/>
      <c r="C18505" s="12"/>
    </row>
    <row r="18506" spans="2:3">
      <c r="B18506" s="12"/>
      <c r="C18506" s="12"/>
    </row>
    <row r="18507" spans="2:3">
      <c r="B18507" s="12"/>
      <c r="C18507" s="12"/>
    </row>
    <row r="18508" spans="2:3">
      <c r="B18508" s="12"/>
      <c r="C18508" s="12"/>
    </row>
    <row r="18509" spans="2:3">
      <c r="B18509" s="12"/>
      <c r="C18509" s="12"/>
    </row>
    <row r="18510" spans="2:3">
      <c r="B18510" s="12"/>
      <c r="C18510" s="12"/>
    </row>
    <row r="18511" spans="2:3">
      <c r="B18511" s="12"/>
      <c r="C18511" s="12"/>
    </row>
    <row r="18512" spans="2:3">
      <c r="B18512" s="12"/>
      <c r="C18512" s="12"/>
    </row>
    <row r="18513" spans="2:3">
      <c r="B18513" s="12"/>
      <c r="C18513" s="12"/>
    </row>
    <row r="18514" spans="2:3">
      <c r="B18514" s="12"/>
      <c r="C18514" s="12"/>
    </row>
    <row r="18515" spans="2:3">
      <c r="B18515" s="12"/>
      <c r="C18515" s="12"/>
    </row>
    <row r="18516" spans="2:3">
      <c r="B18516" s="12"/>
      <c r="C18516" s="12"/>
    </row>
    <row r="18517" spans="2:3">
      <c r="B18517" s="12"/>
      <c r="C18517" s="12"/>
    </row>
    <row r="18518" spans="2:3">
      <c r="B18518" s="12"/>
      <c r="C18518" s="12"/>
    </row>
    <row r="18519" spans="2:3">
      <c r="B18519" s="12"/>
      <c r="C18519" s="12"/>
    </row>
    <row r="18520" spans="2:3">
      <c r="B18520" s="12"/>
      <c r="C18520" s="12"/>
    </row>
    <row r="18521" spans="2:3">
      <c r="B18521" s="12"/>
      <c r="C18521" s="12"/>
    </row>
    <row r="18522" spans="2:3">
      <c r="B18522" s="12"/>
      <c r="C18522" s="12"/>
    </row>
    <row r="18523" spans="2:3">
      <c r="B18523" s="12"/>
      <c r="C18523" s="12"/>
    </row>
    <row r="18524" spans="2:3">
      <c r="B18524" s="12"/>
      <c r="C18524" s="12"/>
    </row>
    <row r="18525" spans="2:3">
      <c r="B18525" s="12"/>
      <c r="C18525" s="12"/>
    </row>
    <row r="18526" spans="2:3">
      <c r="B18526" s="12"/>
      <c r="C18526" s="12"/>
    </row>
    <row r="18527" spans="2:3">
      <c r="B18527" s="12"/>
      <c r="C18527" s="12"/>
    </row>
    <row r="18528" spans="2:3">
      <c r="B18528" s="12"/>
      <c r="C18528" s="12"/>
    </row>
    <row r="18529" spans="2:3">
      <c r="B18529" s="12"/>
      <c r="C18529" s="12"/>
    </row>
    <row r="18530" spans="2:3">
      <c r="B18530" s="12"/>
      <c r="C18530" s="12"/>
    </row>
    <row r="18531" spans="2:3">
      <c r="B18531" s="12"/>
      <c r="C18531" s="12"/>
    </row>
    <row r="18532" spans="2:3">
      <c r="B18532" s="12"/>
      <c r="C18532" s="12"/>
    </row>
    <row r="18533" spans="2:3">
      <c r="B18533" s="12"/>
      <c r="C18533" s="12"/>
    </row>
    <row r="18534" spans="2:3">
      <c r="B18534" s="12"/>
      <c r="C18534" s="12"/>
    </row>
    <row r="18535" spans="2:3">
      <c r="B18535" s="12"/>
      <c r="C18535" s="12"/>
    </row>
    <row r="18536" spans="2:3">
      <c r="B18536" s="12"/>
      <c r="C18536" s="12"/>
    </row>
    <row r="18537" spans="2:3">
      <c r="B18537" s="12"/>
      <c r="C18537" s="12"/>
    </row>
    <row r="18538" spans="2:3">
      <c r="B18538" s="12"/>
      <c r="C18538" s="12"/>
    </row>
    <row r="18539" spans="2:3">
      <c r="B18539" s="12"/>
      <c r="C18539" s="12"/>
    </row>
    <row r="18540" spans="2:3">
      <c r="B18540" s="12"/>
      <c r="C18540" s="12"/>
    </row>
    <row r="18541" spans="2:3">
      <c r="B18541" s="12"/>
      <c r="C18541" s="12"/>
    </row>
    <row r="18542" spans="2:3">
      <c r="B18542" s="12"/>
      <c r="C18542" s="12"/>
    </row>
    <row r="18543" spans="2:3">
      <c r="B18543" s="12"/>
      <c r="C18543" s="12"/>
    </row>
    <row r="18544" spans="2:3">
      <c r="B18544" s="12"/>
      <c r="C18544" s="12"/>
    </row>
    <row r="18545" spans="2:3">
      <c r="B18545" s="12"/>
      <c r="C18545" s="12"/>
    </row>
    <row r="18546" spans="2:3">
      <c r="B18546" s="12"/>
      <c r="C18546" s="12"/>
    </row>
    <row r="18547" spans="2:3">
      <c r="B18547" s="12"/>
      <c r="C18547" s="12"/>
    </row>
    <row r="18548" spans="2:3">
      <c r="B18548" s="12"/>
      <c r="C18548" s="12"/>
    </row>
    <row r="18549" spans="2:3">
      <c r="B18549" s="12"/>
      <c r="C18549" s="12"/>
    </row>
    <row r="18550" spans="2:3">
      <c r="B18550" s="12"/>
      <c r="C18550" s="12"/>
    </row>
    <row r="18551" spans="2:3">
      <c r="B18551" s="12"/>
      <c r="C18551" s="12"/>
    </row>
    <row r="18552" spans="2:3">
      <c r="B18552" s="12"/>
      <c r="C18552" s="12"/>
    </row>
    <row r="18553" spans="2:3">
      <c r="B18553" s="12"/>
      <c r="C18553" s="12"/>
    </row>
    <row r="18554" spans="2:3">
      <c r="B18554" s="12"/>
      <c r="C18554" s="12"/>
    </row>
    <row r="18555" spans="2:3">
      <c r="B18555" s="12"/>
      <c r="C18555" s="12"/>
    </row>
    <row r="18556" spans="2:3">
      <c r="B18556" s="12"/>
      <c r="C18556" s="12"/>
    </row>
    <row r="18557" spans="2:3">
      <c r="B18557" s="12"/>
      <c r="C18557" s="12"/>
    </row>
    <row r="18558" spans="2:3">
      <c r="B18558" s="12"/>
      <c r="C18558" s="12"/>
    </row>
    <row r="18559" spans="2:3">
      <c r="B18559" s="12"/>
      <c r="C18559" s="12"/>
    </row>
    <row r="18560" spans="2:3">
      <c r="B18560" s="12"/>
      <c r="C18560" s="12"/>
    </row>
    <row r="18561" spans="2:3">
      <c r="B18561" s="12"/>
      <c r="C18561" s="12"/>
    </row>
    <row r="18562" spans="2:3">
      <c r="B18562" s="12"/>
      <c r="C18562" s="12"/>
    </row>
    <row r="18563" spans="2:3">
      <c r="B18563" s="12"/>
      <c r="C18563" s="12"/>
    </row>
    <row r="18564" spans="2:3">
      <c r="B18564" s="12"/>
      <c r="C18564" s="12"/>
    </row>
    <row r="18565" spans="2:3">
      <c r="B18565" s="12"/>
      <c r="C18565" s="12"/>
    </row>
    <row r="18566" spans="2:3">
      <c r="B18566" s="12"/>
      <c r="C18566" s="12"/>
    </row>
    <row r="18567" spans="2:3">
      <c r="B18567" s="12"/>
      <c r="C18567" s="12"/>
    </row>
    <row r="18568" spans="2:3">
      <c r="B18568" s="12"/>
      <c r="C18568" s="12"/>
    </row>
    <row r="18569" spans="2:3">
      <c r="B18569" s="12"/>
      <c r="C18569" s="12"/>
    </row>
    <row r="18570" spans="2:3">
      <c r="B18570" s="12"/>
      <c r="C18570" s="12"/>
    </row>
    <row r="18571" spans="2:3">
      <c r="B18571" s="12"/>
      <c r="C18571" s="12"/>
    </row>
    <row r="18572" spans="2:3">
      <c r="B18572" s="12"/>
      <c r="C18572" s="12"/>
    </row>
    <row r="18573" spans="2:3">
      <c r="B18573" s="12"/>
      <c r="C18573" s="12"/>
    </row>
    <row r="18574" spans="2:3">
      <c r="B18574" s="12"/>
      <c r="C18574" s="12"/>
    </row>
    <row r="18575" spans="2:3">
      <c r="B18575" s="12"/>
      <c r="C18575" s="12"/>
    </row>
    <row r="18576" spans="2:3">
      <c r="B18576" s="12"/>
      <c r="C18576" s="12"/>
    </row>
    <row r="18577" spans="2:3">
      <c r="B18577" s="12"/>
      <c r="C18577" s="12"/>
    </row>
    <row r="18578" spans="2:3">
      <c r="B18578" s="12"/>
      <c r="C18578" s="12"/>
    </row>
    <row r="18579" spans="2:3">
      <c r="B18579" s="12"/>
      <c r="C18579" s="12"/>
    </row>
    <row r="18580" spans="2:3">
      <c r="B18580" s="12"/>
      <c r="C18580" s="12"/>
    </row>
    <row r="18581" spans="2:3">
      <c r="B18581" s="12"/>
      <c r="C18581" s="12"/>
    </row>
    <row r="18582" spans="2:3">
      <c r="B18582" s="12"/>
      <c r="C18582" s="12"/>
    </row>
    <row r="18583" spans="2:3">
      <c r="B18583" s="12"/>
      <c r="C18583" s="12"/>
    </row>
    <row r="18584" spans="2:3">
      <c r="B18584" s="12"/>
      <c r="C18584" s="12"/>
    </row>
    <row r="18585" spans="2:3">
      <c r="B18585" s="12"/>
      <c r="C18585" s="12"/>
    </row>
    <row r="18586" spans="2:3">
      <c r="B18586" s="12"/>
      <c r="C18586" s="12"/>
    </row>
    <row r="18587" spans="2:3">
      <c r="B18587" s="12"/>
      <c r="C18587" s="12"/>
    </row>
    <row r="18588" spans="2:3">
      <c r="B18588" s="12"/>
      <c r="C18588" s="12"/>
    </row>
    <row r="18589" spans="2:3">
      <c r="B18589" s="12"/>
      <c r="C18589" s="12"/>
    </row>
    <row r="18590" spans="2:3">
      <c r="B18590" s="12"/>
      <c r="C18590" s="12"/>
    </row>
    <row r="18591" spans="2:3">
      <c r="B18591" s="12"/>
      <c r="C18591" s="12"/>
    </row>
    <row r="18592" spans="2:3">
      <c r="B18592" s="12"/>
      <c r="C18592" s="12"/>
    </row>
    <row r="18593" spans="2:3">
      <c r="B18593" s="12"/>
      <c r="C18593" s="12"/>
    </row>
    <row r="18594" spans="2:3">
      <c r="B18594" s="12"/>
      <c r="C18594" s="12"/>
    </row>
    <row r="18595" spans="2:3">
      <c r="B18595" s="12"/>
      <c r="C18595" s="12"/>
    </row>
    <row r="18596" spans="2:3">
      <c r="B18596" s="12"/>
      <c r="C18596" s="12"/>
    </row>
    <row r="18597" spans="2:3">
      <c r="B18597" s="12"/>
      <c r="C18597" s="12"/>
    </row>
    <row r="18598" spans="2:3">
      <c r="B18598" s="12"/>
      <c r="C18598" s="12"/>
    </row>
    <row r="18599" spans="2:3">
      <c r="B18599" s="12"/>
      <c r="C18599" s="12"/>
    </row>
    <row r="18600" spans="2:3">
      <c r="B18600" s="12"/>
      <c r="C18600" s="12"/>
    </row>
    <row r="18601" spans="2:3">
      <c r="B18601" s="12"/>
      <c r="C18601" s="12"/>
    </row>
    <row r="18602" spans="2:3">
      <c r="B18602" s="12"/>
      <c r="C18602" s="12"/>
    </row>
    <row r="18603" spans="2:3">
      <c r="B18603" s="12"/>
      <c r="C18603" s="12"/>
    </row>
    <row r="18604" spans="2:3">
      <c r="B18604" s="12"/>
      <c r="C18604" s="12"/>
    </row>
    <row r="18605" spans="2:3">
      <c r="B18605" s="12"/>
      <c r="C18605" s="12"/>
    </row>
    <row r="18606" spans="2:3">
      <c r="B18606" s="12"/>
      <c r="C18606" s="12"/>
    </row>
    <row r="18607" spans="2:3">
      <c r="B18607" s="12"/>
      <c r="C18607" s="12"/>
    </row>
    <row r="18608" spans="2:3">
      <c r="B18608" s="12"/>
      <c r="C18608" s="12"/>
    </row>
    <row r="18609" spans="2:3">
      <c r="B18609" s="12"/>
      <c r="C18609" s="12"/>
    </row>
    <row r="18610" spans="2:3">
      <c r="B18610" s="12"/>
      <c r="C18610" s="12"/>
    </row>
    <row r="18611" spans="2:3">
      <c r="B18611" s="12"/>
      <c r="C18611" s="12"/>
    </row>
    <row r="18612" spans="2:3">
      <c r="B18612" s="12"/>
      <c r="C18612" s="12"/>
    </row>
    <row r="18613" spans="2:3">
      <c r="B18613" s="12"/>
      <c r="C18613" s="12"/>
    </row>
    <row r="18614" spans="2:3">
      <c r="B18614" s="12"/>
      <c r="C18614" s="12"/>
    </row>
    <row r="18615" spans="2:3">
      <c r="B18615" s="12"/>
      <c r="C18615" s="12"/>
    </row>
    <row r="18616" spans="2:3">
      <c r="B18616" s="12"/>
      <c r="C18616" s="12"/>
    </row>
    <row r="18617" spans="2:3">
      <c r="B18617" s="12"/>
      <c r="C18617" s="12"/>
    </row>
    <row r="18618" spans="2:3">
      <c r="B18618" s="12"/>
      <c r="C18618" s="12"/>
    </row>
    <row r="18619" spans="2:3">
      <c r="B18619" s="12"/>
      <c r="C18619" s="12"/>
    </row>
    <row r="18620" spans="2:3">
      <c r="B18620" s="12"/>
      <c r="C18620" s="12"/>
    </row>
    <row r="18621" spans="2:3">
      <c r="B18621" s="12"/>
      <c r="C18621" s="12"/>
    </row>
    <row r="18622" spans="2:3">
      <c r="B18622" s="12"/>
      <c r="C18622" s="12"/>
    </row>
    <row r="18623" spans="2:3">
      <c r="B18623" s="12"/>
      <c r="C18623" s="12"/>
    </row>
    <row r="18624" spans="2:3">
      <c r="B18624" s="12"/>
      <c r="C18624" s="12"/>
    </row>
    <row r="18625" spans="2:3">
      <c r="B18625" s="12"/>
      <c r="C18625" s="12"/>
    </row>
    <row r="18626" spans="2:3">
      <c r="B18626" s="12"/>
      <c r="C18626" s="12"/>
    </row>
    <row r="18627" spans="2:3">
      <c r="B18627" s="12"/>
      <c r="C18627" s="12"/>
    </row>
    <row r="18628" spans="2:3">
      <c r="B18628" s="12"/>
      <c r="C18628" s="12"/>
    </row>
    <row r="18629" spans="2:3">
      <c r="B18629" s="12"/>
      <c r="C18629" s="12"/>
    </row>
    <row r="18630" spans="2:3">
      <c r="B18630" s="12"/>
      <c r="C18630" s="12"/>
    </row>
    <row r="18631" spans="2:3">
      <c r="B18631" s="12"/>
      <c r="C18631" s="12"/>
    </row>
    <row r="18632" spans="2:3">
      <c r="B18632" s="12"/>
      <c r="C18632" s="12"/>
    </row>
    <row r="18633" spans="2:3">
      <c r="B18633" s="12"/>
      <c r="C18633" s="12"/>
    </row>
    <row r="18634" spans="2:3">
      <c r="B18634" s="12"/>
      <c r="C18634" s="12"/>
    </row>
    <row r="18635" spans="2:3">
      <c r="B18635" s="12"/>
      <c r="C18635" s="12"/>
    </row>
    <row r="18636" spans="2:3">
      <c r="B18636" s="12"/>
      <c r="C18636" s="12"/>
    </row>
    <row r="18637" spans="2:3">
      <c r="B18637" s="12"/>
      <c r="C18637" s="12"/>
    </row>
    <row r="18638" spans="2:3">
      <c r="B18638" s="12"/>
      <c r="C18638" s="12"/>
    </row>
    <row r="18639" spans="2:3">
      <c r="B18639" s="12"/>
      <c r="C18639" s="12"/>
    </row>
    <row r="18640" spans="2:3">
      <c r="B18640" s="12"/>
      <c r="C18640" s="12"/>
    </row>
    <row r="18641" spans="2:3">
      <c r="B18641" s="12"/>
      <c r="C18641" s="12"/>
    </row>
    <row r="18642" spans="2:3">
      <c r="B18642" s="12"/>
      <c r="C18642" s="12"/>
    </row>
    <row r="18643" spans="2:3">
      <c r="B18643" s="12"/>
      <c r="C18643" s="12"/>
    </row>
    <row r="18644" spans="2:3">
      <c r="B18644" s="12"/>
      <c r="C18644" s="12"/>
    </row>
    <row r="18645" spans="2:3">
      <c r="B18645" s="12"/>
      <c r="C18645" s="12"/>
    </row>
    <row r="18646" spans="2:3">
      <c r="B18646" s="12"/>
      <c r="C18646" s="12"/>
    </row>
    <row r="18647" spans="2:3">
      <c r="B18647" s="12"/>
      <c r="C18647" s="12"/>
    </row>
    <row r="18648" spans="2:3">
      <c r="B18648" s="12"/>
      <c r="C18648" s="12"/>
    </row>
    <row r="18649" spans="2:3">
      <c r="B18649" s="12"/>
      <c r="C18649" s="12"/>
    </row>
    <row r="18650" spans="2:3">
      <c r="B18650" s="12"/>
      <c r="C18650" s="12"/>
    </row>
    <row r="18651" spans="2:3">
      <c r="B18651" s="12"/>
      <c r="C18651" s="12"/>
    </row>
    <row r="18652" spans="2:3">
      <c r="B18652" s="12"/>
      <c r="C18652" s="12"/>
    </row>
    <row r="18653" spans="2:3">
      <c r="B18653" s="12"/>
      <c r="C18653" s="12"/>
    </row>
    <row r="18654" spans="2:3">
      <c r="B18654" s="12"/>
      <c r="C18654" s="12"/>
    </row>
    <row r="18655" spans="2:3">
      <c r="B18655" s="12"/>
      <c r="C18655" s="12"/>
    </row>
    <row r="18656" spans="2:3">
      <c r="B18656" s="12"/>
      <c r="C18656" s="12"/>
    </row>
    <row r="18657" spans="2:3">
      <c r="B18657" s="12"/>
      <c r="C18657" s="12"/>
    </row>
    <row r="18658" spans="2:3">
      <c r="B18658" s="12"/>
      <c r="C18658" s="12"/>
    </row>
    <row r="18659" spans="2:3">
      <c r="B18659" s="12"/>
      <c r="C18659" s="12"/>
    </row>
    <row r="18660" spans="2:3">
      <c r="B18660" s="12"/>
      <c r="C18660" s="12"/>
    </row>
    <row r="18661" spans="2:3">
      <c r="B18661" s="12"/>
      <c r="C18661" s="12"/>
    </row>
    <row r="18662" spans="2:3">
      <c r="B18662" s="12"/>
      <c r="C18662" s="12"/>
    </row>
    <row r="18663" spans="2:3">
      <c r="B18663" s="12"/>
      <c r="C18663" s="12"/>
    </row>
    <row r="18664" spans="2:3">
      <c r="B18664" s="12"/>
      <c r="C18664" s="12"/>
    </row>
    <row r="18665" spans="2:3">
      <c r="B18665" s="12"/>
      <c r="C18665" s="12"/>
    </row>
    <row r="18666" spans="2:3">
      <c r="B18666" s="12"/>
      <c r="C18666" s="12"/>
    </row>
    <row r="18667" spans="2:3">
      <c r="B18667" s="12"/>
      <c r="C18667" s="12"/>
    </row>
    <row r="18668" spans="2:3">
      <c r="B18668" s="12"/>
      <c r="C18668" s="12"/>
    </row>
    <row r="18669" spans="2:3">
      <c r="B18669" s="12"/>
      <c r="C18669" s="12"/>
    </row>
    <row r="18670" spans="2:3">
      <c r="B18670" s="12"/>
      <c r="C18670" s="12"/>
    </row>
    <row r="18671" spans="2:3">
      <c r="B18671" s="12"/>
      <c r="C18671" s="12"/>
    </row>
    <row r="18672" spans="2:3">
      <c r="B18672" s="12"/>
      <c r="C18672" s="12"/>
    </row>
    <row r="18673" spans="2:3">
      <c r="B18673" s="12"/>
      <c r="C18673" s="12"/>
    </row>
    <row r="18674" spans="2:3">
      <c r="B18674" s="12"/>
      <c r="C18674" s="12"/>
    </row>
    <row r="18675" spans="2:3">
      <c r="B18675" s="12"/>
      <c r="C18675" s="12"/>
    </row>
    <row r="18676" spans="2:3">
      <c r="B18676" s="12"/>
      <c r="C18676" s="12"/>
    </row>
    <row r="18677" spans="2:3">
      <c r="B18677" s="12"/>
      <c r="C18677" s="12"/>
    </row>
    <row r="18678" spans="2:3">
      <c r="B18678" s="12"/>
      <c r="C18678" s="12"/>
    </row>
    <row r="18679" spans="2:3">
      <c r="B18679" s="12"/>
      <c r="C18679" s="12"/>
    </row>
    <row r="18680" spans="2:3">
      <c r="B18680" s="12"/>
      <c r="C18680" s="12"/>
    </row>
    <row r="18681" spans="2:3">
      <c r="B18681" s="12"/>
      <c r="C18681" s="12"/>
    </row>
    <row r="18682" spans="2:3">
      <c r="B18682" s="12"/>
      <c r="C18682" s="12"/>
    </row>
    <row r="18683" spans="2:3">
      <c r="B18683" s="12"/>
      <c r="C18683" s="12"/>
    </row>
    <row r="18684" spans="2:3">
      <c r="B18684" s="12"/>
      <c r="C18684" s="12"/>
    </row>
    <row r="18685" spans="2:3">
      <c r="B18685" s="12"/>
      <c r="C18685" s="12"/>
    </row>
    <row r="18686" spans="2:3">
      <c r="B18686" s="12"/>
      <c r="C18686" s="12"/>
    </row>
    <row r="18687" spans="2:3">
      <c r="B18687" s="12"/>
      <c r="C18687" s="12"/>
    </row>
    <row r="18688" spans="2:3">
      <c r="B18688" s="12"/>
      <c r="C18688" s="12"/>
    </row>
    <row r="18689" spans="2:3">
      <c r="B18689" s="12"/>
      <c r="C18689" s="12"/>
    </row>
    <row r="18690" spans="2:3">
      <c r="B18690" s="12"/>
      <c r="C18690" s="12"/>
    </row>
    <row r="18691" spans="2:3">
      <c r="B18691" s="12"/>
      <c r="C18691" s="12"/>
    </row>
    <row r="18692" spans="2:3">
      <c r="B18692" s="12"/>
      <c r="C18692" s="12"/>
    </row>
    <row r="18693" spans="2:3">
      <c r="B18693" s="12"/>
      <c r="C18693" s="12"/>
    </row>
    <row r="18694" spans="2:3">
      <c r="B18694" s="12"/>
      <c r="C18694" s="12"/>
    </row>
    <row r="18695" spans="2:3">
      <c r="B18695" s="12"/>
      <c r="C18695" s="12"/>
    </row>
    <row r="18696" spans="2:3">
      <c r="B18696" s="12"/>
      <c r="C18696" s="12"/>
    </row>
    <row r="18697" spans="2:3">
      <c r="B18697" s="12"/>
      <c r="C18697" s="12"/>
    </row>
    <row r="18698" spans="2:3">
      <c r="B18698" s="12"/>
      <c r="C18698" s="12"/>
    </row>
    <row r="18699" spans="2:3">
      <c r="B18699" s="12"/>
      <c r="C18699" s="12"/>
    </row>
    <row r="18700" spans="2:3">
      <c r="B18700" s="12"/>
      <c r="C18700" s="12"/>
    </row>
    <row r="18701" spans="2:3">
      <c r="B18701" s="12"/>
      <c r="C18701" s="12"/>
    </row>
    <row r="18702" spans="2:3">
      <c r="B18702" s="12"/>
      <c r="C18702" s="12"/>
    </row>
    <row r="18703" spans="2:3">
      <c r="B18703" s="12"/>
      <c r="C18703" s="12"/>
    </row>
    <row r="18704" spans="2:3">
      <c r="B18704" s="12"/>
      <c r="C18704" s="12"/>
    </row>
    <row r="18705" spans="2:3">
      <c r="B18705" s="12"/>
      <c r="C18705" s="12"/>
    </row>
    <row r="18706" spans="2:3">
      <c r="B18706" s="12"/>
      <c r="C18706" s="12"/>
    </row>
    <row r="18707" spans="2:3">
      <c r="B18707" s="12"/>
      <c r="C18707" s="12"/>
    </row>
    <row r="18708" spans="2:3">
      <c r="B18708" s="12"/>
      <c r="C18708" s="12"/>
    </row>
    <row r="18709" spans="2:3">
      <c r="B18709" s="12"/>
      <c r="C18709" s="12"/>
    </row>
    <row r="18710" spans="2:3">
      <c r="B18710" s="12"/>
      <c r="C18710" s="12"/>
    </row>
    <row r="18711" spans="2:3">
      <c r="B18711" s="12"/>
      <c r="C18711" s="12"/>
    </row>
    <row r="18712" spans="2:3">
      <c r="B18712" s="12"/>
      <c r="C18712" s="12"/>
    </row>
    <row r="18713" spans="2:3">
      <c r="B18713" s="12"/>
      <c r="C18713" s="12"/>
    </row>
    <row r="18714" spans="2:3">
      <c r="B18714" s="12"/>
      <c r="C18714" s="12"/>
    </row>
    <row r="18715" spans="2:3">
      <c r="B18715" s="12"/>
      <c r="C18715" s="12"/>
    </row>
    <row r="18716" spans="2:3">
      <c r="B18716" s="12"/>
      <c r="C18716" s="12"/>
    </row>
    <row r="18717" spans="2:3">
      <c r="B18717" s="12"/>
      <c r="C18717" s="12"/>
    </row>
    <row r="18718" spans="2:3">
      <c r="B18718" s="12"/>
      <c r="C18718" s="12"/>
    </row>
    <row r="18719" spans="2:3">
      <c r="B18719" s="12"/>
      <c r="C18719" s="12"/>
    </row>
    <row r="18720" spans="2:3">
      <c r="B18720" s="12"/>
      <c r="C18720" s="12"/>
    </row>
    <row r="18721" spans="2:3">
      <c r="B18721" s="12"/>
      <c r="C18721" s="12"/>
    </row>
    <row r="18722" spans="2:3">
      <c r="B18722" s="12"/>
      <c r="C18722" s="12"/>
    </row>
    <row r="18723" spans="2:3">
      <c r="B18723" s="12"/>
      <c r="C18723" s="12"/>
    </row>
    <row r="18724" spans="2:3">
      <c r="B18724" s="12"/>
      <c r="C18724" s="12"/>
    </row>
    <row r="18725" spans="2:3">
      <c r="B18725" s="12"/>
      <c r="C18725" s="12"/>
    </row>
    <row r="18726" spans="2:3">
      <c r="B18726" s="12"/>
      <c r="C18726" s="12"/>
    </row>
    <row r="18727" spans="2:3">
      <c r="B18727" s="12"/>
      <c r="C18727" s="12"/>
    </row>
    <row r="18728" spans="2:3">
      <c r="B18728" s="12"/>
      <c r="C18728" s="12"/>
    </row>
    <row r="18729" spans="2:3">
      <c r="B18729" s="12"/>
      <c r="C18729" s="12"/>
    </row>
    <row r="18730" spans="2:3">
      <c r="B18730" s="12"/>
      <c r="C18730" s="12"/>
    </row>
    <row r="18731" spans="2:3">
      <c r="B18731" s="12"/>
      <c r="C18731" s="12"/>
    </row>
    <row r="18732" spans="2:3">
      <c r="B18732" s="12"/>
      <c r="C18732" s="12"/>
    </row>
    <row r="18733" spans="2:3">
      <c r="B18733" s="12"/>
      <c r="C18733" s="12"/>
    </row>
    <row r="18734" spans="2:3">
      <c r="B18734" s="12"/>
      <c r="C18734" s="12"/>
    </row>
    <row r="18735" spans="2:3">
      <c r="B18735" s="12"/>
      <c r="C18735" s="12"/>
    </row>
    <row r="18736" spans="2:3">
      <c r="B18736" s="12"/>
      <c r="C18736" s="12"/>
    </row>
    <row r="18737" spans="2:3">
      <c r="B18737" s="12"/>
      <c r="C18737" s="12"/>
    </row>
    <row r="18738" spans="2:3">
      <c r="B18738" s="12"/>
      <c r="C18738" s="12"/>
    </row>
    <row r="18739" spans="2:3">
      <c r="B18739" s="12"/>
      <c r="C18739" s="12"/>
    </row>
    <row r="18740" spans="2:3">
      <c r="B18740" s="12"/>
      <c r="C18740" s="12"/>
    </row>
    <row r="18741" spans="2:3">
      <c r="B18741" s="12"/>
      <c r="C18741" s="12"/>
    </row>
    <row r="18742" spans="2:3">
      <c r="B18742" s="12"/>
      <c r="C18742" s="12"/>
    </row>
    <row r="18743" spans="2:3">
      <c r="B18743" s="12"/>
      <c r="C18743" s="12"/>
    </row>
    <row r="18744" spans="2:3">
      <c r="B18744" s="12"/>
      <c r="C18744" s="12"/>
    </row>
    <row r="18745" spans="2:3">
      <c r="B18745" s="12"/>
      <c r="C18745" s="12"/>
    </row>
    <row r="18746" spans="2:3">
      <c r="B18746" s="12"/>
      <c r="C18746" s="12"/>
    </row>
    <row r="18747" spans="2:3">
      <c r="B18747" s="12"/>
      <c r="C18747" s="12"/>
    </row>
    <row r="18748" spans="2:3">
      <c r="B18748" s="12"/>
      <c r="C18748" s="12"/>
    </row>
    <row r="18749" spans="2:3">
      <c r="B18749" s="12"/>
      <c r="C18749" s="12"/>
    </row>
    <row r="18750" spans="2:3">
      <c r="B18750" s="12"/>
      <c r="C18750" s="12"/>
    </row>
    <row r="18751" spans="2:3">
      <c r="B18751" s="12"/>
      <c r="C18751" s="12"/>
    </row>
    <row r="18752" spans="2:3">
      <c r="B18752" s="12"/>
      <c r="C18752" s="12"/>
    </row>
    <row r="18753" spans="2:3">
      <c r="B18753" s="12"/>
      <c r="C18753" s="12"/>
    </row>
    <row r="18754" spans="2:3">
      <c r="B18754" s="12"/>
      <c r="C18754" s="12"/>
    </row>
    <row r="18755" spans="2:3">
      <c r="B18755" s="12"/>
      <c r="C18755" s="12"/>
    </row>
    <row r="18756" spans="2:3">
      <c r="B18756" s="12"/>
      <c r="C18756" s="12"/>
    </row>
    <row r="18757" spans="2:3">
      <c r="B18757" s="12"/>
      <c r="C18757" s="12"/>
    </row>
    <row r="18758" spans="2:3">
      <c r="B18758" s="12"/>
      <c r="C18758" s="12"/>
    </row>
    <row r="18759" spans="2:3">
      <c r="B18759" s="12"/>
      <c r="C18759" s="12"/>
    </row>
    <row r="18760" spans="2:3">
      <c r="B18760" s="12"/>
      <c r="C18760" s="12"/>
    </row>
    <row r="18761" spans="2:3">
      <c r="B18761" s="12"/>
      <c r="C18761" s="12"/>
    </row>
    <row r="18762" spans="2:3">
      <c r="B18762" s="12"/>
      <c r="C18762" s="12"/>
    </row>
    <row r="18763" spans="2:3">
      <c r="B18763" s="12"/>
      <c r="C18763" s="12"/>
    </row>
    <row r="18764" spans="2:3">
      <c r="B18764" s="12"/>
      <c r="C18764" s="12"/>
    </row>
    <row r="18765" spans="2:3">
      <c r="B18765" s="12"/>
      <c r="C18765" s="12"/>
    </row>
    <row r="18766" spans="2:3">
      <c r="B18766" s="12"/>
      <c r="C18766" s="12"/>
    </row>
    <row r="18767" spans="2:3">
      <c r="B18767" s="12"/>
      <c r="C18767" s="12"/>
    </row>
    <row r="18768" spans="2:3">
      <c r="B18768" s="12"/>
      <c r="C18768" s="12"/>
    </row>
    <row r="18769" spans="2:3">
      <c r="B18769" s="12"/>
      <c r="C18769" s="12"/>
    </row>
    <row r="18770" spans="2:3">
      <c r="B18770" s="12"/>
      <c r="C18770" s="12"/>
    </row>
    <row r="18771" spans="2:3">
      <c r="B18771" s="12"/>
      <c r="C18771" s="12"/>
    </row>
    <row r="18772" spans="2:3">
      <c r="B18772" s="12"/>
      <c r="C18772" s="12"/>
    </row>
    <row r="18773" spans="2:3">
      <c r="B18773" s="12"/>
      <c r="C18773" s="12"/>
    </row>
    <row r="18774" spans="2:3">
      <c r="B18774" s="12"/>
      <c r="C18774" s="12"/>
    </row>
    <row r="18775" spans="2:3">
      <c r="B18775" s="12"/>
      <c r="C18775" s="12"/>
    </row>
    <row r="18776" spans="2:3">
      <c r="B18776" s="12"/>
      <c r="C18776" s="12"/>
    </row>
    <row r="18777" spans="2:3">
      <c r="B18777" s="12"/>
      <c r="C18777" s="12"/>
    </row>
    <row r="18778" spans="2:3">
      <c r="B18778" s="12"/>
      <c r="C18778" s="12"/>
    </row>
    <row r="18779" spans="2:3">
      <c r="B18779" s="12"/>
      <c r="C18779" s="12"/>
    </row>
    <row r="18780" spans="2:3">
      <c r="B18780" s="12"/>
      <c r="C18780" s="12"/>
    </row>
    <row r="18781" spans="2:3">
      <c r="B18781" s="12"/>
      <c r="C18781" s="12"/>
    </row>
    <row r="18782" spans="2:3">
      <c r="B18782" s="12"/>
      <c r="C18782" s="12"/>
    </row>
    <row r="18783" spans="2:3">
      <c r="B18783" s="12"/>
      <c r="C18783" s="12"/>
    </row>
    <row r="18784" spans="2:3">
      <c r="B18784" s="12"/>
      <c r="C18784" s="12"/>
    </row>
    <row r="18785" spans="2:3">
      <c r="B18785" s="12"/>
      <c r="C18785" s="12"/>
    </row>
    <row r="18786" spans="2:3">
      <c r="B18786" s="12"/>
      <c r="C18786" s="12"/>
    </row>
    <row r="18787" spans="2:3">
      <c r="B18787" s="12"/>
      <c r="C18787" s="12"/>
    </row>
    <row r="18788" spans="2:3">
      <c r="B18788" s="12"/>
      <c r="C18788" s="12"/>
    </row>
    <row r="18789" spans="2:3">
      <c r="B18789" s="12"/>
      <c r="C18789" s="12"/>
    </row>
    <row r="18790" spans="2:3">
      <c r="B18790" s="12"/>
      <c r="C18790" s="12"/>
    </row>
    <row r="18791" spans="2:3">
      <c r="B18791" s="12"/>
      <c r="C18791" s="12"/>
    </row>
    <row r="18792" spans="2:3">
      <c r="B18792" s="12"/>
      <c r="C18792" s="12"/>
    </row>
    <row r="18793" spans="2:3">
      <c r="B18793" s="12"/>
      <c r="C18793" s="12"/>
    </row>
    <row r="18794" spans="2:3">
      <c r="B18794" s="12"/>
      <c r="C18794" s="12"/>
    </row>
    <row r="18795" spans="2:3">
      <c r="B18795" s="12"/>
      <c r="C18795" s="12"/>
    </row>
    <row r="18796" spans="2:3">
      <c r="B18796" s="12"/>
      <c r="C18796" s="12"/>
    </row>
    <row r="18797" spans="2:3">
      <c r="B18797" s="12"/>
      <c r="C18797" s="12"/>
    </row>
    <row r="18798" spans="2:3">
      <c r="B18798" s="12"/>
      <c r="C18798" s="12"/>
    </row>
    <row r="18799" spans="2:3">
      <c r="B18799" s="12"/>
      <c r="C18799" s="12"/>
    </row>
    <row r="18800" spans="2:3">
      <c r="B18800" s="12"/>
      <c r="C18800" s="12"/>
    </row>
    <row r="18801" spans="2:3">
      <c r="B18801" s="12"/>
      <c r="C18801" s="12"/>
    </row>
    <row r="18802" spans="2:3">
      <c r="B18802" s="12"/>
      <c r="C18802" s="12"/>
    </row>
    <row r="18803" spans="2:3">
      <c r="B18803" s="12"/>
      <c r="C18803" s="12"/>
    </row>
    <row r="18804" spans="2:3">
      <c r="B18804" s="12"/>
      <c r="C18804" s="12"/>
    </row>
    <row r="18805" spans="2:3">
      <c r="B18805" s="12"/>
      <c r="C18805" s="12"/>
    </row>
    <row r="18806" spans="2:3">
      <c r="B18806" s="12"/>
      <c r="C18806" s="12"/>
    </row>
    <row r="18807" spans="2:3">
      <c r="B18807" s="12"/>
      <c r="C18807" s="12"/>
    </row>
    <row r="18808" spans="2:3">
      <c r="B18808" s="12"/>
      <c r="C18808" s="12"/>
    </row>
    <row r="18809" spans="2:3">
      <c r="B18809" s="12"/>
      <c r="C18809" s="12"/>
    </row>
    <row r="18810" spans="2:3">
      <c r="B18810" s="12"/>
      <c r="C18810" s="12"/>
    </row>
    <row r="18811" spans="2:3">
      <c r="B18811" s="12"/>
      <c r="C18811" s="12"/>
    </row>
    <row r="18812" spans="2:3">
      <c r="B18812" s="12"/>
      <c r="C18812" s="12"/>
    </row>
    <row r="18813" spans="2:3">
      <c r="B18813" s="12"/>
      <c r="C18813" s="12"/>
    </row>
    <row r="18814" spans="2:3">
      <c r="B18814" s="12"/>
      <c r="C18814" s="12"/>
    </row>
    <row r="18815" spans="2:3">
      <c r="B18815" s="12"/>
      <c r="C18815" s="12"/>
    </row>
    <row r="18816" spans="2:3">
      <c r="B18816" s="12"/>
      <c r="C18816" s="12"/>
    </row>
    <row r="18817" spans="2:3">
      <c r="B18817" s="12"/>
      <c r="C18817" s="12"/>
    </row>
    <row r="18818" spans="2:3">
      <c r="B18818" s="12"/>
      <c r="C18818" s="12"/>
    </row>
    <row r="18819" spans="2:3">
      <c r="B18819" s="12"/>
      <c r="C18819" s="12"/>
    </row>
    <row r="18820" spans="2:3">
      <c r="B18820" s="12"/>
      <c r="C18820" s="12"/>
    </row>
    <row r="18821" spans="2:3">
      <c r="B18821" s="12"/>
      <c r="C18821" s="12"/>
    </row>
    <row r="18822" spans="2:3">
      <c r="B18822" s="12"/>
      <c r="C18822" s="12"/>
    </row>
    <row r="18823" spans="2:3">
      <c r="B18823" s="12"/>
      <c r="C18823" s="12"/>
    </row>
    <row r="18824" spans="2:3">
      <c r="B18824" s="12"/>
      <c r="C18824" s="12"/>
    </row>
    <row r="18825" spans="2:3">
      <c r="B18825" s="12"/>
      <c r="C18825" s="12"/>
    </row>
    <row r="18826" spans="2:3">
      <c r="B18826" s="12"/>
      <c r="C18826" s="12"/>
    </row>
    <row r="18827" spans="2:3">
      <c r="B18827" s="12"/>
      <c r="C18827" s="12"/>
    </row>
    <row r="18828" spans="2:3">
      <c r="B18828" s="12"/>
      <c r="C18828" s="12"/>
    </row>
    <row r="18829" spans="2:3">
      <c r="B18829" s="12"/>
      <c r="C18829" s="12"/>
    </row>
    <row r="18830" spans="2:3">
      <c r="B18830" s="12"/>
      <c r="C18830" s="12"/>
    </row>
    <row r="18831" spans="2:3">
      <c r="B18831" s="12"/>
      <c r="C18831" s="12"/>
    </row>
    <row r="18832" spans="2:3">
      <c r="B18832" s="12"/>
      <c r="C18832" s="12"/>
    </row>
    <row r="18833" spans="2:3">
      <c r="B18833" s="12"/>
      <c r="C18833" s="12"/>
    </row>
    <row r="18834" spans="2:3">
      <c r="B18834" s="12"/>
      <c r="C18834" s="12"/>
    </row>
    <row r="18835" spans="2:3">
      <c r="B18835" s="12"/>
      <c r="C18835" s="12"/>
    </row>
    <row r="18836" spans="2:3">
      <c r="B18836" s="12"/>
      <c r="C18836" s="12"/>
    </row>
    <row r="18837" spans="2:3">
      <c r="B18837" s="12"/>
      <c r="C18837" s="12"/>
    </row>
    <row r="18838" spans="2:3">
      <c r="B18838" s="12"/>
      <c r="C18838" s="12"/>
    </row>
    <row r="18839" spans="2:3">
      <c r="B18839" s="12"/>
      <c r="C18839" s="12"/>
    </row>
    <row r="18840" spans="2:3">
      <c r="B18840" s="12"/>
      <c r="C18840" s="12"/>
    </row>
    <row r="18841" spans="2:3">
      <c r="B18841" s="12"/>
      <c r="C18841" s="12"/>
    </row>
    <row r="18842" spans="2:3">
      <c r="B18842" s="12"/>
      <c r="C18842" s="12"/>
    </row>
    <row r="18843" spans="2:3">
      <c r="B18843" s="12"/>
      <c r="C18843" s="12"/>
    </row>
    <row r="18844" spans="2:3">
      <c r="B18844" s="12"/>
      <c r="C18844" s="12"/>
    </row>
    <row r="18845" spans="2:3">
      <c r="B18845" s="12"/>
      <c r="C18845" s="12"/>
    </row>
    <row r="18846" spans="2:3">
      <c r="B18846" s="12"/>
      <c r="C18846" s="12"/>
    </row>
    <row r="18847" spans="2:3">
      <c r="B18847" s="12"/>
      <c r="C18847" s="12"/>
    </row>
    <row r="18848" spans="2:3">
      <c r="B18848" s="12"/>
      <c r="C18848" s="12"/>
    </row>
    <row r="18849" spans="2:3">
      <c r="B18849" s="12"/>
      <c r="C18849" s="12"/>
    </row>
    <row r="18850" spans="2:3">
      <c r="B18850" s="12"/>
      <c r="C18850" s="12"/>
    </row>
    <row r="18851" spans="2:3">
      <c r="B18851" s="12"/>
      <c r="C18851" s="12"/>
    </row>
    <row r="18852" spans="2:3">
      <c r="B18852" s="12"/>
      <c r="C18852" s="12"/>
    </row>
    <row r="18853" spans="2:3">
      <c r="B18853" s="12"/>
      <c r="C18853" s="12"/>
    </row>
    <row r="18854" spans="2:3">
      <c r="B18854" s="12"/>
      <c r="C18854" s="12"/>
    </row>
    <row r="18855" spans="2:3">
      <c r="B18855" s="12"/>
      <c r="C18855" s="12"/>
    </row>
    <row r="18856" spans="2:3">
      <c r="B18856" s="12"/>
      <c r="C18856" s="12"/>
    </row>
    <row r="18857" spans="2:3">
      <c r="B18857" s="12"/>
      <c r="C18857" s="12"/>
    </row>
    <row r="18858" spans="2:3">
      <c r="B18858" s="12"/>
      <c r="C18858" s="12"/>
    </row>
    <row r="18859" spans="2:3">
      <c r="B18859" s="12"/>
      <c r="C18859" s="12"/>
    </row>
    <row r="18860" spans="2:3">
      <c r="B18860" s="12"/>
      <c r="C18860" s="12"/>
    </row>
    <row r="18861" spans="2:3">
      <c r="B18861" s="12"/>
      <c r="C18861" s="12"/>
    </row>
    <row r="18862" spans="2:3">
      <c r="B18862" s="12"/>
      <c r="C18862" s="12"/>
    </row>
    <row r="18863" spans="2:3">
      <c r="B18863" s="12"/>
      <c r="C18863" s="12"/>
    </row>
    <row r="18864" spans="2:3">
      <c r="B18864" s="12"/>
      <c r="C18864" s="12"/>
    </row>
    <row r="18865" spans="2:3">
      <c r="B18865" s="12"/>
      <c r="C18865" s="12"/>
    </row>
    <row r="18866" spans="2:3">
      <c r="B18866" s="12"/>
      <c r="C18866" s="12"/>
    </row>
    <row r="18867" spans="2:3">
      <c r="B18867" s="12"/>
      <c r="C18867" s="12"/>
    </row>
    <row r="18868" spans="2:3">
      <c r="B18868" s="12"/>
      <c r="C18868" s="12"/>
    </row>
    <row r="18869" spans="2:3">
      <c r="B18869" s="12"/>
      <c r="C18869" s="12"/>
    </row>
    <row r="18870" spans="2:3">
      <c r="B18870" s="12"/>
      <c r="C18870" s="12"/>
    </row>
    <row r="18871" spans="2:3">
      <c r="B18871" s="12"/>
      <c r="C18871" s="12"/>
    </row>
    <row r="18872" spans="2:3">
      <c r="B18872" s="12"/>
      <c r="C18872" s="12"/>
    </row>
    <row r="18873" spans="2:3">
      <c r="B18873" s="12"/>
      <c r="C18873" s="12"/>
    </row>
    <row r="18874" spans="2:3">
      <c r="B18874" s="12"/>
      <c r="C18874" s="12"/>
    </row>
    <row r="18875" spans="2:3">
      <c r="B18875" s="12"/>
      <c r="C18875" s="12"/>
    </row>
    <row r="18876" spans="2:3">
      <c r="B18876" s="12"/>
      <c r="C18876" s="12"/>
    </row>
    <row r="18877" spans="2:3">
      <c r="B18877" s="12"/>
      <c r="C18877" s="12"/>
    </row>
    <row r="18878" spans="2:3">
      <c r="B18878" s="12"/>
      <c r="C18878" s="12"/>
    </row>
    <row r="18879" spans="2:3">
      <c r="B18879" s="12"/>
      <c r="C18879" s="12"/>
    </row>
    <row r="18880" spans="2:3">
      <c r="B18880" s="12"/>
      <c r="C18880" s="12"/>
    </row>
    <row r="18881" spans="2:3">
      <c r="B18881" s="12"/>
      <c r="C18881" s="12"/>
    </row>
    <row r="18882" spans="2:3">
      <c r="B18882" s="12"/>
      <c r="C18882" s="12"/>
    </row>
    <row r="18883" spans="2:3">
      <c r="B18883" s="12"/>
      <c r="C18883" s="12"/>
    </row>
    <row r="18884" spans="2:3">
      <c r="B18884" s="12"/>
      <c r="C18884" s="12"/>
    </row>
    <row r="18885" spans="2:3">
      <c r="B18885" s="12"/>
      <c r="C18885" s="12"/>
    </row>
    <row r="18886" spans="2:3">
      <c r="B18886" s="12"/>
      <c r="C18886" s="12"/>
    </row>
    <row r="18887" spans="2:3">
      <c r="B18887" s="12"/>
      <c r="C18887" s="12"/>
    </row>
    <row r="18888" spans="2:3">
      <c r="B18888" s="12"/>
      <c r="C18888" s="12"/>
    </row>
    <row r="18889" spans="2:3">
      <c r="B18889" s="12"/>
      <c r="C18889" s="12"/>
    </row>
    <row r="18890" spans="2:3">
      <c r="B18890" s="12"/>
      <c r="C18890" s="12"/>
    </row>
    <row r="18891" spans="2:3">
      <c r="B18891" s="12"/>
      <c r="C18891" s="12"/>
    </row>
    <row r="18892" spans="2:3">
      <c r="B18892" s="12"/>
      <c r="C18892" s="12"/>
    </row>
    <row r="18893" spans="2:3">
      <c r="B18893" s="12"/>
      <c r="C18893" s="12"/>
    </row>
    <row r="18894" spans="2:3">
      <c r="B18894" s="12"/>
      <c r="C18894" s="12"/>
    </row>
    <row r="18895" spans="2:3">
      <c r="B18895" s="12"/>
      <c r="C18895" s="12"/>
    </row>
    <row r="18896" spans="2:3">
      <c r="B18896" s="12"/>
      <c r="C18896" s="12"/>
    </row>
    <row r="18897" spans="2:3">
      <c r="B18897" s="12"/>
      <c r="C18897" s="12"/>
    </row>
    <row r="18898" spans="2:3">
      <c r="B18898" s="12"/>
      <c r="C18898" s="12"/>
    </row>
    <row r="18899" spans="2:3">
      <c r="B18899" s="12"/>
      <c r="C18899" s="12"/>
    </row>
    <row r="18900" spans="2:3">
      <c r="B18900" s="12"/>
      <c r="C18900" s="12"/>
    </row>
    <row r="18901" spans="2:3">
      <c r="B18901" s="12"/>
      <c r="C18901" s="12"/>
    </row>
    <row r="18902" spans="2:3">
      <c r="B18902" s="12"/>
      <c r="C18902" s="12"/>
    </row>
    <row r="18903" spans="2:3">
      <c r="B18903" s="12"/>
      <c r="C18903" s="12"/>
    </row>
    <row r="18904" spans="2:3">
      <c r="B18904" s="12"/>
      <c r="C18904" s="12"/>
    </row>
    <row r="18905" spans="2:3">
      <c r="B18905" s="12"/>
      <c r="C18905" s="12"/>
    </row>
    <row r="18906" spans="2:3">
      <c r="B18906" s="12"/>
      <c r="C18906" s="12"/>
    </row>
    <row r="18907" spans="2:3">
      <c r="B18907" s="12"/>
      <c r="C18907" s="12"/>
    </row>
    <row r="18908" spans="2:3">
      <c r="B18908" s="12"/>
      <c r="C18908" s="12"/>
    </row>
    <row r="18909" spans="2:3">
      <c r="B18909" s="12"/>
      <c r="C18909" s="12"/>
    </row>
    <row r="18910" spans="2:3">
      <c r="B18910" s="12"/>
      <c r="C18910" s="12"/>
    </row>
    <row r="18911" spans="2:3">
      <c r="B18911" s="12"/>
      <c r="C18911" s="12"/>
    </row>
    <row r="18912" spans="2:3">
      <c r="B18912" s="12"/>
      <c r="C18912" s="12"/>
    </row>
    <row r="18913" spans="2:3">
      <c r="B18913" s="12"/>
      <c r="C18913" s="12"/>
    </row>
    <row r="18914" spans="2:3">
      <c r="B18914" s="12"/>
      <c r="C18914" s="12"/>
    </row>
    <row r="18915" spans="2:3">
      <c r="B18915" s="12"/>
      <c r="C18915" s="12"/>
    </row>
    <row r="18916" spans="2:3">
      <c r="B18916" s="12"/>
      <c r="C18916" s="12"/>
    </row>
    <row r="18917" spans="2:3">
      <c r="B18917" s="12"/>
      <c r="C18917" s="12"/>
    </row>
    <row r="18918" spans="2:3">
      <c r="B18918" s="12"/>
      <c r="C18918" s="12"/>
    </row>
    <row r="18919" spans="2:3">
      <c r="B18919" s="12"/>
      <c r="C18919" s="12"/>
    </row>
    <row r="18920" spans="2:3">
      <c r="B18920" s="12"/>
      <c r="C18920" s="12"/>
    </row>
    <row r="18921" spans="2:3">
      <c r="B18921" s="12"/>
      <c r="C18921" s="12"/>
    </row>
    <row r="18922" spans="2:3">
      <c r="B18922" s="12"/>
      <c r="C18922" s="12"/>
    </row>
    <row r="18923" spans="2:3">
      <c r="B18923" s="12"/>
      <c r="C18923" s="12"/>
    </row>
    <row r="18924" spans="2:3">
      <c r="B18924" s="12"/>
      <c r="C18924" s="12"/>
    </row>
    <row r="18925" spans="2:3">
      <c r="B18925" s="12"/>
      <c r="C18925" s="12"/>
    </row>
    <row r="18926" spans="2:3">
      <c r="B18926" s="12"/>
      <c r="C18926" s="12"/>
    </row>
    <row r="18927" spans="2:3">
      <c r="B18927" s="12"/>
      <c r="C18927" s="12"/>
    </row>
    <row r="18928" spans="2:3">
      <c r="B18928" s="12"/>
      <c r="C18928" s="12"/>
    </row>
    <row r="18929" spans="2:3">
      <c r="B18929" s="12"/>
      <c r="C18929" s="12"/>
    </row>
    <row r="18930" spans="2:3">
      <c r="B18930" s="12"/>
      <c r="C18930" s="12"/>
    </row>
    <row r="18931" spans="2:3">
      <c r="B18931" s="12"/>
      <c r="C18931" s="12"/>
    </row>
    <row r="18932" spans="2:3">
      <c r="B18932" s="12"/>
      <c r="C18932" s="12"/>
    </row>
    <row r="18933" spans="2:3">
      <c r="B18933" s="12"/>
      <c r="C18933" s="12"/>
    </row>
    <row r="18934" spans="2:3">
      <c r="B18934" s="12"/>
      <c r="C18934" s="12"/>
    </row>
    <row r="18935" spans="2:3">
      <c r="B18935" s="12"/>
      <c r="C18935" s="12"/>
    </row>
    <row r="18936" spans="2:3">
      <c r="B18936" s="12"/>
      <c r="C18936" s="12"/>
    </row>
    <row r="18937" spans="2:3">
      <c r="B18937" s="12"/>
      <c r="C18937" s="12"/>
    </row>
    <row r="18938" spans="2:3">
      <c r="B18938" s="12"/>
      <c r="C18938" s="12"/>
    </row>
    <row r="18939" spans="2:3">
      <c r="B18939" s="12"/>
      <c r="C18939" s="12"/>
    </row>
    <row r="18940" spans="2:3">
      <c r="B18940" s="12"/>
      <c r="C18940" s="12"/>
    </row>
    <row r="18941" spans="2:3">
      <c r="B18941" s="12"/>
      <c r="C18941" s="12"/>
    </row>
    <row r="18942" spans="2:3">
      <c r="B18942" s="12"/>
      <c r="C18942" s="12"/>
    </row>
    <row r="18943" spans="2:3">
      <c r="B18943" s="12"/>
      <c r="C18943" s="12"/>
    </row>
    <row r="18944" spans="2:3">
      <c r="B18944" s="12"/>
      <c r="C18944" s="12"/>
    </row>
    <row r="18945" spans="2:3">
      <c r="B18945" s="12"/>
      <c r="C18945" s="12"/>
    </row>
    <row r="18946" spans="2:3">
      <c r="B18946" s="12"/>
      <c r="C18946" s="12"/>
    </row>
    <row r="18947" spans="2:3">
      <c r="B18947" s="12"/>
      <c r="C18947" s="12"/>
    </row>
    <row r="18948" spans="2:3">
      <c r="B18948" s="12"/>
      <c r="C18948" s="12"/>
    </row>
    <row r="18949" spans="2:3">
      <c r="B18949" s="12"/>
      <c r="C18949" s="12"/>
    </row>
    <row r="18950" spans="2:3">
      <c r="B18950" s="12"/>
      <c r="C18950" s="12"/>
    </row>
    <row r="18951" spans="2:3">
      <c r="B18951" s="12"/>
      <c r="C18951" s="12"/>
    </row>
    <row r="18952" spans="2:3">
      <c r="B18952" s="12"/>
      <c r="C18952" s="12"/>
    </row>
    <row r="18953" spans="2:3">
      <c r="B18953" s="12"/>
      <c r="C18953" s="12"/>
    </row>
    <row r="18954" spans="2:3">
      <c r="B18954" s="12"/>
      <c r="C18954" s="12"/>
    </row>
    <row r="18955" spans="2:3">
      <c r="B18955" s="12"/>
      <c r="C18955" s="12"/>
    </row>
    <row r="18956" spans="2:3">
      <c r="B18956" s="12"/>
      <c r="C18956" s="12"/>
    </row>
    <row r="18957" spans="2:3">
      <c r="B18957" s="12"/>
      <c r="C18957" s="12"/>
    </row>
    <row r="18958" spans="2:3">
      <c r="B18958" s="12"/>
      <c r="C18958" s="12"/>
    </row>
    <row r="18959" spans="2:3">
      <c r="B18959" s="12"/>
      <c r="C18959" s="12"/>
    </row>
    <row r="18960" spans="2:3">
      <c r="B18960" s="12"/>
      <c r="C18960" s="12"/>
    </row>
    <row r="18961" spans="2:3">
      <c r="B18961" s="12"/>
      <c r="C18961" s="12"/>
    </row>
    <row r="18962" spans="2:3">
      <c r="B18962" s="12"/>
      <c r="C18962" s="12"/>
    </row>
    <row r="18963" spans="2:3">
      <c r="B18963" s="12"/>
      <c r="C18963" s="12"/>
    </row>
    <row r="18964" spans="2:3">
      <c r="B18964" s="12"/>
      <c r="C18964" s="12"/>
    </row>
    <row r="18965" spans="2:3">
      <c r="B18965" s="12"/>
      <c r="C18965" s="12"/>
    </row>
    <row r="18966" spans="2:3">
      <c r="B18966" s="12"/>
      <c r="C18966" s="12"/>
    </row>
    <row r="18967" spans="2:3">
      <c r="B18967" s="12"/>
      <c r="C18967" s="12"/>
    </row>
    <row r="18968" spans="2:3">
      <c r="B18968" s="12"/>
      <c r="C18968" s="12"/>
    </row>
    <row r="18969" spans="2:3">
      <c r="B18969" s="12"/>
      <c r="C18969" s="12"/>
    </row>
    <row r="18970" spans="2:3">
      <c r="B18970" s="12"/>
      <c r="C18970" s="12"/>
    </row>
    <row r="18971" spans="2:3">
      <c r="B18971" s="12"/>
      <c r="C18971" s="12"/>
    </row>
    <row r="18972" spans="2:3">
      <c r="B18972" s="12"/>
      <c r="C18972" s="12"/>
    </row>
    <row r="18973" spans="2:3">
      <c r="B18973" s="12"/>
      <c r="C18973" s="12"/>
    </row>
    <row r="18974" spans="2:3">
      <c r="B18974" s="12"/>
      <c r="C18974" s="12"/>
    </row>
    <row r="18975" spans="2:3">
      <c r="B18975" s="12"/>
      <c r="C18975" s="12"/>
    </row>
    <row r="18976" spans="2:3">
      <c r="B18976" s="12"/>
      <c r="C18976" s="12"/>
    </row>
    <row r="18977" spans="2:3">
      <c r="B18977" s="12"/>
      <c r="C18977" s="12"/>
    </row>
    <row r="18978" spans="2:3">
      <c r="B18978" s="12"/>
      <c r="C18978" s="12"/>
    </row>
    <row r="18979" spans="2:3">
      <c r="B18979" s="12"/>
      <c r="C18979" s="12"/>
    </row>
    <row r="18980" spans="2:3">
      <c r="B18980" s="12"/>
      <c r="C18980" s="12"/>
    </row>
    <row r="18981" spans="2:3">
      <c r="B18981" s="12"/>
      <c r="C18981" s="12"/>
    </row>
    <row r="18982" spans="2:3">
      <c r="B18982" s="12"/>
      <c r="C18982" s="12"/>
    </row>
    <row r="18983" spans="2:3">
      <c r="B18983" s="12"/>
      <c r="C18983" s="12"/>
    </row>
    <row r="18984" spans="2:3">
      <c r="B18984" s="12"/>
      <c r="C18984" s="12"/>
    </row>
    <row r="18985" spans="2:3">
      <c r="B18985" s="12"/>
      <c r="C18985" s="12"/>
    </row>
    <row r="18986" spans="2:3">
      <c r="B18986" s="12"/>
      <c r="C18986" s="12"/>
    </row>
    <row r="18987" spans="2:3">
      <c r="B18987" s="12"/>
      <c r="C18987" s="12"/>
    </row>
    <row r="18988" spans="2:3">
      <c r="B18988" s="12"/>
      <c r="C18988" s="12"/>
    </row>
    <row r="18989" spans="2:3">
      <c r="B18989" s="12"/>
      <c r="C18989" s="12"/>
    </row>
    <row r="18990" spans="2:3">
      <c r="B18990" s="12"/>
      <c r="C18990" s="12"/>
    </row>
    <row r="18991" spans="2:3">
      <c r="B18991" s="12"/>
      <c r="C18991" s="12"/>
    </row>
    <row r="18992" spans="2:3">
      <c r="B18992" s="12"/>
      <c r="C18992" s="12"/>
    </row>
    <row r="18993" spans="2:3">
      <c r="B18993" s="12"/>
      <c r="C18993" s="12"/>
    </row>
    <row r="18994" spans="2:3">
      <c r="B18994" s="12"/>
      <c r="C18994" s="12"/>
    </row>
    <row r="18995" spans="2:3">
      <c r="B18995" s="12"/>
      <c r="C18995" s="12"/>
    </row>
    <row r="18996" spans="2:3">
      <c r="B18996" s="12"/>
      <c r="C18996" s="12"/>
    </row>
    <row r="18997" spans="2:3">
      <c r="B18997" s="12"/>
      <c r="C18997" s="12"/>
    </row>
    <row r="18998" spans="2:3">
      <c r="B18998" s="12"/>
      <c r="C18998" s="12"/>
    </row>
    <row r="18999" spans="2:3">
      <c r="B18999" s="12"/>
      <c r="C18999" s="12"/>
    </row>
    <row r="19000" spans="2:3">
      <c r="B19000" s="12"/>
      <c r="C19000" s="12"/>
    </row>
    <row r="19001" spans="2:3">
      <c r="B19001" s="12"/>
      <c r="C19001" s="12"/>
    </row>
    <row r="19002" spans="2:3">
      <c r="B19002" s="12"/>
      <c r="C19002" s="12"/>
    </row>
    <row r="19003" spans="2:3">
      <c r="B19003" s="12"/>
      <c r="C19003" s="12"/>
    </row>
    <row r="19004" spans="2:3">
      <c r="B19004" s="12"/>
      <c r="C19004" s="12"/>
    </row>
    <row r="19005" spans="2:3">
      <c r="B19005" s="12"/>
      <c r="C19005" s="12"/>
    </row>
    <row r="19006" spans="2:3">
      <c r="B19006" s="12"/>
      <c r="C19006" s="12"/>
    </row>
    <row r="19007" spans="2:3">
      <c r="B19007" s="12"/>
      <c r="C19007" s="12"/>
    </row>
    <row r="19008" spans="2:3">
      <c r="B19008" s="12"/>
      <c r="C19008" s="12"/>
    </row>
    <row r="19009" spans="2:3">
      <c r="B19009" s="12"/>
      <c r="C19009" s="12"/>
    </row>
    <row r="19010" spans="2:3">
      <c r="B19010" s="12"/>
      <c r="C19010" s="12"/>
    </row>
    <row r="19011" spans="2:3">
      <c r="B19011" s="12"/>
      <c r="C19011" s="12"/>
    </row>
    <row r="19012" spans="2:3">
      <c r="B19012" s="12"/>
      <c r="C19012" s="12"/>
    </row>
    <row r="19013" spans="2:3">
      <c r="B19013" s="12"/>
      <c r="C19013" s="12"/>
    </row>
    <row r="19014" spans="2:3">
      <c r="B19014" s="12"/>
      <c r="C19014" s="12"/>
    </row>
    <row r="19015" spans="2:3">
      <c r="B19015" s="12"/>
      <c r="C19015" s="12"/>
    </row>
    <row r="19016" spans="2:3">
      <c r="B19016" s="12"/>
      <c r="C19016" s="12"/>
    </row>
    <row r="19017" spans="2:3">
      <c r="B19017" s="12"/>
      <c r="C19017" s="12"/>
    </row>
    <row r="19018" spans="2:3">
      <c r="B19018" s="12"/>
      <c r="C19018" s="12"/>
    </row>
    <row r="19019" spans="2:3">
      <c r="B19019" s="12"/>
      <c r="C19019" s="12"/>
    </row>
    <row r="19020" spans="2:3">
      <c r="B19020" s="12"/>
      <c r="C19020" s="12"/>
    </row>
    <row r="19021" spans="2:3">
      <c r="B19021" s="12"/>
      <c r="C19021" s="12"/>
    </row>
    <row r="19022" spans="2:3">
      <c r="B19022" s="12"/>
      <c r="C19022" s="12"/>
    </row>
    <row r="19023" spans="2:3">
      <c r="B19023" s="12"/>
      <c r="C19023" s="12"/>
    </row>
    <row r="19024" spans="2:3">
      <c r="B19024" s="12"/>
      <c r="C19024" s="12"/>
    </row>
    <row r="19025" spans="2:3">
      <c r="B19025" s="12"/>
      <c r="C19025" s="12"/>
    </row>
    <row r="19026" spans="2:3">
      <c r="B19026" s="12"/>
      <c r="C19026" s="12"/>
    </row>
    <row r="19027" spans="2:3">
      <c r="B19027" s="12"/>
      <c r="C19027" s="12"/>
    </row>
    <row r="19028" spans="2:3">
      <c r="B19028" s="12"/>
      <c r="C19028" s="12"/>
    </row>
    <row r="19029" spans="2:3">
      <c r="B19029" s="12"/>
      <c r="C19029" s="12"/>
    </row>
    <row r="19030" spans="2:3">
      <c r="B19030" s="12"/>
      <c r="C19030" s="12"/>
    </row>
    <row r="19031" spans="2:3">
      <c r="B19031" s="12"/>
      <c r="C19031" s="12"/>
    </row>
    <row r="19032" spans="2:3">
      <c r="B19032" s="12"/>
      <c r="C19032" s="12"/>
    </row>
    <row r="19033" spans="2:3">
      <c r="B19033" s="12"/>
      <c r="C19033" s="12"/>
    </row>
    <row r="19034" spans="2:3">
      <c r="B19034" s="12"/>
      <c r="C19034" s="12"/>
    </row>
    <row r="19035" spans="2:3">
      <c r="B19035" s="12"/>
      <c r="C19035" s="12"/>
    </row>
    <row r="19036" spans="2:3">
      <c r="B19036" s="12"/>
      <c r="C19036" s="12"/>
    </row>
    <row r="19037" spans="2:3">
      <c r="B19037" s="12"/>
      <c r="C19037" s="12"/>
    </row>
    <row r="19038" spans="2:3">
      <c r="B19038" s="12"/>
      <c r="C19038" s="12"/>
    </row>
    <row r="19039" spans="2:3">
      <c r="B19039" s="12"/>
      <c r="C19039" s="12"/>
    </row>
    <row r="19040" spans="2:3">
      <c r="B19040" s="12"/>
      <c r="C19040" s="12"/>
    </row>
    <row r="19041" spans="2:3">
      <c r="B19041" s="12"/>
      <c r="C19041" s="12"/>
    </row>
    <row r="19042" spans="2:3">
      <c r="B19042" s="12"/>
      <c r="C19042" s="12"/>
    </row>
    <row r="19043" spans="2:3">
      <c r="B19043" s="12"/>
      <c r="C19043" s="12"/>
    </row>
    <row r="19044" spans="2:3">
      <c r="B19044" s="12"/>
      <c r="C19044" s="12"/>
    </row>
    <row r="19045" spans="2:3">
      <c r="B19045" s="12"/>
      <c r="C19045" s="12"/>
    </row>
    <row r="19046" spans="2:3">
      <c r="B19046" s="12"/>
      <c r="C19046" s="12"/>
    </row>
    <row r="19047" spans="2:3">
      <c r="B19047" s="12"/>
      <c r="C19047" s="12"/>
    </row>
    <row r="19048" spans="2:3">
      <c r="B19048" s="12"/>
      <c r="C19048" s="12"/>
    </row>
    <row r="19049" spans="2:3">
      <c r="B19049" s="12"/>
      <c r="C19049" s="12"/>
    </row>
    <row r="19050" spans="2:3">
      <c r="B19050" s="12"/>
      <c r="C19050" s="12"/>
    </row>
    <row r="19051" spans="2:3">
      <c r="B19051" s="12"/>
      <c r="C19051" s="12"/>
    </row>
    <row r="19052" spans="2:3">
      <c r="B19052" s="12"/>
      <c r="C19052" s="12"/>
    </row>
    <row r="19053" spans="2:3">
      <c r="B19053" s="12"/>
      <c r="C19053" s="12"/>
    </row>
    <row r="19054" spans="2:3">
      <c r="B19054" s="12"/>
      <c r="C19054" s="12"/>
    </row>
    <row r="19055" spans="2:3">
      <c r="B19055" s="12"/>
      <c r="C19055" s="12"/>
    </row>
    <row r="19056" spans="2:3">
      <c r="B19056" s="12"/>
      <c r="C19056" s="12"/>
    </row>
    <row r="19057" spans="2:3">
      <c r="B19057" s="12"/>
      <c r="C19057" s="12"/>
    </row>
    <row r="19058" spans="2:3">
      <c r="B19058" s="12"/>
      <c r="C19058" s="12"/>
    </row>
    <row r="19059" spans="2:3">
      <c r="B19059" s="12"/>
      <c r="C19059" s="12"/>
    </row>
    <row r="19060" spans="2:3">
      <c r="B19060" s="12"/>
      <c r="C19060" s="12"/>
    </row>
    <row r="19061" spans="2:3">
      <c r="B19061" s="12"/>
      <c r="C19061" s="12"/>
    </row>
    <row r="19062" spans="2:3">
      <c r="B19062" s="12"/>
      <c r="C19062" s="12"/>
    </row>
    <row r="19063" spans="2:3">
      <c r="B19063" s="12"/>
      <c r="C19063" s="12"/>
    </row>
    <row r="19064" spans="2:3">
      <c r="B19064" s="12"/>
      <c r="C19064" s="12"/>
    </row>
    <row r="19065" spans="2:3">
      <c r="B19065" s="12"/>
      <c r="C19065" s="12"/>
    </row>
    <row r="19066" spans="2:3">
      <c r="B19066" s="12"/>
      <c r="C19066" s="12"/>
    </row>
    <row r="19067" spans="2:3">
      <c r="B19067" s="12"/>
      <c r="C19067" s="12"/>
    </row>
    <row r="19068" spans="2:3">
      <c r="B19068" s="12"/>
      <c r="C19068" s="12"/>
    </row>
    <row r="19069" spans="2:3">
      <c r="B19069" s="12"/>
      <c r="C19069" s="12"/>
    </row>
    <row r="19070" spans="2:3">
      <c r="B19070" s="12"/>
      <c r="C19070" s="12"/>
    </row>
    <row r="19071" spans="2:3">
      <c r="B19071" s="12"/>
      <c r="C19071" s="12"/>
    </row>
    <row r="19072" spans="2:3">
      <c r="B19072" s="12"/>
      <c r="C19072" s="12"/>
    </row>
    <row r="19073" spans="2:3">
      <c r="B19073" s="12"/>
      <c r="C19073" s="12"/>
    </row>
    <row r="19074" spans="2:3">
      <c r="B19074" s="12"/>
      <c r="C19074" s="12"/>
    </row>
    <row r="19075" spans="2:3">
      <c r="B19075" s="12"/>
      <c r="C19075" s="12"/>
    </row>
    <row r="19076" spans="2:3">
      <c r="B19076" s="12"/>
      <c r="C19076" s="12"/>
    </row>
    <row r="19077" spans="2:3">
      <c r="B19077" s="12"/>
      <c r="C19077" s="12"/>
    </row>
    <row r="19078" spans="2:3">
      <c r="B19078" s="12"/>
      <c r="C19078" s="12"/>
    </row>
    <row r="19079" spans="2:3">
      <c r="B19079" s="12"/>
      <c r="C19079" s="12"/>
    </row>
    <row r="19080" spans="2:3">
      <c r="B19080" s="12"/>
      <c r="C19080" s="12"/>
    </row>
    <row r="19081" spans="2:3">
      <c r="B19081" s="12"/>
      <c r="C19081" s="12"/>
    </row>
    <row r="19082" spans="2:3">
      <c r="B19082" s="12"/>
      <c r="C19082" s="12"/>
    </row>
    <row r="19083" spans="2:3">
      <c r="B19083" s="12"/>
      <c r="C19083" s="12"/>
    </row>
    <row r="19084" spans="2:3">
      <c r="B19084" s="12"/>
      <c r="C19084" s="12"/>
    </row>
    <row r="19085" spans="2:3">
      <c r="B19085" s="12"/>
      <c r="C19085" s="12"/>
    </row>
    <row r="19086" spans="2:3">
      <c r="B19086" s="12"/>
      <c r="C19086" s="12"/>
    </row>
    <row r="19087" spans="2:3">
      <c r="B19087" s="12"/>
      <c r="C19087" s="12"/>
    </row>
    <row r="19088" spans="2:3">
      <c r="B19088" s="12"/>
      <c r="C19088" s="12"/>
    </row>
    <row r="19089" spans="2:3">
      <c r="B19089" s="12"/>
      <c r="C19089" s="12"/>
    </row>
    <row r="19090" spans="2:3">
      <c r="B19090" s="12"/>
      <c r="C19090" s="12"/>
    </row>
    <row r="19091" spans="2:3">
      <c r="B19091" s="12"/>
      <c r="C19091" s="12"/>
    </row>
    <row r="19092" spans="2:3">
      <c r="B19092" s="12"/>
      <c r="C19092" s="12"/>
    </row>
    <row r="19093" spans="2:3">
      <c r="B19093" s="12"/>
      <c r="C19093" s="12"/>
    </row>
    <row r="19094" spans="2:3">
      <c r="B19094" s="12"/>
      <c r="C19094" s="12"/>
    </row>
    <row r="19095" spans="2:3">
      <c r="B19095" s="12"/>
      <c r="C19095" s="12"/>
    </row>
    <row r="19096" spans="2:3">
      <c r="B19096" s="12"/>
      <c r="C19096" s="12"/>
    </row>
    <row r="19097" spans="2:3">
      <c r="B19097" s="12"/>
      <c r="C19097" s="12"/>
    </row>
    <row r="19098" spans="2:3">
      <c r="B19098" s="12"/>
      <c r="C19098" s="12"/>
    </row>
    <row r="19099" spans="2:3">
      <c r="B19099" s="12"/>
      <c r="C19099" s="12"/>
    </row>
    <row r="19100" spans="2:3">
      <c r="B19100" s="12"/>
      <c r="C19100" s="12"/>
    </row>
    <row r="19101" spans="2:3">
      <c r="B19101" s="12"/>
      <c r="C19101" s="12"/>
    </row>
    <row r="19102" spans="2:3">
      <c r="B19102" s="12"/>
      <c r="C19102" s="12"/>
    </row>
    <row r="19103" spans="2:3">
      <c r="B19103" s="12"/>
      <c r="C19103" s="12"/>
    </row>
    <row r="19104" spans="2:3">
      <c r="B19104" s="12"/>
      <c r="C19104" s="12"/>
    </row>
    <row r="19105" spans="2:3">
      <c r="B19105" s="12"/>
      <c r="C19105" s="12"/>
    </row>
    <row r="19106" spans="2:3">
      <c r="B19106" s="12"/>
      <c r="C19106" s="12"/>
    </row>
    <row r="19107" spans="2:3">
      <c r="B19107" s="12"/>
      <c r="C19107" s="12"/>
    </row>
    <row r="19108" spans="2:3">
      <c r="B19108" s="12"/>
      <c r="C19108" s="12"/>
    </row>
    <row r="19109" spans="2:3">
      <c r="B19109" s="12"/>
      <c r="C19109" s="12"/>
    </row>
    <row r="19110" spans="2:3">
      <c r="B19110" s="12"/>
      <c r="C19110" s="12"/>
    </row>
    <row r="19111" spans="2:3">
      <c r="B19111" s="12"/>
      <c r="C19111" s="12"/>
    </row>
    <row r="19112" spans="2:3">
      <c r="B19112" s="12"/>
      <c r="C19112" s="12"/>
    </row>
    <row r="19113" spans="2:3">
      <c r="B19113" s="12"/>
      <c r="C19113" s="12"/>
    </row>
    <row r="19114" spans="2:3">
      <c r="B19114" s="12"/>
      <c r="C19114" s="12"/>
    </row>
    <row r="19115" spans="2:3">
      <c r="B19115" s="12"/>
      <c r="C19115" s="12"/>
    </row>
    <row r="19116" spans="2:3">
      <c r="B19116" s="12"/>
      <c r="C19116" s="12"/>
    </row>
    <row r="19117" spans="2:3">
      <c r="B19117" s="12"/>
      <c r="C19117" s="12"/>
    </row>
    <row r="19118" spans="2:3">
      <c r="B19118" s="12"/>
      <c r="C19118" s="12"/>
    </row>
    <row r="19119" spans="2:3">
      <c r="B19119" s="12"/>
      <c r="C19119" s="12"/>
    </row>
    <row r="19120" spans="2:3">
      <c r="B19120" s="12"/>
      <c r="C19120" s="12"/>
    </row>
    <row r="19121" spans="2:3">
      <c r="B19121" s="12"/>
      <c r="C19121" s="12"/>
    </row>
    <row r="19122" spans="2:3">
      <c r="B19122" s="12"/>
      <c r="C19122" s="12"/>
    </row>
    <row r="19123" spans="2:3">
      <c r="B19123" s="12"/>
      <c r="C19123" s="12"/>
    </row>
    <row r="19124" spans="2:3">
      <c r="B19124" s="12"/>
      <c r="C19124" s="12"/>
    </row>
    <row r="19125" spans="2:3">
      <c r="B19125" s="12"/>
      <c r="C19125" s="12"/>
    </row>
    <row r="19126" spans="2:3">
      <c r="B19126" s="12"/>
      <c r="C19126" s="12"/>
    </row>
    <row r="19127" spans="2:3">
      <c r="B19127" s="12"/>
      <c r="C19127" s="12"/>
    </row>
    <row r="19128" spans="2:3">
      <c r="B19128" s="12"/>
      <c r="C19128" s="12"/>
    </row>
    <row r="19129" spans="2:3">
      <c r="B19129" s="12"/>
      <c r="C19129" s="12"/>
    </row>
    <row r="19130" spans="2:3">
      <c r="B19130" s="12"/>
      <c r="C19130" s="12"/>
    </row>
    <row r="19131" spans="2:3">
      <c r="B19131" s="12"/>
      <c r="C19131" s="12"/>
    </row>
    <row r="19132" spans="2:3">
      <c r="B19132" s="12"/>
      <c r="C19132" s="12"/>
    </row>
    <row r="19133" spans="2:3">
      <c r="B19133" s="12"/>
      <c r="C19133" s="12"/>
    </row>
    <row r="19134" spans="2:3">
      <c r="B19134" s="12"/>
      <c r="C19134" s="12"/>
    </row>
    <row r="19135" spans="2:3">
      <c r="B19135" s="12"/>
      <c r="C19135" s="12"/>
    </row>
    <row r="19136" spans="2:3">
      <c r="B19136" s="12"/>
      <c r="C19136" s="12"/>
    </row>
    <row r="19137" spans="2:3">
      <c r="B19137" s="12"/>
      <c r="C19137" s="12"/>
    </row>
    <row r="19138" spans="2:3">
      <c r="B19138" s="12"/>
      <c r="C19138" s="12"/>
    </row>
    <row r="19139" spans="2:3">
      <c r="B19139" s="12"/>
      <c r="C19139" s="12"/>
    </row>
    <row r="19140" spans="2:3">
      <c r="B19140" s="12"/>
      <c r="C19140" s="12"/>
    </row>
    <row r="19141" spans="2:3">
      <c r="B19141" s="12"/>
      <c r="C19141" s="12"/>
    </row>
    <row r="19142" spans="2:3">
      <c r="B19142" s="12"/>
      <c r="C19142" s="12"/>
    </row>
    <row r="19143" spans="2:3">
      <c r="B19143" s="12"/>
      <c r="C19143" s="12"/>
    </row>
    <row r="19144" spans="2:3">
      <c r="B19144" s="12"/>
      <c r="C19144" s="12"/>
    </row>
    <row r="19145" spans="2:3">
      <c r="B19145" s="12"/>
      <c r="C19145" s="12"/>
    </row>
    <row r="19146" spans="2:3">
      <c r="B19146" s="12"/>
      <c r="C19146" s="12"/>
    </row>
    <row r="19147" spans="2:3">
      <c r="B19147" s="12"/>
      <c r="C19147" s="12"/>
    </row>
    <row r="19148" spans="2:3">
      <c r="B19148" s="12"/>
      <c r="C19148" s="12"/>
    </row>
    <row r="19149" spans="2:3">
      <c r="B19149" s="12"/>
      <c r="C19149" s="12"/>
    </row>
    <row r="19150" spans="2:3">
      <c r="B19150" s="12"/>
      <c r="C19150" s="12"/>
    </row>
    <row r="19151" spans="2:3">
      <c r="B19151" s="12"/>
      <c r="C19151" s="12"/>
    </row>
    <row r="19152" spans="2:3">
      <c r="B19152" s="12"/>
      <c r="C19152" s="12"/>
    </row>
    <row r="19153" spans="2:3">
      <c r="B19153" s="12"/>
      <c r="C19153" s="12"/>
    </row>
    <row r="19154" spans="2:3">
      <c r="B19154" s="12"/>
      <c r="C19154" s="12"/>
    </row>
    <row r="19155" spans="2:3">
      <c r="B19155" s="12"/>
      <c r="C19155" s="12"/>
    </row>
    <row r="19156" spans="2:3">
      <c r="B19156" s="12"/>
      <c r="C19156" s="12"/>
    </row>
    <row r="19157" spans="2:3">
      <c r="B19157" s="12"/>
      <c r="C19157" s="12"/>
    </row>
    <row r="19158" spans="2:3">
      <c r="B19158" s="12"/>
      <c r="C19158" s="12"/>
    </row>
    <row r="19159" spans="2:3">
      <c r="B19159" s="12"/>
      <c r="C19159" s="12"/>
    </row>
    <row r="19160" spans="2:3">
      <c r="B19160" s="12"/>
      <c r="C19160" s="12"/>
    </row>
    <row r="19161" spans="2:3">
      <c r="B19161" s="12"/>
      <c r="C19161" s="12"/>
    </row>
    <row r="19162" spans="2:3">
      <c r="B19162" s="12"/>
      <c r="C19162" s="12"/>
    </row>
    <row r="19163" spans="2:3">
      <c r="B19163" s="12"/>
      <c r="C19163" s="12"/>
    </row>
    <row r="19164" spans="2:3">
      <c r="B19164" s="12"/>
      <c r="C19164" s="12"/>
    </row>
    <row r="19165" spans="2:3">
      <c r="B19165" s="12"/>
      <c r="C19165" s="12"/>
    </row>
    <row r="19166" spans="2:3">
      <c r="B19166" s="12"/>
      <c r="C19166" s="12"/>
    </row>
    <row r="19167" spans="2:3">
      <c r="B19167" s="12"/>
      <c r="C19167" s="12"/>
    </row>
    <row r="19168" spans="2:3">
      <c r="B19168" s="12"/>
      <c r="C19168" s="12"/>
    </row>
    <row r="19169" spans="2:3">
      <c r="B19169" s="12"/>
      <c r="C19169" s="12"/>
    </row>
    <row r="19170" spans="2:3">
      <c r="B19170" s="12"/>
      <c r="C19170" s="12"/>
    </row>
    <row r="19171" spans="2:3">
      <c r="B19171" s="12"/>
      <c r="C19171" s="12"/>
    </row>
    <row r="19172" spans="2:3">
      <c r="B19172" s="12"/>
      <c r="C19172" s="12"/>
    </row>
    <row r="19173" spans="2:3">
      <c r="B19173" s="12"/>
      <c r="C19173" s="12"/>
    </row>
    <row r="19174" spans="2:3">
      <c r="B19174" s="12"/>
      <c r="C19174" s="12"/>
    </row>
    <row r="19175" spans="2:3">
      <c r="B19175" s="12"/>
      <c r="C19175" s="12"/>
    </row>
    <row r="19176" spans="2:3">
      <c r="B19176" s="12"/>
      <c r="C19176" s="12"/>
    </row>
    <row r="19177" spans="2:3">
      <c r="B19177" s="12"/>
      <c r="C19177" s="12"/>
    </row>
    <row r="19178" spans="2:3">
      <c r="B19178" s="12"/>
      <c r="C19178" s="12"/>
    </row>
    <row r="19179" spans="2:3">
      <c r="B19179" s="12"/>
      <c r="C19179" s="12"/>
    </row>
    <row r="19180" spans="2:3">
      <c r="B19180" s="12"/>
      <c r="C19180" s="12"/>
    </row>
    <row r="19181" spans="2:3">
      <c r="B19181" s="12"/>
      <c r="C19181" s="12"/>
    </row>
    <row r="19182" spans="2:3">
      <c r="B19182" s="12"/>
      <c r="C19182" s="12"/>
    </row>
    <row r="19183" spans="2:3">
      <c r="B19183" s="12"/>
      <c r="C19183" s="12"/>
    </row>
    <row r="19184" spans="2:3">
      <c r="B19184" s="12"/>
      <c r="C19184" s="12"/>
    </row>
    <row r="19185" spans="2:3">
      <c r="B19185" s="12"/>
      <c r="C19185" s="12"/>
    </row>
    <row r="19186" spans="2:3">
      <c r="B19186" s="12"/>
      <c r="C19186" s="12"/>
    </row>
    <row r="19187" spans="2:3">
      <c r="B19187" s="12"/>
      <c r="C19187" s="12"/>
    </row>
    <row r="19188" spans="2:3">
      <c r="B19188" s="12"/>
      <c r="C19188" s="12"/>
    </row>
    <row r="19189" spans="2:3">
      <c r="B19189" s="12"/>
      <c r="C19189" s="12"/>
    </row>
    <row r="19190" spans="2:3">
      <c r="B19190" s="12"/>
      <c r="C19190" s="12"/>
    </row>
    <row r="19191" spans="2:3">
      <c r="B19191" s="12"/>
      <c r="C19191" s="12"/>
    </row>
    <row r="19192" spans="2:3">
      <c r="B19192" s="12"/>
      <c r="C19192" s="12"/>
    </row>
    <row r="19193" spans="2:3">
      <c r="B19193" s="12"/>
      <c r="C19193" s="12"/>
    </row>
    <row r="19194" spans="2:3">
      <c r="B19194" s="12"/>
      <c r="C19194" s="12"/>
    </row>
    <row r="19195" spans="2:3">
      <c r="B19195" s="12"/>
      <c r="C19195" s="12"/>
    </row>
    <row r="19196" spans="2:3">
      <c r="B19196" s="12"/>
      <c r="C19196" s="12"/>
    </row>
    <row r="19197" spans="2:3">
      <c r="B19197" s="12"/>
      <c r="C19197" s="12"/>
    </row>
    <row r="19198" spans="2:3">
      <c r="B19198" s="12"/>
      <c r="C19198" s="12"/>
    </row>
    <row r="19199" spans="2:3">
      <c r="B19199" s="12"/>
      <c r="C19199" s="12"/>
    </row>
    <row r="19200" spans="2:3">
      <c r="B19200" s="12"/>
      <c r="C19200" s="12"/>
    </row>
    <row r="19201" spans="2:3">
      <c r="B19201" s="12"/>
      <c r="C19201" s="12"/>
    </row>
    <row r="19202" spans="2:3">
      <c r="B19202" s="12"/>
      <c r="C19202" s="12"/>
    </row>
    <row r="19203" spans="2:3">
      <c r="B19203" s="12"/>
      <c r="C19203" s="12"/>
    </row>
    <row r="19204" spans="2:3">
      <c r="B19204" s="12"/>
      <c r="C19204" s="12"/>
    </row>
    <row r="19205" spans="2:3">
      <c r="B19205" s="12"/>
      <c r="C19205" s="12"/>
    </row>
    <row r="19206" spans="2:3">
      <c r="B19206" s="12"/>
      <c r="C19206" s="12"/>
    </row>
    <row r="19207" spans="2:3">
      <c r="B19207" s="12"/>
      <c r="C19207" s="12"/>
    </row>
    <row r="19208" spans="2:3">
      <c r="B19208" s="12"/>
      <c r="C19208" s="12"/>
    </row>
    <row r="19209" spans="2:3">
      <c r="B19209" s="12"/>
      <c r="C19209" s="12"/>
    </row>
    <row r="19210" spans="2:3">
      <c r="B19210" s="12"/>
      <c r="C19210" s="12"/>
    </row>
    <row r="19211" spans="2:3">
      <c r="B19211" s="12"/>
      <c r="C19211" s="12"/>
    </row>
    <row r="19212" spans="2:3">
      <c r="B19212" s="12"/>
      <c r="C19212" s="12"/>
    </row>
    <row r="19213" spans="2:3">
      <c r="B19213" s="12"/>
      <c r="C19213" s="12"/>
    </row>
    <row r="19214" spans="2:3">
      <c r="B19214" s="12"/>
      <c r="C19214" s="12"/>
    </row>
    <row r="19215" spans="2:3">
      <c r="B19215" s="12"/>
      <c r="C19215" s="12"/>
    </row>
    <row r="19216" spans="2:3">
      <c r="B19216" s="12"/>
      <c r="C19216" s="12"/>
    </row>
    <row r="19217" spans="2:3">
      <c r="B19217" s="12"/>
      <c r="C19217" s="12"/>
    </row>
    <row r="19218" spans="2:3">
      <c r="B19218" s="12"/>
      <c r="C19218" s="12"/>
    </row>
    <row r="19219" spans="2:3">
      <c r="B19219" s="12"/>
      <c r="C19219" s="12"/>
    </row>
    <row r="19220" spans="2:3">
      <c r="B19220" s="12"/>
      <c r="C19220" s="12"/>
    </row>
    <row r="19221" spans="2:3">
      <c r="B19221" s="12"/>
      <c r="C19221" s="12"/>
    </row>
    <row r="19222" spans="2:3">
      <c r="B19222" s="12"/>
      <c r="C19222" s="12"/>
    </row>
    <row r="19223" spans="2:3">
      <c r="B19223" s="12"/>
      <c r="C19223" s="12"/>
    </row>
    <row r="19224" spans="2:3">
      <c r="B19224" s="12"/>
      <c r="C19224" s="12"/>
    </row>
    <row r="19225" spans="2:3">
      <c r="B19225" s="12"/>
      <c r="C19225" s="12"/>
    </row>
    <row r="19226" spans="2:3">
      <c r="B19226" s="12"/>
      <c r="C19226" s="12"/>
    </row>
    <row r="19227" spans="2:3">
      <c r="B19227" s="12"/>
      <c r="C19227" s="12"/>
    </row>
    <row r="19228" spans="2:3">
      <c r="B19228" s="12"/>
      <c r="C19228" s="12"/>
    </row>
    <row r="19229" spans="2:3">
      <c r="B19229" s="12"/>
      <c r="C19229" s="12"/>
    </row>
    <row r="19230" spans="2:3">
      <c r="B19230" s="12"/>
      <c r="C19230" s="12"/>
    </row>
    <row r="19231" spans="2:3">
      <c r="B19231" s="12"/>
      <c r="C19231" s="12"/>
    </row>
    <row r="19232" spans="2:3">
      <c r="B19232" s="12"/>
      <c r="C19232" s="12"/>
    </row>
    <row r="19233" spans="2:3">
      <c r="B19233" s="12"/>
      <c r="C19233" s="12"/>
    </row>
    <row r="19234" spans="2:3">
      <c r="B19234" s="12"/>
      <c r="C19234" s="12"/>
    </row>
    <row r="19235" spans="2:3">
      <c r="B19235" s="12"/>
      <c r="C19235" s="12"/>
    </row>
    <row r="19236" spans="2:3">
      <c r="B19236" s="12"/>
      <c r="C19236" s="12"/>
    </row>
    <row r="19237" spans="2:3">
      <c r="B19237" s="12"/>
      <c r="C19237" s="12"/>
    </row>
    <row r="19238" spans="2:3">
      <c r="B19238" s="12"/>
      <c r="C19238" s="12"/>
    </row>
    <row r="19239" spans="2:3">
      <c r="B19239" s="12"/>
      <c r="C19239" s="12"/>
    </row>
    <row r="19240" spans="2:3">
      <c r="B19240" s="12"/>
      <c r="C19240" s="12"/>
    </row>
    <row r="19241" spans="2:3">
      <c r="B19241" s="12"/>
      <c r="C19241" s="12"/>
    </row>
    <row r="19242" spans="2:3">
      <c r="B19242" s="12"/>
      <c r="C19242" s="12"/>
    </row>
    <row r="19243" spans="2:3">
      <c r="B19243" s="12"/>
      <c r="C19243" s="12"/>
    </row>
    <row r="19244" spans="2:3">
      <c r="B19244" s="12"/>
      <c r="C19244" s="12"/>
    </row>
    <row r="19245" spans="2:3">
      <c r="B19245" s="12"/>
      <c r="C19245" s="12"/>
    </row>
    <row r="19246" spans="2:3">
      <c r="B19246" s="12"/>
      <c r="C19246" s="12"/>
    </row>
    <row r="19247" spans="2:3">
      <c r="B19247" s="12"/>
      <c r="C19247" s="12"/>
    </row>
    <row r="19248" spans="2:3">
      <c r="B19248" s="12"/>
      <c r="C19248" s="12"/>
    </row>
    <row r="19249" spans="2:3">
      <c r="B19249" s="12"/>
      <c r="C19249" s="12"/>
    </row>
    <row r="19250" spans="2:3">
      <c r="B19250" s="12"/>
      <c r="C19250" s="12"/>
    </row>
    <row r="19251" spans="2:3">
      <c r="B19251" s="12"/>
      <c r="C19251" s="12"/>
    </row>
    <row r="19252" spans="2:3">
      <c r="B19252" s="12"/>
      <c r="C19252" s="12"/>
    </row>
    <row r="19253" spans="2:3">
      <c r="B19253" s="12"/>
      <c r="C19253" s="12"/>
    </row>
    <row r="19254" spans="2:3">
      <c r="B19254" s="12"/>
      <c r="C19254" s="12"/>
    </row>
    <row r="19255" spans="2:3">
      <c r="B19255" s="12"/>
      <c r="C19255" s="12"/>
    </row>
    <row r="19256" spans="2:3">
      <c r="B19256" s="12"/>
      <c r="C19256" s="12"/>
    </row>
    <row r="19257" spans="2:3">
      <c r="B19257" s="12"/>
      <c r="C19257" s="12"/>
    </row>
    <row r="19258" spans="2:3">
      <c r="B19258" s="12"/>
      <c r="C19258" s="12"/>
    </row>
    <row r="19259" spans="2:3">
      <c r="B19259" s="12"/>
      <c r="C19259" s="12"/>
    </row>
    <row r="19260" spans="2:3">
      <c r="B19260" s="12"/>
      <c r="C19260" s="12"/>
    </row>
    <row r="19261" spans="2:3">
      <c r="B19261" s="12"/>
      <c r="C19261" s="12"/>
    </row>
    <row r="19262" spans="2:3">
      <c r="B19262" s="12"/>
      <c r="C19262" s="12"/>
    </row>
    <row r="19263" spans="2:3">
      <c r="B19263" s="12"/>
      <c r="C19263" s="12"/>
    </row>
    <row r="19264" spans="2:3">
      <c r="B19264" s="12"/>
      <c r="C19264" s="12"/>
    </row>
    <row r="19265" spans="2:3">
      <c r="B19265" s="12"/>
      <c r="C19265" s="12"/>
    </row>
    <row r="19266" spans="2:3">
      <c r="B19266" s="12"/>
      <c r="C19266" s="12"/>
    </row>
    <row r="19267" spans="2:3">
      <c r="B19267" s="12"/>
      <c r="C19267" s="12"/>
    </row>
    <row r="19268" spans="2:3">
      <c r="B19268" s="12"/>
      <c r="C19268" s="12"/>
    </row>
    <row r="19269" spans="2:3">
      <c r="B19269" s="12"/>
      <c r="C19269" s="12"/>
    </row>
    <row r="19270" spans="2:3">
      <c r="B19270" s="12"/>
      <c r="C19270" s="12"/>
    </row>
    <row r="19271" spans="2:3">
      <c r="B19271" s="12"/>
      <c r="C19271" s="12"/>
    </row>
    <row r="19272" spans="2:3">
      <c r="B19272" s="12"/>
      <c r="C19272" s="12"/>
    </row>
    <row r="19273" spans="2:3">
      <c r="B19273" s="12"/>
      <c r="C19273" s="12"/>
    </row>
    <row r="19274" spans="2:3">
      <c r="B19274" s="12"/>
      <c r="C19274" s="12"/>
    </row>
    <row r="19275" spans="2:3">
      <c r="B19275" s="12"/>
      <c r="C19275" s="12"/>
    </row>
    <row r="19276" spans="2:3">
      <c r="B19276" s="12"/>
      <c r="C19276" s="12"/>
    </row>
    <row r="19277" spans="2:3">
      <c r="B19277" s="12"/>
      <c r="C19277" s="12"/>
    </row>
    <row r="19278" spans="2:3">
      <c r="B19278" s="12"/>
      <c r="C19278" s="12"/>
    </row>
    <row r="19279" spans="2:3">
      <c r="B19279" s="12"/>
      <c r="C19279" s="12"/>
    </row>
    <row r="19280" spans="2:3">
      <c r="B19280" s="12"/>
      <c r="C19280" s="12"/>
    </row>
    <row r="19281" spans="2:3">
      <c r="B19281" s="12"/>
      <c r="C19281" s="12"/>
    </row>
    <row r="19282" spans="2:3">
      <c r="B19282" s="12"/>
      <c r="C19282" s="12"/>
    </row>
    <row r="19283" spans="2:3">
      <c r="B19283" s="12"/>
      <c r="C19283" s="12"/>
    </row>
    <row r="19284" spans="2:3">
      <c r="B19284" s="12"/>
      <c r="C19284" s="12"/>
    </row>
    <row r="19285" spans="2:3">
      <c r="B19285" s="12"/>
      <c r="C19285" s="12"/>
    </row>
    <row r="19286" spans="2:3">
      <c r="B19286" s="12"/>
      <c r="C19286" s="12"/>
    </row>
    <row r="19287" spans="2:3">
      <c r="B19287" s="12"/>
      <c r="C19287" s="12"/>
    </row>
    <row r="19288" spans="2:3">
      <c r="B19288" s="12"/>
      <c r="C19288" s="12"/>
    </row>
    <row r="19289" spans="2:3">
      <c r="B19289" s="12"/>
      <c r="C19289" s="12"/>
    </row>
    <row r="19290" spans="2:3">
      <c r="B19290" s="12"/>
      <c r="C19290" s="12"/>
    </row>
    <row r="19291" spans="2:3">
      <c r="B19291" s="12"/>
      <c r="C19291" s="12"/>
    </row>
    <row r="19292" spans="2:3">
      <c r="B19292" s="12"/>
      <c r="C19292" s="12"/>
    </row>
    <row r="19293" spans="2:3">
      <c r="B19293" s="12"/>
      <c r="C19293" s="12"/>
    </row>
    <row r="19294" spans="2:3">
      <c r="B19294" s="12"/>
      <c r="C19294" s="12"/>
    </row>
    <row r="19295" spans="2:3">
      <c r="B19295" s="12"/>
      <c r="C19295" s="12"/>
    </row>
    <row r="19296" spans="2:3">
      <c r="B19296" s="12"/>
      <c r="C19296" s="12"/>
    </row>
    <row r="19297" spans="2:3">
      <c r="B19297" s="12"/>
      <c r="C19297" s="12"/>
    </row>
    <row r="19298" spans="2:3">
      <c r="B19298" s="12"/>
      <c r="C19298" s="12"/>
    </row>
    <row r="19299" spans="2:3">
      <c r="B19299" s="12"/>
      <c r="C19299" s="12"/>
    </row>
    <row r="19300" spans="2:3">
      <c r="B19300" s="12"/>
      <c r="C19300" s="12"/>
    </row>
    <row r="19301" spans="2:3">
      <c r="B19301" s="12"/>
      <c r="C19301" s="12"/>
    </row>
    <row r="19302" spans="2:3">
      <c r="B19302" s="12"/>
      <c r="C19302" s="12"/>
    </row>
    <row r="19303" spans="2:3">
      <c r="B19303" s="12"/>
      <c r="C19303" s="12"/>
    </row>
    <row r="19304" spans="2:3">
      <c r="B19304" s="12"/>
      <c r="C19304" s="12"/>
    </row>
    <row r="19305" spans="2:3">
      <c r="B19305" s="12"/>
      <c r="C19305" s="12"/>
    </row>
    <row r="19306" spans="2:3">
      <c r="B19306" s="12"/>
      <c r="C19306" s="12"/>
    </row>
    <row r="19307" spans="2:3">
      <c r="B19307" s="12"/>
      <c r="C19307" s="12"/>
    </row>
    <row r="19308" spans="2:3">
      <c r="B19308" s="12"/>
      <c r="C19308" s="12"/>
    </row>
    <row r="19309" spans="2:3">
      <c r="B19309" s="12"/>
      <c r="C19309" s="12"/>
    </row>
    <row r="19310" spans="2:3">
      <c r="B19310" s="12"/>
      <c r="C19310" s="12"/>
    </row>
    <row r="19311" spans="2:3">
      <c r="B19311" s="12"/>
      <c r="C19311" s="12"/>
    </row>
    <row r="19312" spans="2:3">
      <c r="B19312" s="12"/>
      <c r="C19312" s="12"/>
    </row>
    <row r="19313" spans="2:3">
      <c r="B19313" s="12"/>
      <c r="C19313" s="12"/>
    </row>
    <row r="19314" spans="2:3">
      <c r="B19314" s="12"/>
      <c r="C19314" s="12"/>
    </row>
    <row r="19315" spans="2:3">
      <c r="B19315" s="12"/>
      <c r="C19315" s="12"/>
    </row>
    <row r="19316" spans="2:3">
      <c r="B19316" s="12"/>
      <c r="C19316" s="12"/>
    </row>
    <row r="19317" spans="2:3">
      <c r="B19317" s="12"/>
      <c r="C19317" s="12"/>
    </row>
    <row r="19318" spans="2:3">
      <c r="B19318" s="12"/>
      <c r="C19318" s="12"/>
    </row>
    <row r="19319" spans="2:3">
      <c r="B19319" s="12"/>
      <c r="C19319" s="12"/>
    </row>
    <row r="19320" spans="2:3">
      <c r="B19320" s="12"/>
      <c r="C19320" s="12"/>
    </row>
    <row r="19321" spans="2:3">
      <c r="B19321" s="12"/>
      <c r="C19321" s="12"/>
    </row>
    <row r="19322" spans="2:3">
      <c r="B19322" s="12"/>
      <c r="C19322" s="12"/>
    </row>
    <row r="19323" spans="2:3">
      <c r="B19323" s="12"/>
      <c r="C19323" s="12"/>
    </row>
    <row r="19324" spans="2:3">
      <c r="B19324" s="12"/>
      <c r="C19324" s="12"/>
    </row>
    <row r="19325" spans="2:3">
      <c r="B19325" s="12"/>
      <c r="C19325" s="12"/>
    </row>
    <row r="19326" spans="2:3">
      <c r="B19326" s="12"/>
      <c r="C19326" s="12"/>
    </row>
    <row r="19327" spans="2:3">
      <c r="B19327" s="12"/>
      <c r="C19327" s="12"/>
    </row>
    <row r="19328" spans="2:3">
      <c r="B19328" s="12"/>
      <c r="C19328" s="12"/>
    </row>
    <row r="19329" spans="2:3">
      <c r="B19329" s="12"/>
      <c r="C19329" s="12"/>
    </row>
    <row r="19330" spans="2:3">
      <c r="B19330" s="12"/>
      <c r="C19330" s="12"/>
    </row>
    <row r="19331" spans="2:3">
      <c r="B19331" s="12"/>
      <c r="C19331" s="12"/>
    </row>
    <row r="19332" spans="2:3">
      <c r="B19332" s="12"/>
      <c r="C19332" s="12"/>
    </row>
    <row r="19333" spans="2:3">
      <c r="B19333" s="12"/>
      <c r="C19333" s="12"/>
    </row>
    <row r="19334" spans="2:3">
      <c r="B19334" s="12"/>
      <c r="C19334" s="12"/>
    </row>
    <row r="19335" spans="2:3">
      <c r="B19335" s="12"/>
      <c r="C19335" s="12"/>
    </row>
    <row r="19336" spans="2:3">
      <c r="B19336" s="12"/>
      <c r="C19336" s="12"/>
    </row>
    <row r="19337" spans="2:3">
      <c r="B19337" s="12"/>
      <c r="C19337" s="12"/>
    </row>
    <row r="19338" spans="2:3">
      <c r="B19338" s="12"/>
      <c r="C19338" s="12"/>
    </row>
    <row r="19339" spans="2:3">
      <c r="B19339" s="12"/>
      <c r="C19339" s="12"/>
    </row>
    <row r="19340" spans="2:3">
      <c r="B19340" s="12"/>
      <c r="C19340" s="12"/>
    </row>
    <row r="19341" spans="2:3">
      <c r="B19341" s="12"/>
      <c r="C19341" s="12"/>
    </row>
    <row r="19342" spans="2:3">
      <c r="B19342" s="12"/>
      <c r="C19342" s="12"/>
    </row>
    <row r="19343" spans="2:3">
      <c r="B19343" s="12"/>
      <c r="C19343" s="12"/>
    </row>
    <row r="19344" spans="2:3">
      <c r="B19344" s="12"/>
      <c r="C19344" s="12"/>
    </row>
    <row r="19345" spans="2:3">
      <c r="B19345" s="12"/>
      <c r="C19345" s="12"/>
    </row>
    <row r="19346" spans="2:3">
      <c r="B19346" s="12"/>
      <c r="C19346" s="12"/>
    </row>
    <row r="19347" spans="2:3">
      <c r="B19347" s="12"/>
      <c r="C19347" s="12"/>
    </row>
    <row r="19348" spans="2:3">
      <c r="B19348" s="12"/>
      <c r="C19348" s="12"/>
    </row>
    <row r="19349" spans="2:3">
      <c r="B19349" s="12"/>
      <c r="C19349" s="12"/>
    </row>
    <row r="19350" spans="2:3">
      <c r="B19350" s="12"/>
      <c r="C19350" s="12"/>
    </row>
    <row r="19351" spans="2:3">
      <c r="B19351" s="12"/>
      <c r="C19351" s="12"/>
    </row>
    <row r="19352" spans="2:3">
      <c r="B19352" s="12"/>
      <c r="C19352" s="12"/>
    </row>
    <row r="19353" spans="2:3">
      <c r="B19353" s="12"/>
      <c r="C19353" s="12"/>
    </row>
    <row r="19354" spans="2:3">
      <c r="B19354" s="12"/>
      <c r="C19354" s="12"/>
    </row>
    <row r="19355" spans="2:3">
      <c r="B19355" s="12"/>
      <c r="C19355" s="12"/>
    </row>
    <row r="19356" spans="2:3">
      <c r="B19356" s="12"/>
      <c r="C19356" s="12"/>
    </row>
    <row r="19357" spans="2:3">
      <c r="B19357" s="12"/>
      <c r="C19357" s="12"/>
    </row>
    <row r="19358" spans="2:3">
      <c r="B19358" s="12"/>
      <c r="C19358" s="12"/>
    </row>
    <row r="19359" spans="2:3">
      <c r="B19359" s="12"/>
      <c r="C19359" s="12"/>
    </row>
    <row r="19360" spans="2:3">
      <c r="B19360" s="12"/>
      <c r="C19360" s="12"/>
    </row>
    <row r="19361" spans="2:3">
      <c r="B19361" s="12"/>
      <c r="C19361" s="12"/>
    </row>
    <row r="19362" spans="2:3">
      <c r="B19362" s="12"/>
      <c r="C19362" s="12"/>
    </row>
    <row r="19363" spans="2:3">
      <c r="B19363" s="12"/>
      <c r="C19363" s="12"/>
    </row>
    <row r="19364" spans="2:3">
      <c r="B19364" s="12"/>
      <c r="C19364" s="12"/>
    </row>
    <row r="19365" spans="2:3">
      <c r="B19365" s="12"/>
      <c r="C19365" s="12"/>
    </row>
    <row r="19366" spans="2:3">
      <c r="B19366" s="12"/>
      <c r="C19366" s="12"/>
    </row>
    <row r="19367" spans="2:3">
      <c r="B19367" s="12"/>
      <c r="C19367" s="12"/>
    </row>
    <row r="19368" spans="2:3">
      <c r="B19368" s="12"/>
      <c r="C19368" s="12"/>
    </row>
    <row r="19369" spans="2:3">
      <c r="B19369" s="12"/>
      <c r="C19369" s="12"/>
    </row>
    <row r="19370" spans="2:3">
      <c r="B19370" s="12"/>
      <c r="C19370" s="12"/>
    </row>
    <row r="19371" spans="2:3">
      <c r="B19371" s="12"/>
      <c r="C19371" s="12"/>
    </row>
    <row r="19372" spans="2:3">
      <c r="B19372" s="12"/>
      <c r="C19372" s="12"/>
    </row>
    <row r="19373" spans="2:3">
      <c r="B19373" s="12"/>
      <c r="C19373" s="12"/>
    </row>
    <row r="19374" spans="2:3">
      <c r="B19374" s="12"/>
      <c r="C19374" s="12"/>
    </row>
    <row r="19375" spans="2:3">
      <c r="B19375" s="12"/>
      <c r="C19375" s="12"/>
    </row>
    <row r="19376" spans="2:3">
      <c r="B19376" s="12"/>
      <c r="C19376" s="12"/>
    </row>
    <row r="19377" spans="2:3">
      <c r="B19377" s="12"/>
      <c r="C19377" s="12"/>
    </row>
    <row r="19378" spans="2:3">
      <c r="B19378" s="12"/>
      <c r="C19378" s="12"/>
    </row>
    <row r="19379" spans="2:3">
      <c r="B19379" s="12"/>
      <c r="C19379" s="12"/>
    </row>
    <row r="19380" spans="2:3">
      <c r="B19380" s="12"/>
      <c r="C19380" s="12"/>
    </row>
    <row r="19381" spans="2:3">
      <c r="B19381" s="12"/>
      <c r="C19381" s="12"/>
    </row>
    <row r="19382" spans="2:3">
      <c r="B19382" s="12"/>
      <c r="C19382" s="12"/>
    </row>
    <row r="19383" spans="2:3">
      <c r="B19383" s="12"/>
      <c r="C19383" s="12"/>
    </row>
    <row r="19384" spans="2:3">
      <c r="B19384" s="12"/>
      <c r="C19384" s="12"/>
    </row>
    <row r="19385" spans="2:3">
      <c r="B19385" s="12"/>
      <c r="C19385" s="12"/>
    </row>
    <row r="19386" spans="2:3">
      <c r="B19386" s="12"/>
      <c r="C19386" s="12"/>
    </row>
    <row r="19387" spans="2:3">
      <c r="B19387" s="12"/>
      <c r="C19387" s="12"/>
    </row>
    <row r="19388" spans="2:3">
      <c r="B19388" s="12"/>
      <c r="C19388" s="12"/>
    </row>
    <row r="19389" spans="2:3">
      <c r="B19389" s="12"/>
      <c r="C19389" s="12"/>
    </row>
    <row r="19390" spans="2:3">
      <c r="B19390" s="12"/>
      <c r="C19390" s="12"/>
    </row>
    <row r="19391" spans="2:3">
      <c r="B19391" s="12"/>
      <c r="C19391" s="12"/>
    </row>
    <row r="19392" spans="2:3">
      <c r="B19392" s="12"/>
      <c r="C19392" s="12"/>
    </row>
    <row r="19393" spans="2:3">
      <c r="B19393" s="12"/>
      <c r="C19393" s="12"/>
    </row>
    <row r="19394" spans="2:3">
      <c r="B19394" s="12"/>
      <c r="C19394" s="12"/>
    </row>
    <row r="19395" spans="2:3">
      <c r="B19395" s="12"/>
      <c r="C19395" s="12"/>
    </row>
    <row r="19396" spans="2:3">
      <c r="B19396" s="12"/>
      <c r="C19396" s="12"/>
    </row>
    <row r="19397" spans="2:3">
      <c r="B19397" s="12"/>
      <c r="C19397" s="12"/>
    </row>
    <row r="19398" spans="2:3">
      <c r="B19398" s="12"/>
      <c r="C19398" s="12"/>
    </row>
    <row r="19399" spans="2:3">
      <c r="B19399" s="12"/>
      <c r="C19399" s="12"/>
    </row>
    <row r="19400" spans="2:3">
      <c r="B19400" s="12"/>
      <c r="C19400" s="12"/>
    </row>
    <row r="19401" spans="2:3">
      <c r="B19401" s="12"/>
      <c r="C19401" s="12"/>
    </row>
    <row r="19402" spans="2:3">
      <c r="B19402" s="12"/>
      <c r="C19402" s="12"/>
    </row>
    <row r="19403" spans="2:3">
      <c r="B19403" s="12"/>
      <c r="C19403" s="12"/>
    </row>
    <row r="19404" spans="2:3">
      <c r="B19404" s="12"/>
      <c r="C19404" s="12"/>
    </row>
    <row r="19405" spans="2:3">
      <c r="B19405" s="12"/>
      <c r="C19405" s="12"/>
    </row>
    <row r="19406" spans="2:3">
      <c r="B19406" s="12"/>
      <c r="C19406" s="12"/>
    </row>
    <row r="19407" spans="2:3">
      <c r="B19407" s="12"/>
      <c r="C19407" s="12"/>
    </row>
    <row r="19408" spans="2:3">
      <c r="B19408" s="12"/>
      <c r="C19408" s="12"/>
    </row>
    <row r="19409" spans="2:3">
      <c r="B19409" s="12"/>
      <c r="C19409" s="12"/>
    </row>
    <row r="19410" spans="2:3">
      <c r="B19410" s="12"/>
      <c r="C19410" s="12"/>
    </row>
    <row r="19411" spans="2:3">
      <c r="B19411" s="12"/>
      <c r="C19411" s="12"/>
    </row>
    <row r="19412" spans="2:3">
      <c r="B19412" s="12"/>
      <c r="C19412" s="12"/>
    </row>
    <row r="19413" spans="2:3">
      <c r="B19413" s="12"/>
      <c r="C19413" s="12"/>
    </row>
    <row r="19414" spans="2:3">
      <c r="B19414" s="12"/>
      <c r="C19414" s="12"/>
    </row>
    <row r="19415" spans="2:3">
      <c r="B19415" s="12"/>
      <c r="C19415" s="12"/>
    </row>
    <row r="19416" spans="2:3">
      <c r="B19416" s="12"/>
      <c r="C19416" s="12"/>
    </row>
    <row r="19417" spans="2:3">
      <c r="B19417" s="12"/>
      <c r="C19417" s="12"/>
    </row>
    <row r="19418" spans="2:3">
      <c r="B19418" s="12"/>
      <c r="C19418" s="12"/>
    </row>
    <row r="19419" spans="2:3">
      <c r="B19419" s="12"/>
      <c r="C19419" s="12"/>
    </row>
    <row r="19420" spans="2:3">
      <c r="B19420" s="12"/>
      <c r="C19420" s="12"/>
    </row>
    <row r="19421" spans="2:3">
      <c r="B19421" s="12"/>
      <c r="C19421" s="12"/>
    </row>
    <row r="19422" spans="2:3">
      <c r="B19422" s="12"/>
      <c r="C19422" s="12"/>
    </row>
    <row r="19423" spans="2:3">
      <c r="B19423" s="12"/>
      <c r="C19423" s="12"/>
    </row>
    <row r="19424" spans="2:3">
      <c r="B19424" s="12"/>
      <c r="C19424" s="12"/>
    </row>
    <row r="19425" spans="2:3">
      <c r="B19425" s="12"/>
      <c r="C19425" s="12"/>
    </row>
    <row r="19426" spans="2:3">
      <c r="B19426" s="12"/>
      <c r="C19426" s="12"/>
    </row>
    <row r="19427" spans="2:3">
      <c r="B19427" s="12"/>
      <c r="C19427" s="12"/>
    </row>
    <row r="19428" spans="2:3">
      <c r="B19428" s="12"/>
      <c r="C19428" s="12"/>
    </row>
    <row r="19429" spans="2:3">
      <c r="B19429" s="12"/>
      <c r="C19429" s="12"/>
    </row>
    <row r="19430" spans="2:3">
      <c r="B19430" s="12"/>
      <c r="C19430" s="12"/>
    </row>
    <row r="19431" spans="2:3">
      <c r="B19431" s="12"/>
      <c r="C19431" s="12"/>
    </row>
    <row r="19432" spans="2:3">
      <c r="B19432" s="12"/>
      <c r="C19432" s="12"/>
    </row>
    <row r="19433" spans="2:3">
      <c r="B19433" s="12"/>
      <c r="C19433" s="12"/>
    </row>
    <row r="19434" spans="2:3">
      <c r="B19434" s="12"/>
      <c r="C19434" s="12"/>
    </row>
    <row r="19435" spans="2:3">
      <c r="B19435" s="12"/>
      <c r="C19435" s="12"/>
    </row>
    <row r="19436" spans="2:3">
      <c r="B19436" s="12"/>
      <c r="C19436" s="12"/>
    </row>
    <row r="19437" spans="2:3">
      <c r="B19437" s="12"/>
      <c r="C19437" s="12"/>
    </row>
    <row r="19438" spans="2:3">
      <c r="B19438" s="12"/>
      <c r="C19438" s="12"/>
    </row>
    <row r="19439" spans="2:3">
      <c r="B19439" s="12"/>
      <c r="C19439" s="12"/>
    </row>
    <row r="19440" spans="2:3">
      <c r="B19440" s="12"/>
      <c r="C19440" s="12"/>
    </row>
    <row r="19441" spans="2:3">
      <c r="B19441" s="12"/>
      <c r="C19441" s="12"/>
    </row>
    <row r="19442" spans="2:3">
      <c r="B19442" s="12"/>
      <c r="C19442" s="12"/>
    </row>
    <row r="19443" spans="2:3">
      <c r="B19443" s="12"/>
      <c r="C19443" s="12"/>
    </row>
    <row r="19444" spans="2:3">
      <c r="B19444" s="12"/>
      <c r="C19444" s="12"/>
    </row>
    <row r="19445" spans="2:3">
      <c r="B19445" s="12"/>
      <c r="C19445" s="12"/>
    </row>
    <row r="19446" spans="2:3">
      <c r="B19446" s="12"/>
      <c r="C19446" s="12"/>
    </row>
    <row r="19447" spans="2:3">
      <c r="B19447" s="12"/>
      <c r="C19447" s="12"/>
    </row>
    <row r="19448" spans="2:3">
      <c r="B19448" s="12"/>
      <c r="C19448" s="12"/>
    </row>
    <row r="19449" spans="2:3">
      <c r="B19449" s="12"/>
      <c r="C19449" s="12"/>
    </row>
    <row r="19450" spans="2:3">
      <c r="B19450" s="12"/>
      <c r="C19450" s="12"/>
    </row>
    <row r="19451" spans="2:3">
      <c r="B19451" s="12"/>
      <c r="C19451" s="12"/>
    </row>
    <row r="19452" spans="2:3">
      <c r="B19452" s="12"/>
      <c r="C19452" s="12"/>
    </row>
    <row r="19453" spans="2:3">
      <c r="B19453" s="12"/>
      <c r="C19453" s="12"/>
    </row>
    <row r="19454" spans="2:3">
      <c r="B19454" s="12"/>
      <c r="C19454" s="12"/>
    </row>
    <row r="19455" spans="2:3">
      <c r="B19455" s="12"/>
      <c r="C19455" s="12"/>
    </row>
    <row r="19456" spans="2:3">
      <c r="B19456" s="12"/>
      <c r="C19456" s="12"/>
    </row>
    <row r="19457" spans="2:3">
      <c r="B19457" s="12"/>
      <c r="C19457" s="12"/>
    </row>
    <row r="19458" spans="2:3">
      <c r="B19458" s="12"/>
      <c r="C19458" s="12"/>
    </row>
    <row r="19459" spans="2:3">
      <c r="B19459" s="12"/>
      <c r="C19459" s="12"/>
    </row>
    <row r="19460" spans="2:3">
      <c r="B19460" s="12"/>
      <c r="C19460" s="12"/>
    </row>
    <row r="19461" spans="2:3">
      <c r="B19461" s="12"/>
      <c r="C19461" s="12"/>
    </row>
    <row r="19462" spans="2:3">
      <c r="B19462" s="12"/>
      <c r="C19462" s="12"/>
    </row>
    <row r="19463" spans="2:3">
      <c r="B19463" s="12"/>
      <c r="C19463" s="12"/>
    </row>
    <row r="19464" spans="2:3">
      <c r="B19464" s="12"/>
      <c r="C19464" s="12"/>
    </row>
    <row r="19465" spans="2:3">
      <c r="B19465" s="12"/>
      <c r="C19465" s="12"/>
    </row>
    <row r="19466" spans="2:3">
      <c r="B19466" s="12"/>
      <c r="C19466" s="12"/>
    </row>
    <row r="19467" spans="2:3">
      <c r="B19467" s="12"/>
      <c r="C19467" s="12"/>
    </row>
    <row r="19468" spans="2:3">
      <c r="B19468" s="12"/>
      <c r="C19468" s="12"/>
    </row>
    <row r="19469" spans="2:3">
      <c r="B19469" s="12"/>
      <c r="C19469" s="12"/>
    </row>
    <row r="19470" spans="2:3">
      <c r="B19470" s="12"/>
      <c r="C19470" s="12"/>
    </row>
    <row r="19471" spans="2:3">
      <c r="B19471" s="12"/>
      <c r="C19471" s="12"/>
    </row>
    <row r="19472" spans="2:3">
      <c r="B19472" s="12"/>
      <c r="C19472" s="12"/>
    </row>
    <row r="19473" spans="2:3">
      <c r="B19473" s="12"/>
      <c r="C19473" s="12"/>
    </row>
    <row r="19474" spans="2:3">
      <c r="B19474" s="12"/>
      <c r="C19474" s="12"/>
    </row>
    <row r="19475" spans="2:3">
      <c r="B19475" s="12"/>
      <c r="C19475" s="12"/>
    </row>
    <row r="19476" spans="2:3">
      <c r="B19476" s="12"/>
      <c r="C19476" s="12"/>
    </row>
    <row r="19477" spans="2:3">
      <c r="B19477" s="12"/>
      <c r="C19477" s="12"/>
    </row>
    <row r="19478" spans="2:3">
      <c r="B19478" s="12"/>
      <c r="C19478" s="12"/>
    </row>
    <row r="19479" spans="2:3">
      <c r="B19479" s="12"/>
      <c r="C19479" s="12"/>
    </row>
    <row r="19480" spans="2:3">
      <c r="B19480" s="12"/>
      <c r="C19480" s="12"/>
    </row>
    <row r="19481" spans="2:3">
      <c r="B19481" s="12"/>
      <c r="C19481" s="12"/>
    </row>
    <row r="19482" spans="2:3">
      <c r="B19482" s="12"/>
      <c r="C19482" s="12"/>
    </row>
    <row r="19483" spans="2:3">
      <c r="B19483" s="12"/>
      <c r="C19483" s="12"/>
    </row>
    <row r="19484" spans="2:3">
      <c r="B19484" s="12"/>
      <c r="C19484" s="12"/>
    </row>
    <row r="19485" spans="2:3">
      <c r="B19485" s="12"/>
      <c r="C19485" s="12"/>
    </row>
    <row r="19486" spans="2:3">
      <c r="B19486" s="12"/>
      <c r="C19486" s="12"/>
    </row>
    <row r="19487" spans="2:3">
      <c r="B19487" s="12"/>
      <c r="C19487" s="12"/>
    </row>
    <row r="19488" spans="2:3">
      <c r="B19488" s="12"/>
      <c r="C19488" s="12"/>
    </row>
    <row r="19489" spans="2:3">
      <c r="B19489" s="12"/>
      <c r="C19489" s="12"/>
    </row>
    <row r="19490" spans="2:3">
      <c r="B19490" s="12"/>
      <c r="C19490" s="12"/>
    </row>
    <row r="19491" spans="2:3">
      <c r="B19491" s="12"/>
      <c r="C19491" s="12"/>
    </row>
    <row r="19492" spans="2:3">
      <c r="B19492" s="12"/>
      <c r="C19492" s="12"/>
    </row>
    <row r="19493" spans="2:3">
      <c r="B19493" s="12"/>
      <c r="C19493" s="12"/>
    </row>
    <row r="19494" spans="2:3">
      <c r="B19494" s="12"/>
      <c r="C19494" s="12"/>
    </row>
    <row r="19495" spans="2:3">
      <c r="B19495" s="12"/>
      <c r="C19495" s="12"/>
    </row>
    <row r="19496" spans="2:3">
      <c r="B19496" s="12"/>
      <c r="C19496" s="12"/>
    </row>
    <row r="19497" spans="2:3">
      <c r="B19497" s="12"/>
      <c r="C19497" s="12"/>
    </row>
    <row r="19498" spans="2:3">
      <c r="B19498" s="12"/>
      <c r="C19498" s="12"/>
    </row>
    <row r="19499" spans="2:3">
      <c r="B19499" s="12"/>
      <c r="C19499" s="12"/>
    </row>
    <row r="19500" spans="2:3">
      <c r="B19500" s="12"/>
      <c r="C19500" s="12"/>
    </row>
    <row r="19501" spans="2:3">
      <c r="B19501" s="12"/>
      <c r="C19501" s="12"/>
    </row>
    <row r="19502" spans="2:3">
      <c r="B19502" s="12"/>
      <c r="C19502" s="12"/>
    </row>
    <row r="19503" spans="2:3">
      <c r="B19503" s="12"/>
      <c r="C19503" s="12"/>
    </row>
    <row r="19504" spans="2:3">
      <c r="B19504" s="12"/>
      <c r="C19504" s="12"/>
    </row>
    <row r="19505" spans="2:3">
      <c r="B19505" s="12"/>
      <c r="C19505" s="12"/>
    </row>
    <row r="19506" spans="2:3">
      <c r="B19506" s="12"/>
      <c r="C19506" s="12"/>
    </row>
    <row r="19507" spans="2:3">
      <c r="B19507" s="12"/>
      <c r="C19507" s="12"/>
    </row>
    <row r="19508" spans="2:3">
      <c r="B19508" s="12"/>
      <c r="C19508" s="12"/>
    </row>
    <row r="19509" spans="2:3">
      <c r="B19509" s="12"/>
      <c r="C19509" s="12"/>
    </row>
    <row r="19510" spans="2:3">
      <c r="B19510" s="12"/>
      <c r="C19510" s="12"/>
    </row>
    <row r="19511" spans="2:3">
      <c r="B19511" s="12"/>
      <c r="C19511" s="12"/>
    </row>
    <row r="19512" spans="2:3">
      <c r="B19512" s="12"/>
      <c r="C19512" s="12"/>
    </row>
    <row r="19513" spans="2:3">
      <c r="B19513" s="12"/>
      <c r="C19513" s="12"/>
    </row>
    <row r="19514" spans="2:3">
      <c r="B19514" s="12"/>
      <c r="C19514" s="12"/>
    </row>
    <row r="19515" spans="2:3">
      <c r="B19515" s="12"/>
      <c r="C19515" s="12"/>
    </row>
    <row r="19516" spans="2:3">
      <c r="B19516" s="12"/>
      <c r="C19516" s="12"/>
    </row>
    <row r="19517" spans="2:3">
      <c r="B19517" s="12"/>
      <c r="C19517" s="12"/>
    </row>
    <row r="19518" spans="2:3">
      <c r="B19518" s="12"/>
      <c r="C19518" s="12"/>
    </row>
    <row r="19519" spans="2:3">
      <c r="B19519" s="12"/>
      <c r="C19519" s="12"/>
    </row>
    <row r="19520" spans="2:3">
      <c r="B19520" s="12"/>
      <c r="C19520" s="12"/>
    </row>
    <row r="19521" spans="2:3">
      <c r="B19521" s="12"/>
      <c r="C19521" s="12"/>
    </row>
    <row r="19522" spans="2:3">
      <c r="B19522" s="12"/>
      <c r="C19522" s="12"/>
    </row>
    <row r="19523" spans="2:3">
      <c r="B19523" s="12"/>
      <c r="C19523" s="12"/>
    </row>
    <row r="19524" spans="2:3">
      <c r="B19524" s="12"/>
      <c r="C19524" s="12"/>
    </row>
    <row r="19525" spans="2:3">
      <c r="B19525" s="12"/>
      <c r="C19525" s="12"/>
    </row>
    <row r="19526" spans="2:3">
      <c r="B19526" s="12"/>
      <c r="C19526" s="12"/>
    </row>
    <row r="19527" spans="2:3">
      <c r="B19527" s="12"/>
      <c r="C19527" s="12"/>
    </row>
    <row r="19528" spans="2:3">
      <c r="B19528" s="12"/>
      <c r="C19528" s="12"/>
    </row>
    <row r="19529" spans="2:3">
      <c r="B19529" s="12"/>
      <c r="C19529" s="12"/>
    </row>
    <row r="19530" spans="2:3">
      <c r="B19530" s="12"/>
      <c r="C19530" s="12"/>
    </row>
    <row r="19531" spans="2:3">
      <c r="B19531" s="12"/>
      <c r="C19531" s="12"/>
    </row>
    <row r="19532" spans="2:3">
      <c r="B19532" s="12"/>
      <c r="C19532" s="12"/>
    </row>
    <row r="19533" spans="2:3">
      <c r="B19533" s="12"/>
      <c r="C19533" s="12"/>
    </row>
    <row r="19534" spans="2:3">
      <c r="B19534" s="12"/>
      <c r="C19534" s="12"/>
    </row>
    <row r="19535" spans="2:3">
      <c r="B19535" s="12"/>
      <c r="C19535" s="12"/>
    </row>
    <row r="19536" spans="2:3">
      <c r="B19536" s="12"/>
      <c r="C19536" s="12"/>
    </row>
    <row r="19537" spans="2:3">
      <c r="B19537" s="12"/>
      <c r="C19537" s="12"/>
    </row>
    <row r="19538" spans="2:3">
      <c r="B19538" s="12"/>
      <c r="C19538" s="12"/>
    </row>
    <row r="19539" spans="2:3">
      <c r="B19539" s="12"/>
      <c r="C19539" s="12"/>
    </row>
    <row r="19540" spans="2:3">
      <c r="B19540" s="12"/>
      <c r="C19540" s="12"/>
    </row>
    <row r="19541" spans="2:3">
      <c r="B19541" s="12"/>
      <c r="C19541" s="12"/>
    </row>
    <row r="19542" spans="2:3">
      <c r="B19542" s="12"/>
      <c r="C19542" s="12"/>
    </row>
    <row r="19543" spans="2:3">
      <c r="B19543" s="12"/>
      <c r="C19543" s="12"/>
    </row>
    <row r="19544" spans="2:3">
      <c r="B19544" s="12"/>
      <c r="C19544" s="12"/>
    </row>
    <row r="19545" spans="2:3">
      <c r="B19545" s="12"/>
      <c r="C19545" s="12"/>
    </row>
    <row r="19546" spans="2:3">
      <c r="B19546" s="12"/>
      <c r="C19546" s="12"/>
    </row>
    <row r="19547" spans="2:3">
      <c r="B19547" s="12"/>
      <c r="C19547" s="12"/>
    </row>
    <row r="19548" spans="2:3">
      <c r="B19548" s="12"/>
      <c r="C19548" s="12"/>
    </row>
    <row r="19549" spans="2:3">
      <c r="B19549" s="12"/>
      <c r="C19549" s="12"/>
    </row>
    <row r="19550" spans="2:3">
      <c r="B19550" s="12"/>
      <c r="C19550" s="12"/>
    </row>
    <row r="19551" spans="2:3">
      <c r="B19551" s="12"/>
      <c r="C19551" s="12"/>
    </row>
    <row r="19552" spans="2:3">
      <c r="B19552" s="12"/>
      <c r="C19552" s="12"/>
    </row>
    <row r="19553" spans="2:3">
      <c r="B19553" s="12"/>
      <c r="C19553" s="12"/>
    </row>
    <row r="19554" spans="2:3">
      <c r="B19554" s="12"/>
      <c r="C19554" s="12"/>
    </row>
    <row r="19555" spans="2:3">
      <c r="B19555" s="12"/>
      <c r="C19555" s="12"/>
    </row>
    <row r="19556" spans="2:3">
      <c r="B19556" s="12"/>
      <c r="C19556" s="12"/>
    </row>
    <row r="19557" spans="2:3">
      <c r="B19557" s="12"/>
      <c r="C19557" s="12"/>
    </row>
    <row r="19558" spans="2:3">
      <c r="B19558" s="12"/>
      <c r="C19558" s="12"/>
    </row>
    <row r="19559" spans="2:3">
      <c r="B19559" s="12"/>
      <c r="C19559" s="12"/>
    </row>
    <row r="19560" spans="2:3">
      <c r="B19560" s="12"/>
      <c r="C19560" s="12"/>
    </row>
    <row r="19561" spans="2:3">
      <c r="B19561" s="12"/>
      <c r="C19561" s="12"/>
    </row>
    <row r="19562" spans="2:3">
      <c r="B19562" s="12"/>
      <c r="C19562" s="12"/>
    </row>
    <row r="19563" spans="2:3">
      <c r="B19563" s="12"/>
      <c r="C19563" s="12"/>
    </row>
    <row r="19564" spans="2:3">
      <c r="B19564" s="12"/>
      <c r="C19564" s="12"/>
    </row>
    <row r="19565" spans="2:3">
      <c r="B19565" s="12"/>
      <c r="C19565" s="12"/>
    </row>
    <row r="19566" spans="2:3">
      <c r="B19566" s="12"/>
      <c r="C19566" s="12"/>
    </row>
    <row r="19567" spans="2:3">
      <c r="B19567" s="12"/>
      <c r="C19567" s="12"/>
    </row>
    <row r="19568" spans="2:3">
      <c r="B19568" s="12"/>
      <c r="C19568" s="12"/>
    </row>
    <row r="19569" spans="2:3">
      <c r="B19569" s="12"/>
      <c r="C19569" s="12"/>
    </row>
    <row r="19570" spans="2:3">
      <c r="B19570" s="12"/>
      <c r="C19570" s="12"/>
    </row>
    <row r="19571" spans="2:3">
      <c r="B19571" s="12"/>
      <c r="C19571" s="12"/>
    </row>
    <row r="19572" spans="2:3">
      <c r="B19572" s="12"/>
      <c r="C19572" s="12"/>
    </row>
    <row r="19573" spans="2:3">
      <c r="B19573" s="12"/>
      <c r="C19573" s="12"/>
    </row>
    <row r="19574" spans="2:3">
      <c r="B19574" s="12"/>
      <c r="C19574" s="12"/>
    </row>
    <row r="19575" spans="2:3">
      <c r="B19575" s="12"/>
      <c r="C19575" s="12"/>
    </row>
    <row r="19576" spans="2:3">
      <c r="B19576" s="12"/>
      <c r="C19576" s="12"/>
    </row>
    <row r="19577" spans="2:3">
      <c r="B19577" s="12"/>
      <c r="C19577" s="12"/>
    </row>
    <row r="19578" spans="2:3">
      <c r="B19578" s="12"/>
      <c r="C19578" s="12"/>
    </row>
    <row r="19579" spans="2:3">
      <c r="B19579" s="12"/>
      <c r="C19579" s="12"/>
    </row>
    <row r="19580" spans="2:3">
      <c r="B19580" s="12"/>
      <c r="C19580" s="12"/>
    </row>
    <row r="19581" spans="2:3">
      <c r="B19581" s="12"/>
      <c r="C19581" s="12"/>
    </row>
    <row r="19582" spans="2:3">
      <c r="B19582" s="12"/>
      <c r="C19582" s="12"/>
    </row>
    <row r="19583" spans="2:3">
      <c r="B19583" s="12"/>
      <c r="C19583" s="12"/>
    </row>
    <row r="19584" spans="2:3">
      <c r="B19584" s="12"/>
      <c r="C19584" s="12"/>
    </row>
    <row r="19585" spans="2:3">
      <c r="B19585" s="12"/>
      <c r="C19585" s="12"/>
    </row>
    <row r="19586" spans="2:3">
      <c r="B19586" s="12"/>
      <c r="C19586" s="12"/>
    </row>
    <row r="19587" spans="2:3">
      <c r="B19587" s="12"/>
      <c r="C19587" s="12"/>
    </row>
    <row r="19588" spans="2:3">
      <c r="B19588" s="12"/>
      <c r="C19588" s="12"/>
    </row>
    <row r="19589" spans="2:3">
      <c r="B19589" s="12"/>
      <c r="C19589" s="12"/>
    </row>
    <row r="19590" spans="2:3">
      <c r="B19590" s="12"/>
      <c r="C19590" s="12"/>
    </row>
    <row r="19591" spans="2:3">
      <c r="B19591" s="12"/>
      <c r="C19591" s="12"/>
    </row>
    <row r="19592" spans="2:3">
      <c r="B19592" s="12"/>
      <c r="C19592" s="12"/>
    </row>
    <row r="19593" spans="2:3">
      <c r="B19593" s="12"/>
      <c r="C19593" s="12"/>
    </row>
    <row r="19594" spans="2:3">
      <c r="B19594" s="12"/>
      <c r="C19594" s="12"/>
    </row>
    <row r="19595" spans="2:3">
      <c r="B19595" s="12"/>
      <c r="C19595" s="12"/>
    </row>
    <row r="19596" spans="2:3">
      <c r="B19596" s="12"/>
      <c r="C19596" s="12"/>
    </row>
    <row r="19597" spans="2:3">
      <c r="B19597" s="12"/>
      <c r="C19597" s="12"/>
    </row>
    <row r="19598" spans="2:3">
      <c r="B19598" s="12"/>
      <c r="C19598" s="12"/>
    </row>
    <row r="19599" spans="2:3">
      <c r="B19599" s="12"/>
      <c r="C19599" s="12"/>
    </row>
    <row r="19600" spans="2:3">
      <c r="B19600" s="12"/>
      <c r="C19600" s="12"/>
    </row>
    <row r="19601" spans="2:3">
      <c r="B19601" s="12"/>
      <c r="C19601" s="12"/>
    </row>
    <row r="19602" spans="2:3">
      <c r="B19602" s="12"/>
      <c r="C19602" s="12"/>
    </row>
    <row r="19603" spans="2:3">
      <c r="B19603" s="12"/>
      <c r="C19603" s="12"/>
    </row>
    <row r="19604" spans="2:3">
      <c r="B19604" s="12"/>
      <c r="C19604" s="12"/>
    </row>
    <row r="19605" spans="2:3">
      <c r="B19605" s="12"/>
      <c r="C19605" s="12"/>
    </row>
    <row r="19606" spans="2:3">
      <c r="B19606" s="12"/>
      <c r="C19606" s="12"/>
    </row>
    <row r="19607" spans="2:3">
      <c r="B19607" s="12"/>
      <c r="C19607" s="12"/>
    </row>
    <row r="19608" spans="2:3">
      <c r="B19608" s="12"/>
      <c r="C19608" s="12"/>
    </row>
    <row r="19609" spans="2:3">
      <c r="B19609" s="12"/>
      <c r="C19609" s="12"/>
    </row>
    <row r="19610" spans="2:3">
      <c r="B19610" s="12"/>
      <c r="C19610" s="12"/>
    </row>
    <row r="19611" spans="2:3">
      <c r="B19611" s="12"/>
      <c r="C19611" s="12"/>
    </row>
    <row r="19612" spans="2:3">
      <c r="B19612" s="12"/>
      <c r="C19612" s="12"/>
    </row>
    <row r="19613" spans="2:3">
      <c r="B19613" s="12"/>
      <c r="C19613" s="12"/>
    </row>
    <row r="19614" spans="2:3">
      <c r="B19614" s="12"/>
      <c r="C19614" s="12"/>
    </row>
    <row r="19615" spans="2:3">
      <c r="B19615" s="12"/>
      <c r="C19615" s="12"/>
    </row>
    <row r="19616" spans="2:3">
      <c r="B19616" s="12"/>
      <c r="C19616" s="12"/>
    </row>
    <row r="19617" spans="2:3">
      <c r="B19617" s="12"/>
      <c r="C19617" s="12"/>
    </row>
    <row r="19618" spans="2:3">
      <c r="B19618" s="12"/>
      <c r="C19618" s="12"/>
    </row>
    <row r="19619" spans="2:3">
      <c r="B19619" s="12"/>
      <c r="C19619" s="12"/>
    </row>
    <row r="19620" spans="2:3">
      <c r="B19620" s="12"/>
      <c r="C19620" s="12"/>
    </row>
    <row r="19621" spans="2:3">
      <c r="B19621" s="12"/>
      <c r="C19621" s="12"/>
    </row>
    <row r="19622" spans="2:3">
      <c r="B19622" s="12"/>
      <c r="C19622" s="12"/>
    </row>
    <row r="19623" spans="2:3">
      <c r="B19623" s="12"/>
      <c r="C19623" s="12"/>
    </row>
    <row r="19624" spans="2:3">
      <c r="B19624" s="12"/>
      <c r="C19624" s="12"/>
    </row>
    <row r="19625" spans="2:3">
      <c r="B19625" s="12"/>
      <c r="C19625" s="12"/>
    </row>
    <row r="19626" spans="2:3">
      <c r="B19626" s="12"/>
      <c r="C19626" s="12"/>
    </row>
    <row r="19627" spans="2:3">
      <c r="B19627" s="12"/>
      <c r="C19627" s="12"/>
    </row>
    <row r="19628" spans="2:3">
      <c r="B19628" s="12"/>
      <c r="C19628" s="12"/>
    </row>
    <row r="19629" spans="2:3">
      <c r="B19629" s="12"/>
      <c r="C19629" s="12"/>
    </row>
    <row r="19630" spans="2:3">
      <c r="B19630" s="12"/>
      <c r="C19630" s="12"/>
    </row>
    <row r="19631" spans="2:3">
      <c r="B19631" s="12"/>
      <c r="C19631" s="12"/>
    </row>
    <row r="19632" spans="2:3">
      <c r="B19632" s="12"/>
      <c r="C19632" s="12"/>
    </row>
    <row r="19633" spans="2:3">
      <c r="B19633" s="12"/>
      <c r="C19633" s="12"/>
    </row>
    <row r="19634" spans="2:3">
      <c r="B19634" s="12"/>
      <c r="C19634" s="12"/>
    </row>
    <row r="19635" spans="2:3">
      <c r="B19635" s="12"/>
      <c r="C19635" s="12"/>
    </row>
    <row r="19636" spans="2:3">
      <c r="B19636" s="12"/>
      <c r="C19636" s="12"/>
    </row>
    <row r="19637" spans="2:3">
      <c r="B19637" s="12"/>
      <c r="C19637" s="12"/>
    </row>
    <row r="19638" spans="2:3">
      <c r="B19638" s="12"/>
      <c r="C19638" s="12"/>
    </row>
    <row r="19639" spans="2:3">
      <c r="B19639" s="12"/>
      <c r="C19639" s="12"/>
    </row>
    <row r="19640" spans="2:3">
      <c r="B19640" s="12"/>
      <c r="C19640" s="12"/>
    </row>
    <row r="19641" spans="2:3">
      <c r="B19641" s="12"/>
      <c r="C19641" s="12"/>
    </row>
    <row r="19642" spans="2:3">
      <c r="B19642" s="12"/>
      <c r="C19642" s="12"/>
    </row>
    <row r="19643" spans="2:3">
      <c r="B19643" s="12"/>
      <c r="C19643" s="12"/>
    </row>
    <row r="19644" spans="2:3">
      <c r="B19644" s="12"/>
      <c r="C19644" s="12"/>
    </row>
    <row r="19645" spans="2:3">
      <c r="B19645" s="12"/>
      <c r="C19645" s="12"/>
    </row>
    <row r="19646" spans="2:3">
      <c r="B19646" s="12"/>
      <c r="C19646" s="12"/>
    </row>
    <row r="19647" spans="2:3">
      <c r="B19647" s="12"/>
      <c r="C19647" s="12"/>
    </row>
    <row r="19648" spans="2:3">
      <c r="B19648" s="12"/>
      <c r="C19648" s="12"/>
    </row>
    <row r="19649" spans="2:3">
      <c r="B19649" s="12"/>
      <c r="C19649" s="12"/>
    </row>
    <row r="19650" spans="2:3">
      <c r="B19650" s="12"/>
      <c r="C19650" s="12"/>
    </row>
    <row r="19651" spans="2:3">
      <c r="B19651" s="12"/>
      <c r="C19651" s="12"/>
    </row>
    <row r="19652" spans="2:3">
      <c r="B19652" s="12"/>
      <c r="C19652" s="12"/>
    </row>
    <row r="19653" spans="2:3">
      <c r="B19653" s="12"/>
      <c r="C19653" s="12"/>
    </row>
    <row r="19654" spans="2:3">
      <c r="B19654" s="12"/>
      <c r="C19654" s="12"/>
    </row>
    <row r="19655" spans="2:3">
      <c r="B19655" s="12"/>
      <c r="C19655" s="12"/>
    </row>
    <row r="19656" spans="2:3">
      <c r="B19656" s="12"/>
      <c r="C19656" s="12"/>
    </row>
    <row r="19657" spans="2:3">
      <c r="B19657" s="12"/>
      <c r="C19657" s="12"/>
    </row>
    <row r="19658" spans="2:3">
      <c r="B19658" s="12"/>
      <c r="C19658" s="12"/>
    </row>
    <row r="19659" spans="2:3">
      <c r="B19659" s="12"/>
      <c r="C19659" s="12"/>
    </row>
    <row r="19660" spans="2:3">
      <c r="B19660" s="12"/>
      <c r="C19660" s="12"/>
    </row>
    <row r="19661" spans="2:3">
      <c r="B19661" s="12"/>
      <c r="C19661" s="12"/>
    </row>
    <row r="19662" spans="2:3">
      <c r="B19662" s="12"/>
      <c r="C19662" s="12"/>
    </row>
    <row r="19663" spans="2:3">
      <c r="B19663" s="12"/>
      <c r="C19663" s="12"/>
    </row>
    <row r="19664" spans="2:3">
      <c r="B19664" s="12"/>
      <c r="C19664" s="12"/>
    </row>
    <row r="19665" spans="2:3">
      <c r="B19665" s="12"/>
      <c r="C19665" s="12"/>
    </row>
    <row r="19666" spans="2:3">
      <c r="B19666" s="12"/>
      <c r="C19666" s="12"/>
    </row>
    <row r="19667" spans="2:3">
      <c r="B19667" s="12"/>
      <c r="C19667" s="12"/>
    </row>
    <row r="19668" spans="2:3">
      <c r="B19668" s="12"/>
      <c r="C19668" s="12"/>
    </row>
    <row r="19669" spans="2:3">
      <c r="B19669" s="12"/>
      <c r="C19669" s="12"/>
    </row>
    <row r="19670" spans="2:3">
      <c r="B19670" s="12"/>
      <c r="C19670" s="12"/>
    </row>
    <row r="19671" spans="2:3">
      <c r="B19671" s="12"/>
      <c r="C19671" s="12"/>
    </row>
    <row r="19672" spans="2:3">
      <c r="B19672" s="12"/>
      <c r="C19672" s="12"/>
    </row>
    <row r="19673" spans="2:3">
      <c r="B19673" s="12"/>
      <c r="C19673" s="12"/>
    </row>
    <row r="19674" spans="2:3">
      <c r="B19674" s="12"/>
      <c r="C19674" s="12"/>
    </row>
    <row r="19675" spans="2:3">
      <c r="B19675" s="12"/>
      <c r="C19675" s="12"/>
    </row>
    <row r="19676" spans="2:3">
      <c r="B19676" s="12"/>
      <c r="C19676" s="12"/>
    </row>
    <row r="19677" spans="2:3">
      <c r="B19677" s="12"/>
      <c r="C19677" s="12"/>
    </row>
    <row r="19678" spans="2:3">
      <c r="B19678" s="12"/>
      <c r="C19678" s="12"/>
    </row>
    <row r="19679" spans="2:3">
      <c r="B19679" s="12"/>
      <c r="C19679" s="12"/>
    </row>
    <row r="19680" spans="2:3">
      <c r="B19680" s="12"/>
      <c r="C19680" s="12"/>
    </row>
    <row r="19681" spans="2:3">
      <c r="B19681" s="12"/>
      <c r="C19681" s="12"/>
    </row>
    <row r="19682" spans="2:3">
      <c r="B19682" s="12"/>
      <c r="C19682" s="12"/>
    </row>
    <row r="19683" spans="2:3">
      <c r="B19683" s="12"/>
      <c r="C19683" s="12"/>
    </row>
    <row r="19684" spans="2:3">
      <c r="B19684" s="12"/>
      <c r="C19684" s="12"/>
    </row>
    <row r="19685" spans="2:3">
      <c r="B19685" s="12"/>
      <c r="C19685" s="12"/>
    </row>
    <row r="19686" spans="2:3">
      <c r="B19686" s="12"/>
      <c r="C19686" s="12"/>
    </row>
    <row r="19687" spans="2:3">
      <c r="B19687" s="12"/>
      <c r="C19687" s="12"/>
    </row>
    <row r="19688" spans="2:3">
      <c r="B19688" s="12"/>
      <c r="C19688" s="12"/>
    </row>
    <row r="19689" spans="2:3">
      <c r="B19689" s="12"/>
      <c r="C19689" s="12"/>
    </row>
    <row r="19690" spans="2:3">
      <c r="B19690" s="12"/>
      <c r="C19690" s="12"/>
    </row>
    <row r="19691" spans="2:3">
      <c r="B19691" s="12"/>
      <c r="C19691" s="12"/>
    </row>
    <row r="19692" spans="2:3">
      <c r="B19692" s="12"/>
      <c r="C19692" s="12"/>
    </row>
    <row r="19693" spans="2:3">
      <c r="B19693" s="12"/>
      <c r="C19693" s="12"/>
    </row>
    <row r="19694" spans="2:3">
      <c r="B19694" s="12"/>
      <c r="C19694" s="12"/>
    </row>
    <row r="19695" spans="2:3">
      <c r="B19695" s="12"/>
      <c r="C19695" s="12"/>
    </row>
    <row r="19696" spans="2:3">
      <c r="B19696" s="12"/>
      <c r="C19696" s="12"/>
    </row>
    <row r="19697" spans="2:3">
      <c r="B19697" s="12"/>
      <c r="C19697" s="12"/>
    </row>
    <row r="19698" spans="2:3">
      <c r="B19698" s="12"/>
      <c r="C19698" s="12"/>
    </row>
    <row r="19699" spans="2:3">
      <c r="B19699" s="12"/>
      <c r="C19699" s="12"/>
    </row>
    <row r="19700" spans="2:3">
      <c r="B19700" s="12"/>
      <c r="C19700" s="12"/>
    </row>
    <row r="19701" spans="2:3">
      <c r="B19701" s="12"/>
      <c r="C19701" s="12"/>
    </row>
    <row r="19702" spans="2:3">
      <c r="B19702" s="12"/>
      <c r="C19702" s="12"/>
    </row>
    <row r="19703" spans="2:3">
      <c r="B19703" s="12"/>
      <c r="C19703" s="12"/>
    </row>
    <row r="19704" spans="2:3">
      <c r="B19704" s="12"/>
      <c r="C19704" s="12"/>
    </row>
    <row r="19705" spans="2:3">
      <c r="B19705" s="12"/>
      <c r="C19705" s="12"/>
    </row>
    <row r="19706" spans="2:3">
      <c r="B19706" s="12"/>
      <c r="C19706" s="12"/>
    </row>
    <row r="19707" spans="2:3">
      <c r="B19707" s="12"/>
      <c r="C19707" s="12"/>
    </row>
    <row r="19708" spans="2:3">
      <c r="B19708" s="12"/>
      <c r="C19708" s="12"/>
    </row>
    <row r="19709" spans="2:3">
      <c r="B19709" s="12"/>
      <c r="C19709" s="12"/>
    </row>
    <row r="19710" spans="2:3">
      <c r="B19710" s="12"/>
      <c r="C19710" s="12"/>
    </row>
    <row r="19711" spans="2:3">
      <c r="B19711" s="12"/>
      <c r="C19711" s="12"/>
    </row>
    <row r="19712" spans="2:3">
      <c r="B19712" s="12"/>
      <c r="C19712" s="12"/>
    </row>
    <row r="19713" spans="2:3">
      <c r="B19713" s="12"/>
      <c r="C19713" s="12"/>
    </row>
    <row r="19714" spans="2:3">
      <c r="B19714" s="12"/>
      <c r="C19714" s="12"/>
    </row>
    <row r="19715" spans="2:3">
      <c r="B19715" s="12"/>
      <c r="C19715" s="12"/>
    </row>
    <row r="19716" spans="2:3">
      <c r="B19716" s="12"/>
      <c r="C19716" s="12"/>
    </row>
    <row r="19717" spans="2:3">
      <c r="B19717" s="12"/>
      <c r="C19717" s="12"/>
    </row>
    <row r="19718" spans="2:3">
      <c r="B19718" s="12"/>
      <c r="C19718" s="12"/>
    </row>
    <row r="19719" spans="2:3">
      <c r="B19719" s="12"/>
      <c r="C19719" s="12"/>
    </row>
    <row r="19720" spans="2:3">
      <c r="B19720" s="12"/>
      <c r="C19720" s="12"/>
    </row>
    <row r="19721" spans="2:3">
      <c r="B19721" s="12"/>
      <c r="C19721" s="12"/>
    </row>
    <row r="19722" spans="2:3">
      <c r="B19722" s="12"/>
      <c r="C19722" s="12"/>
    </row>
    <row r="19723" spans="2:3">
      <c r="B19723" s="12"/>
      <c r="C19723" s="12"/>
    </row>
    <row r="19724" spans="2:3">
      <c r="B19724" s="12"/>
      <c r="C19724" s="12"/>
    </row>
    <row r="19725" spans="2:3">
      <c r="B19725" s="12"/>
      <c r="C19725" s="12"/>
    </row>
    <row r="19726" spans="2:3">
      <c r="B19726" s="12"/>
      <c r="C19726" s="12"/>
    </row>
    <row r="19727" spans="2:3">
      <c r="B19727" s="12"/>
      <c r="C19727" s="12"/>
    </row>
    <row r="19728" spans="2:3">
      <c r="B19728" s="12"/>
      <c r="C19728" s="12"/>
    </row>
    <row r="19729" spans="2:3">
      <c r="B19729" s="12"/>
      <c r="C19729" s="12"/>
    </row>
    <row r="19730" spans="2:3">
      <c r="B19730" s="12"/>
      <c r="C19730" s="12"/>
    </row>
    <row r="19731" spans="2:3">
      <c r="B19731" s="12"/>
      <c r="C19731" s="12"/>
    </row>
    <row r="19732" spans="2:3">
      <c r="B19732" s="12"/>
      <c r="C19732" s="12"/>
    </row>
    <row r="19733" spans="2:3">
      <c r="B19733" s="12"/>
      <c r="C19733" s="12"/>
    </row>
    <row r="19734" spans="2:3">
      <c r="B19734" s="12"/>
      <c r="C19734" s="12"/>
    </row>
    <row r="19735" spans="2:3">
      <c r="B19735" s="12"/>
      <c r="C19735" s="12"/>
    </row>
    <row r="19736" spans="2:3">
      <c r="B19736" s="12"/>
      <c r="C19736" s="12"/>
    </row>
    <row r="19737" spans="2:3">
      <c r="B19737" s="12"/>
      <c r="C19737" s="12"/>
    </row>
    <row r="19738" spans="2:3">
      <c r="B19738" s="12"/>
      <c r="C19738" s="12"/>
    </row>
    <row r="19739" spans="2:3">
      <c r="B19739" s="12"/>
      <c r="C19739" s="12"/>
    </row>
    <row r="19740" spans="2:3">
      <c r="B19740" s="12"/>
      <c r="C19740" s="12"/>
    </row>
    <row r="19741" spans="2:3">
      <c r="B19741" s="12"/>
      <c r="C19741" s="12"/>
    </row>
    <row r="19742" spans="2:3">
      <c r="B19742" s="12"/>
      <c r="C19742" s="12"/>
    </row>
    <row r="19743" spans="2:3">
      <c r="B19743" s="12"/>
      <c r="C19743" s="12"/>
    </row>
    <row r="19744" spans="2:3">
      <c r="B19744" s="12"/>
      <c r="C19744" s="12"/>
    </row>
    <row r="19745" spans="2:3">
      <c r="B19745" s="12"/>
      <c r="C19745" s="12"/>
    </row>
    <row r="19746" spans="2:3">
      <c r="B19746" s="12"/>
      <c r="C19746" s="12"/>
    </row>
    <row r="19747" spans="2:3">
      <c r="B19747" s="12"/>
      <c r="C19747" s="12"/>
    </row>
    <row r="19748" spans="2:3">
      <c r="B19748" s="12"/>
      <c r="C19748" s="12"/>
    </row>
    <row r="19749" spans="2:3">
      <c r="B19749" s="12"/>
      <c r="C19749" s="12"/>
    </row>
    <row r="19750" spans="2:3">
      <c r="B19750" s="12"/>
      <c r="C19750" s="12"/>
    </row>
    <row r="19751" spans="2:3">
      <c r="B19751" s="12"/>
      <c r="C19751" s="12"/>
    </row>
    <row r="19752" spans="2:3">
      <c r="B19752" s="12"/>
      <c r="C19752" s="12"/>
    </row>
    <row r="19753" spans="2:3">
      <c r="B19753" s="12"/>
      <c r="C19753" s="12"/>
    </row>
    <row r="19754" spans="2:3">
      <c r="B19754" s="12"/>
      <c r="C19754" s="12"/>
    </row>
    <row r="19755" spans="2:3">
      <c r="B19755" s="12"/>
      <c r="C19755" s="12"/>
    </row>
    <row r="19756" spans="2:3">
      <c r="B19756" s="12"/>
      <c r="C19756" s="12"/>
    </row>
    <row r="19757" spans="2:3">
      <c r="B19757" s="12"/>
      <c r="C19757" s="12"/>
    </row>
    <row r="19758" spans="2:3">
      <c r="B19758" s="12"/>
      <c r="C19758" s="12"/>
    </row>
    <row r="19759" spans="2:3">
      <c r="B19759" s="12"/>
      <c r="C19759" s="12"/>
    </row>
    <row r="19760" spans="2:3">
      <c r="B19760" s="12"/>
      <c r="C19760" s="12"/>
    </row>
    <row r="19761" spans="2:3">
      <c r="B19761" s="12"/>
      <c r="C19761" s="12"/>
    </row>
    <row r="19762" spans="2:3">
      <c r="B19762" s="12"/>
      <c r="C19762" s="12"/>
    </row>
    <row r="19763" spans="2:3">
      <c r="B19763" s="12"/>
      <c r="C19763" s="12"/>
    </row>
    <row r="19764" spans="2:3">
      <c r="B19764" s="12"/>
      <c r="C19764" s="12"/>
    </row>
    <row r="19765" spans="2:3">
      <c r="B19765" s="12"/>
      <c r="C19765" s="12"/>
    </row>
    <row r="19766" spans="2:3">
      <c r="B19766" s="12"/>
      <c r="C19766" s="12"/>
    </row>
    <row r="19767" spans="2:3">
      <c r="B19767" s="12"/>
      <c r="C19767" s="12"/>
    </row>
    <row r="19768" spans="2:3">
      <c r="B19768" s="12"/>
      <c r="C19768" s="12"/>
    </row>
    <row r="19769" spans="2:3">
      <c r="B19769" s="12"/>
      <c r="C19769" s="12"/>
    </row>
    <row r="19770" spans="2:3">
      <c r="B19770" s="12"/>
      <c r="C19770" s="12"/>
    </row>
    <row r="19771" spans="2:3">
      <c r="B19771" s="12"/>
      <c r="C19771" s="12"/>
    </row>
    <row r="19772" spans="2:3">
      <c r="B19772" s="12"/>
      <c r="C19772" s="12"/>
    </row>
    <row r="19773" spans="2:3">
      <c r="B19773" s="12"/>
      <c r="C19773" s="12"/>
    </row>
    <row r="19774" spans="2:3">
      <c r="B19774" s="12"/>
      <c r="C19774" s="12"/>
    </row>
    <row r="19775" spans="2:3">
      <c r="B19775" s="12"/>
      <c r="C19775" s="12"/>
    </row>
    <row r="19776" spans="2:3">
      <c r="B19776" s="12"/>
      <c r="C19776" s="12"/>
    </row>
    <row r="19777" spans="2:3">
      <c r="B19777" s="12"/>
      <c r="C19777" s="12"/>
    </row>
    <row r="19778" spans="2:3">
      <c r="B19778" s="12"/>
      <c r="C19778" s="12"/>
    </row>
    <row r="19779" spans="2:3">
      <c r="B19779" s="12"/>
      <c r="C19779" s="12"/>
    </row>
    <row r="19780" spans="2:3">
      <c r="B19780" s="12"/>
      <c r="C19780" s="12"/>
    </row>
    <row r="19781" spans="2:3">
      <c r="B19781" s="12"/>
      <c r="C19781" s="12"/>
    </row>
    <row r="19782" spans="2:3">
      <c r="B19782" s="12"/>
      <c r="C19782" s="12"/>
    </row>
    <row r="19783" spans="2:3">
      <c r="B19783" s="12"/>
      <c r="C19783" s="12"/>
    </row>
    <row r="19784" spans="2:3">
      <c r="B19784" s="12"/>
      <c r="C19784" s="12"/>
    </row>
    <row r="19785" spans="2:3">
      <c r="B19785" s="12"/>
      <c r="C19785" s="12"/>
    </row>
    <row r="19786" spans="2:3">
      <c r="B19786" s="12"/>
      <c r="C19786" s="12"/>
    </row>
    <row r="19787" spans="2:3">
      <c r="B19787" s="12"/>
      <c r="C19787" s="12"/>
    </row>
    <row r="19788" spans="2:3">
      <c r="B19788" s="12"/>
      <c r="C19788" s="12"/>
    </row>
    <row r="19789" spans="2:3">
      <c r="B19789" s="12"/>
      <c r="C19789" s="12"/>
    </row>
    <row r="19790" spans="2:3">
      <c r="B19790" s="12"/>
      <c r="C19790" s="12"/>
    </row>
    <row r="19791" spans="2:3">
      <c r="B19791" s="12"/>
      <c r="C19791" s="12"/>
    </row>
    <row r="19792" spans="2:3">
      <c r="B19792" s="12"/>
      <c r="C19792" s="12"/>
    </row>
    <row r="19793" spans="2:3">
      <c r="B19793" s="12"/>
      <c r="C19793" s="12"/>
    </row>
    <row r="19794" spans="2:3">
      <c r="B19794" s="12"/>
      <c r="C19794" s="12"/>
    </row>
    <row r="19795" spans="2:3">
      <c r="B19795" s="12"/>
      <c r="C19795" s="12"/>
    </row>
    <row r="19796" spans="2:3">
      <c r="B19796" s="12"/>
      <c r="C19796" s="12"/>
    </row>
    <row r="19797" spans="2:3">
      <c r="B19797" s="12"/>
      <c r="C19797" s="12"/>
    </row>
    <row r="19798" spans="2:3">
      <c r="B19798" s="12"/>
      <c r="C19798" s="12"/>
    </row>
    <row r="19799" spans="2:3">
      <c r="B19799" s="12"/>
      <c r="C19799" s="12"/>
    </row>
    <row r="19800" spans="2:3">
      <c r="B19800" s="12"/>
      <c r="C19800" s="12"/>
    </row>
    <row r="19801" spans="2:3">
      <c r="B19801" s="12"/>
      <c r="C19801" s="12"/>
    </row>
    <row r="19802" spans="2:3">
      <c r="B19802" s="12"/>
      <c r="C19802" s="12"/>
    </row>
    <row r="19803" spans="2:3">
      <c r="B19803" s="12"/>
      <c r="C19803" s="12"/>
    </row>
    <row r="19804" spans="2:3">
      <c r="B19804" s="12"/>
      <c r="C19804" s="12"/>
    </row>
    <row r="19805" spans="2:3">
      <c r="B19805" s="12"/>
      <c r="C19805" s="12"/>
    </row>
    <row r="19806" spans="2:3">
      <c r="B19806" s="12"/>
      <c r="C19806" s="12"/>
    </row>
    <row r="19807" spans="2:3">
      <c r="B19807" s="12"/>
      <c r="C19807" s="12"/>
    </row>
    <row r="19808" spans="2:3">
      <c r="B19808" s="12"/>
      <c r="C19808" s="12"/>
    </row>
    <row r="19809" spans="2:3">
      <c r="B19809" s="12"/>
      <c r="C19809" s="12"/>
    </row>
    <row r="19810" spans="2:3">
      <c r="B19810" s="12"/>
      <c r="C19810" s="12"/>
    </row>
    <row r="19811" spans="2:3">
      <c r="B19811" s="12"/>
      <c r="C19811" s="12"/>
    </row>
    <row r="19812" spans="2:3">
      <c r="B19812" s="12"/>
      <c r="C19812" s="12"/>
    </row>
    <row r="19813" spans="2:3">
      <c r="B19813" s="12"/>
      <c r="C19813" s="12"/>
    </row>
    <row r="19814" spans="2:3">
      <c r="B19814" s="12"/>
      <c r="C19814" s="12"/>
    </row>
    <row r="19815" spans="2:3">
      <c r="B19815" s="12"/>
      <c r="C19815" s="12"/>
    </row>
    <row r="19816" spans="2:3">
      <c r="B19816" s="12"/>
      <c r="C19816" s="12"/>
    </row>
    <row r="19817" spans="2:3">
      <c r="B19817" s="12"/>
      <c r="C19817" s="12"/>
    </row>
    <row r="19818" spans="2:3">
      <c r="B19818" s="12"/>
      <c r="C19818" s="12"/>
    </row>
    <row r="19819" spans="2:3">
      <c r="B19819" s="12"/>
      <c r="C19819" s="12"/>
    </row>
    <row r="19820" spans="2:3">
      <c r="B19820" s="12"/>
      <c r="C19820" s="12"/>
    </row>
    <row r="19821" spans="2:3">
      <c r="B19821" s="12"/>
      <c r="C19821" s="12"/>
    </row>
    <row r="19822" spans="2:3">
      <c r="B19822" s="12"/>
      <c r="C19822" s="12"/>
    </row>
    <row r="19823" spans="2:3">
      <c r="B19823" s="12"/>
      <c r="C19823" s="12"/>
    </row>
    <row r="19824" spans="2:3">
      <c r="B19824" s="12"/>
      <c r="C19824" s="12"/>
    </row>
    <row r="19825" spans="2:3">
      <c r="B19825" s="12"/>
      <c r="C19825" s="12"/>
    </row>
    <row r="19826" spans="2:3">
      <c r="B19826" s="12"/>
      <c r="C19826" s="12"/>
    </row>
    <row r="19827" spans="2:3">
      <c r="B19827" s="12"/>
      <c r="C19827" s="12"/>
    </row>
    <row r="19828" spans="2:3">
      <c r="B19828" s="12"/>
      <c r="C19828" s="12"/>
    </row>
    <row r="19829" spans="2:3">
      <c r="B19829" s="12"/>
      <c r="C19829" s="12"/>
    </row>
    <row r="19830" spans="2:3">
      <c r="B19830" s="12"/>
      <c r="C19830" s="12"/>
    </row>
    <row r="19831" spans="2:3">
      <c r="B19831" s="12"/>
      <c r="C19831" s="12"/>
    </row>
    <row r="19832" spans="2:3">
      <c r="B19832" s="12"/>
      <c r="C19832" s="12"/>
    </row>
    <row r="19833" spans="2:3">
      <c r="B19833" s="12"/>
      <c r="C19833" s="12"/>
    </row>
    <row r="19834" spans="2:3">
      <c r="B19834" s="12"/>
      <c r="C19834" s="12"/>
    </row>
    <row r="19835" spans="2:3">
      <c r="B19835" s="12"/>
      <c r="C19835" s="12"/>
    </row>
    <row r="19836" spans="2:3">
      <c r="B19836" s="12"/>
      <c r="C19836" s="12"/>
    </row>
    <row r="19837" spans="2:3">
      <c r="B19837" s="12"/>
      <c r="C19837" s="12"/>
    </row>
    <row r="19838" spans="2:3">
      <c r="B19838" s="12"/>
      <c r="C19838" s="12"/>
    </row>
    <row r="19839" spans="2:3">
      <c r="B19839" s="12"/>
      <c r="C19839" s="12"/>
    </row>
    <row r="19840" spans="2:3">
      <c r="B19840" s="12"/>
      <c r="C19840" s="12"/>
    </row>
    <row r="19841" spans="2:3">
      <c r="B19841" s="12"/>
      <c r="C19841" s="12"/>
    </row>
    <row r="19842" spans="2:3">
      <c r="B19842" s="12"/>
      <c r="C19842" s="12"/>
    </row>
    <row r="19843" spans="2:3">
      <c r="B19843" s="12"/>
      <c r="C19843" s="12"/>
    </row>
    <row r="19844" spans="2:3">
      <c r="B19844" s="12"/>
      <c r="C19844" s="12"/>
    </row>
    <row r="19845" spans="2:3">
      <c r="B19845" s="12"/>
      <c r="C19845" s="12"/>
    </row>
    <row r="19846" spans="2:3">
      <c r="B19846" s="12"/>
      <c r="C19846" s="12"/>
    </row>
    <row r="19847" spans="2:3">
      <c r="B19847" s="12"/>
      <c r="C19847" s="12"/>
    </row>
    <row r="19848" spans="2:3">
      <c r="B19848" s="12"/>
      <c r="C19848" s="12"/>
    </row>
    <row r="19849" spans="2:3">
      <c r="B19849" s="12"/>
      <c r="C19849" s="12"/>
    </row>
    <row r="19850" spans="2:3">
      <c r="B19850" s="12"/>
      <c r="C19850" s="12"/>
    </row>
    <row r="19851" spans="2:3">
      <c r="B19851" s="12"/>
      <c r="C19851" s="12"/>
    </row>
    <row r="19852" spans="2:3">
      <c r="B19852" s="12"/>
      <c r="C19852" s="12"/>
    </row>
    <row r="19853" spans="2:3">
      <c r="B19853" s="12"/>
      <c r="C19853" s="12"/>
    </row>
    <row r="19854" spans="2:3">
      <c r="B19854" s="12"/>
      <c r="C19854" s="12"/>
    </row>
    <row r="19855" spans="2:3">
      <c r="B19855" s="12"/>
      <c r="C19855" s="12"/>
    </row>
    <row r="19856" spans="2:3">
      <c r="B19856" s="12"/>
      <c r="C19856" s="12"/>
    </row>
    <row r="19857" spans="2:3">
      <c r="B19857" s="12"/>
      <c r="C19857" s="12"/>
    </row>
    <row r="19858" spans="2:3">
      <c r="B19858" s="12"/>
      <c r="C19858" s="12"/>
    </row>
    <row r="19859" spans="2:3">
      <c r="B19859" s="12"/>
      <c r="C19859" s="12"/>
    </row>
    <row r="19860" spans="2:3">
      <c r="B19860" s="12"/>
      <c r="C19860" s="12"/>
    </row>
    <row r="19861" spans="2:3">
      <c r="B19861" s="12"/>
      <c r="C19861" s="12"/>
    </row>
    <row r="19862" spans="2:3">
      <c r="B19862" s="12"/>
      <c r="C19862" s="12"/>
    </row>
    <row r="19863" spans="2:3">
      <c r="B19863" s="12"/>
      <c r="C19863" s="12"/>
    </row>
    <row r="19864" spans="2:3">
      <c r="B19864" s="12"/>
      <c r="C19864" s="12"/>
    </row>
    <row r="19865" spans="2:3">
      <c r="B19865" s="12"/>
      <c r="C19865" s="12"/>
    </row>
    <row r="19866" spans="2:3">
      <c r="B19866" s="12"/>
      <c r="C19866" s="12"/>
    </row>
    <row r="19867" spans="2:3">
      <c r="B19867" s="12"/>
      <c r="C19867" s="12"/>
    </row>
    <row r="19868" spans="2:3">
      <c r="B19868" s="12"/>
      <c r="C19868" s="12"/>
    </row>
    <row r="19869" spans="2:3">
      <c r="B19869" s="12"/>
      <c r="C19869" s="12"/>
    </row>
    <row r="19870" spans="2:3">
      <c r="B19870" s="12"/>
      <c r="C19870" s="12"/>
    </row>
    <row r="19871" spans="2:3">
      <c r="B19871" s="12"/>
      <c r="C19871" s="12"/>
    </row>
    <row r="19872" spans="2:3">
      <c r="B19872" s="12"/>
      <c r="C19872" s="12"/>
    </row>
    <row r="19873" spans="2:3">
      <c r="B19873" s="12"/>
      <c r="C19873" s="12"/>
    </row>
    <row r="19874" spans="2:3">
      <c r="B19874" s="12"/>
      <c r="C19874" s="12"/>
    </row>
    <row r="19875" spans="2:3">
      <c r="B19875" s="12"/>
      <c r="C19875" s="12"/>
    </row>
    <row r="19876" spans="2:3">
      <c r="B19876" s="12"/>
      <c r="C19876" s="12"/>
    </row>
    <row r="19877" spans="2:3">
      <c r="B19877" s="12"/>
      <c r="C19877" s="12"/>
    </row>
    <row r="19878" spans="2:3">
      <c r="B19878" s="12"/>
      <c r="C19878" s="12"/>
    </row>
    <row r="19879" spans="2:3">
      <c r="B19879" s="12"/>
      <c r="C19879" s="12"/>
    </row>
    <row r="19880" spans="2:3">
      <c r="B19880" s="12"/>
      <c r="C19880" s="12"/>
    </row>
    <row r="19881" spans="2:3">
      <c r="B19881" s="12"/>
      <c r="C19881" s="12"/>
    </row>
    <row r="19882" spans="2:3">
      <c r="B19882" s="12"/>
      <c r="C19882" s="12"/>
    </row>
    <row r="19883" spans="2:3">
      <c r="B19883" s="12"/>
      <c r="C19883" s="12"/>
    </row>
    <row r="19884" spans="2:3">
      <c r="B19884" s="12"/>
      <c r="C19884" s="12"/>
    </row>
    <row r="19885" spans="2:3">
      <c r="B19885" s="12"/>
      <c r="C19885" s="12"/>
    </row>
    <row r="19886" spans="2:3">
      <c r="B19886" s="12"/>
      <c r="C19886" s="12"/>
    </row>
    <row r="19887" spans="2:3">
      <c r="B19887" s="12"/>
      <c r="C19887" s="12"/>
    </row>
    <row r="19888" spans="2:3">
      <c r="B19888" s="12"/>
      <c r="C19888" s="12"/>
    </row>
    <row r="19889" spans="2:3">
      <c r="B19889" s="12"/>
      <c r="C19889" s="12"/>
    </row>
    <row r="19890" spans="2:3">
      <c r="B19890" s="12"/>
      <c r="C19890" s="12"/>
    </row>
    <row r="19891" spans="2:3">
      <c r="B19891" s="12"/>
      <c r="C19891" s="12"/>
    </row>
    <row r="19892" spans="2:3">
      <c r="B19892" s="12"/>
      <c r="C19892" s="12"/>
    </row>
    <row r="19893" spans="2:3">
      <c r="B19893" s="12"/>
      <c r="C19893" s="12"/>
    </row>
    <row r="19894" spans="2:3">
      <c r="B19894" s="12"/>
      <c r="C19894" s="12"/>
    </row>
    <row r="19895" spans="2:3">
      <c r="B19895" s="12"/>
      <c r="C19895" s="12"/>
    </row>
    <row r="19896" spans="2:3">
      <c r="B19896" s="12"/>
      <c r="C19896" s="12"/>
    </row>
    <row r="19897" spans="2:3">
      <c r="B19897" s="12"/>
      <c r="C19897" s="12"/>
    </row>
    <row r="19898" spans="2:3">
      <c r="B19898" s="12"/>
      <c r="C19898" s="12"/>
    </row>
    <row r="19899" spans="2:3">
      <c r="B19899" s="12"/>
      <c r="C19899" s="12"/>
    </row>
    <row r="19900" spans="2:3">
      <c r="B19900" s="12"/>
      <c r="C19900" s="12"/>
    </row>
    <row r="19901" spans="2:3">
      <c r="B19901" s="12"/>
      <c r="C19901" s="12"/>
    </row>
    <row r="19902" spans="2:3">
      <c r="B19902" s="12"/>
      <c r="C19902" s="12"/>
    </row>
    <row r="19903" spans="2:3">
      <c r="B19903" s="12"/>
      <c r="C19903" s="12"/>
    </row>
    <row r="19904" spans="2:3">
      <c r="B19904" s="12"/>
      <c r="C19904" s="12"/>
    </row>
    <row r="19905" spans="2:3">
      <c r="B19905" s="12"/>
      <c r="C19905" s="12"/>
    </row>
    <row r="19906" spans="2:3">
      <c r="B19906" s="12"/>
      <c r="C19906" s="12"/>
    </row>
    <row r="19907" spans="2:3">
      <c r="B19907" s="12"/>
      <c r="C19907" s="12"/>
    </row>
    <row r="19908" spans="2:3">
      <c r="B19908" s="12"/>
      <c r="C19908" s="12"/>
    </row>
    <row r="19909" spans="2:3">
      <c r="B19909" s="12"/>
      <c r="C19909" s="12"/>
    </row>
    <row r="19910" spans="2:3">
      <c r="B19910" s="12"/>
      <c r="C19910" s="12"/>
    </row>
    <row r="19911" spans="2:3">
      <c r="B19911" s="12"/>
      <c r="C19911" s="12"/>
    </row>
    <row r="19912" spans="2:3">
      <c r="B19912" s="12"/>
      <c r="C19912" s="12"/>
    </row>
    <row r="19913" spans="2:3">
      <c r="B19913" s="12"/>
      <c r="C19913" s="12"/>
    </row>
    <row r="19914" spans="2:3">
      <c r="B19914" s="12"/>
      <c r="C19914" s="12"/>
    </row>
    <row r="19915" spans="2:3">
      <c r="B19915" s="12"/>
      <c r="C19915" s="12"/>
    </row>
    <row r="19916" spans="2:3">
      <c r="B19916" s="12"/>
      <c r="C19916" s="12"/>
    </row>
    <row r="19917" spans="2:3">
      <c r="B19917" s="12"/>
      <c r="C19917" s="12"/>
    </row>
    <row r="19918" spans="2:3">
      <c r="B19918" s="12"/>
      <c r="C19918" s="12"/>
    </row>
    <row r="19919" spans="2:3">
      <c r="B19919" s="12"/>
      <c r="C19919" s="12"/>
    </row>
    <row r="19920" spans="2:3">
      <c r="B19920" s="12"/>
      <c r="C19920" s="12"/>
    </row>
    <row r="19921" spans="2:3">
      <c r="B19921" s="12"/>
      <c r="C19921" s="12"/>
    </row>
    <row r="19922" spans="2:3">
      <c r="B19922" s="12"/>
      <c r="C19922" s="12"/>
    </row>
    <row r="19923" spans="2:3">
      <c r="B19923" s="12"/>
      <c r="C19923" s="12"/>
    </row>
    <row r="19924" spans="2:3">
      <c r="B19924" s="12"/>
      <c r="C19924" s="12"/>
    </row>
    <row r="19925" spans="2:3">
      <c r="B19925" s="12"/>
      <c r="C19925" s="12"/>
    </row>
    <row r="19926" spans="2:3">
      <c r="B19926" s="12"/>
      <c r="C19926" s="12"/>
    </row>
    <row r="19927" spans="2:3">
      <c r="B19927" s="12"/>
      <c r="C19927" s="12"/>
    </row>
    <row r="19928" spans="2:3">
      <c r="B19928" s="12"/>
      <c r="C19928" s="12"/>
    </row>
    <row r="19929" spans="2:3">
      <c r="B19929" s="12"/>
      <c r="C19929" s="12"/>
    </row>
    <row r="19930" spans="2:3">
      <c r="B19930" s="12"/>
      <c r="C19930" s="12"/>
    </row>
    <row r="19931" spans="2:3">
      <c r="B19931" s="12"/>
      <c r="C19931" s="12"/>
    </row>
    <row r="19932" spans="2:3">
      <c r="B19932" s="12"/>
      <c r="C19932" s="12"/>
    </row>
    <row r="19933" spans="2:3">
      <c r="B19933" s="12"/>
      <c r="C19933" s="12"/>
    </row>
    <row r="19934" spans="2:3">
      <c r="B19934" s="12"/>
      <c r="C19934" s="12"/>
    </row>
    <row r="19935" spans="2:3">
      <c r="B19935" s="12"/>
      <c r="C19935" s="12"/>
    </row>
    <row r="19936" spans="2:3">
      <c r="B19936" s="12"/>
      <c r="C19936" s="12"/>
    </row>
    <row r="19937" spans="2:3">
      <c r="B19937" s="12"/>
      <c r="C19937" s="12"/>
    </row>
    <row r="19938" spans="2:3">
      <c r="B19938" s="12"/>
      <c r="C19938" s="12"/>
    </row>
    <row r="19939" spans="2:3">
      <c r="B19939" s="12"/>
      <c r="C19939" s="12"/>
    </row>
    <row r="19940" spans="2:3">
      <c r="B19940" s="12"/>
      <c r="C19940" s="12"/>
    </row>
    <row r="19941" spans="2:3">
      <c r="B19941" s="12"/>
      <c r="C19941" s="12"/>
    </row>
    <row r="19942" spans="2:3">
      <c r="B19942" s="12"/>
      <c r="C19942" s="12"/>
    </row>
    <row r="19943" spans="2:3">
      <c r="B19943" s="12"/>
      <c r="C19943" s="12"/>
    </row>
    <row r="19944" spans="2:3">
      <c r="B19944" s="12"/>
      <c r="C19944" s="12"/>
    </row>
    <row r="19945" spans="2:3">
      <c r="B19945" s="12"/>
      <c r="C19945" s="12"/>
    </row>
    <row r="19946" spans="2:3">
      <c r="B19946" s="12"/>
      <c r="C19946" s="12"/>
    </row>
    <row r="19947" spans="2:3">
      <c r="B19947" s="12"/>
      <c r="C19947" s="12"/>
    </row>
    <row r="19948" spans="2:3">
      <c r="B19948" s="12"/>
      <c r="C19948" s="12"/>
    </row>
    <row r="19949" spans="2:3">
      <c r="B19949" s="12"/>
      <c r="C19949" s="12"/>
    </row>
    <row r="19950" spans="2:3">
      <c r="B19950" s="12"/>
      <c r="C19950" s="12"/>
    </row>
    <row r="19951" spans="2:3">
      <c r="B19951" s="12"/>
      <c r="C19951" s="12"/>
    </row>
    <row r="19952" spans="2:3">
      <c r="B19952" s="12"/>
      <c r="C19952" s="12"/>
    </row>
    <row r="19953" spans="2:3">
      <c r="B19953" s="12"/>
      <c r="C19953" s="12"/>
    </row>
    <row r="19954" spans="2:3">
      <c r="B19954" s="12"/>
      <c r="C19954" s="12"/>
    </row>
    <row r="19955" spans="2:3">
      <c r="B19955" s="12"/>
      <c r="C19955" s="12"/>
    </row>
    <row r="19956" spans="2:3">
      <c r="B19956" s="12"/>
      <c r="C19956" s="12"/>
    </row>
    <row r="19957" spans="2:3">
      <c r="B19957" s="12"/>
      <c r="C19957" s="12"/>
    </row>
    <row r="19958" spans="2:3">
      <c r="B19958" s="12"/>
      <c r="C19958" s="12"/>
    </row>
    <row r="19959" spans="2:3">
      <c r="B19959" s="12"/>
      <c r="C19959" s="12"/>
    </row>
    <row r="19960" spans="2:3">
      <c r="B19960" s="12"/>
      <c r="C19960" s="12"/>
    </row>
    <row r="19961" spans="2:3">
      <c r="B19961" s="12"/>
      <c r="C19961" s="12"/>
    </row>
    <row r="19962" spans="2:3">
      <c r="B19962" s="12"/>
      <c r="C19962" s="12"/>
    </row>
    <row r="19963" spans="2:3">
      <c r="B19963" s="12"/>
      <c r="C19963" s="12"/>
    </row>
    <row r="19964" spans="2:3">
      <c r="B19964" s="12"/>
      <c r="C19964" s="12"/>
    </row>
    <row r="19965" spans="2:3">
      <c r="B19965" s="12"/>
      <c r="C19965" s="12"/>
    </row>
    <row r="19966" spans="2:3">
      <c r="B19966" s="12"/>
      <c r="C19966" s="12"/>
    </row>
    <row r="19967" spans="2:3">
      <c r="B19967" s="12"/>
      <c r="C19967" s="12"/>
    </row>
    <row r="19968" spans="2:3">
      <c r="B19968" s="12"/>
      <c r="C19968" s="12"/>
    </row>
    <row r="19969" spans="2:3">
      <c r="B19969" s="12"/>
      <c r="C19969" s="12"/>
    </row>
    <row r="19970" spans="2:3">
      <c r="B19970" s="12"/>
      <c r="C19970" s="12"/>
    </row>
    <row r="19971" spans="2:3">
      <c r="B19971" s="12"/>
      <c r="C19971" s="12"/>
    </row>
    <row r="19972" spans="2:3">
      <c r="B19972" s="12"/>
      <c r="C19972" s="12"/>
    </row>
    <row r="19973" spans="2:3">
      <c r="B19973" s="12"/>
      <c r="C19973" s="12"/>
    </row>
    <row r="19974" spans="2:3">
      <c r="B19974" s="12"/>
      <c r="C19974" s="12"/>
    </row>
    <row r="19975" spans="2:3">
      <c r="B19975" s="12"/>
      <c r="C19975" s="12"/>
    </row>
    <row r="19976" spans="2:3">
      <c r="B19976" s="12"/>
      <c r="C19976" s="12"/>
    </row>
    <row r="19977" spans="2:3">
      <c r="B19977" s="12"/>
      <c r="C19977" s="12"/>
    </row>
    <row r="19978" spans="2:3">
      <c r="B19978" s="12"/>
      <c r="C19978" s="12"/>
    </row>
    <row r="19979" spans="2:3">
      <c r="B19979" s="12"/>
      <c r="C19979" s="12"/>
    </row>
    <row r="19980" spans="2:3">
      <c r="B19980" s="12"/>
      <c r="C19980" s="12"/>
    </row>
    <row r="19981" spans="2:3">
      <c r="B19981" s="12"/>
      <c r="C19981" s="12"/>
    </row>
    <row r="19982" spans="2:3">
      <c r="B19982" s="12"/>
      <c r="C19982" s="12"/>
    </row>
    <row r="19983" spans="2:3">
      <c r="B19983" s="12"/>
      <c r="C19983" s="12"/>
    </row>
    <row r="19984" spans="2:3">
      <c r="B19984" s="12"/>
      <c r="C19984" s="12"/>
    </row>
    <row r="19985" spans="2:3">
      <c r="B19985" s="12"/>
      <c r="C19985" s="12"/>
    </row>
    <row r="19986" spans="2:3">
      <c r="B19986" s="12"/>
      <c r="C19986" s="12"/>
    </row>
    <row r="19987" spans="2:3">
      <c r="B19987" s="12"/>
      <c r="C19987" s="12"/>
    </row>
    <row r="19988" spans="2:3">
      <c r="B19988" s="12"/>
      <c r="C19988" s="12"/>
    </row>
    <row r="19989" spans="2:3">
      <c r="B19989" s="12"/>
      <c r="C19989" s="12"/>
    </row>
    <row r="19990" spans="2:3">
      <c r="B19990" s="12"/>
      <c r="C19990" s="12"/>
    </row>
    <row r="19991" spans="2:3">
      <c r="B19991" s="12"/>
      <c r="C19991" s="12"/>
    </row>
    <row r="19992" spans="2:3">
      <c r="B19992" s="12"/>
      <c r="C19992" s="12"/>
    </row>
    <row r="19993" spans="2:3">
      <c r="B19993" s="12"/>
      <c r="C19993" s="12"/>
    </row>
    <row r="19994" spans="2:3">
      <c r="B19994" s="12"/>
      <c r="C19994" s="12"/>
    </row>
    <row r="19995" spans="2:3">
      <c r="B19995" s="12"/>
      <c r="C19995" s="12"/>
    </row>
    <row r="19996" spans="2:3">
      <c r="B19996" s="12"/>
      <c r="C19996" s="12"/>
    </row>
    <row r="19997" spans="2:3">
      <c r="B19997" s="12"/>
      <c r="C19997" s="12"/>
    </row>
    <row r="19998" spans="2:3">
      <c r="B19998" s="12"/>
      <c r="C19998" s="12"/>
    </row>
    <row r="19999" spans="2:3">
      <c r="B19999" s="12"/>
      <c r="C19999" s="12"/>
    </row>
    <row r="20000" spans="2:3">
      <c r="B20000" s="12"/>
      <c r="C20000" s="12"/>
    </row>
    <row r="20001" spans="2:3">
      <c r="B20001" s="12"/>
      <c r="C20001" s="12"/>
    </row>
    <row r="20002" spans="2:3">
      <c r="B20002" s="12"/>
      <c r="C20002" s="12"/>
    </row>
    <row r="20003" spans="2:3">
      <c r="B20003" s="12"/>
      <c r="C20003" s="12"/>
    </row>
  </sheetData>
  <mergeCells count="3">
    <mergeCell ref="F4:G4"/>
    <mergeCell ref="H4:I4"/>
    <mergeCell ref="J4:K4"/>
  </mergeCells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Stock_sim">
                <anchor moveWithCells="1" sizeWithCells="1">
                  <from>
                    <xdr:col>7</xdr:col>
                    <xdr:colOff>31750</xdr:colOff>
                    <xdr:row>0</xdr:row>
                    <xdr:rowOff>50800</xdr:rowOff>
                  </from>
                  <to>
                    <xdr:col>8</xdr:col>
                    <xdr:colOff>222250</xdr:colOff>
                    <xdr:row>1</xdr:row>
                    <xdr:rowOff>69850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utton 2">
              <controlPr defaultSize="0" print="0" autoFill="0" autoPict="0" macro="[0]!Graph_stock">
                <anchor moveWithCells="1" sizeWithCells="1">
                  <from>
                    <xdr:col>8</xdr:col>
                    <xdr:colOff>342900</xdr:colOff>
                    <xdr:row>0</xdr:row>
                    <xdr:rowOff>50800</xdr:rowOff>
                  </from>
                  <to>
                    <xdr:col>9</xdr:col>
                    <xdr:colOff>412750</xdr:colOff>
                    <xdr:row>1</xdr:row>
                    <xdr:rowOff>69850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256F9C-4C6B-453F-AB31-C7602B63BE1D}">
  <sheetPr codeName="Sheet3"/>
  <dimension ref="A1:X135"/>
  <sheetViews>
    <sheetView zoomScaleNormal="100" workbookViewId="0">
      <selection activeCell="J22" sqref="J22"/>
    </sheetView>
  </sheetViews>
  <sheetFormatPr defaultRowHeight="14.5"/>
  <cols>
    <col min="1" max="1" width="10.08984375" bestFit="1" customWidth="1"/>
    <col min="8" max="8" width="7.453125" customWidth="1"/>
    <col min="9" max="9" width="29.453125" customWidth="1"/>
    <col min="10" max="10" width="11.36328125" bestFit="1" customWidth="1"/>
    <col min="11" max="11" width="10.6328125" bestFit="1" customWidth="1"/>
    <col min="12" max="12" width="12" bestFit="1" customWidth="1"/>
    <col min="14" max="14" width="10.36328125" customWidth="1"/>
    <col min="24" max="24" width="14.36328125" bestFit="1" customWidth="1"/>
  </cols>
  <sheetData>
    <row r="1" spans="1:24">
      <c r="A1" s="57" t="s">
        <v>19</v>
      </c>
      <c r="B1" s="57" t="s">
        <v>21</v>
      </c>
      <c r="C1" s="57"/>
      <c r="D1" s="57"/>
      <c r="E1" s="57" t="s">
        <v>20</v>
      </c>
      <c r="F1" s="57"/>
      <c r="G1" s="57"/>
      <c r="I1" s="2" t="s">
        <v>35</v>
      </c>
    </row>
    <row r="2" spans="1:24">
      <c r="A2" s="57"/>
      <c r="B2" s="2" t="s">
        <v>7</v>
      </c>
      <c r="C2" s="2" t="s">
        <v>9</v>
      </c>
      <c r="D2" s="2" t="s">
        <v>34</v>
      </c>
      <c r="E2" s="2" t="s">
        <v>7</v>
      </c>
      <c r="F2" s="2" t="s">
        <v>9</v>
      </c>
      <c r="G2" s="2" t="s">
        <v>34</v>
      </c>
      <c r="I2" s="59" t="s">
        <v>61</v>
      </c>
    </row>
    <row r="3" spans="1:24">
      <c r="A3" s="5">
        <f>Historical_Data!A2</f>
        <v>41609</v>
      </c>
      <c r="B3">
        <f>Historical_Data!F2</f>
        <v>112.98859405517578</v>
      </c>
      <c r="C3">
        <f>Historical_Data!F123</f>
        <v>59.216239929199219</v>
      </c>
      <c r="D3">
        <f>Historical_Data!F244</f>
        <v>63.087154388427734</v>
      </c>
      <c r="O3" s="57" t="s">
        <v>51</v>
      </c>
      <c r="P3" s="57"/>
      <c r="Q3" s="57"/>
      <c r="R3" s="57" t="s">
        <v>52</v>
      </c>
      <c r="S3" s="57"/>
      <c r="T3" s="57"/>
      <c r="U3" s="57" t="s">
        <v>53</v>
      </c>
      <c r="V3" s="57"/>
      <c r="W3" s="57"/>
      <c r="X3" s="2" t="s">
        <v>54</v>
      </c>
    </row>
    <row r="4" spans="1:24">
      <c r="A4" s="5">
        <f>Historical_Data!A3</f>
        <v>41640</v>
      </c>
      <c r="B4">
        <f>Historical_Data!F3</f>
        <v>106.42869567871094</v>
      </c>
      <c r="C4">
        <f>Historical_Data!F124</f>
        <v>55.732086181640625</v>
      </c>
      <c r="D4">
        <f>Historical_Data!F245</f>
        <v>57.451690673828125</v>
      </c>
      <c r="E4">
        <f>LN(B4/B3)</f>
        <v>-5.9811639278445634E-2</v>
      </c>
      <c r="F4">
        <f>LN(C4/C3)</f>
        <v>-6.0639792790168651E-2</v>
      </c>
      <c r="G4">
        <f>LN(D4/D3)</f>
        <v>-9.3572740887189712E-2</v>
      </c>
      <c r="I4" s="58">
        <v>45292</v>
      </c>
      <c r="J4" s="26" t="s">
        <v>7</v>
      </c>
      <c r="K4" s="26" t="s">
        <v>9</v>
      </c>
      <c r="L4" s="27" t="s">
        <v>34</v>
      </c>
      <c r="N4" s="19" t="s">
        <v>11</v>
      </c>
      <c r="O4" s="2" t="s">
        <v>7</v>
      </c>
      <c r="P4" s="2" t="s">
        <v>9</v>
      </c>
      <c r="Q4" s="2" t="s">
        <v>34</v>
      </c>
      <c r="R4" s="2" t="s">
        <v>7</v>
      </c>
      <c r="S4" s="2" t="s">
        <v>9</v>
      </c>
      <c r="T4" s="2" t="s">
        <v>34</v>
      </c>
      <c r="U4" s="2" t="s">
        <v>7</v>
      </c>
      <c r="V4" s="2" t="s">
        <v>9</v>
      </c>
      <c r="W4" s="2" t="s">
        <v>34</v>
      </c>
    </row>
    <row r="5" spans="1:24">
      <c r="A5" s="5">
        <f>Historical_Data!A4</f>
        <v>41671</v>
      </c>
      <c r="B5">
        <f>Historical_Data!F4</f>
        <v>111.54290771484375</v>
      </c>
      <c r="C5">
        <f>Historical_Data!F125</f>
        <v>57.648769378662109</v>
      </c>
      <c r="D5">
        <f>Historical_Data!F246</f>
        <v>60.013835906982422</v>
      </c>
      <c r="E5">
        <f t="shared" ref="E5:E68" si="0">LN(B5/B4)</f>
        <v>4.6934102655077137E-2</v>
      </c>
      <c r="F5">
        <f t="shared" ref="F5:F68" si="1">LN(C5/C4)</f>
        <v>3.3812865454882032E-2</v>
      </c>
      <c r="G5">
        <f t="shared" ref="G5:G68" si="2">LN(D5/D4)</f>
        <v>4.3630701613124066E-2</v>
      </c>
      <c r="I5" s="28" t="s">
        <v>25</v>
      </c>
      <c r="J5" s="37">
        <f>B123</f>
        <v>156.79933166503906</v>
      </c>
      <c r="K5" s="37">
        <f t="shared" ref="K5:L5" si="3">C123</f>
        <v>142.11386108398438</v>
      </c>
      <c r="L5" s="40">
        <f t="shared" si="3"/>
        <v>95.824920654296875</v>
      </c>
      <c r="N5" s="36">
        <v>45292</v>
      </c>
      <c r="R5" s="37">
        <f>J5</f>
        <v>156.79933166503906</v>
      </c>
      <c r="S5" s="37">
        <f t="shared" ref="S5:T5" si="4">K5</f>
        <v>142.11386108398438</v>
      </c>
      <c r="T5" s="37">
        <f t="shared" si="4"/>
        <v>95.824920654296875</v>
      </c>
      <c r="U5" s="37">
        <f>$J$21*J22/R5</f>
        <v>-500.5956281758348</v>
      </c>
      <c r="V5" s="37">
        <f>$J$21*K22/S5</f>
        <v>1320.9176516510463</v>
      </c>
      <c r="W5" s="37">
        <f>$J$21*L22/T5</f>
        <v>-96.296951301410829</v>
      </c>
      <c r="X5">
        <f>SUMPRODUCT(R5:T5,U5:W5)</f>
        <v>99999.999999999985</v>
      </c>
    </row>
    <row r="6" spans="1:24">
      <c r="A6" s="5">
        <f>Historical_Data!A5</f>
        <v>41699</v>
      </c>
      <c r="B6">
        <f>Historical_Data!F5</f>
        <v>116.58800506591797</v>
      </c>
      <c r="C6">
        <f>Historical_Data!F126</f>
        <v>59.070571899414063</v>
      </c>
      <c r="D6">
        <f>Historical_Data!F247</f>
        <v>61.324073791503906</v>
      </c>
      <c r="E6">
        <f t="shared" si="0"/>
        <v>4.4237056690044144E-2</v>
      </c>
      <c r="F6">
        <f t="shared" si="1"/>
        <v>2.4363962932564574E-2</v>
      </c>
      <c r="G6">
        <f t="shared" si="2"/>
        <v>2.1597352664869843E-2</v>
      </c>
      <c r="I6" s="28" t="s">
        <v>22</v>
      </c>
      <c r="J6" s="38">
        <f>AVERAGE(E4:E123)</f>
        <v>2.7306664126160543E-3</v>
      </c>
      <c r="K6" s="38">
        <f t="shared" ref="K6:L6" si="5">AVERAGE(F4:F123)</f>
        <v>7.2952728960117581E-3</v>
      </c>
      <c r="L6" s="41">
        <f t="shared" si="5"/>
        <v>3.4833800823081151E-3</v>
      </c>
      <c r="N6" s="36">
        <v>45383</v>
      </c>
      <c r="O6" s="38" cm="1">
        <f t="array" ref="O6:Q6">simCorr($J$11:$L$13)</f>
        <v>-0.72304956393586983</v>
      </c>
      <c r="P6" s="38">
        <v>-0.31046914326494146</v>
      </c>
      <c r="Q6" s="38">
        <v>-0.13450776066004957</v>
      </c>
      <c r="R6" s="37">
        <f>R5*EXP(J$6*$J$8+J$7*SQRT($J$8)*O6)</f>
        <v>145.59714486710007</v>
      </c>
      <c r="S6" s="37">
        <f t="shared" ref="S6:T6" si="6">S5*EXP(K$6*$J$8+K$7*SQRT($J$8)*P6)</f>
        <v>141.76386065066799</v>
      </c>
      <c r="T6" s="37">
        <f t="shared" si="6"/>
        <v>95.089489176892215</v>
      </c>
      <c r="U6" s="37">
        <f t="shared" ref="U6:W8" si="7">$X6*J$22/R6</f>
        <v>-567.23272338370623</v>
      </c>
      <c r="V6" s="37">
        <f t="shared" si="7"/>
        <v>1393.2515244286565</v>
      </c>
      <c r="W6" s="37">
        <f t="shared" si="7"/>
        <v>-102.10367359053737</v>
      </c>
      <c r="X6" s="37">
        <f>SUMPRODUCT(U5:W5,R6:T6)</f>
        <v>105216.26379576931</v>
      </c>
    </row>
    <row r="7" spans="1:24">
      <c r="A7" s="5">
        <f>Historical_Data!A6</f>
        <v>41730</v>
      </c>
      <c r="B7">
        <f>Historical_Data!F6</f>
        <v>118.99864196777344</v>
      </c>
      <c r="C7">
        <f>Historical_Data!F127</f>
        <v>60.499710083007813</v>
      </c>
      <c r="D7">
        <f>Historical_Data!F248</f>
        <v>64.293617248535156</v>
      </c>
      <c r="E7">
        <f t="shared" si="0"/>
        <v>2.0465684891233127E-2</v>
      </c>
      <c r="F7">
        <f t="shared" si="1"/>
        <v>2.3905710013020883E-2</v>
      </c>
      <c r="G7">
        <f t="shared" si="2"/>
        <v>4.7287874377438907E-2</v>
      </c>
      <c r="I7" s="28" t="s">
        <v>23</v>
      </c>
      <c r="J7" s="38">
        <f>_xlfn.STDEV.S(E4:E123)</f>
        <v>6.5728234631964741E-2</v>
      </c>
      <c r="K7" s="38">
        <f t="shared" ref="K7:L7" si="8">_xlfn.STDEV.S(F4:F123)</f>
        <v>4.5284517012240219E-2</v>
      </c>
      <c r="L7" s="41">
        <f t="shared" si="8"/>
        <v>7.7924843453819892E-2</v>
      </c>
      <c r="N7" s="36">
        <v>45474</v>
      </c>
      <c r="O7" s="38" cm="1">
        <f t="array" ref="O7:Q7">simCorr($J$11:$L$13)</f>
        <v>-0.22147264253822965</v>
      </c>
      <c r="P7" s="38">
        <v>-0.80954939694314998</v>
      </c>
      <c r="Q7" s="38">
        <v>-1.6309223963958877</v>
      </c>
      <c r="R7" s="37">
        <f t="shared" ref="R7:R9" si="9">R6*EXP(J$6*$J$8+J$7*SQRT($J$8)*O7)</f>
        <v>143.13983959650722</v>
      </c>
      <c r="S7" s="37">
        <f t="shared" ref="S7:S9" si="10">S6*EXP(K$6*$J$8+K$7*SQRT($J$8)*P7)</f>
        <v>135.985935333199</v>
      </c>
      <c r="T7" s="37">
        <f t="shared" ref="T7:T9" si="11">T6*EXP(L$6*$J$8+L$7*SQRT($J$8)*Q7)</f>
        <v>77.103087845687398</v>
      </c>
      <c r="U7" s="37">
        <f t="shared" si="7"/>
        <v>-550.54055408502336</v>
      </c>
      <c r="V7" s="37">
        <f t="shared" si="7"/>
        <v>1385.9155642181531</v>
      </c>
      <c r="W7" s="37">
        <f t="shared" si="7"/>
        <v>-120.15388485995095</v>
      </c>
      <c r="X7" s="37">
        <f>SUMPRODUCT(U6:W6,R7:T7)</f>
        <v>100396.50215058392</v>
      </c>
    </row>
    <row r="8" spans="1:24">
      <c r="A8" s="5">
        <f>Historical_Data!A7</f>
        <v>41760</v>
      </c>
      <c r="B8">
        <f>Historical_Data!F7</f>
        <v>111.66378784179688</v>
      </c>
      <c r="C8">
        <f>Historical_Data!F128</f>
        <v>59.682849884033203</v>
      </c>
      <c r="D8">
        <f>Historical_Data!F249</f>
        <v>63.113353729248047</v>
      </c>
      <c r="E8">
        <f t="shared" si="0"/>
        <v>-6.3619618707482894E-2</v>
      </c>
      <c r="F8">
        <f t="shared" si="1"/>
        <v>-1.3593865504989346E-2</v>
      </c>
      <c r="G8">
        <f t="shared" si="2"/>
        <v>-1.8527985934471435E-2</v>
      </c>
      <c r="I8" s="28" t="s">
        <v>24</v>
      </c>
      <c r="J8">
        <v>3</v>
      </c>
      <c r="K8" s="42"/>
      <c r="L8" s="9"/>
      <c r="N8" s="36">
        <v>45566</v>
      </c>
      <c r="O8" s="38" cm="1">
        <f t="array" ref="O8:Q8">simCorr($J$11:$L$13)</f>
        <v>1.1342705353706155</v>
      </c>
      <c r="P8" s="38">
        <v>1.087463830490595</v>
      </c>
      <c r="Q8" s="38">
        <v>0.82219371592557833</v>
      </c>
      <c r="R8" s="37">
        <f t="shared" si="9"/>
        <v>164.20976638290057</v>
      </c>
      <c r="S8" s="37">
        <f t="shared" si="10"/>
        <v>151.37082176117909</v>
      </c>
      <c r="T8" s="37">
        <f t="shared" si="11"/>
        <v>87.057148425179008</v>
      </c>
      <c r="U8" s="37">
        <f t="shared" si="7"/>
        <v>-520.65617500548285</v>
      </c>
      <c r="V8" s="37">
        <f t="shared" si="7"/>
        <v>1350.7928746558432</v>
      </c>
      <c r="W8" s="37">
        <f t="shared" si="7"/>
        <v>-115.45302477248855</v>
      </c>
      <c r="X8" s="37">
        <f>SUMPRODUCT(U7:W7,R8:T8)</f>
        <v>108922.78748858106</v>
      </c>
    </row>
    <row r="9" spans="1:24">
      <c r="A9" s="5">
        <f>Historical_Data!A8</f>
        <v>41791</v>
      </c>
      <c r="B9">
        <f>Historical_Data!F8</f>
        <v>110.43144989013672</v>
      </c>
      <c r="C9">
        <f>Historical_Data!F129</f>
        <v>58.057621002197266</v>
      </c>
      <c r="D9">
        <f>Historical_Data!F250</f>
        <v>63.636646270751953</v>
      </c>
      <c r="E9">
        <f t="shared" si="0"/>
        <v>-1.1097496835527928E-2</v>
      </c>
      <c r="F9">
        <f t="shared" si="1"/>
        <v>-2.76087245626867E-2</v>
      </c>
      <c r="G9">
        <f t="shared" si="2"/>
        <v>8.2571284367927052E-3</v>
      </c>
      <c r="I9" s="8"/>
      <c r="L9" s="6"/>
      <c r="N9" s="36">
        <v>45658</v>
      </c>
      <c r="O9" s="38" cm="1">
        <f t="array" ref="O9:Q9">simCorr($J$11:$L$13)</f>
        <v>-2.1818069543865408</v>
      </c>
      <c r="P9" s="38">
        <v>-1.4237144578596077</v>
      </c>
      <c r="Q9" s="38">
        <v>-0.47733752479271946</v>
      </c>
      <c r="R9" s="37">
        <f t="shared" si="9"/>
        <v>129.14678706754833</v>
      </c>
      <c r="S9" s="37">
        <f t="shared" si="10"/>
        <v>138.37249042292058</v>
      </c>
      <c r="T9" s="37">
        <f t="shared" si="11"/>
        <v>82.482716725702204</v>
      </c>
      <c r="U9" s="37"/>
      <c r="V9" s="37"/>
      <c r="W9" s="37"/>
      <c r="X9" s="39">
        <f>SUMPRODUCT(U8:W8,R9:T9)</f>
        <v>110148.6228053931</v>
      </c>
    </row>
    <row r="10" spans="1:24">
      <c r="A10" s="5">
        <f>Historical_Data!A9</f>
        <v>41821</v>
      </c>
      <c r="B10">
        <f>Historical_Data!F9</f>
        <v>116.76728820800781</v>
      </c>
      <c r="C10">
        <f>Historical_Data!F130</f>
        <v>57.119434356689453</v>
      </c>
      <c r="D10">
        <f>Historical_Data!F251</f>
        <v>62.536846160888672</v>
      </c>
      <c r="E10">
        <f t="shared" si="0"/>
        <v>5.5787998987975693E-2</v>
      </c>
      <c r="F10">
        <f t="shared" si="1"/>
        <v>-1.6291567677963654E-2</v>
      </c>
      <c r="G10">
        <f t="shared" si="2"/>
        <v>-1.7433582025723485E-2</v>
      </c>
      <c r="I10" s="28" t="s">
        <v>36</v>
      </c>
      <c r="J10" s="19" t="s">
        <v>7</v>
      </c>
      <c r="K10" s="19" t="s">
        <v>9</v>
      </c>
      <c r="L10" s="29" t="s">
        <v>34</v>
      </c>
    </row>
    <row r="11" spans="1:24">
      <c r="A11" s="5">
        <f>Historical_Data!A10</f>
        <v>41852</v>
      </c>
      <c r="B11">
        <f>Historical_Data!F10</f>
        <v>117.15106201171875</v>
      </c>
      <c r="C11">
        <f>Historical_Data!F131</f>
        <v>61.887210845947266</v>
      </c>
      <c r="D11">
        <f>Historical_Data!F252</f>
        <v>62.865524291992188</v>
      </c>
      <c r="E11">
        <f t="shared" si="0"/>
        <v>3.2812658577834343E-3</v>
      </c>
      <c r="F11">
        <f t="shared" si="1"/>
        <v>8.0169133160429604E-2</v>
      </c>
      <c r="G11">
        <f t="shared" si="2"/>
        <v>5.2419883698597951E-3</v>
      </c>
      <c r="I11" s="30" t="s">
        <v>7</v>
      </c>
      <c r="J11" cm="1">
        <f t="array" ref="J11:L13">CorrMat(E4:G123)</f>
        <v>1</v>
      </c>
      <c r="K11" s="38">
        <v>0.33243024432596091</v>
      </c>
      <c r="L11" s="41">
        <v>0.40118775142039775</v>
      </c>
    </row>
    <row r="12" spans="1:24">
      <c r="A12" s="5">
        <f>Historical_Data!A11</f>
        <v>41883</v>
      </c>
      <c r="B12">
        <f>Historical_Data!F11</f>
        <v>116.33024597167969</v>
      </c>
      <c r="C12">
        <f>Historical_Data!F132</f>
        <v>62.356307983398438</v>
      </c>
      <c r="D12">
        <f>Historical_Data!F253</f>
        <v>59.860160827636719</v>
      </c>
      <c r="E12">
        <f t="shared" si="0"/>
        <v>-7.031136056878033E-3</v>
      </c>
      <c r="F12">
        <f t="shared" si="1"/>
        <v>7.5512891286270015E-3</v>
      </c>
      <c r="G12">
        <f t="shared" si="2"/>
        <v>-4.8986720826246555E-2</v>
      </c>
      <c r="I12" s="30" t="s">
        <v>9</v>
      </c>
      <c r="J12" s="38">
        <v>0.33243024432596091</v>
      </c>
      <c r="K12">
        <v>1</v>
      </c>
      <c r="L12" s="41">
        <v>0.18581824304883784</v>
      </c>
    </row>
    <row r="13" spans="1:24">
      <c r="A13" s="5">
        <f>Historical_Data!A12</f>
        <v>41913</v>
      </c>
      <c r="B13">
        <f>Historical_Data!F12</f>
        <v>100.74642944335938</v>
      </c>
      <c r="C13">
        <f>Historical_Data!F133</f>
        <v>64.984909057617188</v>
      </c>
      <c r="D13">
        <f>Historical_Data!F254</f>
        <v>61.553153991699219</v>
      </c>
      <c r="E13">
        <f t="shared" si="0"/>
        <v>-0.14382633382612067</v>
      </c>
      <c r="F13">
        <f t="shared" si="1"/>
        <v>4.1290237043712992E-2</v>
      </c>
      <c r="G13">
        <f t="shared" si="2"/>
        <v>2.7889904924101247E-2</v>
      </c>
      <c r="I13" s="30" t="s">
        <v>34</v>
      </c>
      <c r="J13" s="38">
        <v>0.40118775142039775</v>
      </c>
      <c r="K13" s="38">
        <v>0.18581824304883784</v>
      </c>
      <c r="L13" s="6">
        <v>0.99999999999999989</v>
      </c>
    </row>
    <row r="14" spans="1:24">
      <c r="A14" s="5">
        <f>Historical_Data!A13</f>
        <v>41944</v>
      </c>
      <c r="B14">
        <f>Historical_Data!F13</f>
        <v>99.379837036132813</v>
      </c>
      <c r="C14">
        <f>Historical_Data!F134</f>
        <v>67.854476928710938</v>
      </c>
      <c r="D14">
        <f>Historical_Data!F255</f>
        <v>57.626140594482422</v>
      </c>
      <c r="E14">
        <f t="shared" si="0"/>
        <v>-1.3657514063279487E-2</v>
      </c>
      <c r="F14">
        <f t="shared" si="1"/>
        <v>4.3210292245150064E-2</v>
      </c>
      <c r="G14">
        <f t="shared" si="2"/>
        <v>-6.5924799557108643E-2</v>
      </c>
      <c r="I14" s="30"/>
      <c r="L14" s="6"/>
    </row>
    <row r="15" spans="1:24">
      <c r="A15" s="5">
        <f>Historical_Data!A14</f>
        <v>41974</v>
      </c>
      <c r="B15">
        <f>Historical_Data!F14</f>
        <v>98.992584228515625</v>
      </c>
      <c r="C15">
        <f>Historical_Data!F135</f>
        <v>68.34967041015625</v>
      </c>
      <c r="D15">
        <f>Historical_Data!F256</f>
        <v>59.266613006591797</v>
      </c>
      <c r="E15">
        <f t="shared" si="0"/>
        <v>-3.9043058210979685E-3</v>
      </c>
      <c r="F15">
        <f t="shared" si="1"/>
        <v>7.2713742272517319E-3</v>
      </c>
      <c r="G15">
        <f t="shared" si="2"/>
        <v>2.8069834493112331E-2</v>
      </c>
      <c r="I15" s="28" t="s">
        <v>56</v>
      </c>
      <c r="J15" s="19" t="s">
        <v>7</v>
      </c>
      <c r="K15" s="19" t="s">
        <v>9</v>
      </c>
      <c r="L15" s="29" t="s">
        <v>34</v>
      </c>
      <c r="M15" s="25"/>
    </row>
    <row r="16" spans="1:24">
      <c r="A16" s="5">
        <f>Historical_Data!A15</f>
        <v>42005</v>
      </c>
      <c r="B16">
        <f>Historical_Data!F15</f>
        <v>94.593330383300781</v>
      </c>
      <c r="C16">
        <f>Historical_Data!F136</f>
        <v>63.247272491455078</v>
      </c>
      <c r="D16">
        <f>Historical_Data!F257</f>
        <v>56.042041778564453</v>
      </c>
      <c r="E16">
        <f t="shared" si="0"/>
        <v>-4.5457970321683423E-2</v>
      </c>
      <c r="F16">
        <f t="shared" si="1"/>
        <v>-7.7584737055366768E-2</v>
      </c>
      <c r="G16">
        <f t="shared" si="2"/>
        <v>-5.5943973898600154E-2</v>
      </c>
      <c r="I16" s="30" t="s">
        <v>7</v>
      </c>
      <c r="J16" s="38" cm="1">
        <f t="array" ref="J16:L18">varcov(E4:G123)</f>
        <v>4.3202008278346079E-3</v>
      </c>
      <c r="K16" s="38">
        <v>9.8946910122649657E-4</v>
      </c>
      <c r="L16" s="41">
        <v>2.0548284570105005E-3</v>
      </c>
    </row>
    <row r="17" spans="1:12">
      <c r="A17" s="5">
        <f>Historical_Data!A16</f>
        <v>42036</v>
      </c>
      <c r="B17">
        <f>Historical_Data!F16</f>
        <v>99.918106079101563</v>
      </c>
      <c r="C17">
        <f>Historical_Data!F137</f>
        <v>64.3319091796875</v>
      </c>
      <c r="D17">
        <f>Historical_Data!F258</f>
        <v>56.76007080078125</v>
      </c>
      <c r="E17">
        <f t="shared" si="0"/>
        <v>5.4763941040620531E-2</v>
      </c>
      <c r="F17">
        <f t="shared" si="1"/>
        <v>1.7003758875364493E-2</v>
      </c>
      <c r="G17">
        <f t="shared" si="2"/>
        <v>1.2730944550025906E-2</v>
      </c>
      <c r="I17" s="30" t="s">
        <v>9</v>
      </c>
      <c r="J17" s="38">
        <v>9.8946910122649657E-4</v>
      </c>
      <c r="K17" s="38">
        <v>2.0506874810318734E-3</v>
      </c>
      <c r="L17" s="41">
        <v>6.5571335331369497E-4</v>
      </c>
    </row>
    <row r="18" spans="1:12">
      <c r="A18" s="5">
        <f>Historical_Data!A17</f>
        <v>42064</v>
      </c>
      <c r="B18">
        <f>Historical_Data!F17</f>
        <v>99.724273681640625</v>
      </c>
      <c r="C18">
        <f>Historical_Data!F138</f>
        <v>61.921257019042969</v>
      </c>
      <c r="D18">
        <f>Historical_Data!F259</f>
        <v>54.900825500488281</v>
      </c>
      <c r="E18">
        <f t="shared" si="0"/>
        <v>-1.9417967126838178E-3</v>
      </c>
      <c r="F18">
        <f t="shared" si="1"/>
        <v>-3.8192233117889669E-2</v>
      </c>
      <c r="G18">
        <f t="shared" si="2"/>
        <v>-3.3304714820916619E-2</v>
      </c>
      <c r="I18" s="30" t="s">
        <v>34</v>
      </c>
      <c r="J18" s="38">
        <v>2.0548284570105005E-3</v>
      </c>
      <c r="K18" s="38">
        <v>6.5571335331369497E-4</v>
      </c>
      <c r="L18" s="41">
        <v>6.0722812273023346E-3</v>
      </c>
    </row>
    <row r="19" spans="1:12">
      <c r="A19" s="5">
        <f>Historical_Data!A18</f>
        <v>42095</v>
      </c>
      <c r="B19">
        <f>Historical_Data!F18</f>
        <v>106.42848205566406</v>
      </c>
      <c r="C19">
        <f>Historical_Data!F139</f>
        <v>60.084918975830078</v>
      </c>
      <c r="D19">
        <f>Historical_Data!F260</f>
        <v>56.431587219238281</v>
      </c>
      <c r="E19">
        <f t="shared" si="0"/>
        <v>6.5064115025935537E-2</v>
      </c>
      <c r="F19">
        <f t="shared" si="1"/>
        <v>-3.0104651900667554E-2</v>
      </c>
      <c r="G19">
        <f t="shared" si="2"/>
        <v>2.7500673968067168E-2</v>
      </c>
      <c r="I19" s="30"/>
      <c r="L19" s="6"/>
    </row>
    <row r="20" spans="1:12">
      <c r="A20" s="5">
        <f>Historical_Data!A19</f>
        <v>42125</v>
      </c>
      <c r="B20">
        <f>Historical_Data!F19</f>
        <v>105.40949249267578</v>
      </c>
      <c r="C20">
        <f>Historical_Data!F140</f>
        <v>59.715034484863281</v>
      </c>
      <c r="D20">
        <f>Historical_Data!F261</f>
        <v>55.029998779296875</v>
      </c>
      <c r="E20">
        <f t="shared" si="0"/>
        <v>-9.6205359261562727E-3</v>
      </c>
      <c r="F20">
        <f t="shared" si="1"/>
        <v>-6.1750552588600112E-3</v>
      </c>
      <c r="G20">
        <f t="shared" si="2"/>
        <v>-2.5150589920107928E-2</v>
      </c>
      <c r="I20" s="31" t="s">
        <v>38</v>
      </c>
      <c r="J20" s="44">
        <f>'4-week TBill'!N12/100/12</f>
        <v>4.3916666666666661E-3</v>
      </c>
      <c r="K20" s="43" t="s">
        <v>50</v>
      </c>
      <c r="L20" s="32">
        <f>'4-week TBill'!M12</f>
        <v>45261</v>
      </c>
    </row>
    <row r="21" spans="1:12">
      <c r="A21" s="5">
        <f>Historical_Data!A20</f>
        <v>42156</v>
      </c>
      <c r="B21">
        <f>Historical_Data!F20</f>
        <v>101.83124542236328</v>
      </c>
      <c r="C21">
        <f>Historical_Data!F141</f>
        <v>59.600765228271484</v>
      </c>
      <c r="D21">
        <f>Historical_Data!F262</f>
        <v>54.182704925537109</v>
      </c>
      <c r="E21">
        <f t="shared" si="0"/>
        <v>-3.4535707136334352E-2</v>
      </c>
      <c r="F21">
        <f t="shared" si="1"/>
        <v>-1.9154092216181898E-3</v>
      </c>
      <c r="G21">
        <f t="shared" si="2"/>
        <v>-1.5516708680758657E-2</v>
      </c>
      <c r="I21" s="28" t="s">
        <v>26</v>
      </c>
      <c r="J21">
        <v>100000</v>
      </c>
      <c r="L21" s="6"/>
    </row>
    <row r="22" spans="1:12">
      <c r="A22" s="5">
        <f>Historical_Data!A21</f>
        <v>42186</v>
      </c>
      <c r="B22">
        <f>Historical_Data!F21</f>
        <v>101.41178131103516</v>
      </c>
      <c r="C22">
        <f>Historical_Data!F142</f>
        <v>58.427642822265625</v>
      </c>
      <c r="D22">
        <f>Historical_Data!F263</f>
        <v>51.584262847900391</v>
      </c>
      <c r="E22">
        <f t="shared" si="0"/>
        <v>-4.1277156086498611E-3</v>
      </c>
      <c r="F22">
        <f t="shared" si="1"/>
        <v>-1.9879299545673638E-2</v>
      </c>
      <c r="G22">
        <f t="shared" si="2"/>
        <v>-4.914511780565714E-2</v>
      </c>
      <c r="I22" s="33" t="s">
        <v>37</v>
      </c>
      <c r="J22" s="34" cm="1">
        <f t="array" ref="J22:L22">MMULT(J6:L6-J20,MINVERSE(J16:L18))/SUM(MMULT(J6:L6-J20,MINVERSE(J16:L18)))</f>
        <v>-0.78493059932411302</v>
      </c>
      <c r="K22" s="34">
        <v>1.8772070765011968</v>
      </c>
      <c r="L22" s="35">
        <v>-9.2276477177083843E-2</v>
      </c>
    </row>
    <row r="23" spans="1:12">
      <c r="A23" s="5">
        <f>Historical_Data!A22</f>
        <v>42217</v>
      </c>
      <c r="B23">
        <f>Historical_Data!F22</f>
        <v>92.58465576171875</v>
      </c>
      <c r="C23">
        <f>Historical_Data!F143</f>
        <v>54.275028228759766</v>
      </c>
      <c r="D23">
        <f>Historical_Data!F264</f>
        <v>48.998867034912109</v>
      </c>
      <c r="E23">
        <f t="shared" si="0"/>
        <v>-9.1065847502767458E-2</v>
      </c>
      <c r="F23">
        <f t="shared" si="1"/>
        <v>-7.3724877973392236E-2</v>
      </c>
      <c r="G23">
        <f t="shared" si="2"/>
        <v>-5.1419466295921146E-2</v>
      </c>
    </row>
    <row r="24" spans="1:12">
      <c r="A24" s="5">
        <f>Historical_Data!A23</f>
        <v>42248</v>
      </c>
      <c r="B24">
        <f>Historical_Data!F23</f>
        <v>91.510032653808594</v>
      </c>
      <c r="C24">
        <f>Historical_Data!F144</f>
        <v>55.250385284423828</v>
      </c>
      <c r="D24">
        <f>Historical_Data!F265</f>
        <v>48.872306823730469</v>
      </c>
      <c r="E24">
        <f t="shared" si="0"/>
        <v>-1.1674810644097177E-2</v>
      </c>
      <c r="F24">
        <f t="shared" si="1"/>
        <v>1.7811077976940003E-2</v>
      </c>
      <c r="G24">
        <f t="shared" si="2"/>
        <v>-2.5862626703263354E-3</v>
      </c>
      <c r="I24" s="45" t="s">
        <v>57</v>
      </c>
      <c r="J24" s="46"/>
      <c r="K24" s="46"/>
      <c r="L24" s="47"/>
    </row>
    <row r="25" spans="1:12">
      <c r="A25" s="5">
        <f>Historical_Data!A24</f>
        <v>42278</v>
      </c>
      <c r="B25">
        <f>Historical_Data!F24</f>
        <v>88.423316955566406</v>
      </c>
      <c r="C25">
        <f>Historical_Data!F145</f>
        <v>58.660312652587891</v>
      </c>
      <c r="D25">
        <f>Historical_Data!F266</f>
        <v>54.387283325195313</v>
      </c>
      <c r="E25">
        <f t="shared" si="0"/>
        <v>-3.4312911431427374E-2</v>
      </c>
      <c r="F25">
        <f t="shared" si="1"/>
        <v>5.9888079598966179E-2</v>
      </c>
      <c r="G25">
        <f t="shared" si="2"/>
        <v>0.10691945069420819</v>
      </c>
      <c r="I25" s="48" t="s">
        <v>58</v>
      </c>
      <c r="J25" s="49"/>
      <c r="K25" s="49"/>
      <c r="L25" s="50"/>
    </row>
    <row r="26" spans="1:12">
      <c r="A26" s="5">
        <f>Historical_Data!A25</f>
        <v>42309</v>
      </c>
      <c r="B26">
        <f>Historical_Data!F25</f>
        <v>88.006690979003906</v>
      </c>
      <c r="C26">
        <f>Historical_Data!F146</f>
        <v>57.994178771972656</v>
      </c>
      <c r="D26">
        <f>Historical_Data!F267</f>
        <v>53.677371978759766</v>
      </c>
      <c r="E26">
        <f t="shared" si="0"/>
        <v>-4.7228558889259292E-3</v>
      </c>
      <c r="F26">
        <f t="shared" si="1"/>
        <v>-1.1420753937304375E-2</v>
      </c>
      <c r="G26">
        <f t="shared" si="2"/>
        <v>-1.3138829842331229E-2</v>
      </c>
      <c r="I26" s="51" t="s">
        <v>38</v>
      </c>
      <c r="J26" s="60">
        <f>'4-week TBill'!B31/100/12</f>
        <v>4.4416666666666667E-3</v>
      </c>
      <c r="K26" s="61" t="s">
        <v>50</v>
      </c>
      <c r="L26" s="62">
        <f>'4-week TBill'!A31</f>
        <v>45289</v>
      </c>
    </row>
    <row r="27" spans="1:12">
      <c r="A27" s="5">
        <f>Historical_Data!A26</f>
        <v>42339</v>
      </c>
      <c r="B27">
        <f>Historical_Data!F26</f>
        <v>87.685310363769531</v>
      </c>
      <c r="C27">
        <f>Historical_Data!F147</f>
        <v>61.535541534423828</v>
      </c>
      <c r="D27">
        <f>Historical_Data!F268</f>
        <v>51.685367584228516</v>
      </c>
      <c r="E27">
        <f t="shared" si="0"/>
        <v>-3.6584587941756379E-3</v>
      </c>
      <c r="F27">
        <f t="shared" si="1"/>
        <v>5.9272279506043982E-2</v>
      </c>
      <c r="G27">
        <f t="shared" si="2"/>
        <v>-3.7816818283381591E-2</v>
      </c>
      <c r="I27" s="52" t="s">
        <v>37</v>
      </c>
      <c r="J27" s="53" cm="1">
        <f t="array" ref="J27:L27">MMULT(J6:L6-J26,MINVERSE(J16:L18))/SUM(MMULT(J6:L6-J26,MINVERSE(J16:L18)))</f>
        <v>-0.81507587480526456</v>
      </c>
      <c r="K27" s="53">
        <v>1.9150036495796092</v>
      </c>
      <c r="L27" s="54">
        <v>-9.9927774774344683E-2</v>
      </c>
    </row>
    <row r="28" spans="1:12">
      <c r="A28" s="5">
        <f>Historical_Data!A27</f>
        <v>42370</v>
      </c>
      <c r="B28">
        <f>Historical_Data!F27</f>
        <v>79.510612487792969</v>
      </c>
      <c r="C28">
        <f>Historical_Data!F148</f>
        <v>63.302322387695313</v>
      </c>
      <c r="D28">
        <f>Historical_Data!F269</f>
        <v>51.619060516357422</v>
      </c>
      <c r="E28">
        <f t="shared" si="0"/>
        <v>-9.7863883482196906E-2</v>
      </c>
      <c r="F28">
        <f t="shared" si="1"/>
        <v>2.8307098051316256E-2</v>
      </c>
      <c r="G28">
        <f t="shared" si="2"/>
        <v>-1.2837218732265395E-3</v>
      </c>
    </row>
    <row r="29" spans="1:12">
      <c r="A29" s="5">
        <f>Historical_Data!A28</f>
        <v>42401</v>
      </c>
      <c r="B29">
        <f>Historical_Data!F28</f>
        <v>83.486488342285156</v>
      </c>
      <c r="C29">
        <f>Historical_Data!F149</f>
        <v>62.759731292724609</v>
      </c>
      <c r="D29">
        <f>Historical_Data!F270</f>
        <v>53.144096374511719</v>
      </c>
      <c r="E29">
        <f t="shared" si="0"/>
        <v>4.8794299339364182E-2</v>
      </c>
      <c r="F29">
        <f t="shared" si="1"/>
        <v>-8.6083707159819965E-3</v>
      </c>
      <c r="G29">
        <f t="shared" si="2"/>
        <v>2.9116029689402922E-2</v>
      </c>
    </row>
    <row r="30" spans="1:12">
      <c r="A30" s="5">
        <f>Historical_Data!A29</f>
        <v>42430</v>
      </c>
      <c r="B30">
        <f>Historical_Data!F29</f>
        <v>97.482872009277344</v>
      </c>
      <c r="C30">
        <f>Historical_Data!F150</f>
        <v>64.338691711425781</v>
      </c>
      <c r="D30">
        <f>Historical_Data!F271</f>
        <v>55.928062438964844</v>
      </c>
      <c r="E30">
        <f t="shared" si="0"/>
        <v>0.15499188836891337</v>
      </c>
      <c r="F30">
        <f t="shared" si="1"/>
        <v>2.4847541269141262E-2</v>
      </c>
      <c r="G30">
        <f t="shared" si="2"/>
        <v>5.1059241804796013E-2</v>
      </c>
    </row>
    <row r="31" spans="1:12">
      <c r="A31" s="5">
        <f>Historical_Data!A30</f>
        <v>42461</v>
      </c>
      <c r="B31">
        <f>Historical_Data!F30</f>
        <v>93.936256408691406</v>
      </c>
      <c r="C31">
        <f>Historical_Data!F151</f>
        <v>62.626853942871094</v>
      </c>
      <c r="D31">
        <f>Historical_Data!F272</f>
        <v>59.146312713623047</v>
      </c>
      <c r="E31">
        <f t="shared" si="0"/>
        <v>-3.7060261943402374E-2</v>
      </c>
      <c r="F31">
        <f t="shared" si="1"/>
        <v>-2.6967024774439623E-2</v>
      </c>
      <c r="G31">
        <f t="shared" si="2"/>
        <v>5.5947984962238108E-2</v>
      </c>
    </row>
    <row r="32" spans="1:12">
      <c r="A32" s="5">
        <f>Historical_Data!A31</f>
        <v>42491</v>
      </c>
      <c r="B32">
        <f>Historical_Data!F31</f>
        <v>98.95684814453125</v>
      </c>
      <c r="C32">
        <f>Historical_Data!F152</f>
        <v>63.864910125732422</v>
      </c>
      <c r="D32">
        <f>Historical_Data!F273</f>
        <v>59.561122894287109</v>
      </c>
      <c r="E32">
        <f t="shared" si="0"/>
        <v>5.2067448855888147E-2</v>
      </c>
      <c r="F32">
        <f t="shared" si="1"/>
        <v>1.9575910394869157E-2</v>
      </c>
      <c r="G32">
        <f t="shared" si="2"/>
        <v>6.988810211183985E-3</v>
      </c>
    </row>
    <row r="33" spans="1:7">
      <c r="A33" s="5">
        <f>Historical_Data!A32</f>
        <v>42522</v>
      </c>
      <c r="B33">
        <f>Historical_Data!F32</f>
        <v>98.638084411621094</v>
      </c>
      <c r="C33">
        <f>Historical_Data!F153</f>
        <v>66.725570678710938</v>
      </c>
      <c r="D33">
        <f>Historical_Data!F274</f>
        <v>63.246269226074219</v>
      </c>
      <c r="E33">
        <f t="shared" si="0"/>
        <v>-3.2264391126999152E-3</v>
      </c>
      <c r="F33">
        <f t="shared" si="1"/>
        <v>4.3818174711174822E-2</v>
      </c>
      <c r="G33">
        <f t="shared" si="2"/>
        <v>6.0033080500584035E-2</v>
      </c>
    </row>
    <row r="34" spans="1:7">
      <c r="A34" s="5">
        <f>Historical_Data!A33</f>
        <v>42552</v>
      </c>
      <c r="B34">
        <f>Historical_Data!F33</f>
        <v>104.3829345703125</v>
      </c>
      <c r="C34">
        <f>Historical_Data!F154</f>
        <v>67.450584411621094</v>
      </c>
      <c r="D34">
        <f>Historical_Data!F275</f>
        <v>60.014476776123047</v>
      </c>
      <c r="E34">
        <f t="shared" si="0"/>
        <v>5.6608761445200405E-2</v>
      </c>
      <c r="F34">
        <f t="shared" si="1"/>
        <v>1.0806999033154187E-2</v>
      </c>
      <c r="G34">
        <f t="shared" si="2"/>
        <v>-5.2450328579065529E-2</v>
      </c>
    </row>
    <row r="35" spans="1:7">
      <c r="A35" s="5">
        <f>Historical_Data!A34</f>
        <v>42583</v>
      </c>
      <c r="B35">
        <f>Historical_Data!F34</f>
        <v>103.25215911865234</v>
      </c>
      <c r="C35">
        <f>Historical_Data!F155</f>
        <v>69.345230102539063</v>
      </c>
      <c r="D35">
        <f>Historical_Data!F276</f>
        <v>58.793285369873047</v>
      </c>
      <c r="E35">
        <f t="shared" si="0"/>
        <v>-1.0892056933691623E-2</v>
      </c>
      <c r="F35">
        <f t="shared" si="1"/>
        <v>2.7702117346836662E-2</v>
      </c>
      <c r="G35">
        <f t="shared" si="2"/>
        <v>-2.0558158726918265E-2</v>
      </c>
    </row>
    <row r="36" spans="1:7">
      <c r="A36" s="5">
        <f>Historical_Data!A35</f>
        <v>42614</v>
      </c>
      <c r="B36">
        <f>Historical_Data!F35</f>
        <v>104.12425994873047</v>
      </c>
      <c r="C36">
        <f>Historical_Data!F156</f>
        <v>71.283195495605469</v>
      </c>
      <c r="D36">
        <f>Historical_Data!F277</f>
        <v>59.389900207519531</v>
      </c>
      <c r="E36">
        <f t="shared" si="0"/>
        <v>8.4108499433320598E-3</v>
      </c>
      <c r="F36">
        <f t="shared" si="1"/>
        <v>2.7563248011914579E-2</v>
      </c>
      <c r="G36">
        <f t="shared" si="2"/>
        <v>1.0096527741399816E-2</v>
      </c>
    </row>
    <row r="37" spans="1:7">
      <c r="A37" s="5">
        <f>Historical_Data!A36</f>
        <v>42644</v>
      </c>
      <c r="B37">
        <f>Historical_Data!F36</f>
        <v>100.74196624755859</v>
      </c>
      <c r="C37">
        <f>Historical_Data!F157</f>
        <v>68.940193176269531</v>
      </c>
      <c r="D37">
        <f>Historical_Data!F278</f>
        <v>56.6953125</v>
      </c>
      <c r="E37">
        <f t="shared" si="0"/>
        <v>-3.3022534957523476E-2</v>
      </c>
      <c r="F37">
        <f t="shared" si="1"/>
        <v>-3.3421249165497068E-2</v>
      </c>
      <c r="G37">
        <f t="shared" si="2"/>
        <v>-4.6432646376871348E-2</v>
      </c>
    </row>
    <row r="38" spans="1:7">
      <c r="A38" s="5">
        <f>Historical_Data!A37</f>
        <v>42675</v>
      </c>
      <c r="B38">
        <f>Historical_Data!F37</f>
        <v>106.33324432373047</v>
      </c>
      <c r="C38">
        <f>Historical_Data!F158</f>
        <v>65.998809814453125</v>
      </c>
      <c r="D38">
        <f>Historical_Data!F279</f>
        <v>59.403514862060547</v>
      </c>
      <c r="E38">
        <f t="shared" si="0"/>
        <v>5.4015518866375289E-2</v>
      </c>
      <c r="F38">
        <f t="shared" si="1"/>
        <v>-4.3602654427995616E-2</v>
      </c>
      <c r="G38">
        <f t="shared" si="2"/>
        <v>4.6661862021402802E-2</v>
      </c>
    </row>
    <row r="39" spans="1:7">
      <c r="A39" s="5">
        <f>Historical_Data!A38</f>
        <v>42705</v>
      </c>
      <c r="B39">
        <f>Historical_Data!F38</f>
        <v>109.79154968261719</v>
      </c>
      <c r="C39">
        <f>Historical_Data!F159</f>
        <v>67.295440673828125</v>
      </c>
      <c r="D39">
        <f>Historical_Data!F280</f>
        <v>61.961490631103516</v>
      </c>
      <c r="E39">
        <f t="shared" si="0"/>
        <v>3.2005588082100515E-2</v>
      </c>
      <c r="F39">
        <f t="shared" si="1"/>
        <v>1.9455779303614869E-2</v>
      </c>
      <c r="G39">
        <f t="shared" si="2"/>
        <v>4.2159675837774288E-2</v>
      </c>
    </row>
    <row r="40" spans="1:7">
      <c r="A40" s="5">
        <f>Historical_Data!A39</f>
        <v>42736</v>
      </c>
      <c r="B40">
        <f>Historical_Data!F39</f>
        <v>115.43355560302734</v>
      </c>
      <c r="C40">
        <f>Historical_Data!F160</f>
        <v>70.112739562988281</v>
      </c>
      <c r="D40">
        <f>Historical_Data!F281</f>
        <v>57.588630676269531</v>
      </c>
      <c r="E40">
        <f t="shared" si="0"/>
        <v>5.0111523145181372E-2</v>
      </c>
      <c r="F40">
        <f t="shared" si="1"/>
        <v>4.1012023612581494E-2</v>
      </c>
      <c r="G40">
        <f t="shared" si="2"/>
        <v>-7.318790909119785E-2</v>
      </c>
    </row>
    <row r="41" spans="1:7">
      <c r="A41" s="5">
        <f>Historical_Data!A40</f>
        <v>42767</v>
      </c>
      <c r="B41">
        <f>Historical_Data!F40</f>
        <v>118.93918609619141</v>
      </c>
      <c r="C41">
        <f>Historical_Data!F161</f>
        <v>73.467704772949219</v>
      </c>
      <c r="D41">
        <f>Historical_Data!F282</f>
        <v>55.824371337890625</v>
      </c>
      <c r="E41">
        <f t="shared" si="0"/>
        <v>2.9917233014228314E-2</v>
      </c>
      <c r="F41">
        <f t="shared" si="1"/>
        <v>4.6741407148442819E-2</v>
      </c>
      <c r="G41">
        <f t="shared" si="2"/>
        <v>-3.1114627764346803E-2</v>
      </c>
    </row>
    <row r="42" spans="1:7">
      <c r="A42" s="5">
        <f>Historical_Data!A41</f>
        <v>42795</v>
      </c>
      <c r="B42">
        <f>Historical_Data!F41</f>
        <v>116.09294891357422</v>
      </c>
      <c r="C42">
        <f>Historical_Data!F162</f>
        <v>72.483512878417969</v>
      </c>
      <c r="D42">
        <f>Historical_Data!F283</f>
        <v>56.812839508056641</v>
      </c>
      <c r="E42">
        <f t="shared" si="0"/>
        <v>-2.4221167289344134E-2</v>
      </c>
      <c r="F42">
        <f t="shared" si="1"/>
        <v>-1.3486791388286071E-2</v>
      </c>
      <c r="G42">
        <f t="shared" si="2"/>
        <v>1.7551811497080558E-2</v>
      </c>
    </row>
    <row r="43" spans="1:7">
      <c r="A43" s="5">
        <f>Historical_Data!A42</f>
        <v>42826</v>
      </c>
      <c r="B43">
        <f>Historical_Data!F42</f>
        <v>106.85964202880859</v>
      </c>
      <c r="C43">
        <f>Historical_Data!F163</f>
        <v>70.450599670410156</v>
      </c>
      <c r="D43">
        <f>Historical_Data!F284</f>
        <v>56.563449859619141</v>
      </c>
      <c r="E43">
        <f t="shared" si="0"/>
        <v>-8.2874937371842344E-2</v>
      </c>
      <c r="F43">
        <f t="shared" si="1"/>
        <v>-2.8447377117226912E-2</v>
      </c>
      <c r="G43">
        <f t="shared" si="2"/>
        <v>-4.3993334418511668E-3</v>
      </c>
    </row>
    <row r="44" spans="1:7">
      <c r="A44" s="5">
        <f>Historical_Data!A43</f>
        <v>42856</v>
      </c>
      <c r="B44">
        <f>Historical_Data!F43</f>
        <v>101.75298309326172</v>
      </c>
      <c r="C44">
        <f>Historical_Data!F164</f>
        <v>71.607841491699219</v>
      </c>
      <c r="D44">
        <f>Historical_Data!F285</f>
        <v>55.766796112060547</v>
      </c>
      <c r="E44">
        <f t="shared" si="0"/>
        <v>-4.8968074852965511E-2</v>
      </c>
      <c r="F44">
        <f t="shared" si="1"/>
        <v>1.6292835701822619E-2</v>
      </c>
      <c r="G44">
        <f t="shared" si="2"/>
        <v>-1.4184373898863695E-2</v>
      </c>
    </row>
    <row r="45" spans="1:7">
      <c r="A45" s="5">
        <f>Historical_Data!A44</f>
        <v>42887</v>
      </c>
      <c r="B45">
        <f>Historical_Data!F44</f>
        <v>103.55483245849609</v>
      </c>
      <c r="C45">
        <f>Historical_Data!F165</f>
        <v>70.843742370605469</v>
      </c>
      <c r="D45">
        <f>Historical_Data!F286</f>
        <v>56.454231262207031</v>
      </c>
      <c r="E45">
        <f t="shared" si="0"/>
        <v>1.7553112865228565E-2</v>
      </c>
      <c r="F45">
        <f t="shared" si="1"/>
        <v>-1.072794599589439E-2</v>
      </c>
      <c r="G45">
        <f t="shared" si="2"/>
        <v>1.2251603197363464E-2</v>
      </c>
    </row>
    <row r="46" spans="1:7">
      <c r="A46" s="5">
        <f>Historical_Data!A45</f>
        <v>42917</v>
      </c>
      <c r="B46">
        <f>Historical_Data!F45</f>
        <v>97.388526916503906</v>
      </c>
      <c r="C46">
        <f>Historical_Data!F166</f>
        <v>73.827056884765625</v>
      </c>
      <c r="D46">
        <f>Historical_Data!F287</f>
        <v>55.971736907958984</v>
      </c>
      <c r="E46">
        <f t="shared" si="0"/>
        <v>-6.1392844382824413E-2</v>
      </c>
      <c r="F46">
        <f t="shared" si="1"/>
        <v>4.1248648856387335E-2</v>
      </c>
      <c r="G46">
        <f t="shared" si="2"/>
        <v>-8.5833784558334222E-3</v>
      </c>
    </row>
    <row r="47" spans="1:7">
      <c r="A47" s="5">
        <f>Historical_Data!A46</f>
        <v>42948</v>
      </c>
      <c r="B47">
        <f>Historical_Data!F46</f>
        <v>96.284515380859375</v>
      </c>
      <c r="C47">
        <f>Historical_Data!F167</f>
        <v>75.594192504882813</v>
      </c>
      <c r="D47">
        <f>Historical_Data!F288</f>
        <v>53.377334594726563</v>
      </c>
      <c r="E47">
        <f t="shared" si="0"/>
        <v>-1.1400899999870727E-2</v>
      </c>
      <c r="F47">
        <f t="shared" si="1"/>
        <v>2.365417264537514E-2</v>
      </c>
      <c r="G47">
        <f t="shared" si="2"/>
        <v>-4.7460655188147675E-2</v>
      </c>
    </row>
    <row r="48" spans="1:7">
      <c r="A48" s="5">
        <f>Historical_Data!A47</f>
        <v>42979</v>
      </c>
      <c r="B48">
        <f>Historical_Data!F47</f>
        <v>98.696418762207031</v>
      </c>
      <c r="C48">
        <f>Historical_Data!F168</f>
        <v>74.537322998046875</v>
      </c>
      <c r="D48">
        <f>Historical_Data!F289</f>
        <v>57.884037017822266</v>
      </c>
      <c r="E48">
        <f t="shared" si="0"/>
        <v>2.474115146493101E-2</v>
      </c>
      <c r="F48">
        <f t="shared" si="1"/>
        <v>-1.4079481739731411E-2</v>
      </c>
      <c r="G48">
        <f t="shared" si="2"/>
        <v>8.1055437320991436E-2</v>
      </c>
    </row>
    <row r="49" spans="1:7">
      <c r="A49" s="5">
        <f>Historical_Data!A48</f>
        <v>43009</v>
      </c>
      <c r="B49">
        <f>Historical_Data!F48</f>
        <v>104.80541229248047</v>
      </c>
      <c r="C49">
        <f>Historical_Data!F169</f>
        <v>70.735908508300781</v>
      </c>
      <c r="D49">
        <f>Historical_Data!F290</f>
        <v>58.851360321044922</v>
      </c>
      <c r="E49">
        <f t="shared" si="0"/>
        <v>6.00567528553516E-2</v>
      </c>
      <c r="F49">
        <f t="shared" si="1"/>
        <v>-5.2346636118351088E-2</v>
      </c>
      <c r="G49">
        <f t="shared" si="2"/>
        <v>1.6573301102233984E-2</v>
      </c>
    </row>
    <row r="50" spans="1:7">
      <c r="A50" s="5">
        <f>Historical_Data!A49</f>
        <v>43040</v>
      </c>
      <c r="B50">
        <f>Historical_Data!F49</f>
        <v>104.74418640136719</v>
      </c>
      <c r="C50">
        <f>Historical_Data!F170</f>
        <v>74.278732299804688</v>
      </c>
      <c r="D50">
        <f>Historical_Data!F291</f>
        <v>58.808994293212891</v>
      </c>
      <c r="E50">
        <f t="shared" si="0"/>
        <v>-5.8435705185937007E-4</v>
      </c>
      <c r="F50">
        <f t="shared" si="1"/>
        <v>4.887132617291079E-2</v>
      </c>
      <c r="G50">
        <f t="shared" si="2"/>
        <v>-7.2014111808268598E-4</v>
      </c>
    </row>
    <row r="51" spans="1:7">
      <c r="A51" s="5">
        <f>Historical_Data!A50</f>
        <v>43070</v>
      </c>
      <c r="B51">
        <f>Historical_Data!F50</f>
        <v>105.41323089599609</v>
      </c>
      <c r="C51">
        <f>Historical_Data!F171</f>
        <v>75.838737487792969</v>
      </c>
      <c r="D51">
        <f>Historical_Data!F292</f>
        <v>59.602684020996094</v>
      </c>
      <c r="E51">
        <f t="shared" si="0"/>
        <v>6.3671010377394028E-3</v>
      </c>
      <c r="F51">
        <f t="shared" si="1"/>
        <v>2.0784540927933953E-2</v>
      </c>
      <c r="G51">
        <f t="shared" si="2"/>
        <v>1.3405799589595861E-2</v>
      </c>
    </row>
    <row r="52" spans="1:7">
      <c r="A52" s="5">
        <f>Historical_Data!A51</f>
        <v>43101</v>
      </c>
      <c r="B52">
        <f>Historical_Data!F51</f>
        <v>112.47647857666016</v>
      </c>
      <c r="C52">
        <f>Historical_Data!F172</f>
        <v>71.265968322753906</v>
      </c>
      <c r="D52">
        <f>Historical_Data!F293</f>
        <v>62.210834503173828</v>
      </c>
      <c r="E52">
        <f t="shared" si="0"/>
        <v>6.4855961914236676E-2</v>
      </c>
      <c r="F52">
        <f t="shared" si="1"/>
        <v>-6.2190299910139052E-2</v>
      </c>
      <c r="G52">
        <f t="shared" si="2"/>
        <v>4.2828565763420354E-2</v>
      </c>
    </row>
    <row r="53" spans="1:7">
      <c r="A53" s="5">
        <f>Historical_Data!A52</f>
        <v>43132</v>
      </c>
      <c r="B53">
        <f>Historical_Data!F52</f>
        <v>107.06909942626953</v>
      </c>
      <c r="C53">
        <f>Historical_Data!F173</f>
        <v>65.305343627929688</v>
      </c>
      <c r="D53">
        <f>Historical_Data!F294</f>
        <v>53.973064422607422</v>
      </c>
      <c r="E53">
        <f t="shared" si="0"/>
        <v>-4.9269705405313516E-2</v>
      </c>
      <c r="F53">
        <f t="shared" si="1"/>
        <v>-8.7345045940167371E-2</v>
      </c>
      <c r="G53">
        <f t="shared" si="2"/>
        <v>-0.14204405760012645</v>
      </c>
    </row>
    <row r="54" spans="1:7">
      <c r="A54" s="5">
        <f>Historical_Data!A53</f>
        <v>43160</v>
      </c>
      <c r="B54">
        <f>Historical_Data!F53</f>
        <v>106.45803833007813</v>
      </c>
      <c r="C54">
        <f>Historical_Data!F174</f>
        <v>65.937454223632813</v>
      </c>
      <c r="D54">
        <f>Historical_Data!F295</f>
        <v>53.711479187011719</v>
      </c>
      <c r="E54">
        <f t="shared" si="0"/>
        <v>-5.7235138421966045E-3</v>
      </c>
      <c r="F54">
        <f t="shared" si="1"/>
        <v>9.6327645226475488E-3</v>
      </c>
      <c r="G54">
        <f t="shared" si="2"/>
        <v>-4.858371338360294E-3</v>
      </c>
    </row>
    <row r="55" spans="1:7">
      <c r="A55" s="5">
        <f>Historical_Data!A54</f>
        <v>43191</v>
      </c>
      <c r="B55">
        <f>Historical_Data!F54</f>
        <v>100.58110809326172</v>
      </c>
      <c r="C55">
        <f>Historical_Data!F175</f>
        <v>60.165412902832031</v>
      </c>
      <c r="D55">
        <f>Historical_Data!F296</f>
        <v>55.971954345703125</v>
      </c>
      <c r="E55">
        <f t="shared" si="0"/>
        <v>-5.6786453501307878E-2</v>
      </c>
      <c r="F55">
        <f t="shared" si="1"/>
        <v>-9.1608978723769635E-2</v>
      </c>
      <c r="G55">
        <f t="shared" si="2"/>
        <v>4.1224006238429395E-2</v>
      </c>
    </row>
    <row r="56" spans="1:7">
      <c r="A56" s="5">
        <f>Historical_Data!A55</f>
        <v>43221</v>
      </c>
      <c r="B56">
        <f>Historical_Data!F55</f>
        <v>98.04852294921875</v>
      </c>
      <c r="C56">
        <f>Historical_Data!F176</f>
        <v>61.418872833251953</v>
      </c>
      <c r="D56">
        <f>Historical_Data!F297</f>
        <v>58.484394073486328</v>
      </c>
      <c r="E56">
        <f t="shared" si="0"/>
        <v>-2.5501959448964537E-2</v>
      </c>
      <c r="F56">
        <f t="shared" si="1"/>
        <v>2.0619512349803831E-2</v>
      </c>
      <c r="G56">
        <f t="shared" si="2"/>
        <v>4.3909200644311176E-2</v>
      </c>
    </row>
    <row r="57" spans="1:7">
      <c r="A57" s="5">
        <f>Historical_Data!A56</f>
        <v>43252</v>
      </c>
      <c r="B57">
        <f>Historical_Data!F56</f>
        <v>98.007453918457031</v>
      </c>
      <c r="C57">
        <f>Historical_Data!F177</f>
        <v>65.523544311523438</v>
      </c>
      <c r="D57">
        <f>Historical_Data!F298</f>
        <v>60.16070556640625</v>
      </c>
      <c r="E57">
        <f t="shared" si="0"/>
        <v>-4.1895209744253239E-4</v>
      </c>
      <c r="F57">
        <f t="shared" si="1"/>
        <v>6.4692370133013141E-2</v>
      </c>
      <c r="G57">
        <f t="shared" si="2"/>
        <v>2.8259457063495062E-2</v>
      </c>
    </row>
    <row r="58" spans="1:7">
      <c r="A58" s="5">
        <f>Historical_Data!A57</f>
        <v>43282</v>
      </c>
      <c r="B58">
        <f>Historical_Data!F57</f>
        <v>101.67658233642578</v>
      </c>
      <c r="C58">
        <f>Historical_Data!F178</f>
        <v>67.890640258789063</v>
      </c>
      <c r="D58">
        <f>Historical_Data!F299</f>
        <v>59.273548126220703</v>
      </c>
      <c r="E58">
        <f t="shared" si="0"/>
        <v>3.6753478190858641E-2</v>
      </c>
      <c r="F58">
        <f t="shared" si="1"/>
        <v>3.5488645904813369E-2</v>
      </c>
      <c r="G58">
        <f t="shared" si="2"/>
        <v>-1.4856269950160988E-2</v>
      </c>
    </row>
    <row r="59" spans="1:7">
      <c r="A59" s="5">
        <f>Historical_Data!A58</f>
        <v>43313</v>
      </c>
      <c r="B59">
        <f>Historical_Data!F58</f>
        <v>102.76399230957031</v>
      </c>
      <c r="C59">
        <f>Historical_Data!F179</f>
        <v>70.260116577148438</v>
      </c>
      <c r="D59">
        <f>Historical_Data!F300</f>
        <v>58.299102783203125</v>
      </c>
      <c r="E59">
        <f t="shared" si="0"/>
        <v>1.0638007938862441E-2</v>
      </c>
      <c r="F59">
        <f t="shared" si="1"/>
        <v>3.4306126966042245E-2</v>
      </c>
      <c r="G59">
        <f t="shared" si="2"/>
        <v>-1.6576434203084481E-2</v>
      </c>
    </row>
    <row r="60" spans="1:7">
      <c r="A60" s="5">
        <f>Historical_Data!A59</f>
        <v>43344</v>
      </c>
      <c r="B60">
        <f>Historical_Data!F59</f>
        <v>107.22845458984375</v>
      </c>
      <c r="C60">
        <f>Historical_Data!F180</f>
        <v>70.497283935546875</v>
      </c>
      <c r="D60">
        <f>Historical_Data!F301</f>
        <v>62.463695526123047</v>
      </c>
      <c r="E60">
        <f t="shared" si="0"/>
        <v>4.2526625721653513E-2</v>
      </c>
      <c r="F60">
        <f t="shared" si="1"/>
        <v>3.3698772778604355E-3</v>
      </c>
      <c r="G60">
        <f t="shared" si="2"/>
        <v>6.8998812804505635E-2</v>
      </c>
    </row>
    <row r="61" spans="1:7">
      <c r="A61" s="5">
        <f>Historical_Data!A60</f>
        <v>43374</v>
      </c>
      <c r="B61">
        <f>Historical_Data!F60</f>
        <v>81.855552673339844</v>
      </c>
      <c r="C61">
        <f>Historical_Data!F181</f>
        <v>75.113540649414063</v>
      </c>
      <c r="D61">
        <f>Historical_Data!F302</f>
        <v>58.540428161621094</v>
      </c>
      <c r="E61">
        <f t="shared" si="0"/>
        <v>-0.27000550688036923</v>
      </c>
      <c r="F61">
        <f t="shared" si="1"/>
        <v>6.3426660768614335E-2</v>
      </c>
      <c r="G61">
        <f t="shared" si="2"/>
        <v>-6.4867921151031516E-2</v>
      </c>
    </row>
    <row r="62" spans="1:7">
      <c r="A62" s="5">
        <f>Historical_Data!A61</f>
        <v>43405</v>
      </c>
      <c r="B62">
        <f>Historical_Data!F61</f>
        <v>88.12432861328125</v>
      </c>
      <c r="C62">
        <f>Historical_Data!F182</f>
        <v>80.758995056152344</v>
      </c>
      <c r="D62">
        <f>Historical_Data!F303</f>
        <v>58.408191680908203</v>
      </c>
      <c r="E62">
        <f t="shared" si="0"/>
        <v>7.3792501389165155E-2</v>
      </c>
      <c r="F62">
        <f t="shared" si="1"/>
        <v>7.2468505675389164E-2</v>
      </c>
      <c r="G62">
        <f t="shared" si="2"/>
        <v>-2.2614467318602203E-3</v>
      </c>
    </row>
    <row r="63" spans="1:7">
      <c r="A63" s="5">
        <f>Historical_Data!A62</f>
        <v>43435</v>
      </c>
      <c r="B63">
        <f>Historical_Data!F62</f>
        <v>81.634117126464844</v>
      </c>
      <c r="C63">
        <f>Historical_Data!F183</f>
        <v>78.54583740234375</v>
      </c>
      <c r="D63">
        <f>Historical_Data!F304</f>
        <v>50.606658935546875</v>
      </c>
      <c r="E63">
        <f t="shared" si="0"/>
        <v>-7.6501365900947429E-2</v>
      </c>
      <c r="F63">
        <f t="shared" si="1"/>
        <v>-2.7786979453966895E-2</v>
      </c>
      <c r="G63">
        <f t="shared" si="2"/>
        <v>-0.14337298135447626</v>
      </c>
    </row>
    <row r="64" spans="1:7">
      <c r="A64" s="5">
        <f>Historical_Data!A63</f>
        <v>43466</v>
      </c>
      <c r="B64">
        <f>Historical_Data!F63</f>
        <v>96.536109924316406</v>
      </c>
      <c r="C64">
        <f>Historical_Data!F184</f>
        <v>82.433830261230469</v>
      </c>
      <c r="D64">
        <f>Historical_Data!F305</f>
        <v>54.384159088134766</v>
      </c>
      <c r="E64">
        <f t="shared" si="0"/>
        <v>0.1676698578281744</v>
      </c>
      <c r="F64">
        <f t="shared" si="1"/>
        <v>4.8313543751645503E-2</v>
      </c>
      <c r="G64">
        <f t="shared" si="2"/>
        <v>7.1989751072398675E-2</v>
      </c>
    </row>
    <row r="65" spans="1:7">
      <c r="A65" s="5">
        <f>Historical_Data!A64</f>
        <v>43497</v>
      </c>
      <c r="B65">
        <f>Historical_Data!F64</f>
        <v>99.200508117675781</v>
      </c>
      <c r="C65">
        <f>Historical_Data!F185</f>
        <v>84.877235412597656</v>
      </c>
      <c r="D65">
        <f>Historical_Data!F306</f>
        <v>58.6514892578125</v>
      </c>
      <c r="E65">
        <f t="shared" si="0"/>
        <v>2.7226001973755427E-2</v>
      </c>
      <c r="F65">
        <f t="shared" si="1"/>
        <v>2.921000915483719E-2</v>
      </c>
      <c r="G65">
        <f t="shared" si="2"/>
        <v>7.5540048843075538E-2</v>
      </c>
    </row>
    <row r="66" spans="1:7">
      <c r="A66" s="5">
        <f>Historical_Data!A65</f>
        <v>43525</v>
      </c>
      <c r="B66">
        <f>Historical_Data!F65</f>
        <v>102.51412200927734</v>
      </c>
      <c r="C66">
        <f>Historical_Data!F186</f>
        <v>89.614189147949219</v>
      </c>
      <c r="D66">
        <f>Historical_Data!F307</f>
        <v>60.63079833984375</v>
      </c>
      <c r="E66">
        <f t="shared" si="0"/>
        <v>3.2857428356830788E-2</v>
      </c>
      <c r="F66">
        <f t="shared" si="1"/>
        <v>5.4307745233636892E-2</v>
      </c>
      <c r="G66">
        <f t="shared" si="2"/>
        <v>3.3190020336072303E-2</v>
      </c>
    </row>
    <row r="67" spans="1:7">
      <c r="A67" s="5">
        <f>Historical_Data!A66</f>
        <v>43556</v>
      </c>
      <c r="B67">
        <f>Historical_Data!F66</f>
        <v>101.91110229492188</v>
      </c>
      <c r="C67">
        <f>Historical_Data!F187</f>
        <v>91.70703125</v>
      </c>
      <c r="D67">
        <f>Historical_Data!F308</f>
        <v>60.240604400634766</v>
      </c>
      <c r="E67">
        <f t="shared" si="0"/>
        <v>-5.8996776496198092E-3</v>
      </c>
      <c r="F67">
        <f t="shared" si="1"/>
        <v>2.3085384516625646E-2</v>
      </c>
      <c r="G67">
        <f t="shared" si="2"/>
        <v>-6.4563707508719101E-3</v>
      </c>
    </row>
    <row r="68" spans="1:7">
      <c r="A68" s="5">
        <f>Historical_Data!A67</f>
        <v>43586</v>
      </c>
      <c r="B68">
        <f>Historical_Data!F67</f>
        <v>92.262725830078125</v>
      </c>
      <c r="C68">
        <f>Historical_Data!F188</f>
        <v>89.258041381835938</v>
      </c>
      <c r="D68">
        <f>Historical_Data!F309</f>
        <v>53.104469299316406</v>
      </c>
      <c r="E68">
        <f t="shared" si="0"/>
        <v>-9.9460664354872913E-2</v>
      </c>
      <c r="F68">
        <f t="shared" si="1"/>
        <v>-2.7067536868545902E-2</v>
      </c>
      <c r="G68">
        <f t="shared" si="2"/>
        <v>-0.12608552435096196</v>
      </c>
    </row>
    <row r="69" spans="1:7">
      <c r="A69" s="5">
        <f>Historical_Data!A68</f>
        <v>43617</v>
      </c>
      <c r="B69">
        <f>Historical_Data!F68</f>
        <v>101.37931823730469</v>
      </c>
      <c r="C69">
        <f>Historical_Data!F189</f>
        <v>95.103912353515625</v>
      </c>
      <c r="D69">
        <f>Historical_Data!F310</f>
        <v>58.160820007324219</v>
      </c>
      <c r="E69">
        <f t="shared" ref="E69:E123" si="12">LN(B69/B68)</f>
        <v>9.422888541317806E-2</v>
      </c>
      <c r="F69">
        <f t="shared" ref="F69:F123" si="13">LN(C69/C68)</f>
        <v>6.3438591951736262E-2</v>
      </c>
      <c r="G69">
        <f t="shared" ref="G69:G123" si="14">LN(D69/D68)</f>
        <v>9.0950839987530438E-2</v>
      </c>
    </row>
    <row r="70" spans="1:7">
      <c r="A70" s="5">
        <f>Historical_Data!A69</f>
        <v>43647</v>
      </c>
      <c r="B70">
        <f>Historical_Data!F69</f>
        <v>108.98092651367188</v>
      </c>
      <c r="C70">
        <f>Historical_Data!F190</f>
        <v>102.38090515136719</v>
      </c>
      <c r="D70">
        <f>Historical_Data!F311</f>
        <v>56.437931060791016</v>
      </c>
      <c r="E70">
        <f t="shared" si="12"/>
        <v>7.2303772606970559E-2</v>
      </c>
      <c r="F70">
        <f t="shared" si="13"/>
        <v>7.3730114016815521E-2</v>
      </c>
      <c r="G70">
        <f t="shared" si="14"/>
        <v>-3.0070463297433646E-2</v>
      </c>
    </row>
    <row r="71" spans="1:7">
      <c r="A71" s="5">
        <f>Historical_Data!A70</f>
        <v>43678</v>
      </c>
      <c r="B71">
        <f>Historical_Data!F70</f>
        <v>99.636978149414063</v>
      </c>
      <c r="C71">
        <f>Historical_Data!F191</f>
        <v>104.95571136474609</v>
      </c>
      <c r="D71">
        <f>Historical_Data!F312</f>
        <v>51.975116729736328</v>
      </c>
      <c r="E71">
        <f t="shared" si="12"/>
        <v>-8.9639518555626629E-2</v>
      </c>
      <c r="F71">
        <f t="shared" si="13"/>
        <v>2.4838242564167039E-2</v>
      </c>
      <c r="G71">
        <f t="shared" si="14"/>
        <v>-8.2376389367581709E-2</v>
      </c>
    </row>
    <row r="72" spans="1:7">
      <c r="A72" s="5">
        <f>Historical_Data!A71</f>
        <v>43709</v>
      </c>
      <c r="B72">
        <f>Historical_Data!F71</f>
        <v>108.16743469238281</v>
      </c>
      <c r="C72">
        <f>Historical_Data!F192</f>
        <v>108.57847595214844</v>
      </c>
      <c r="D72">
        <f>Historical_Data!F313</f>
        <v>54.258098602294922</v>
      </c>
      <c r="E72">
        <f t="shared" si="12"/>
        <v>8.2146985594097305E-2</v>
      </c>
      <c r="F72">
        <f t="shared" si="13"/>
        <v>3.3934727553953895E-2</v>
      </c>
      <c r="G72">
        <f t="shared" si="14"/>
        <v>4.2987184646655872E-2</v>
      </c>
    </row>
    <row r="73" spans="1:7">
      <c r="A73" s="5">
        <f>Historical_Data!A72</f>
        <v>43739</v>
      </c>
      <c r="B73">
        <f>Historical_Data!F72</f>
        <v>99.472076416015625</v>
      </c>
      <c r="C73">
        <f>Historical_Data!F193</f>
        <v>108.69196319580078</v>
      </c>
      <c r="D73">
        <f>Historical_Data!F314</f>
        <v>51.922111511230469</v>
      </c>
      <c r="E73">
        <f t="shared" si="12"/>
        <v>-8.380338209963091E-2</v>
      </c>
      <c r="F73">
        <f t="shared" si="13"/>
        <v>1.0446635485096519E-3</v>
      </c>
      <c r="G73">
        <f t="shared" si="14"/>
        <v>-4.4007524149487311E-2</v>
      </c>
    </row>
    <row r="74" spans="1:7">
      <c r="A74" s="5">
        <f>Historical_Data!A73</f>
        <v>43770</v>
      </c>
      <c r="B74">
        <f>Historical_Data!F73</f>
        <v>100.00764465332031</v>
      </c>
      <c r="C74">
        <f>Historical_Data!F194</f>
        <v>107.23384857177734</v>
      </c>
      <c r="D74">
        <f>Historical_Data!F315</f>
        <v>52.352432250976563</v>
      </c>
      <c r="E74">
        <f t="shared" si="12"/>
        <v>5.3696638563820098E-3</v>
      </c>
      <c r="F74">
        <f t="shared" si="13"/>
        <v>-1.3505905352526423E-2</v>
      </c>
      <c r="G74">
        <f t="shared" si="14"/>
        <v>8.25365745286143E-3</v>
      </c>
    </row>
    <row r="75" spans="1:7">
      <c r="A75" s="5">
        <f>Historical_Data!A74</f>
        <v>43800</v>
      </c>
      <c r="B75">
        <f>Historical_Data!F74</f>
        <v>100.88023376464844</v>
      </c>
      <c r="C75">
        <f>Historical_Data!F195</f>
        <v>109.72888946533203</v>
      </c>
      <c r="D75">
        <f>Historical_Data!F316</f>
        <v>54.266963958740234</v>
      </c>
      <c r="E75">
        <f t="shared" si="12"/>
        <v>8.6873793092156638E-3</v>
      </c>
      <c r="F75">
        <f t="shared" si="13"/>
        <v>2.3000731940229117E-2</v>
      </c>
      <c r="G75">
        <f t="shared" si="14"/>
        <v>3.5917245666530685E-2</v>
      </c>
    </row>
    <row r="76" spans="1:7">
      <c r="A76" s="5">
        <f>Historical_Data!A75</f>
        <v>43831</v>
      </c>
      <c r="B76">
        <f>Historical_Data!F75</f>
        <v>108.17306518554688</v>
      </c>
      <c r="C76">
        <f>Historical_Data!F196</f>
        <v>109.48288726806641</v>
      </c>
      <c r="D76">
        <f>Historical_Data!F317</f>
        <v>48.309890747070313</v>
      </c>
      <c r="E76">
        <f t="shared" si="12"/>
        <v>6.9798391075620497E-2</v>
      </c>
      <c r="F76">
        <f t="shared" si="13"/>
        <v>-2.2444259537516094E-3</v>
      </c>
      <c r="G76">
        <f t="shared" si="14"/>
        <v>-0.11627932617392911</v>
      </c>
    </row>
    <row r="77" spans="1:7">
      <c r="A77" s="5">
        <f>Historical_Data!A76</f>
        <v>43862</v>
      </c>
      <c r="B77">
        <f>Historical_Data!F76</f>
        <v>97.952590942382813</v>
      </c>
      <c r="C77">
        <f>Historical_Data!F197</f>
        <v>100.06739044189453</v>
      </c>
      <c r="D77">
        <f>Historical_Data!F318</f>
        <v>40.004196166992188</v>
      </c>
      <c r="E77">
        <f t="shared" si="12"/>
        <v>-9.9248804260196555E-2</v>
      </c>
      <c r="F77">
        <f t="shared" si="13"/>
        <v>-8.992439295111386E-2</v>
      </c>
      <c r="G77">
        <f t="shared" si="14"/>
        <v>-0.18865196427987627</v>
      </c>
    </row>
    <row r="78" spans="1:7">
      <c r="A78" s="5">
        <f>Historical_Data!A77</f>
        <v>43891</v>
      </c>
      <c r="B78">
        <f>Historical_Data!F77</f>
        <v>84.359153747558594</v>
      </c>
      <c r="C78">
        <f>Historical_Data!F198</f>
        <v>97.212882995605469</v>
      </c>
      <c r="D78">
        <f>Historical_Data!F319</f>
        <v>29.952692031860352</v>
      </c>
      <c r="E78">
        <f t="shared" si="12"/>
        <v>-0.14940027160572034</v>
      </c>
      <c r="F78">
        <f t="shared" si="13"/>
        <v>-2.8940619644770398E-2</v>
      </c>
      <c r="G78">
        <f t="shared" si="14"/>
        <v>-0.2893651480622183</v>
      </c>
    </row>
    <row r="79" spans="1:7">
      <c r="A79" s="5">
        <f>Historical_Data!A78</f>
        <v>43922</v>
      </c>
      <c r="B79">
        <f>Historical_Data!F78</f>
        <v>95.484848022460938</v>
      </c>
      <c r="C79">
        <f>Historical_Data!F199</f>
        <v>104.16801452636719</v>
      </c>
      <c r="D79">
        <f>Historical_Data!F320</f>
        <v>36.657924652099609</v>
      </c>
      <c r="E79">
        <f t="shared" si="12"/>
        <v>0.12388425132994534</v>
      </c>
      <c r="F79">
        <f t="shared" si="13"/>
        <v>6.9101876087108438E-2</v>
      </c>
      <c r="G79">
        <f t="shared" si="14"/>
        <v>0.20201042539451278</v>
      </c>
    </row>
    <row r="80" spans="1:7">
      <c r="A80" s="5">
        <f>Historical_Data!A79</f>
        <v>43952</v>
      </c>
      <c r="B80">
        <f>Historical_Data!F79</f>
        <v>94.982940673828125</v>
      </c>
      <c r="C80">
        <f>Historical_Data!F200</f>
        <v>103.12792205810547</v>
      </c>
      <c r="D80">
        <f>Historical_Data!F321</f>
        <v>35.869075775146484</v>
      </c>
      <c r="E80">
        <f t="shared" si="12"/>
        <v>-5.2702718271275262E-3</v>
      </c>
      <c r="F80">
        <f t="shared" si="13"/>
        <v>-1.0034940515442547E-2</v>
      </c>
      <c r="G80">
        <f t="shared" si="14"/>
        <v>-2.1754104863062829E-2</v>
      </c>
    </row>
    <row r="81" spans="1:7">
      <c r="A81" s="5">
        <f>Historical_Data!A80</f>
        <v>43983</v>
      </c>
      <c r="B81">
        <f>Historical_Data!F80</f>
        <v>93.073921203613281</v>
      </c>
      <c r="C81">
        <f>Historical_Data!F201</f>
        <v>106.37512969970703</v>
      </c>
      <c r="D81">
        <f>Historical_Data!F322</f>
        <v>35.961441040039063</v>
      </c>
      <c r="E81">
        <f t="shared" si="12"/>
        <v>-2.0303274543413484E-2</v>
      </c>
      <c r="F81">
        <f t="shared" si="13"/>
        <v>3.1001626799171293E-2</v>
      </c>
      <c r="G81">
        <f t="shared" si="14"/>
        <v>2.5717569605788583E-3</v>
      </c>
    </row>
    <row r="82" spans="1:7">
      <c r="A82" s="5">
        <f>Historical_Data!A81</f>
        <v>44013</v>
      </c>
      <c r="B82">
        <f>Historical_Data!F81</f>
        <v>94.746261596679688</v>
      </c>
      <c r="C82">
        <f>Historical_Data!F202</f>
        <v>116.65053558349609</v>
      </c>
      <c r="D82">
        <f>Historical_Data!F323</f>
        <v>33.838489532470703</v>
      </c>
      <c r="E82">
        <f t="shared" si="12"/>
        <v>1.780835866240468E-2</v>
      </c>
      <c r="F82">
        <f t="shared" si="13"/>
        <v>9.2210783667003623E-2</v>
      </c>
      <c r="G82">
        <f t="shared" si="14"/>
        <v>-6.0848384039953844E-2</v>
      </c>
    </row>
    <row r="83" spans="1:7">
      <c r="A83" s="5">
        <f>Historical_Data!A82</f>
        <v>44044</v>
      </c>
      <c r="B83">
        <f>Historical_Data!F82</f>
        <v>95.031417846679688</v>
      </c>
      <c r="C83">
        <f>Historical_Data!F203</f>
        <v>123.84150695800781</v>
      </c>
      <c r="D83">
        <f>Historical_Data!F324</f>
        <v>32.11761474609375</v>
      </c>
      <c r="E83">
        <f t="shared" si="12"/>
        <v>3.0051633621020432E-3</v>
      </c>
      <c r="F83">
        <f t="shared" si="13"/>
        <v>5.9819988527454952E-2</v>
      </c>
      <c r="G83">
        <f t="shared" si="14"/>
        <v>-5.2194272562360734E-2</v>
      </c>
    </row>
    <row r="84" spans="1:7">
      <c r="A84" s="5">
        <f>Historical_Data!A83</f>
        <v>44075</v>
      </c>
      <c r="B84">
        <f>Historical_Data!F83</f>
        <v>94.995246887207031</v>
      </c>
      <c r="C84">
        <f>Historical_Data!F204</f>
        <v>124.43235778808594</v>
      </c>
      <c r="D84">
        <f>Historical_Data!F325</f>
        <v>28.150970458984375</v>
      </c>
      <c r="E84">
        <f t="shared" si="12"/>
        <v>-3.8069351961898709E-4</v>
      </c>
      <c r="F84">
        <f t="shared" si="13"/>
        <v>4.7596789628794513E-3</v>
      </c>
      <c r="G84">
        <f t="shared" si="14"/>
        <v>-0.13182279705843736</v>
      </c>
    </row>
    <row r="85" spans="1:7">
      <c r="A85" s="5">
        <f>Historical_Data!A84</f>
        <v>44105</v>
      </c>
      <c r="B85">
        <f>Historical_Data!F84</f>
        <v>87.179817199707031</v>
      </c>
      <c r="C85">
        <f>Historical_Data!F205</f>
        <v>122.74032592773438</v>
      </c>
      <c r="D85">
        <f>Historical_Data!F326</f>
        <v>26.748752593994141</v>
      </c>
      <c r="E85">
        <f t="shared" si="12"/>
        <v>-8.585400758912598E-2</v>
      </c>
      <c r="F85">
        <f t="shared" si="13"/>
        <v>-1.369130492931162E-2</v>
      </c>
      <c r="G85">
        <f t="shared" si="14"/>
        <v>-5.1093988301250469E-2</v>
      </c>
    </row>
    <row r="86" spans="1:7">
      <c r="A86" s="5">
        <f>Historical_Data!A85</f>
        <v>44136</v>
      </c>
      <c r="B86">
        <f>Historical_Data!F85</f>
        <v>96.439666748046875</v>
      </c>
      <c r="C86">
        <f>Historical_Data!F206</f>
        <v>125.01525115966797</v>
      </c>
      <c r="D86">
        <f>Historical_Data!F327</f>
        <v>31.267011642456055</v>
      </c>
      <c r="E86">
        <f t="shared" si="12"/>
        <v>0.10094474777687193</v>
      </c>
      <c r="F86">
        <f t="shared" si="13"/>
        <v>1.8364786747605846E-2</v>
      </c>
      <c r="G86">
        <f t="shared" si="14"/>
        <v>0.1560757603695235</v>
      </c>
    </row>
    <row r="87" spans="1:7">
      <c r="A87" s="5">
        <f>Historical_Data!A86</f>
        <v>44166</v>
      </c>
      <c r="B87">
        <f>Historical_Data!F86</f>
        <v>99.7073974609375</v>
      </c>
      <c r="C87">
        <f>Historical_Data!F207</f>
        <v>125.25830078125</v>
      </c>
      <c r="D87">
        <f>Historical_Data!F328</f>
        <v>34.616344451904297</v>
      </c>
      <c r="E87">
        <f t="shared" si="12"/>
        <v>3.3322273645929955E-2</v>
      </c>
      <c r="F87">
        <f t="shared" si="13"/>
        <v>1.9422723344457225E-3</v>
      </c>
      <c r="G87">
        <f t="shared" si="14"/>
        <v>0.10176235290495211</v>
      </c>
    </row>
    <row r="88" spans="1:7">
      <c r="A88" s="5">
        <f>Historical_Data!A87</f>
        <v>44197</v>
      </c>
      <c r="B88">
        <f>Historical_Data!F87</f>
        <v>94.345001220703125</v>
      </c>
      <c r="C88">
        <f>Historical_Data!F208</f>
        <v>115.41876983642578</v>
      </c>
      <c r="D88">
        <f>Historical_Data!F329</f>
        <v>37.656402587890625</v>
      </c>
      <c r="E88">
        <f t="shared" si="12"/>
        <v>-5.5281582237901597E-2</v>
      </c>
      <c r="F88">
        <f t="shared" si="13"/>
        <v>-8.1811020394686448E-2</v>
      </c>
      <c r="G88">
        <f t="shared" si="14"/>
        <v>8.4177041714408499E-2</v>
      </c>
    </row>
    <row r="89" spans="1:7">
      <c r="A89" s="5">
        <f>Historical_Data!A88</f>
        <v>44228</v>
      </c>
      <c r="B89">
        <f>Historical_Data!F88</f>
        <v>94.202415466308594</v>
      </c>
      <c r="C89">
        <f>Historical_Data!F209</f>
        <v>111.87645721435547</v>
      </c>
      <c r="D89">
        <f>Historical_Data!F330</f>
        <v>45.659641265869141</v>
      </c>
      <c r="E89">
        <f t="shared" si="12"/>
        <v>-1.5124660319506308E-3</v>
      </c>
      <c r="F89">
        <f t="shared" si="13"/>
        <v>-3.1171789186974174E-2</v>
      </c>
      <c r="G89">
        <f t="shared" si="14"/>
        <v>0.19271178918853973</v>
      </c>
    </row>
    <row r="90" spans="1:7">
      <c r="A90" s="5">
        <f>Historical_Data!A89</f>
        <v>44256</v>
      </c>
      <c r="B90">
        <f>Historical_Data!F89</f>
        <v>106.96346282958984</v>
      </c>
      <c r="C90">
        <f>Historical_Data!F210</f>
        <v>122.65382385253906</v>
      </c>
      <c r="D90">
        <f>Historical_Data!F331</f>
        <v>47.681964874267578</v>
      </c>
      <c r="E90">
        <f t="shared" si="12"/>
        <v>0.1270414841193519</v>
      </c>
      <c r="F90">
        <f t="shared" si="13"/>
        <v>9.1970745275518226E-2</v>
      </c>
      <c r="G90">
        <f t="shared" si="14"/>
        <v>4.3338447087403614E-2</v>
      </c>
    </row>
    <row r="91" spans="1:7">
      <c r="A91" s="5">
        <f>Historical_Data!A90</f>
        <v>44287</v>
      </c>
      <c r="B91">
        <f>Historical_Data!F90</f>
        <v>113.88246154785156</v>
      </c>
      <c r="C91">
        <f>Historical_Data!F211</f>
        <v>120.83345794677734</v>
      </c>
      <c r="D91">
        <f>Historical_Data!F332</f>
        <v>48.886188507080078</v>
      </c>
      <c r="E91">
        <f t="shared" si="12"/>
        <v>6.2679570188373793E-2</v>
      </c>
      <c r="F91">
        <f t="shared" si="13"/>
        <v>-1.4952730255659363E-2</v>
      </c>
      <c r="G91">
        <f t="shared" si="14"/>
        <v>2.4941681448802978E-2</v>
      </c>
    </row>
    <row r="92" spans="1:7">
      <c r="A92" s="5">
        <f>Historical_Data!A91</f>
        <v>44317</v>
      </c>
      <c r="B92">
        <f>Historical_Data!F91</f>
        <v>115.37542724609375</v>
      </c>
      <c r="C92">
        <f>Historical_Data!F212</f>
        <v>122.90994262695313</v>
      </c>
      <c r="D92">
        <f>Historical_Data!F333</f>
        <v>49.851272583007813</v>
      </c>
      <c r="E92">
        <f t="shared" si="12"/>
        <v>1.3024518470063329E-2</v>
      </c>
      <c r="F92">
        <f t="shared" si="13"/>
        <v>1.7038696527929231E-2</v>
      </c>
      <c r="G92">
        <f t="shared" si="14"/>
        <v>1.9549111358776978E-2</v>
      </c>
    </row>
    <row r="93" spans="1:7">
      <c r="A93" s="5">
        <f>Historical_Data!A92</f>
        <v>44348</v>
      </c>
      <c r="B93">
        <f>Historical_Data!F92</f>
        <v>118.97767639160156</v>
      </c>
      <c r="C93">
        <f>Historical_Data!F213</f>
        <v>122.98283386230469</v>
      </c>
      <c r="D93">
        <f>Historical_Data!F334</f>
        <v>54.658714294433594</v>
      </c>
      <c r="E93">
        <f t="shared" si="12"/>
        <v>3.0744486241579234E-2</v>
      </c>
      <c r="F93">
        <f t="shared" si="13"/>
        <v>5.9287009994636326E-4</v>
      </c>
      <c r="G93">
        <f t="shared" si="14"/>
        <v>9.2064634023595507E-2</v>
      </c>
    </row>
    <row r="94" spans="1:7">
      <c r="A94" s="5">
        <f>Historical_Data!A93</f>
        <v>44378</v>
      </c>
      <c r="B94">
        <f>Historical_Data!F93</f>
        <v>114.40818786621094</v>
      </c>
      <c r="C94">
        <f>Historical_Data!F214</f>
        <v>129.63648986816406</v>
      </c>
      <c r="D94">
        <f>Historical_Data!F335</f>
        <v>49.884311676025391</v>
      </c>
      <c r="E94">
        <f t="shared" si="12"/>
        <v>-3.9163233524196046E-2</v>
      </c>
      <c r="F94">
        <f t="shared" si="13"/>
        <v>5.2689518375349333E-2</v>
      </c>
      <c r="G94">
        <f t="shared" si="14"/>
        <v>-9.1402100295607067E-2</v>
      </c>
    </row>
    <row r="95" spans="1:7">
      <c r="A95" s="5">
        <f>Historical_Data!A94</f>
        <v>44409</v>
      </c>
      <c r="B95">
        <f>Historical_Data!F94</f>
        <v>113.90498352050781</v>
      </c>
      <c r="C95">
        <f>Historical_Data!F215</f>
        <v>130.59857177734375</v>
      </c>
      <c r="D95">
        <f>Historical_Data!F336</f>
        <v>47.241481781005859</v>
      </c>
      <c r="E95">
        <f t="shared" si="12"/>
        <v>-4.4080256732203765E-3</v>
      </c>
      <c r="F95">
        <f t="shared" si="13"/>
        <v>7.3939790145979498E-3</v>
      </c>
      <c r="G95">
        <f t="shared" si="14"/>
        <v>-5.4434200134557152E-2</v>
      </c>
    </row>
    <row r="96" spans="1:7">
      <c r="A96" s="5">
        <f>Historical_Data!A95</f>
        <v>44440</v>
      </c>
      <c r="B96">
        <f>Historical_Data!F95</f>
        <v>114.05875396728516</v>
      </c>
      <c r="C96">
        <f>Historical_Data!F216</f>
        <v>128.2230224609375</v>
      </c>
      <c r="D96">
        <f>Historical_Data!F337</f>
        <v>51.738857269287109</v>
      </c>
      <c r="E96">
        <f t="shared" si="12"/>
        <v>1.3490783384580282E-3</v>
      </c>
      <c r="F96">
        <f t="shared" si="13"/>
        <v>-1.8357170185393241E-2</v>
      </c>
      <c r="G96">
        <f t="shared" si="14"/>
        <v>9.0936732572917608E-2</v>
      </c>
    </row>
    <row r="97" spans="1:7">
      <c r="A97" s="5">
        <f>Historical_Data!A96</f>
        <v>44470</v>
      </c>
      <c r="B97">
        <f>Historical_Data!F96</f>
        <v>102.70461273193359</v>
      </c>
      <c r="C97">
        <f>Historical_Data!F217</f>
        <v>131.14883422851563</v>
      </c>
      <c r="D97">
        <f>Historical_Data!F338</f>
        <v>56.708675384521484</v>
      </c>
      <c r="E97">
        <f t="shared" si="12"/>
        <v>-0.10485667075649589</v>
      </c>
      <c r="F97">
        <f t="shared" si="13"/>
        <v>2.2561706690281996E-2</v>
      </c>
      <c r="G97">
        <f t="shared" si="14"/>
        <v>9.1718113554400849E-2</v>
      </c>
    </row>
    <row r="98" spans="1:7">
      <c r="A98" s="5">
        <f>Historical_Data!A97</f>
        <v>44501</v>
      </c>
      <c r="B98">
        <f>Historical_Data!F97</f>
        <v>100.55903625488281</v>
      </c>
      <c r="C98">
        <f>Historical_Data!F218</f>
        <v>133.42927551269531</v>
      </c>
      <c r="D98">
        <f>Historical_Data!F339</f>
        <v>52.636062622070313</v>
      </c>
      <c r="E98">
        <f t="shared" si="12"/>
        <v>-2.1112050096281532E-2</v>
      </c>
      <c r="F98">
        <f t="shared" si="13"/>
        <v>1.7238748588874711E-2</v>
      </c>
      <c r="G98">
        <f t="shared" si="14"/>
        <v>-7.4525718041062089E-2</v>
      </c>
    </row>
    <row r="99" spans="1:7">
      <c r="A99" s="5">
        <f>Historical_Data!A98</f>
        <v>44531</v>
      </c>
      <c r="B99">
        <f>Historical_Data!F98</f>
        <v>116.31151580810547</v>
      </c>
      <c r="C99">
        <f>Historical_Data!F219</f>
        <v>150.96389770507813</v>
      </c>
      <c r="D99">
        <f>Historical_Data!F340</f>
        <v>54.546890258789063</v>
      </c>
      <c r="E99">
        <f t="shared" si="12"/>
        <v>0.14552709229501745</v>
      </c>
      <c r="F99">
        <f t="shared" si="13"/>
        <v>0.12346915416163184</v>
      </c>
      <c r="G99">
        <f t="shared" si="14"/>
        <v>3.5659217475920449E-2</v>
      </c>
    </row>
    <row r="100" spans="1:7">
      <c r="A100" s="5">
        <f>Historical_Data!A99</f>
        <v>44562</v>
      </c>
      <c r="B100">
        <f>Historical_Data!F99</f>
        <v>116.23319244384766</v>
      </c>
      <c r="C100">
        <f>Historical_Data!F220</f>
        <v>148.07530212402344</v>
      </c>
      <c r="D100">
        <f>Historical_Data!F341</f>
        <v>67.71337890625</v>
      </c>
      <c r="E100">
        <f t="shared" si="12"/>
        <v>-6.7361986267729915E-4</v>
      </c>
      <c r="F100">
        <f t="shared" si="13"/>
        <v>-1.9319777677455019E-2</v>
      </c>
      <c r="G100">
        <f t="shared" si="14"/>
        <v>0.21622307738773511</v>
      </c>
    </row>
    <row r="101" spans="1:7">
      <c r="A101" s="5">
        <f>Historical_Data!A100</f>
        <v>44593</v>
      </c>
      <c r="B101">
        <f>Historical_Data!F100</f>
        <v>106.60874938964844</v>
      </c>
      <c r="C101">
        <f>Historical_Data!F221</f>
        <v>144.64375305175781</v>
      </c>
      <c r="D101">
        <f>Historical_Data!F342</f>
        <v>69.90631103515625</v>
      </c>
      <c r="E101">
        <f t="shared" si="12"/>
        <v>-8.6432867696818544E-2</v>
      </c>
      <c r="F101">
        <f t="shared" si="13"/>
        <v>-2.3447098661248486E-2</v>
      </c>
      <c r="G101">
        <f t="shared" si="14"/>
        <v>3.1872150919914452E-2</v>
      </c>
    </row>
    <row r="102" spans="1:7">
      <c r="A102" s="5">
        <f>Historical_Data!A101</f>
        <v>44621</v>
      </c>
      <c r="B102">
        <f>Historical_Data!F101</f>
        <v>114.5068359375</v>
      </c>
      <c r="C102">
        <f>Historical_Data!F222</f>
        <v>141.77668762207031</v>
      </c>
      <c r="D102">
        <f>Historical_Data!F343</f>
        <v>74.439765930175781</v>
      </c>
      <c r="E102">
        <f t="shared" si="12"/>
        <v>7.1468938533491247E-2</v>
      </c>
      <c r="F102">
        <f t="shared" si="13"/>
        <v>-2.0020646491347861E-2</v>
      </c>
      <c r="G102">
        <f t="shared" si="14"/>
        <v>6.2834355569705055E-2</v>
      </c>
    </row>
    <row r="103" spans="1:7">
      <c r="A103" s="5">
        <f>Historical_Data!A102</f>
        <v>44652</v>
      </c>
      <c r="B103">
        <f>Historical_Data!F102</f>
        <v>116.43556213378906</v>
      </c>
      <c r="C103">
        <f>Historical_Data!F223</f>
        <v>148.96757507324219</v>
      </c>
      <c r="D103">
        <f>Historical_Data!F344</f>
        <v>76.837295532226563</v>
      </c>
      <c r="E103">
        <f t="shared" si="12"/>
        <v>1.6703481526861189E-2</v>
      </c>
      <c r="F103">
        <f t="shared" si="13"/>
        <v>4.9475467952417654E-2</v>
      </c>
      <c r="G103">
        <f t="shared" si="14"/>
        <v>3.1699853828262951E-2</v>
      </c>
    </row>
    <row r="104" spans="1:7">
      <c r="A104" s="5">
        <f>Historical_Data!A103</f>
        <v>44682</v>
      </c>
      <c r="B104">
        <f>Historical_Data!F103</f>
        <v>122.27449035644531</v>
      </c>
      <c r="C104">
        <f>Historical_Data!F224</f>
        <v>137.98143005371094</v>
      </c>
      <c r="D104">
        <f>Historical_Data!F345</f>
        <v>86.526443481445313</v>
      </c>
      <c r="E104">
        <f t="shared" si="12"/>
        <v>4.8930433155707068E-2</v>
      </c>
      <c r="F104">
        <f t="shared" si="13"/>
        <v>-7.6609554030982671E-2</v>
      </c>
      <c r="G104">
        <f t="shared" si="14"/>
        <v>0.11875993101926813</v>
      </c>
    </row>
    <row r="105" spans="1:7">
      <c r="A105" s="5">
        <f>Historical_Data!A104</f>
        <v>44713</v>
      </c>
      <c r="B105">
        <f>Historical_Data!F104</f>
        <v>125.85248565673828</v>
      </c>
      <c r="C105">
        <f>Historical_Data!F225</f>
        <v>134.16520690917969</v>
      </c>
      <c r="D105">
        <f>Historical_Data!F346</f>
        <v>77.979461669921875</v>
      </c>
      <c r="E105">
        <f t="shared" si="12"/>
        <v>2.88420339280854E-2</v>
      </c>
      <c r="F105">
        <f t="shared" si="13"/>
        <v>-2.8047183323072707E-2</v>
      </c>
      <c r="G105">
        <f t="shared" si="14"/>
        <v>-0.10400459211455015</v>
      </c>
    </row>
    <row r="106" spans="1:7">
      <c r="A106" s="5">
        <f>Historical_Data!A105</f>
        <v>44743</v>
      </c>
      <c r="B106">
        <f>Historical_Data!F105</f>
        <v>116.58223724365234</v>
      </c>
      <c r="C106">
        <f>Historical_Data!F226</f>
        <v>129.61184692382813</v>
      </c>
      <c r="D106">
        <f>Historical_Data!F347</f>
        <v>88.259567260742188</v>
      </c>
      <c r="E106">
        <f t="shared" si="12"/>
        <v>-7.6513549270415496E-2</v>
      </c>
      <c r="F106">
        <f t="shared" si="13"/>
        <v>-3.4527736761598087E-2</v>
      </c>
      <c r="G106">
        <f t="shared" si="14"/>
        <v>0.12383662073112579</v>
      </c>
    </row>
    <row r="107" spans="1:7">
      <c r="A107" s="5">
        <f>Historical_Data!A106</f>
        <v>44774</v>
      </c>
      <c r="B107">
        <f>Historical_Data!F106</f>
        <v>114.49642944335938</v>
      </c>
      <c r="C107">
        <f>Historical_Data!F227</f>
        <v>129.54234313964844</v>
      </c>
      <c r="D107">
        <f>Historical_Data!F348</f>
        <v>87.039421081542969</v>
      </c>
      <c r="E107">
        <f t="shared" si="12"/>
        <v>-1.8053284456050634E-2</v>
      </c>
      <c r="F107">
        <f t="shared" si="13"/>
        <v>-5.3638944312729123E-4</v>
      </c>
      <c r="G107">
        <f t="shared" si="14"/>
        <v>-1.3920968915580161E-2</v>
      </c>
    </row>
    <row r="108" spans="1:7">
      <c r="A108" s="5">
        <f>Historical_Data!A107</f>
        <v>44805</v>
      </c>
      <c r="B108">
        <f>Historical_Data!F107</f>
        <v>107.23793792724609</v>
      </c>
      <c r="C108">
        <f>Historical_Data!F228</f>
        <v>118.56400299072266</v>
      </c>
      <c r="D108">
        <f>Historical_Data!F349</f>
        <v>80.27252197265625</v>
      </c>
      <c r="E108">
        <f t="shared" si="12"/>
        <v>-6.5493554002846482E-2</v>
      </c>
      <c r="F108">
        <f t="shared" si="13"/>
        <v>-8.855487735173434E-2</v>
      </c>
      <c r="G108">
        <f t="shared" si="14"/>
        <v>-8.0933761638097096E-2</v>
      </c>
    </row>
    <row r="109" spans="1:7">
      <c r="A109" s="5">
        <f>Historical_Data!A108</f>
        <v>44835</v>
      </c>
      <c r="B109">
        <f>Historical_Data!F108</f>
        <v>124.82057952880859</v>
      </c>
      <c r="C109">
        <f>Historical_Data!F229</f>
        <v>126.47138977050781</v>
      </c>
      <c r="D109">
        <f>Historical_Data!F350</f>
        <v>101.87834167480469</v>
      </c>
      <c r="E109">
        <f t="shared" si="12"/>
        <v>0.15182725780695841</v>
      </c>
      <c r="F109">
        <f t="shared" si="13"/>
        <v>6.4563190370871687E-2</v>
      </c>
      <c r="G109">
        <f t="shared" si="14"/>
        <v>0.2383520024686461</v>
      </c>
    </row>
    <row r="110" spans="1:7">
      <c r="A110" s="5">
        <f>Historical_Data!A109</f>
        <v>44866</v>
      </c>
      <c r="B110">
        <f>Historical_Data!F109</f>
        <v>134.39718627929688</v>
      </c>
      <c r="C110">
        <f>Historical_Data!F230</f>
        <v>141.07341003417969</v>
      </c>
      <c r="D110">
        <f>Historical_Data!F351</f>
        <v>102.36561584472656</v>
      </c>
      <c r="E110">
        <f t="shared" si="12"/>
        <v>7.3922150036615022E-2</v>
      </c>
      <c r="F110">
        <f t="shared" si="13"/>
        <v>0.10926427866752542</v>
      </c>
      <c r="G110">
        <f t="shared" si="14"/>
        <v>4.7715007124725676E-3</v>
      </c>
    </row>
    <row r="111" spans="1:7">
      <c r="A111" s="5">
        <f>Historical_Data!A110</f>
        <v>44896</v>
      </c>
      <c r="B111">
        <f>Historical_Data!F110</f>
        <v>128.68353271484375</v>
      </c>
      <c r="C111">
        <f>Historical_Data!F231</f>
        <v>143.34329223632813</v>
      </c>
      <c r="D111">
        <f>Historical_Data!F352</f>
        <v>102.22580718994141</v>
      </c>
      <c r="E111">
        <f t="shared" si="12"/>
        <v>-4.3443336965954996E-2</v>
      </c>
      <c r="F111">
        <f t="shared" si="13"/>
        <v>1.5962004891164561E-2</v>
      </c>
      <c r="G111">
        <f t="shared" si="14"/>
        <v>-1.3667110231090581E-3</v>
      </c>
    </row>
    <row r="112" spans="1:7">
      <c r="A112" s="5">
        <f>Historical_Data!A111</f>
        <v>44927</v>
      </c>
      <c r="B112">
        <f>Historical_Data!F111</f>
        <v>123.05723571777344</v>
      </c>
      <c r="C112">
        <f>Historical_Data!F232</f>
        <v>134.66096496582031</v>
      </c>
      <c r="D112">
        <f>Historical_Data!F353</f>
        <v>107.51783752441406</v>
      </c>
      <c r="E112">
        <f t="shared" si="12"/>
        <v>-4.4706577303734119E-2</v>
      </c>
      <c r="F112">
        <f t="shared" si="13"/>
        <v>-6.2482149290409648E-2</v>
      </c>
      <c r="G112">
        <f t="shared" si="14"/>
        <v>5.0472601834147153E-2</v>
      </c>
    </row>
    <row r="113" spans="1:7">
      <c r="A113" s="5">
        <f>Historical_Data!A112</f>
        <v>44958</v>
      </c>
      <c r="B113">
        <f>Historical_Data!F112</f>
        <v>118.09769439697266</v>
      </c>
      <c r="C113">
        <f>Historical_Data!F233</f>
        <v>130.91868591308594</v>
      </c>
      <c r="D113">
        <f>Historical_Data!F354</f>
        <v>101.86437225341797</v>
      </c>
      <c r="E113">
        <f t="shared" si="12"/>
        <v>-4.113737762980707E-2</v>
      </c>
      <c r="F113">
        <f t="shared" si="13"/>
        <v>-2.8183836778861281E-2</v>
      </c>
      <c r="G113">
        <f t="shared" si="14"/>
        <v>-5.4014519582122174E-2</v>
      </c>
    </row>
    <row r="114" spans="1:7">
      <c r="A114" s="5">
        <f>Historical_Data!A113</f>
        <v>44986</v>
      </c>
      <c r="B114">
        <f>Historical_Data!F113</f>
        <v>121.20330047607422</v>
      </c>
      <c r="C114">
        <f>Historical_Data!F234</f>
        <v>141.51130676269531</v>
      </c>
      <c r="D114">
        <f>Historical_Data!F355</f>
        <v>102.41472625732422</v>
      </c>
      <c r="E114">
        <f t="shared" si="12"/>
        <v>2.5957104366711076E-2</v>
      </c>
      <c r="F114">
        <f t="shared" si="13"/>
        <v>7.7803208085962944E-2</v>
      </c>
      <c r="G114">
        <f t="shared" si="14"/>
        <v>5.3882686919383407E-3</v>
      </c>
    </row>
    <row r="115" spans="1:7">
      <c r="A115" s="5">
        <f>Historical_Data!A114</f>
        <v>45017</v>
      </c>
      <c r="B115">
        <f>Historical_Data!F114</f>
        <v>116.87626647949219</v>
      </c>
      <c r="C115">
        <f>Historical_Data!F235</f>
        <v>148.83003234863281</v>
      </c>
      <c r="D115">
        <f>Historical_Data!F356</f>
        <v>110.52123260498047</v>
      </c>
      <c r="E115">
        <f t="shared" si="12"/>
        <v>-3.6353481176908314E-2</v>
      </c>
      <c r="F115">
        <f t="shared" si="13"/>
        <v>5.0425311992862869E-2</v>
      </c>
      <c r="G115">
        <f t="shared" si="14"/>
        <v>7.6177139398361779E-2</v>
      </c>
    </row>
    <row r="116" spans="1:7">
      <c r="A116" s="5">
        <f>Historical_Data!A115</f>
        <v>45047</v>
      </c>
      <c r="B116">
        <f>Historical_Data!F115</f>
        <v>118.89186096191406</v>
      </c>
      <c r="C116">
        <f>Historical_Data!F236</f>
        <v>136.46926879882813</v>
      </c>
      <c r="D116">
        <f>Historical_Data!F357</f>
        <v>95.428932189941406</v>
      </c>
      <c r="E116">
        <f t="shared" si="12"/>
        <v>1.7098524814032047E-2</v>
      </c>
      <c r="F116">
        <f t="shared" si="13"/>
        <v>-8.6705480060996001E-2</v>
      </c>
      <c r="G116">
        <f t="shared" si="14"/>
        <v>-0.1468258478629208</v>
      </c>
    </row>
    <row r="117" spans="1:7">
      <c r="A117" s="5">
        <f>Historical_Data!A116</f>
        <v>45078</v>
      </c>
      <c r="B117">
        <f>Historical_Data!F116</f>
        <v>125.40512847900391</v>
      </c>
      <c r="C117">
        <f>Historical_Data!F237</f>
        <v>145.3182373046875</v>
      </c>
      <c r="D117">
        <f>Historical_Data!F358</f>
        <v>101.03310394287109</v>
      </c>
      <c r="E117">
        <f t="shared" si="12"/>
        <v>5.3335175771975461E-2</v>
      </c>
      <c r="F117">
        <f t="shared" si="13"/>
        <v>6.2826625256190496E-2</v>
      </c>
      <c r="G117">
        <f t="shared" si="14"/>
        <v>5.7066420041991694E-2</v>
      </c>
    </row>
    <row r="118" spans="1:7">
      <c r="A118" s="5">
        <f>Historical_Data!A117</f>
        <v>45108</v>
      </c>
      <c r="B118">
        <f>Historical_Data!F117</f>
        <v>135.123779296875</v>
      </c>
      <c r="C118">
        <f>Historical_Data!F238</f>
        <v>149.68525695800781</v>
      </c>
      <c r="D118">
        <f>Historical_Data!F359</f>
        <v>101.02369689941406</v>
      </c>
      <c r="E118">
        <f t="shared" si="12"/>
        <v>7.4641717713584549E-2</v>
      </c>
      <c r="F118">
        <f t="shared" si="13"/>
        <v>2.9608725132137394E-2</v>
      </c>
      <c r="G118">
        <f t="shared" si="14"/>
        <v>-9.3112861577690349E-5</v>
      </c>
    </row>
    <row r="119" spans="1:7">
      <c r="A119" s="5">
        <f>Historical_Data!A118</f>
        <v>45139</v>
      </c>
      <c r="B119">
        <f>Historical_Data!F118</f>
        <v>137.60733032226563</v>
      </c>
      <c r="C119">
        <f>Historical_Data!F239</f>
        <v>148.73948669433594</v>
      </c>
      <c r="D119">
        <f>Historical_Data!F360</f>
        <v>104.74472045898438</v>
      </c>
      <c r="E119">
        <f t="shared" si="12"/>
        <v>1.8212954733287167E-2</v>
      </c>
      <c r="F119">
        <f t="shared" si="13"/>
        <v>-6.3384384184627827E-3</v>
      </c>
      <c r="G119">
        <f t="shared" si="14"/>
        <v>3.617104409772684E-2</v>
      </c>
    </row>
    <row r="120" spans="1:7">
      <c r="A120" s="5">
        <f>Historical_Data!A119</f>
        <v>45170</v>
      </c>
      <c r="B120">
        <f>Historical_Data!F119</f>
        <v>133.0006103515625</v>
      </c>
      <c r="C120">
        <f>Historical_Data!F240</f>
        <v>140.56721496582031</v>
      </c>
      <c r="D120">
        <f>Historical_Data!F361</f>
        <v>111.67230987548828</v>
      </c>
      <c r="E120">
        <f t="shared" si="12"/>
        <v>-3.4050479450471467E-2</v>
      </c>
      <c r="F120">
        <f t="shared" si="13"/>
        <v>-5.6510591531775713E-2</v>
      </c>
      <c r="G120">
        <f t="shared" si="14"/>
        <v>6.404262189260318E-2</v>
      </c>
    </row>
    <row r="121" spans="1:7">
      <c r="A121" s="5">
        <f>Historical_Data!A120</f>
        <v>45200</v>
      </c>
      <c r="B121">
        <f>Historical_Data!F120</f>
        <v>137.11482238769531</v>
      </c>
      <c r="C121">
        <f>Historical_Data!F241</f>
        <v>144.58586120605469</v>
      </c>
      <c r="D121">
        <f>Historical_Data!F362</f>
        <v>100.53166198730469</v>
      </c>
      <c r="E121">
        <f t="shared" si="12"/>
        <v>3.0464977099496342E-2</v>
      </c>
      <c r="F121">
        <f t="shared" si="13"/>
        <v>2.8187753574988369E-2</v>
      </c>
      <c r="G121">
        <f t="shared" si="14"/>
        <v>-0.10509605554566537</v>
      </c>
    </row>
    <row r="122" spans="1:7">
      <c r="A122" s="5">
        <f>Historical_Data!A121</f>
        <v>45231</v>
      </c>
      <c r="B122">
        <f>Historical_Data!F121</f>
        <v>150.31060791015625</v>
      </c>
      <c r="C122">
        <f>Historical_Data!F242</f>
        <v>148.88304138183594</v>
      </c>
      <c r="D122">
        <f>Historical_Data!F363</f>
        <v>97.577919006347656</v>
      </c>
      <c r="E122">
        <f t="shared" si="12"/>
        <v>9.1885178092741632E-2</v>
      </c>
      <c r="F122">
        <f t="shared" si="13"/>
        <v>2.9287514250350172E-2</v>
      </c>
      <c r="G122">
        <f t="shared" si="14"/>
        <v>-2.9821494398856459E-2</v>
      </c>
    </row>
    <row r="123" spans="1:7">
      <c r="A123" s="5">
        <f>Historical_Data!A122</f>
        <v>45261</v>
      </c>
      <c r="B123">
        <f>Historical_Data!F122</f>
        <v>156.79933166503906</v>
      </c>
      <c r="C123">
        <f>Historical_Data!F243</f>
        <v>142.11386108398438</v>
      </c>
      <c r="D123">
        <f>Historical_Data!F364</f>
        <v>95.824920654296875</v>
      </c>
      <c r="E123">
        <f t="shared" si="12"/>
        <v>4.2262973053957244E-2</v>
      </c>
      <c r="F123">
        <f t="shared" si="13"/>
        <v>-4.6532465616354358E-2</v>
      </c>
      <c r="G123">
        <f t="shared" si="14"/>
        <v>-1.8128444894816229E-2</v>
      </c>
    </row>
    <row r="124" spans="1:7">
      <c r="A124" s="5"/>
    </row>
    <row r="125" spans="1:7">
      <c r="A125" s="5"/>
    </row>
    <row r="126" spans="1:7">
      <c r="A126" s="5"/>
    </row>
    <row r="127" spans="1:7">
      <c r="A127" s="5"/>
    </row>
    <row r="128" spans="1:7">
      <c r="A128" s="5"/>
    </row>
    <row r="129" spans="1:1">
      <c r="A129" s="5"/>
    </row>
    <row r="130" spans="1:1">
      <c r="A130" s="5"/>
    </row>
    <row r="131" spans="1:1">
      <c r="A131" s="5"/>
    </row>
    <row r="132" spans="1:1">
      <c r="A132" s="5"/>
    </row>
    <row r="133" spans="1:1">
      <c r="A133" s="5"/>
    </row>
    <row r="134" spans="1:1">
      <c r="A134" s="5"/>
    </row>
    <row r="135" spans="1:1">
      <c r="A135" s="5"/>
    </row>
  </sheetData>
  <mergeCells count="6">
    <mergeCell ref="U3:W3"/>
    <mergeCell ref="A1:A2"/>
    <mergeCell ref="B1:D1"/>
    <mergeCell ref="E1:G1"/>
    <mergeCell ref="O3:Q3"/>
    <mergeCell ref="R3:T3"/>
  </mergeCells>
  <phoneticPr fontId="3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AE7F9F-9D31-4F5C-A3CF-7F37DC311430}">
  <sheetPr codeName="Sheet5"/>
  <dimension ref="A1:N20003"/>
  <sheetViews>
    <sheetView tabSelected="1" workbookViewId="0">
      <selection activeCell="D28" sqref="D28"/>
    </sheetView>
  </sheetViews>
  <sheetFormatPr defaultRowHeight="14.5"/>
  <cols>
    <col min="1" max="1" width="13.6328125" customWidth="1"/>
    <col min="2" max="2" width="11.36328125" bestFit="1" customWidth="1"/>
    <col min="6" max="6" width="12" customWidth="1"/>
  </cols>
  <sheetData>
    <row r="1" spans="1:6" ht="18.5">
      <c r="A1" s="1" t="s">
        <v>55</v>
      </c>
    </row>
    <row r="3" spans="1:6">
      <c r="A3" s="2" t="s">
        <v>27</v>
      </c>
      <c r="B3" s="2" t="s">
        <v>31</v>
      </c>
      <c r="E3" s="15" t="s">
        <v>32</v>
      </c>
      <c r="F3" s="10"/>
    </row>
    <row r="4" spans="1:6">
      <c r="A4">
        <v>1</v>
      </c>
      <c r="B4" s="12">
        <v>99295.311922750159</v>
      </c>
      <c r="E4" s="16" t="s">
        <v>28</v>
      </c>
      <c r="F4" s="17" t="s">
        <v>29</v>
      </c>
    </row>
    <row r="5" spans="1:6">
      <c r="A5">
        <v>2</v>
      </c>
      <c r="B5" s="12">
        <v>100834.02398739333</v>
      </c>
      <c r="E5" s="13">
        <v>40000</v>
      </c>
      <c r="F5" s="18" cm="1">
        <f t="array" ref="F5:F26">FREQUENCY(B4:B5003,E5:E26)</f>
        <v>0</v>
      </c>
    </row>
    <row r="6" spans="1:6">
      <c r="A6">
        <v>3</v>
      </c>
      <c r="B6" s="12">
        <v>178896.47314169278</v>
      </c>
      <c r="E6" s="13">
        <v>50000</v>
      </c>
      <c r="F6" s="18">
        <v>10</v>
      </c>
    </row>
    <row r="7" spans="1:6">
      <c r="A7">
        <v>4</v>
      </c>
      <c r="B7" s="12">
        <v>107673.49114268669</v>
      </c>
      <c r="E7" s="13">
        <v>60000</v>
      </c>
      <c r="F7" s="18">
        <v>68</v>
      </c>
    </row>
    <row r="8" spans="1:6">
      <c r="A8">
        <v>5</v>
      </c>
      <c r="B8" s="12">
        <v>149558.64607869991</v>
      </c>
      <c r="E8" s="13">
        <v>70000</v>
      </c>
      <c r="F8" s="18">
        <v>197</v>
      </c>
    </row>
    <row r="9" spans="1:6">
      <c r="A9">
        <v>6</v>
      </c>
      <c r="B9" s="12">
        <v>89042.242157128261</v>
      </c>
      <c r="E9" s="13">
        <v>80000</v>
      </c>
      <c r="F9" s="18">
        <v>380</v>
      </c>
    </row>
    <row r="10" spans="1:6">
      <c r="A10">
        <v>7</v>
      </c>
      <c r="B10" s="12">
        <v>126548.92623460178</v>
      </c>
      <c r="E10" s="13">
        <v>90000</v>
      </c>
      <c r="F10" s="18">
        <v>522</v>
      </c>
    </row>
    <row r="11" spans="1:6">
      <c r="A11">
        <v>8</v>
      </c>
      <c r="B11" s="12">
        <v>172243.84829095809</v>
      </c>
      <c r="E11" s="13">
        <v>100000</v>
      </c>
      <c r="F11" s="18">
        <v>634</v>
      </c>
    </row>
    <row r="12" spans="1:6">
      <c r="A12">
        <v>9</v>
      </c>
      <c r="B12" s="12">
        <v>137484.09597140274</v>
      </c>
      <c r="E12" s="13">
        <v>110000</v>
      </c>
      <c r="F12" s="18">
        <v>652</v>
      </c>
    </row>
    <row r="13" spans="1:6">
      <c r="A13">
        <v>10</v>
      </c>
      <c r="B13" s="12">
        <v>109419.36534118798</v>
      </c>
      <c r="E13" s="13">
        <v>120000</v>
      </c>
      <c r="F13" s="18">
        <v>637</v>
      </c>
    </row>
    <row r="14" spans="1:6">
      <c r="A14">
        <v>11</v>
      </c>
      <c r="B14" s="12">
        <v>126119.54748438898</v>
      </c>
      <c r="E14" s="13">
        <v>130000</v>
      </c>
      <c r="F14" s="18">
        <v>524</v>
      </c>
    </row>
    <row r="15" spans="1:6">
      <c r="A15">
        <v>12</v>
      </c>
      <c r="B15" s="12">
        <v>116063.26253305683</v>
      </c>
      <c r="E15" s="13">
        <v>140000</v>
      </c>
      <c r="F15" s="18">
        <v>441</v>
      </c>
    </row>
    <row r="16" spans="1:6">
      <c r="A16">
        <v>13</v>
      </c>
      <c r="B16" s="12">
        <v>90042.660130306613</v>
      </c>
      <c r="E16" s="13">
        <v>150000</v>
      </c>
      <c r="F16" s="18">
        <v>309</v>
      </c>
    </row>
    <row r="17" spans="1:14">
      <c r="A17">
        <v>14</v>
      </c>
      <c r="B17" s="12">
        <v>160490.59732318026</v>
      </c>
      <c r="E17" s="13">
        <v>160000</v>
      </c>
      <c r="F17" s="18">
        <v>241</v>
      </c>
    </row>
    <row r="18" spans="1:14">
      <c r="A18">
        <v>15</v>
      </c>
      <c r="B18" s="12">
        <v>72807.205149607849</v>
      </c>
      <c r="E18" s="13">
        <v>170000</v>
      </c>
      <c r="F18" s="18">
        <v>149</v>
      </c>
    </row>
    <row r="19" spans="1:14">
      <c r="A19">
        <v>16</v>
      </c>
      <c r="B19" s="12">
        <v>81706.504057651357</v>
      </c>
      <c r="E19" s="13">
        <v>180000</v>
      </c>
      <c r="F19" s="6">
        <v>98</v>
      </c>
    </row>
    <row r="20" spans="1:14">
      <c r="A20">
        <v>17</v>
      </c>
      <c r="B20" s="12">
        <v>140855.94648248731</v>
      </c>
      <c r="E20" s="13">
        <v>190000</v>
      </c>
      <c r="F20" s="6">
        <v>60</v>
      </c>
    </row>
    <row r="21" spans="1:14">
      <c r="A21">
        <v>18</v>
      </c>
      <c r="B21" s="12">
        <v>118202.53642141858</v>
      </c>
      <c r="E21" s="13">
        <v>200000</v>
      </c>
      <c r="F21" s="6">
        <v>26</v>
      </c>
    </row>
    <row r="22" spans="1:14">
      <c r="A22">
        <v>19</v>
      </c>
      <c r="B22" s="12">
        <v>139750.02372048286</v>
      </c>
      <c r="E22" s="13">
        <v>210000</v>
      </c>
      <c r="F22" s="6">
        <v>24</v>
      </c>
    </row>
    <row r="23" spans="1:14">
      <c r="A23">
        <v>20</v>
      </c>
      <c r="B23" s="12">
        <v>92114.346632228102</v>
      </c>
      <c r="E23" s="13">
        <v>220000</v>
      </c>
      <c r="F23" s="6">
        <v>12</v>
      </c>
    </row>
    <row r="24" spans="1:14">
      <c r="A24">
        <v>21</v>
      </c>
      <c r="B24" s="12">
        <v>151346.10900807055</v>
      </c>
      <c r="E24" s="13">
        <v>230000</v>
      </c>
      <c r="F24" s="6">
        <v>7</v>
      </c>
    </row>
    <row r="25" spans="1:14">
      <c r="A25">
        <v>22</v>
      </c>
      <c r="B25" s="12">
        <v>156017.18793422892</v>
      </c>
      <c r="E25" s="13">
        <v>240000</v>
      </c>
      <c r="F25" s="6">
        <v>4</v>
      </c>
    </row>
    <row r="26" spans="1:14">
      <c r="A26">
        <v>23</v>
      </c>
      <c r="B26" s="12">
        <v>92383.420805014641</v>
      </c>
      <c r="E26" s="14" t="s">
        <v>33</v>
      </c>
      <c r="F26" s="7">
        <v>5</v>
      </c>
    </row>
    <row r="27" spans="1:14">
      <c r="A27">
        <v>24</v>
      </c>
      <c r="B27" s="12">
        <v>112831.67618679466</v>
      </c>
      <c r="E27" s="10"/>
    </row>
    <row r="28" spans="1:14">
      <c r="A28">
        <v>25</v>
      </c>
      <c r="B28" s="12">
        <v>114015.95786341891</v>
      </c>
      <c r="E28" s="10"/>
    </row>
    <row r="29" spans="1:14">
      <c r="A29">
        <v>26</v>
      </c>
      <c r="B29" s="12">
        <v>71719.476144498738</v>
      </c>
      <c r="E29" s="10"/>
      <c r="N29" t="s">
        <v>59</v>
      </c>
    </row>
    <row r="30" spans="1:14">
      <c r="A30">
        <v>27</v>
      </c>
      <c r="B30" s="12">
        <v>95805.165817430097</v>
      </c>
      <c r="E30" s="10"/>
    </row>
    <row r="31" spans="1:14">
      <c r="A31">
        <v>28</v>
      </c>
      <c r="B31" s="12">
        <v>79095.942917961802</v>
      </c>
      <c r="E31" s="10"/>
    </row>
    <row r="32" spans="1:14">
      <c r="A32">
        <v>29</v>
      </c>
      <c r="B32" s="12">
        <v>180618.20573729428</v>
      </c>
      <c r="E32" s="10"/>
    </row>
    <row r="33" spans="1:5">
      <c r="A33">
        <v>30</v>
      </c>
      <c r="B33" s="12">
        <v>106519.37573353664</v>
      </c>
      <c r="E33" s="10"/>
    </row>
    <row r="34" spans="1:5">
      <c r="A34">
        <v>31</v>
      </c>
      <c r="B34" s="12">
        <v>105025.88824810431</v>
      </c>
    </row>
    <row r="35" spans="1:5">
      <c r="A35">
        <v>32</v>
      </c>
      <c r="B35" s="12">
        <v>102650.22608654105</v>
      </c>
    </row>
    <row r="36" spans="1:5">
      <c r="A36">
        <v>33</v>
      </c>
      <c r="B36" s="12">
        <v>128034.17194830273</v>
      </c>
    </row>
    <row r="37" spans="1:5">
      <c r="A37">
        <v>34</v>
      </c>
      <c r="B37" s="12">
        <v>88507.422872095078</v>
      </c>
      <c r="C37" s="12"/>
    </row>
    <row r="38" spans="1:5">
      <c r="A38">
        <v>35</v>
      </c>
      <c r="B38" s="12">
        <v>99843.274056608236</v>
      </c>
      <c r="C38" s="12"/>
    </row>
    <row r="39" spans="1:5">
      <c r="A39">
        <v>36</v>
      </c>
      <c r="B39" s="12">
        <v>119968.27363940189</v>
      </c>
      <c r="C39" s="12"/>
    </row>
    <row r="40" spans="1:5">
      <c r="A40">
        <v>37</v>
      </c>
      <c r="B40" s="12">
        <v>109445.61096676433</v>
      </c>
      <c r="C40" s="12"/>
    </row>
    <row r="41" spans="1:5">
      <c r="A41">
        <v>38</v>
      </c>
      <c r="B41" s="12">
        <v>109997.42010634534</v>
      </c>
      <c r="C41" s="12"/>
    </row>
    <row r="42" spans="1:5">
      <c r="A42">
        <v>39</v>
      </c>
      <c r="B42" s="12">
        <v>102711.1283065653</v>
      </c>
      <c r="C42" s="12"/>
    </row>
    <row r="43" spans="1:5">
      <c r="A43">
        <v>40</v>
      </c>
      <c r="B43" s="12">
        <v>56458.038461332864</v>
      </c>
      <c r="C43" s="12"/>
    </row>
    <row r="44" spans="1:5">
      <c r="A44">
        <v>41</v>
      </c>
      <c r="B44" s="12">
        <v>112077.0694035162</v>
      </c>
      <c r="C44" s="12"/>
    </row>
    <row r="45" spans="1:5">
      <c r="A45">
        <v>42</v>
      </c>
      <c r="B45" s="12">
        <v>109695.4947384479</v>
      </c>
      <c r="C45" s="12"/>
    </row>
    <row r="46" spans="1:5">
      <c r="A46">
        <v>43</v>
      </c>
      <c r="B46" s="12">
        <v>132711.23677102901</v>
      </c>
      <c r="C46" s="12"/>
    </row>
    <row r="47" spans="1:5">
      <c r="A47">
        <v>44</v>
      </c>
      <c r="B47" s="12">
        <v>70278.955891854595</v>
      </c>
      <c r="C47" s="12"/>
    </row>
    <row r="48" spans="1:5">
      <c r="A48">
        <v>45</v>
      </c>
      <c r="B48" s="12">
        <v>106547.0205298222</v>
      </c>
      <c r="C48" s="12"/>
    </row>
    <row r="49" spans="1:3">
      <c r="A49">
        <v>46</v>
      </c>
      <c r="B49" s="12">
        <v>116661.72820092965</v>
      </c>
      <c r="C49" s="12"/>
    </row>
    <row r="50" spans="1:3">
      <c r="A50">
        <v>47</v>
      </c>
      <c r="B50" s="12">
        <v>125303.63598718053</v>
      </c>
      <c r="C50" s="12"/>
    </row>
    <row r="51" spans="1:3">
      <c r="A51">
        <v>48</v>
      </c>
      <c r="B51" s="12">
        <v>144866.37605615819</v>
      </c>
      <c r="C51" s="12"/>
    </row>
    <row r="52" spans="1:3">
      <c r="A52">
        <v>49</v>
      </c>
      <c r="B52" s="12">
        <v>75627.211092832265</v>
      </c>
      <c r="C52" s="12"/>
    </row>
    <row r="53" spans="1:3">
      <c r="A53">
        <v>50</v>
      </c>
      <c r="B53" s="12">
        <v>107258.5861589963</v>
      </c>
      <c r="C53" s="12"/>
    </row>
    <row r="54" spans="1:3">
      <c r="A54">
        <v>51</v>
      </c>
      <c r="B54" s="12">
        <v>151202.86055042193</v>
      </c>
      <c r="C54" s="12"/>
    </row>
    <row r="55" spans="1:3">
      <c r="A55">
        <v>52</v>
      </c>
      <c r="B55" s="12">
        <v>92030.242800449836</v>
      </c>
      <c r="C55" s="12"/>
    </row>
    <row r="56" spans="1:3">
      <c r="A56">
        <v>53</v>
      </c>
      <c r="B56" s="12">
        <v>111242.90244203767</v>
      </c>
      <c r="C56" s="12"/>
    </row>
    <row r="57" spans="1:3">
      <c r="A57">
        <v>54</v>
      </c>
      <c r="B57" s="12">
        <v>75722.079469934048</v>
      </c>
      <c r="C57" s="12"/>
    </row>
    <row r="58" spans="1:3">
      <c r="A58">
        <v>55</v>
      </c>
      <c r="B58" s="12">
        <v>113196.64399765867</v>
      </c>
      <c r="C58" s="12"/>
    </row>
    <row r="59" spans="1:3">
      <c r="A59">
        <v>56</v>
      </c>
      <c r="B59" s="12">
        <v>164627.12445685099</v>
      </c>
      <c r="C59" s="12"/>
    </row>
    <row r="60" spans="1:3">
      <c r="A60">
        <v>57</v>
      </c>
      <c r="B60" s="12">
        <v>107868.61678026065</v>
      </c>
      <c r="C60" s="12"/>
    </row>
    <row r="61" spans="1:3">
      <c r="A61">
        <v>58</v>
      </c>
      <c r="B61" s="12">
        <v>101325.91108376667</v>
      </c>
      <c r="C61" s="12"/>
    </row>
    <row r="62" spans="1:3">
      <c r="A62">
        <v>59</v>
      </c>
      <c r="B62" s="12">
        <v>115940.90365148793</v>
      </c>
      <c r="C62" s="12"/>
    </row>
    <row r="63" spans="1:3">
      <c r="A63">
        <v>60</v>
      </c>
      <c r="B63" s="12">
        <v>80767.422090803768</v>
      </c>
      <c r="C63" s="12"/>
    </row>
    <row r="64" spans="1:3">
      <c r="A64">
        <v>61</v>
      </c>
      <c r="B64" s="12">
        <v>65521.877072420975</v>
      </c>
      <c r="C64" s="12"/>
    </row>
    <row r="65" spans="1:3">
      <c r="A65">
        <v>62</v>
      </c>
      <c r="B65" s="12">
        <v>113925.47340705173</v>
      </c>
      <c r="C65" s="12"/>
    </row>
    <row r="66" spans="1:3">
      <c r="A66">
        <v>63</v>
      </c>
      <c r="B66" s="12">
        <v>136456.46454435465</v>
      </c>
      <c r="C66" s="12"/>
    </row>
    <row r="67" spans="1:3">
      <c r="A67">
        <v>64</v>
      </c>
      <c r="B67" s="12">
        <v>120831.1487597551</v>
      </c>
      <c r="C67" s="12"/>
    </row>
    <row r="68" spans="1:3">
      <c r="A68">
        <v>65</v>
      </c>
      <c r="B68" s="12">
        <v>121082.06615861846</v>
      </c>
      <c r="C68" s="12"/>
    </row>
    <row r="69" spans="1:3">
      <c r="A69">
        <v>66</v>
      </c>
      <c r="B69" s="12">
        <v>124553.29400674425</v>
      </c>
      <c r="C69" s="12"/>
    </row>
    <row r="70" spans="1:3">
      <c r="A70">
        <v>67</v>
      </c>
      <c r="B70" s="12">
        <v>114470.31280679094</v>
      </c>
      <c r="C70" s="12"/>
    </row>
    <row r="71" spans="1:3">
      <c r="A71">
        <v>68</v>
      </c>
      <c r="B71" s="12">
        <v>85805.807035966223</v>
      </c>
      <c r="C71" s="12"/>
    </row>
    <row r="72" spans="1:3">
      <c r="A72">
        <v>69</v>
      </c>
      <c r="B72" s="12">
        <v>87959.68579914642</v>
      </c>
      <c r="C72" s="12"/>
    </row>
    <row r="73" spans="1:3">
      <c r="A73">
        <v>70</v>
      </c>
      <c r="B73" s="12">
        <v>107011.96329442192</v>
      </c>
      <c r="C73" s="12"/>
    </row>
    <row r="74" spans="1:3">
      <c r="A74">
        <v>71</v>
      </c>
      <c r="B74" s="12">
        <v>116618.05051411444</v>
      </c>
      <c r="C74" s="12"/>
    </row>
    <row r="75" spans="1:3">
      <c r="A75">
        <v>72</v>
      </c>
      <c r="B75" s="12">
        <v>135470.83538768918</v>
      </c>
      <c r="C75" s="12"/>
    </row>
    <row r="76" spans="1:3">
      <c r="A76">
        <v>73</v>
      </c>
      <c r="B76" s="12">
        <v>95530.864490917374</v>
      </c>
      <c r="C76" s="12"/>
    </row>
    <row r="77" spans="1:3">
      <c r="A77">
        <v>74</v>
      </c>
      <c r="B77" s="12">
        <v>75845.687094228357</v>
      </c>
      <c r="C77" s="12"/>
    </row>
    <row r="78" spans="1:3">
      <c r="A78">
        <v>75</v>
      </c>
      <c r="B78" s="12">
        <v>63865.594329478277</v>
      </c>
      <c r="C78" s="12"/>
    </row>
    <row r="79" spans="1:3">
      <c r="A79">
        <v>76</v>
      </c>
      <c r="B79" s="12">
        <v>153678.66379537279</v>
      </c>
      <c r="C79" s="12"/>
    </row>
    <row r="80" spans="1:3">
      <c r="A80">
        <v>77</v>
      </c>
      <c r="B80" s="12">
        <v>127963.40854614033</v>
      </c>
      <c r="C80" s="12"/>
    </row>
    <row r="81" spans="1:3">
      <c r="A81">
        <v>78</v>
      </c>
      <c r="B81" s="12">
        <v>126019.00115835178</v>
      </c>
      <c r="C81" s="12"/>
    </row>
    <row r="82" spans="1:3">
      <c r="A82">
        <v>79</v>
      </c>
      <c r="B82" s="12">
        <v>118033.05652024067</v>
      </c>
      <c r="C82" s="12"/>
    </row>
    <row r="83" spans="1:3">
      <c r="A83">
        <v>80</v>
      </c>
      <c r="B83" s="12">
        <v>132388.28245968488</v>
      </c>
      <c r="C83" s="12"/>
    </row>
    <row r="84" spans="1:3">
      <c r="A84">
        <v>81</v>
      </c>
      <c r="B84" s="12">
        <v>140001.58856084206</v>
      </c>
      <c r="C84" s="12"/>
    </row>
    <row r="85" spans="1:3">
      <c r="A85">
        <v>82</v>
      </c>
      <c r="B85" s="12">
        <v>80330.845627671457</v>
      </c>
      <c r="C85" s="12"/>
    </row>
    <row r="86" spans="1:3">
      <c r="A86">
        <v>83</v>
      </c>
      <c r="B86" s="12">
        <v>112737.50155646566</v>
      </c>
      <c r="C86" s="12"/>
    </row>
    <row r="87" spans="1:3">
      <c r="A87">
        <v>84</v>
      </c>
      <c r="B87" s="12">
        <v>118560.08237933939</v>
      </c>
      <c r="C87" s="12"/>
    </row>
    <row r="88" spans="1:3">
      <c r="A88">
        <v>85</v>
      </c>
      <c r="B88" s="12">
        <v>94522.100175831583</v>
      </c>
      <c r="C88" s="12"/>
    </row>
    <row r="89" spans="1:3">
      <c r="A89">
        <v>86</v>
      </c>
      <c r="B89" s="12">
        <v>102220.44768412068</v>
      </c>
      <c r="C89" s="12"/>
    </row>
    <row r="90" spans="1:3">
      <c r="A90">
        <v>87</v>
      </c>
      <c r="B90" s="12">
        <v>82185.760931295139</v>
      </c>
      <c r="C90" s="12"/>
    </row>
    <row r="91" spans="1:3">
      <c r="A91">
        <v>88</v>
      </c>
      <c r="B91" s="12">
        <v>79039.826813681982</v>
      </c>
      <c r="C91" s="12"/>
    </row>
    <row r="92" spans="1:3">
      <c r="A92">
        <v>89</v>
      </c>
      <c r="B92" s="12">
        <v>162155.40754198362</v>
      </c>
      <c r="C92" s="12"/>
    </row>
    <row r="93" spans="1:3">
      <c r="A93">
        <v>90</v>
      </c>
      <c r="B93" s="12">
        <v>165441.43721434506</v>
      </c>
      <c r="C93" s="12"/>
    </row>
    <row r="94" spans="1:3">
      <c r="A94">
        <v>91</v>
      </c>
      <c r="B94" s="12">
        <v>128396.30388633801</v>
      </c>
      <c r="C94" s="12"/>
    </row>
    <row r="95" spans="1:3">
      <c r="A95">
        <v>92</v>
      </c>
      <c r="B95" s="12">
        <v>136263.6854046935</v>
      </c>
      <c r="C95" s="12"/>
    </row>
    <row r="96" spans="1:3">
      <c r="A96">
        <v>93</v>
      </c>
      <c r="B96" s="12">
        <v>157856.2016633006</v>
      </c>
      <c r="C96" s="12"/>
    </row>
    <row r="97" spans="1:3">
      <c r="A97">
        <v>94</v>
      </c>
      <c r="B97" s="12">
        <v>110790.42458782843</v>
      </c>
      <c r="C97" s="12"/>
    </row>
    <row r="98" spans="1:3">
      <c r="A98">
        <v>95</v>
      </c>
      <c r="B98" s="12">
        <v>114121.18661364977</v>
      </c>
      <c r="C98" s="12"/>
    </row>
    <row r="99" spans="1:3">
      <c r="A99">
        <v>96</v>
      </c>
      <c r="B99" s="12">
        <v>88745.600821318279</v>
      </c>
      <c r="C99" s="12"/>
    </row>
    <row r="100" spans="1:3">
      <c r="A100">
        <v>97</v>
      </c>
      <c r="B100" s="12">
        <v>115586.33781990519</v>
      </c>
      <c r="C100" s="12"/>
    </row>
    <row r="101" spans="1:3">
      <c r="A101">
        <v>98</v>
      </c>
      <c r="B101" s="12">
        <v>72487.824950633672</v>
      </c>
      <c r="C101" s="12"/>
    </row>
    <row r="102" spans="1:3">
      <c r="A102">
        <v>99</v>
      </c>
      <c r="B102" s="12">
        <v>151041.30922299181</v>
      </c>
      <c r="C102" s="12"/>
    </row>
    <row r="103" spans="1:3">
      <c r="A103">
        <v>100</v>
      </c>
      <c r="B103" s="12">
        <v>131984.03467843652</v>
      </c>
      <c r="C103" s="12"/>
    </row>
    <row r="104" spans="1:3">
      <c r="A104">
        <v>101</v>
      </c>
      <c r="B104" s="12">
        <v>80792.037538743622</v>
      </c>
      <c r="C104" s="12"/>
    </row>
    <row r="105" spans="1:3">
      <c r="A105">
        <v>102</v>
      </c>
      <c r="B105" s="12">
        <v>155633.0659768371</v>
      </c>
      <c r="C105" s="12"/>
    </row>
    <row r="106" spans="1:3">
      <c r="A106">
        <v>103</v>
      </c>
      <c r="B106" s="12">
        <v>147956.7268924274</v>
      </c>
      <c r="C106" s="12"/>
    </row>
    <row r="107" spans="1:3">
      <c r="A107">
        <v>104</v>
      </c>
      <c r="B107" s="12">
        <v>138092.81423459586</v>
      </c>
      <c r="C107" s="12"/>
    </row>
    <row r="108" spans="1:3">
      <c r="A108">
        <v>105</v>
      </c>
      <c r="B108" s="12">
        <v>152678.79784232395</v>
      </c>
      <c r="C108" s="12"/>
    </row>
    <row r="109" spans="1:3">
      <c r="A109">
        <v>106</v>
      </c>
      <c r="B109" s="12">
        <v>152524.26740142301</v>
      </c>
      <c r="C109" s="12"/>
    </row>
    <row r="110" spans="1:3">
      <c r="A110">
        <v>107</v>
      </c>
      <c r="B110" s="12">
        <v>100474.78935600688</v>
      </c>
      <c r="C110" s="12"/>
    </row>
    <row r="111" spans="1:3">
      <c r="A111">
        <v>108</v>
      </c>
      <c r="B111" s="12">
        <v>136187.0199533955</v>
      </c>
      <c r="C111" s="12"/>
    </row>
    <row r="112" spans="1:3">
      <c r="A112">
        <v>109</v>
      </c>
      <c r="B112" s="12">
        <v>102537.20773496438</v>
      </c>
      <c r="C112" s="12"/>
    </row>
    <row r="113" spans="1:3">
      <c r="A113">
        <v>110</v>
      </c>
      <c r="B113" s="12">
        <v>126432.02208509448</v>
      </c>
      <c r="C113" s="12"/>
    </row>
    <row r="114" spans="1:3">
      <c r="A114">
        <v>111</v>
      </c>
      <c r="B114" s="12">
        <v>50230.164387556142</v>
      </c>
      <c r="C114" s="12"/>
    </row>
    <row r="115" spans="1:3">
      <c r="A115">
        <v>112</v>
      </c>
      <c r="B115" s="12">
        <v>108584.4566520446</v>
      </c>
      <c r="C115" s="12"/>
    </row>
    <row r="116" spans="1:3">
      <c r="A116">
        <v>113</v>
      </c>
      <c r="B116" s="12">
        <v>101016.9829772339</v>
      </c>
      <c r="C116" s="12"/>
    </row>
    <row r="117" spans="1:3">
      <c r="A117">
        <v>114</v>
      </c>
      <c r="B117" s="12">
        <v>97490.363985471267</v>
      </c>
      <c r="C117" s="12"/>
    </row>
    <row r="118" spans="1:3">
      <c r="A118">
        <v>115</v>
      </c>
      <c r="B118" s="12">
        <v>129124.4232191409</v>
      </c>
      <c r="C118" s="12"/>
    </row>
    <row r="119" spans="1:3">
      <c r="A119">
        <v>116</v>
      </c>
      <c r="B119" s="12">
        <v>117622.6947906537</v>
      </c>
      <c r="C119" s="12"/>
    </row>
    <row r="120" spans="1:3">
      <c r="A120">
        <v>117</v>
      </c>
      <c r="B120" s="12">
        <v>137265.05447317951</v>
      </c>
      <c r="C120" s="12"/>
    </row>
    <row r="121" spans="1:3">
      <c r="A121">
        <v>118</v>
      </c>
      <c r="B121" s="12">
        <v>109992.17174757682</v>
      </c>
      <c r="C121" s="12"/>
    </row>
    <row r="122" spans="1:3">
      <c r="A122">
        <v>119</v>
      </c>
      <c r="B122" s="12">
        <v>129677.76814975432</v>
      </c>
      <c r="C122" s="12"/>
    </row>
    <row r="123" spans="1:3">
      <c r="A123">
        <v>120</v>
      </c>
      <c r="B123" s="12">
        <v>94546.556293762143</v>
      </c>
      <c r="C123" s="12"/>
    </row>
    <row r="124" spans="1:3">
      <c r="A124">
        <v>121</v>
      </c>
      <c r="B124" s="12">
        <v>115645.76297160401</v>
      </c>
      <c r="C124" s="12"/>
    </row>
    <row r="125" spans="1:3">
      <c r="A125">
        <v>122</v>
      </c>
      <c r="B125" s="12">
        <v>121707.51635354612</v>
      </c>
      <c r="C125" s="12"/>
    </row>
    <row r="126" spans="1:3">
      <c r="A126">
        <v>123</v>
      </c>
      <c r="B126" s="12">
        <v>137628.96519922212</v>
      </c>
      <c r="C126" s="12"/>
    </row>
    <row r="127" spans="1:3">
      <c r="A127">
        <v>124</v>
      </c>
      <c r="B127" s="12">
        <v>119540.34052276213</v>
      </c>
      <c r="C127" s="12"/>
    </row>
    <row r="128" spans="1:3">
      <c r="A128">
        <v>125</v>
      </c>
      <c r="B128" s="12">
        <v>147102.78954448353</v>
      </c>
      <c r="C128" s="12"/>
    </row>
    <row r="129" spans="1:3">
      <c r="A129">
        <v>126</v>
      </c>
      <c r="B129" s="12">
        <v>88561.95341554968</v>
      </c>
      <c r="C129" s="12"/>
    </row>
    <row r="130" spans="1:3">
      <c r="A130">
        <v>127</v>
      </c>
      <c r="B130" s="12">
        <v>85419.912610967091</v>
      </c>
      <c r="C130" s="12"/>
    </row>
    <row r="131" spans="1:3">
      <c r="A131">
        <v>128</v>
      </c>
      <c r="B131" s="12">
        <v>78219.792909193799</v>
      </c>
      <c r="C131" s="12"/>
    </row>
    <row r="132" spans="1:3">
      <c r="A132">
        <v>129</v>
      </c>
      <c r="B132" s="12">
        <v>60630.471192167257</v>
      </c>
      <c r="C132" s="12"/>
    </row>
    <row r="133" spans="1:3">
      <c r="A133">
        <v>130</v>
      </c>
      <c r="B133" s="12">
        <v>106130.66366364449</v>
      </c>
      <c r="C133" s="12"/>
    </row>
    <row r="134" spans="1:3">
      <c r="A134">
        <v>131</v>
      </c>
      <c r="B134" s="12">
        <v>97185.208255639503</v>
      </c>
      <c r="C134" s="12"/>
    </row>
    <row r="135" spans="1:3">
      <c r="A135">
        <v>132</v>
      </c>
      <c r="B135" s="12">
        <v>116790.66614580521</v>
      </c>
      <c r="C135" s="12"/>
    </row>
    <row r="136" spans="1:3">
      <c r="A136">
        <v>133</v>
      </c>
      <c r="B136" s="12">
        <v>83831.109298291456</v>
      </c>
      <c r="C136" s="12"/>
    </row>
    <row r="137" spans="1:3">
      <c r="A137">
        <v>134</v>
      </c>
      <c r="B137" s="12">
        <v>107393.1565214186</v>
      </c>
      <c r="C137" s="12"/>
    </row>
    <row r="138" spans="1:3">
      <c r="A138">
        <v>135</v>
      </c>
      <c r="B138" s="12">
        <v>95969.807092205388</v>
      </c>
      <c r="C138" s="12"/>
    </row>
    <row r="139" spans="1:3">
      <c r="A139">
        <v>136</v>
      </c>
      <c r="B139" s="12">
        <v>99036.845779461888</v>
      </c>
      <c r="C139" s="12"/>
    </row>
    <row r="140" spans="1:3">
      <c r="A140">
        <v>137</v>
      </c>
      <c r="B140" s="12">
        <v>144644.27461292563</v>
      </c>
      <c r="C140" s="12"/>
    </row>
    <row r="141" spans="1:3">
      <c r="A141">
        <v>138</v>
      </c>
      <c r="B141" s="12">
        <v>89512.997671323945</v>
      </c>
      <c r="C141" s="12"/>
    </row>
    <row r="142" spans="1:3">
      <c r="A142">
        <v>139</v>
      </c>
      <c r="B142" s="12">
        <v>96768.043335764727</v>
      </c>
      <c r="C142" s="12"/>
    </row>
    <row r="143" spans="1:3">
      <c r="A143">
        <v>140</v>
      </c>
      <c r="B143" s="12">
        <v>110461.34175211318</v>
      </c>
      <c r="C143" s="12"/>
    </row>
    <row r="144" spans="1:3">
      <c r="A144">
        <v>141</v>
      </c>
      <c r="B144" s="12">
        <v>159002.44477897207</v>
      </c>
      <c r="C144" s="12"/>
    </row>
    <row r="145" spans="1:3">
      <c r="A145">
        <v>142</v>
      </c>
      <c r="B145" s="12">
        <v>108908.70579347132</v>
      </c>
      <c r="C145" s="12"/>
    </row>
    <row r="146" spans="1:3">
      <c r="A146">
        <v>143</v>
      </c>
      <c r="B146" s="12">
        <v>124340.46961372376</v>
      </c>
      <c r="C146" s="12"/>
    </row>
    <row r="147" spans="1:3">
      <c r="A147">
        <v>144</v>
      </c>
      <c r="B147" s="12">
        <v>99543.933531299044</v>
      </c>
      <c r="C147" s="12"/>
    </row>
    <row r="148" spans="1:3">
      <c r="A148">
        <v>145</v>
      </c>
      <c r="B148" s="12">
        <v>180273.20206405182</v>
      </c>
      <c r="C148" s="12"/>
    </row>
    <row r="149" spans="1:3">
      <c r="A149">
        <v>146</v>
      </c>
      <c r="B149" s="12">
        <v>103276.44441609611</v>
      </c>
      <c r="C149" s="12"/>
    </row>
    <row r="150" spans="1:3">
      <c r="A150">
        <v>147</v>
      </c>
      <c r="B150" s="12">
        <v>108148.53496902074</v>
      </c>
      <c r="C150" s="12"/>
    </row>
    <row r="151" spans="1:3">
      <c r="A151">
        <v>148</v>
      </c>
      <c r="B151" s="12">
        <v>149459.38137317542</v>
      </c>
      <c r="C151" s="12"/>
    </row>
    <row r="152" spans="1:3">
      <c r="A152">
        <v>149</v>
      </c>
      <c r="B152" s="12">
        <v>62492.124441168009</v>
      </c>
      <c r="C152" s="12"/>
    </row>
    <row r="153" spans="1:3">
      <c r="A153">
        <v>150</v>
      </c>
      <c r="B153" s="12">
        <v>53651.547855967845</v>
      </c>
      <c r="C153" s="12"/>
    </row>
    <row r="154" spans="1:3">
      <c r="A154">
        <v>151</v>
      </c>
      <c r="B154" s="12">
        <v>143192.81135715297</v>
      </c>
      <c r="C154" s="12"/>
    </row>
    <row r="155" spans="1:3">
      <c r="A155">
        <v>152</v>
      </c>
      <c r="B155" s="12">
        <v>125771.97433390775</v>
      </c>
      <c r="C155" s="12"/>
    </row>
    <row r="156" spans="1:3">
      <c r="A156">
        <v>153</v>
      </c>
      <c r="B156" s="12">
        <v>65405.838939017798</v>
      </c>
      <c r="C156" s="12"/>
    </row>
    <row r="157" spans="1:3">
      <c r="A157">
        <v>154</v>
      </c>
      <c r="B157" s="12">
        <v>158107.27865059787</v>
      </c>
      <c r="C157" s="12"/>
    </row>
    <row r="158" spans="1:3">
      <c r="A158">
        <v>155</v>
      </c>
      <c r="B158" s="12">
        <v>118731.6214299304</v>
      </c>
      <c r="C158" s="12"/>
    </row>
    <row r="159" spans="1:3">
      <c r="A159">
        <v>156</v>
      </c>
      <c r="B159" s="12">
        <v>111923.94481084603</v>
      </c>
      <c r="C159" s="12"/>
    </row>
    <row r="160" spans="1:3">
      <c r="A160">
        <v>157</v>
      </c>
      <c r="B160" s="12">
        <v>101187.10687144309</v>
      </c>
      <c r="C160" s="12"/>
    </row>
    <row r="161" spans="1:3">
      <c r="A161">
        <v>158</v>
      </c>
      <c r="B161" s="12">
        <v>132150.74206277475</v>
      </c>
      <c r="C161" s="12"/>
    </row>
    <row r="162" spans="1:3">
      <c r="A162">
        <v>159</v>
      </c>
      <c r="B162" s="12">
        <v>90729.066877635254</v>
      </c>
      <c r="C162" s="12"/>
    </row>
    <row r="163" spans="1:3">
      <c r="A163">
        <v>160</v>
      </c>
      <c r="B163" s="12">
        <v>124419.19791888124</v>
      </c>
      <c r="C163" s="12"/>
    </row>
    <row r="164" spans="1:3">
      <c r="A164">
        <v>161</v>
      </c>
      <c r="B164" s="12">
        <v>62989.374117310224</v>
      </c>
      <c r="C164" s="12"/>
    </row>
    <row r="165" spans="1:3">
      <c r="A165">
        <v>162</v>
      </c>
      <c r="B165" s="12">
        <v>99513.343910741329</v>
      </c>
      <c r="C165" s="12"/>
    </row>
    <row r="166" spans="1:3">
      <c r="A166">
        <v>163</v>
      </c>
      <c r="B166" s="12">
        <v>125729.90105575339</v>
      </c>
      <c r="C166" s="12"/>
    </row>
    <row r="167" spans="1:3">
      <c r="A167">
        <v>164</v>
      </c>
      <c r="B167" s="12">
        <v>95756.994148942234</v>
      </c>
      <c r="C167" s="12"/>
    </row>
    <row r="168" spans="1:3">
      <c r="A168">
        <v>165</v>
      </c>
      <c r="B168" s="12">
        <v>77714.678031232033</v>
      </c>
      <c r="C168" s="12"/>
    </row>
    <row r="169" spans="1:3">
      <c r="A169">
        <v>166</v>
      </c>
      <c r="B169" s="12">
        <v>169776.37673007118</v>
      </c>
      <c r="C169" s="12"/>
    </row>
    <row r="170" spans="1:3">
      <c r="A170">
        <v>167</v>
      </c>
      <c r="B170" s="12">
        <v>74799.834800569632</v>
      </c>
      <c r="C170" s="12"/>
    </row>
    <row r="171" spans="1:3">
      <c r="A171">
        <v>168</v>
      </c>
      <c r="B171" s="12">
        <v>106150.92236058661</v>
      </c>
      <c r="C171" s="12"/>
    </row>
    <row r="172" spans="1:3">
      <c r="A172">
        <v>169</v>
      </c>
      <c r="B172" s="12">
        <v>122358.81119311016</v>
      </c>
      <c r="C172" s="12"/>
    </row>
    <row r="173" spans="1:3">
      <c r="A173">
        <v>170</v>
      </c>
      <c r="B173" s="12">
        <v>77208.677827435924</v>
      </c>
      <c r="C173" s="12"/>
    </row>
    <row r="174" spans="1:3">
      <c r="A174">
        <v>171</v>
      </c>
      <c r="B174" s="12">
        <v>96794.472629426135</v>
      </c>
      <c r="C174" s="12"/>
    </row>
    <row r="175" spans="1:3">
      <c r="A175">
        <v>172</v>
      </c>
      <c r="B175" s="12">
        <v>185509.00578377218</v>
      </c>
      <c r="C175" s="12"/>
    </row>
    <row r="176" spans="1:3">
      <c r="A176">
        <v>173</v>
      </c>
      <c r="B176" s="12">
        <v>140409.17339230754</v>
      </c>
      <c r="C176" s="12"/>
    </row>
    <row r="177" spans="1:3">
      <c r="A177">
        <v>174</v>
      </c>
      <c r="B177" s="12">
        <v>102494.61629548142</v>
      </c>
      <c r="C177" s="12"/>
    </row>
    <row r="178" spans="1:3">
      <c r="A178">
        <v>175</v>
      </c>
      <c r="B178" s="12">
        <v>79936.744751943115</v>
      </c>
      <c r="C178" s="12"/>
    </row>
    <row r="179" spans="1:3">
      <c r="A179">
        <v>176</v>
      </c>
      <c r="B179" s="12">
        <v>147679.26999994309</v>
      </c>
      <c r="C179" s="12"/>
    </row>
    <row r="180" spans="1:3">
      <c r="A180">
        <v>177</v>
      </c>
      <c r="B180" s="12">
        <v>135556.445316169</v>
      </c>
      <c r="C180" s="12"/>
    </row>
    <row r="181" spans="1:3">
      <c r="A181">
        <v>178</v>
      </c>
      <c r="B181" s="12">
        <v>188866.74430332531</v>
      </c>
      <c r="C181" s="12"/>
    </row>
    <row r="182" spans="1:3">
      <c r="A182">
        <v>179</v>
      </c>
      <c r="B182" s="12">
        <v>88027.675528141786</v>
      </c>
      <c r="C182" s="12"/>
    </row>
    <row r="183" spans="1:3">
      <c r="A183">
        <v>180</v>
      </c>
      <c r="B183" s="12">
        <v>85874.538714124996</v>
      </c>
      <c r="C183" s="12"/>
    </row>
    <row r="184" spans="1:3">
      <c r="A184">
        <v>181</v>
      </c>
      <c r="B184" s="12">
        <v>112790.99991106958</v>
      </c>
      <c r="C184" s="12"/>
    </row>
    <row r="185" spans="1:3">
      <c r="A185">
        <v>182</v>
      </c>
      <c r="B185" s="12">
        <v>137996.35068425423</v>
      </c>
      <c r="C185" s="12"/>
    </row>
    <row r="186" spans="1:3">
      <c r="A186">
        <v>183</v>
      </c>
      <c r="B186" s="12">
        <v>70738.668189243661</v>
      </c>
      <c r="C186" s="12"/>
    </row>
    <row r="187" spans="1:3">
      <c r="A187">
        <v>184</v>
      </c>
      <c r="B187" s="12">
        <v>185430.84207944846</v>
      </c>
      <c r="C187" s="12"/>
    </row>
    <row r="188" spans="1:3">
      <c r="A188">
        <v>185</v>
      </c>
      <c r="B188" s="12">
        <v>91740.11639272864</v>
      </c>
      <c r="C188" s="12"/>
    </row>
    <row r="189" spans="1:3">
      <c r="A189">
        <v>186</v>
      </c>
      <c r="B189" s="12">
        <v>151089.66079625936</v>
      </c>
      <c r="C189" s="12"/>
    </row>
    <row r="190" spans="1:3">
      <c r="A190">
        <v>187</v>
      </c>
      <c r="B190" s="12">
        <v>83683.834692041404</v>
      </c>
      <c r="C190" s="12"/>
    </row>
    <row r="191" spans="1:3">
      <c r="A191">
        <v>188</v>
      </c>
      <c r="B191" s="12">
        <v>117175.82890692967</v>
      </c>
      <c r="C191" s="12"/>
    </row>
    <row r="192" spans="1:3">
      <c r="A192">
        <v>189</v>
      </c>
      <c r="B192" s="12">
        <v>122293.13010368106</v>
      </c>
      <c r="C192" s="12"/>
    </row>
    <row r="193" spans="1:3">
      <c r="A193">
        <v>190</v>
      </c>
      <c r="B193" s="12">
        <v>59179.64107796827</v>
      </c>
      <c r="C193" s="12"/>
    </row>
    <row r="194" spans="1:3">
      <c r="A194">
        <v>191</v>
      </c>
      <c r="B194" s="12">
        <v>88738.707731714298</v>
      </c>
      <c r="C194" s="12"/>
    </row>
    <row r="195" spans="1:3">
      <c r="A195">
        <v>192</v>
      </c>
      <c r="B195" s="12">
        <v>109435.41643272419</v>
      </c>
      <c r="C195" s="12"/>
    </row>
    <row r="196" spans="1:3">
      <c r="A196">
        <v>193</v>
      </c>
      <c r="B196" s="12">
        <v>131654.30126404917</v>
      </c>
      <c r="C196" s="12"/>
    </row>
    <row r="197" spans="1:3">
      <c r="A197">
        <v>194</v>
      </c>
      <c r="B197" s="12">
        <v>137771.1711858192</v>
      </c>
      <c r="C197" s="12"/>
    </row>
    <row r="198" spans="1:3">
      <c r="A198">
        <v>195</v>
      </c>
      <c r="B198" s="12">
        <v>70669.864643010165</v>
      </c>
      <c r="C198" s="12"/>
    </row>
    <row r="199" spans="1:3">
      <c r="A199">
        <v>196</v>
      </c>
      <c r="B199" s="12">
        <v>127536.22834093016</v>
      </c>
      <c r="C199" s="12"/>
    </row>
    <row r="200" spans="1:3">
      <c r="A200">
        <v>197</v>
      </c>
      <c r="B200" s="12">
        <v>118564.89303250896</v>
      </c>
      <c r="C200" s="12"/>
    </row>
    <row r="201" spans="1:3">
      <c r="A201">
        <v>198</v>
      </c>
      <c r="B201" s="12">
        <v>129478.30186647351</v>
      </c>
      <c r="C201" s="12"/>
    </row>
    <row r="202" spans="1:3">
      <c r="A202">
        <v>199</v>
      </c>
      <c r="B202" s="12">
        <v>142206.47348611266</v>
      </c>
      <c r="C202" s="12"/>
    </row>
    <row r="203" spans="1:3">
      <c r="A203">
        <v>200</v>
      </c>
      <c r="B203" s="12">
        <v>145490.61241194035</v>
      </c>
      <c r="C203" s="12"/>
    </row>
    <row r="204" spans="1:3">
      <c r="A204">
        <v>201</v>
      </c>
      <c r="B204" s="12">
        <v>147181.26542704049</v>
      </c>
      <c r="C204" s="12"/>
    </row>
    <row r="205" spans="1:3">
      <c r="A205">
        <v>202</v>
      </c>
      <c r="B205" s="12">
        <v>99643.023472135988</v>
      </c>
      <c r="C205" s="12"/>
    </row>
    <row r="206" spans="1:3">
      <c r="A206">
        <v>203</v>
      </c>
      <c r="B206" s="12">
        <v>106106.71267963879</v>
      </c>
      <c r="C206" s="12"/>
    </row>
    <row r="207" spans="1:3">
      <c r="A207">
        <v>204</v>
      </c>
      <c r="B207" s="12">
        <v>116194.88436226736</v>
      </c>
      <c r="C207" s="12"/>
    </row>
    <row r="208" spans="1:3">
      <c r="A208">
        <v>205</v>
      </c>
      <c r="B208" s="12">
        <v>104837.4711456534</v>
      </c>
      <c r="C208" s="12"/>
    </row>
    <row r="209" spans="1:3">
      <c r="A209">
        <v>206</v>
      </c>
      <c r="B209" s="12">
        <v>188583.20029130625</v>
      </c>
      <c r="C209" s="12"/>
    </row>
    <row r="210" spans="1:3">
      <c r="A210">
        <v>207</v>
      </c>
      <c r="B210" s="12">
        <v>74393.414262960447</v>
      </c>
      <c r="C210" s="12"/>
    </row>
    <row r="211" spans="1:3">
      <c r="A211">
        <v>208</v>
      </c>
      <c r="B211" s="12">
        <v>108766.85299552284</v>
      </c>
      <c r="C211" s="12"/>
    </row>
    <row r="212" spans="1:3">
      <c r="A212">
        <v>209</v>
      </c>
      <c r="B212" s="12">
        <v>144047.36618730309</v>
      </c>
      <c r="C212" s="12"/>
    </row>
    <row r="213" spans="1:3">
      <c r="A213">
        <v>210</v>
      </c>
      <c r="B213" s="12">
        <v>114698.22781639345</v>
      </c>
      <c r="C213" s="12"/>
    </row>
    <row r="214" spans="1:3">
      <c r="A214">
        <v>211</v>
      </c>
      <c r="B214" s="12">
        <v>156940.14580916055</v>
      </c>
      <c r="C214" s="12"/>
    </row>
    <row r="215" spans="1:3">
      <c r="A215">
        <v>212</v>
      </c>
      <c r="B215" s="12">
        <v>63988.58919122535</v>
      </c>
      <c r="C215" s="12"/>
    </row>
    <row r="216" spans="1:3">
      <c r="A216">
        <v>213</v>
      </c>
      <c r="B216" s="12">
        <v>133892.2425952027</v>
      </c>
      <c r="C216" s="12"/>
    </row>
    <row r="217" spans="1:3">
      <c r="A217">
        <v>214</v>
      </c>
      <c r="B217" s="12">
        <v>137027.81237612487</v>
      </c>
      <c r="C217" s="12"/>
    </row>
    <row r="218" spans="1:3">
      <c r="A218">
        <v>215</v>
      </c>
      <c r="B218" s="12">
        <v>114474.54379369183</v>
      </c>
      <c r="C218" s="12"/>
    </row>
    <row r="219" spans="1:3">
      <c r="A219">
        <v>216</v>
      </c>
      <c r="B219" s="12">
        <v>86596.569756948229</v>
      </c>
      <c r="C219" s="12"/>
    </row>
    <row r="220" spans="1:3">
      <c r="A220">
        <v>217</v>
      </c>
      <c r="B220" s="12">
        <v>89751.740003784929</v>
      </c>
      <c r="C220" s="12"/>
    </row>
    <row r="221" spans="1:3">
      <c r="A221">
        <v>218</v>
      </c>
      <c r="B221" s="12">
        <v>72435.431068113219</v>
      </c>
      <c r="C221" s="12"/>
    </row>
    <row r="222" spans="1:3">
      <c r="A222">
        <v>219</v>
      </c>
      <c r="B222" s="12">
        <v>96582.043405717792</v>
      </c>
      <c r="C222" s="12"/>
    </row>
    <row r="223" spans="1:3">
      <c r="A223">
        <v>220</v>
      </c>
      <c r="B223" s="12">
        <v>73146.461114293372</v>
      </c>
      <c r="C223" s="12"/>
    </row>
    <row r="224" spans="1:3">
      <c r="A224">
        <v>221</v>
      </c>
      <c r="B224" s="12">
        <v>201560.14583078038</v>
      </c>
      <c r="C224" s="12"/>
    </row>
    <row r="225" spans="1:3">
      <c r="A225">
        <v>222</v>
      </c>
      <c r="B225" s="12">
        <v>90347.86748875973</v>
      </c>
      <c r="C225" s="12"/>
    </row>
    <row r="226" spans="1:3">
      <c r="A226">
        <v>223</v>
      </c>
      <c r="B226" s="12">
        <v>119320.59432839091</v>
      </c>
      <c r="C226" s="12"/>
    </row>
    <row r="227" spans="1:3">
      <c r="A227">
        <v>224</v>
      </c>
      <c r="B227" s="12">
        <v>109722.88751171429</v>
      </c>
      <c r="C227" s="12"/>
    </row>
    <row r="228" spans="1:3">
      <c r="A228">
        <v>225</v>
      </c>
      <c r="B228" s="12">
        <v>133156.39129634012</v>
      </c>
      <c r="C228" s="12"/>
    </row>
    <row r="229" spans="1:3">
      <c r="A229">
        <v>226</v>
      </c>
      <c r="B229" s="12">
        <v>85245.086437381469</v>
      </c>
      <c r="C229" s="12"/>
    </row>
    <row r="230" spans="1:3">
      <c r="A230">
        <v>227</v>
      </c>
      <c r="B230" s="12">
        <v>102068.84950172287</v>
      </c>
      <c r="C230" s="12"/>
    </row>
    <row r="231" spans="1:3">
      <c r="A231">
        <v>228</v>
      </c>
      <c r="B231" s="12">
        <v>126545.6549414655</v>
      </c>
      <c r="C231" s="12"/>
    </row>
    <row r="232" spans="1:3">
      <c r="A232">
        <v>229</v>
      </c>
      <c r="B232" s="12">
        <v>104091.21826827765</v>
      </c>
      <c r="C232" s="12"/>
    </row>
    <row r="233" spans="1:3">
      <c r="A233">
        <v>230</v>
      </c>
      <c r="B233" s="12">
        <v>89331.551509892946</v>
      </c>
      <c r="C233" s="12"/>
    </row>
    <row r="234" spans="1:3">
      <c r="A234">
        <v>231</v>
      </c>
      <c r="B234" s="12">
        <v>101932.99313452358</v>
      </c>
      <c r="C234" s="12"/>
    </row>
    <row r="235" spans="1:3">
      <c r="A235">
        <v>232</v>
      </c>
      <c r="B235" s="12">
        <v>97816.619358637836</v>
      </c>
      <c r="C235" s="12"/>
    </row>
    <row r="236" spans="1:3">
      <c r="A236">
        <v>233</v>
      </c>
      <c r="B236" s="12">
        <v>166373.51476102986</v>
      </c>
      <c r="C236" s="12"/>
    </row>
    <row r="237" spans="1:3">
      <c r="A237">
        <v>234</v>
      </c>
      <c r="B237" s="12">
        <v>90077.103892074883</v>
      </c>
      <c r="C237" s="12"/>
    </row>
    <row r="238" spans="1:3">
      <c r="A238">
        <v>235</v>
      </c>
      <c r="B238" s="12">
        <v>157751.06855110952</v>
      </c>
      <c r="C238" s="12"/>
    </row>
    <row r="239" spans="1:3">
      <c r="A239">
        <v>236</v>
      </c>
      <c r="B239" s="12">
        <v>100547.71803051351</v>
      </c>
      <c r="C239" s="12"/>
    </row>
    <row r="240" spans="1:3">
      <c r="A240">
        <v>237</v>
      </c>
      <c r="B240" s="12">
        <v>132355.97521851608</v>
      </c>
      <c r="C240" s="12"/>
    </row>
    <row r="241" spans="1:3">
      <c r="A241">
        <v>238</v>
      </c>
      <c r="B241" s="12">
        <v>84074.194578213312</v>
      </c>
      <c r="C241" s="12"/>
    </row>
    <row r="242" spans="1:3">
      <c r="A242">
        <v>239</v>
      </c>
      <c r="B242" s="12">
        <v>156378.87402034627</v>
      </c>
      <c r="C242" s="12"/>
    </row>
    <row r="243" spans="1:3">
      <c r="A243">
        <v>240</v>
      </c>
      <c r="B243" s="12">
        <v>75873.758583155883</v>
      </c>
      <c r="C243" s="12"/>
    </row>
    <row r="244" spans="1:3">
      <c r="A244">
        <v>241</v>
      </c>
      <c r="B244" s="12">
        <v>98305.692163312298</v>
      </c>
      <c r="C244" s="12"/>
    </row>
    <row r="245" spans="1:3">
      <c r="A245">
        <v>242</v>
      </c>
      <c r="B245" s="12">
        <v>98314.499725853442</v>
      </c>
      <c r="C245" s="12"/>
    </row>
    <row r="246" spans="1:3">
      <c r="A246">
        <v>243</v>
      </c>
      <c r="B246" s="12">
        <v>94620.823600733129</v>
      </c>
      <c r="C246" s="12"/>
    </row>
    <row r="247" spans="1:3">
      <c r="A247">
        <v>244</v>
      </c>
      <c r="B247" s="12">
        <v>78528.238641325734</v>
      </c>
      <c r="C247" s="12"/>
    </row>
    <row r="248" spans="1:3">
      <c r="A248">
        <v>245</v>
      </c>
      <c r="B248" s="12">
        <v>91194.493142245905</v>
      </c>
      <c r="C248" s="12"/>
    </row>
    <row r="249" spans="1:3">
      <c r="A249">
        <v>246</v>
      </c>
      <c r="B249" s="12">
        <v>71354.20390973438</v>
      </c>
      <c r="C249" s="12"/>
    </row>
    <row r="250" spans="1:3">
      <c r="A250">
        <v>247</v>
      </c>
      <c r="B250" s="12">
        <v>145844.2676536142</v>
      </c>
      <c r="C250" s="12"/>
    </row>
    <row r="251" spans="1:3">
      <c r="A251">
        <v>248</v>
      </c>
      <c r="B251" s="12">
        <v>49751.946436162834</v>
      </c>
      <c r="C251" s="12"/>
    </row>
    <row r="252" spans="1:3">
      <c r="A252">
        <v>249</v>
      </c>
      <c r="B252" s="12">
        <v>126414.0974163066</v>
      </c>
      <c r="C252" s="12"/>
    </row>
    <row r="253" spans="1:3">
      <c r="A253">
        <v>250</v>
      </c>
      <c r="B253" s="12">
        <v>74781.450183768582</v>
      </c>
      <c r="C253" s="12"/>
    </row>
    <row r="254" spans="1:3">
      <c r="A254">
        <v>251</v>
      </c>
      <c r="B254" s="12">
        <v>94099.517077642813</v>
      </c>
      <c r="C254" s="12"/>
    </row>
    <row r="255" spans="1:3">
      <c r="A255">
        <v>252</v>
      </c>
      <c r="B255" s="12">
        <v>111979.3617606147</v>
      </c>
      <c r="C255" s="12"/>
    </row>
    <row r="256" spans="1:3">
      <c r="A256">
        <v>253</v>
      </c>
      <c r="B256" s="12">
        <v>98823.91771725181</v>
      </c>
      <c r="C256" s="12"/>
    </row>
    <row r="257" spans="1:3">
      <c r="A257">
        <v>254</v>
      </c>
      <c r="B257" s="12">
        <v>75105.494869762799</v>
      </c>
      <c r="C257" s="12"/>
    </row>
    <row r="258" spans="1:3">
      <c r="A258">
        <v>255</v>
      </c>
      <c r="B258" s="12">
        <v>103879.07682375968</v>
      </c>
      <c r="C258" s="12"/>
    </row>
    <row r="259" spans="1:3">
      <c r="A259">
        <v>256</v>
      </c>
      <c r="B259" s="12">
        <v>121535.61857530319</v>
      </c>
      <c r="C259" s="12"/>
    </row>
    <row r="260" spans="1:3">
      <c r="A260">
        <v>257</v>
      </c>
      <c r="B260" s="12">
        <v>95290.157244696122</v>
      </c>
      <c r="C260" s="12"/>
    </row>
    <row r="261" spans="1:3">
      <c r="A261">
        <v>258</v>
      </c>
      <c r="B261" s="12">
        <v>77585.931510804774</v>
      </c>
      <c r="C261" s="12"/>
    </row>
    <row r="262" spans="1:3">
      <c r="A262">
        <v>259</v>
      </c>
      <c r="B262" s="12">
        <v>114796.88160819668</v>
      </c>
      <c r="C262" s="12"/>
    </row>
    <row r="263" spans="1:3">
      <c r="A263">
        <v>260</v>
      </c>
      <c r="B263" s="12">
        <v>126541.91106377151</v>
      </c>
      <c r="C263" s="12"/>
    </row>
    <row r="264" spans="1:3">
      <c r="A264">
        <v>261</v>
      </c>
      <c r="B264" s="12">
        <v>83618.213860151067</v>
      </c>
      <c r="C264" s="12"/>
    </row>
    <row r="265" spans="1:3">
      <c r="A265">
        <v>262</v>
      </c>
      <c r="B265" s="12">
        <v>121592.576871956</v>
      </c>
      <c r="C265" s="12"/>
    </row>
    <row r="266" spans="1:3">
      <c r="A266">
        <v>263</v>
      </c>
      <c r="B266" s="12">
        <v>78014.38463928827</v>
      </c>
      <c r="C266" s="12"/>
    </row>
    <row r="267" spans="1:3">
      <c r="A267">
        <v>264</v>
      </c>
      <c r="B267" s="12">
        <v>84861.229890883871</v>
      </c>
      <c r="C267" s="12"/>
    </row>
    <row r="268" spans="1:3">
      <c r="A268">
        <v>265</v>
      </c>
      <c r="B268" s="12">
        <v>120054.69775334036</v>
      </c>
      <c r="C268" s="12"/>
    </row>
    <row r="269" spans="1:3">
      <c r="A269">
        <v>266</v>
      </c>
      <c r="B269" s="12">
        <v>129531.81149322503</v>
      </c>
      <c r="C269" s="12"/>
    </row>
    <row r="270" spans="1:3">
      <c r="A270">
        <v>267</v>
      </c>
      <c r="B270" s="12">
        <v>133936.89199679499</v>
      </c>
      <c r="C270" s="12"/>
    </row>
    <row r="271" spans="1:3">
      <c r="A271">
        <v>268</v>
      </c>
      <c r="B271" s="12">
        <v>153506.62559344858</v>
      </c>
      <c r="C271" s="12"/>
    </row>
    <row r="272" spans="1:3">
      <c r="A272">
        <v>269</v>
      </c>
      <c r="B272" s="12">
        <v>195493.06921739932</v>
      </c>
      <c r="C272" s="12"/>
    </row>
    <row r="273" spans="1:3">
      <c r="A273">
        <v>270</v>
      </c>
      <c r="B273" s="12">
        <v>93710.470374144919</v>
      </c>
      <c r="C273" s="12"/>
    </row>
    <row r="274" spans="1:3">
      <c r="A274">
        <v>271</v>
      </c>
      <c r="B274" s="12">
        <v>114796.17001180246</v>
      </c>
      <c r="C274" s="12"/>
    </row>
    <row r="275" spans="1:3">
      <c r="A275">
        <v>272</v>
      </c>
      <c r="B275" s="12">
        <v>118339.12344942914</v>
      </c>
      <c r="C275" s="12"/>
    </row>
    <row r="276" spans="1:3">
      <c r="A276">
        <v>273</v>
      </c>
      <c r="B276" s="12">
        <v>73220.673976969818</v>
      </c>
      <c r="C276" s="12"/>
    </row>
    <row r="277" spans="1:3">
      <c r="A277">
        <v>274</v>
      </c>
      <c r="B277" s="12">
        <v>150514.50601994788</v>
      </c>
      <c r="C277" s="12"/>
    </row>
    <row r="278" spans="1:3">
      <c r="A278">
        <v>275</v>
      </c>
      <c r="B278" s="12">
        <v>72349.262899797701</v>
      </c>
      <c r="C278" s="12"/>
    </row>
    <row r="279" spans="1:3">
      <c r="A279">
        <v>276</v>
      </c>
      <c r="B279" s="12">
        <v>87582.678281551023</v>
      </c>
      <c r="C279" s="12"/>
    </row>
    <row r="280" spans="1:3">
      <c r="A280">
        <v>277</v>
      </c>
      <c r="B280" s="12">
        <v>108754.32173611384</v>
      </c>
      <c r="C280" s="12"/>
    </row>
    <row r="281" spans="1:3">
      <c r="A281">
        <v>278</v>
      </c>
      <c r="B281" s="12">
        <v>106039.66380353295</v>
      </c>
      <c r="C281" s="12"/>
    </row>
    <row r="282" spans="1:3">
      <c r="A282">
        <v>279</v>
      </c>
      <c r="B282" s="12">
        <v>150788.87040078608</v>
      </c>
      <c r="C282" s="12"/>
    </row>
    <row r="283" spans="1:3">
      <c r="A283">
        <v>280</v>
      </c>
      <c r="B283" s="12">
        <v>125895.38074916419</v>
      </c>
      <c r="C283" s="12"/>
    </row>
    <row r="284" spans="1:3">
      <c r="A284">
        <v>281</v>
      </c>
      <c r="B284" s="12">
        <v>143930.27293263614</v>
      </c>
      <c r="C284" s="12"/>
    </row>
    <row r="285" spans="1:3">
      <c r="A285">
        <v>282</v>
      </c>
      <c r="B285" s="12">
        <v>97961.905096471382</v>
      </c>
      <c r="C285" s="12"/>
    </row>
    <row r="286" spans="1:3">
      <c r="A286">
        <v>283</v>
      </c>
      <c r="B286" s="12">
        <v>83098.778783958624</v>
      </c>
      <c r="C286" s="12"/>
    </row>
    <row r="287" spans="1:3">
      <c r="A287">
        <v>284</v>
      </c>
      <c r="B287" s="12">
        <v>127878.66447481232</v>
      </c>
      <c r="C287" s="12"/>
    </row>
    <row r="288" spans="1:3">
      <c r="A288">
        <v>285</v>
      </c>
      <c r="B288" s="12">
        <v>102920.23462715992</v>
      </c>
      <c r="C288" s="12"/>
    </row>
    <row r="289" spans="1:3">
      <c r="A289">
        <v>286</v>
      </c>
      <c r="B289" s="12">
        <v>131861.61181658157</v>
      </c>
      <c r="C289" s="12"/>
    </row>
    <row r="290" spans="1:3">
      <c r="A290">
        <v>287</v>
      </c>
      <c r="B290" s="12">
        <v>159450.91610047952</v>
      </c>
      <c r="C290" s="12"/>
    </row>
    <row r="291" spans="1:3">
      <c r="A291">
        <v>288</v>
      </c>
      <c r="B291" s="12">
        <v>134122.83083816507</v>
      </c>
      <c r="C291" s="12"/>
    </row>
    <row r="292" spans="1:3">
      <c r="A292">
        <v>289</v>
      </c>
      <c r="B292" s="12">
        <v>179359.81440178861</v>
      </c>
      <c r="C292" s="12"/>
    </row>
    <row r="293" spans="1:3">
      <c r="A293">
        <v>290</v>
      </c>
      <c r="B293" s="12">
        <v>109344.74565604609</v>
      </c>
      <c r="C293" s="12"/>
    </row>
    <row r="294" spans="1:3">
      <c r="A294">
        <v>291</v>
      </c>
      <c r="B294" s="12">
        <v>144126.53174405833</v>
      </c>
      <c r="C294" s="12"/>
    </row>
    <row r="295" spans="1:3">
      <c r="A295">
        <v>292</v>
      </c>
      <c r="B295" s="12">
        <v>110597.29887659324</v>
      </c>
      <c r="C295" s="12"/>
    </row>
    <row r="296" spans="1:3">
      <c r="A296">
        <v>293</v>
      </c>
      <c r="B296" s="12">
        <v>88420.330429733614</v>
      </c>
      <c r="C296" s="12"/>
    </row>
    <row r="297" spans="1:3">
      <c r="A297">
        <v>294</v>
      </c>
      <c r="B297" s="12">
        <v>113769.91547622859</v>
      </c>
      <c r="C297" s="12"/>
    </row>
    <row r="298" spans="1:3">
      <c r="A298">
        <v>295</v>
      </c>
      <c r="B298" s="12">
        <v>129503.22176861406</v>
      </c>
      <c r="C298" s="12"/>
    </row>
    <row r="299" spans="1:3">
      <c r="A299">
        <v>296</v>
      </c>
      <c r="B299" s="12">
        <v>95872.496826932969</v>
      </c>
      <c r="C299" s="12"/>
    </row>
    <row r="300" spans="1:3">
      <c r="A300">
        <v>297</v>
      </c>
      <c r="B300" s="12">
        <v>123775.61598083236</v>
      </c>
      <c r="C300" s="12"/>
    </row>
    <row r="301" spans="1:3">
      <c r="A301">
        <v>298</v>
      </c>
      <c r="B301" s="12">
        <v>131610.12387601554</v>
      </c>
      <c r="C301" s="12"/>
    </row>
    <row r="302" spans="1:3">
      <c r="A302">
        <v>299</v>
      </c>
      <c r="B302" s="12">
        <v>140901.44387212463</v>
      </c>
      <c r="C302" s="12"/>
    </row>
    <row r="303" spans="1:3">
      <c r="A303">
        <v>300</v>
      </c>
      <c r="B303" s="12">
        <v>109811.67789396396</v>
      </c>
      <c r="C303" s="12"/>
    </row>
    <row r="304" spans="1:3">
      <c r="A304">
        <v>301</v>
      </c>
      <c r="B304" s="12">
        <v>63052.063175564632</v>
      </c>
      <c r="C304" s="12"/>
    </row>
    <row r="305" spans="1:3">
      <c r="A305">
        <v>302</v>
      </c>
      <c r="B305" s="12">
        <v>89988.163499561342</v>
      </c>
      <c r="C305" s="12"/>
    </row>
    <row r="306" spans="1:3">
      <c r="A306">
        <v>303</v>
      </c>
      <c r="B306" s="12">
        <v>88266.777520141739</v>
      </c>
      <c r="C306" s="12"/>
    </row>
    <row r="307" spans="1:3">
      <c r="A307">
        <v>304</v>
      </c>
      <c r="B307" s="12">
        <v>153488.78900106504</v>
      </c>
      <c r="C307" s="12"/>
    </row>
    <row r="308" spans="1:3">
      <c r="A308">
        <v>305</v>
      </c>
      <c r="B308" s="12">
        <v>120579.19030172563</v>
      </c>
      <c r="C308" s="12"/>
    </row>
    <row r="309" spans="1:3">
      <c r="A309">
        <v>306</v>
      </c>
      <c r="B309" s="12">
        <v>129937.55131623334</v>
      </c>
      <c r="C309" s="12"/>
    </row>
    <row r="310" spans="1:3">
      <c r="A310">
        <v>307</v>
      </c>
      <c r="B310" s="12">
        <v>134375.43271576613</v>
      </c>
      <c r="C310" s="12"/>
    </row>
    <row r="311" spans="1:3">
      <c r="A311">
        <v>308</v>
      </c>
      <c r="B311" s="12">
        <v>170371.99505556896</v>
      </c>
      <c r="C311" s="12"/>
    </row>
    <row r="312" spans="1:3">
      <c r="A312">
        <v>309</v>
      </c>
      <c r="B312" s="12">
        <v>72876.841476055677</v>
      </c>
      <c r="C312" s="12"/>
    </row>
    <row r="313" spans="1:3">
      <c r="A313">
        <v>310</v>
      </c>
      <c r="B313" s="12">
        <v>199109.35189100745</v>
      </c>
      <c r="C313" s="12"/>
    </row>
    <row r="314" spans="1:3">
      <c r="A314">
        <v>311</v>
      </c>
      <c r="B314" s="12">
        <v>101893.19219872284</v>
      </c>
      <c r="C314" s="12"/>
    </row>
    <row r="315" spans="1:3">
      <c r="A315">
        <v>312</v>
      </c>
      <c r="B315" s="12">
        <v>147561.9768676121</v>
      </c>
      <c r="C315" s="12"/>
    </row>
    <row r="316" spans="1:3">
      <c r="A316">
        <v>313</v>
      </c>
      <c r="B316" s="12">
        <v>77760.069927664605</v>
      </c>
      <c r="C316" s="12"/>
    </row>
    <row r="317" spans="1:3">
      <c r="A317">
        <v>314</v>
      </c>
      <c r="B317" s="12">
        <v>67472.654945653718</v>
      </c>
      <c r="C317" s="12"/>
    </row>
    <row r="318" spans="1:3">
      <c r="A318">
        <v>315</v>
      </c>
      <c r="B318" s="12">
        <v>86449.877759075607</v>
      </c>
      <c r="C318" s="12"/>
    </row>
    <row r="319" spans="1:3">
      <c r="A319">
        <v>316</v>
      </c>
      <c r="B319" s="12">
        <v>181279.46773422457</v>
      </c>
      <c r="C319" s="12"/>
    </row>
    <row r="320" spans="1:3">
      <c r="A320">
        <v>317</v>
      </c>
      <c r="B320" s="12">
        <v>164336.45435027592</v>
      </c>
      <c r="C320" s="12"/>
    </row>
    <row r="321" spans="1:3">
      <c r="A321">
        <v>318</v>
      </c>
      <c r="B321" s="12">
        <v>109088.81150600962</v>
      </c>
      <c r="C321" s="12"/>
    </row>
    <row r="322" spans="1:3">
      <c r="A322">
        <v>319</v>
      </c>
      <c r="B322" s="12">
        <v>110204.20706584072</v>
      </c>
      <c r="C322" s="12"/>
    </row>
    <row r="323" spans="1:3">
      <c r="A323">
        <v>320</v>
      </c>
      <c r="B323" s="12">
        <v>159358.38286953021</v>
      </c>
      <c r="C323" s="12"/>
    </row>
    <row r="324" spans="1:3">
      <c r="A324">
        <v>321</v>
      </c>
      <c r="B324" s="12">
        <v>180558.71611812917</v>
      </c>
      <c r="C324" s="12"/>
    </row>
    <row r="325" spans="1:3">
      <c r="A325">
        <v>322</v>
      </c>
      <c r="B325" s="12">
        <v>97235.350908744993</v>
      </c>
      <c r="C325" s="12"/>
    </row>
    <row r="326" spans="1:3">
      <c r="A326">
        <v>323</v>
      </c>
      <c r="B326" s="12">
        <v>94678.762055270592</v>
      </c>
      <c r="C326" s="12"/>
    </row>
    <row r="327" spans="1:3">
      <c r="A327">
        <v>324</v>
      </c>
      <c r="B327" s="12">
        <v>107592.35461190031</v>
      </c>
      <c r="C327" s="12"/>
    </row>
    <row r="328" spans="1:3">
      <c r="A328">
        <v>325</v>
      </c>
      <c r="B328" s="12">
        <v>122822.05546783214</v>
      </c>
      <c r="C328" s="12"/>
    </row>
    <row r="329" spans="1:3">
      <c r="A329">
        <v>326</v>
      </c>
      <c r="B329" s="12">
        <v>158586.48202849113</v>
      </c>
      <c r="C329" s="12"/>
    </row>
    <row r="330" spans="1:3">
      <c r="A330">
        <v>327</v>
      </c>
      <c r="B330" s="12">
        <v>108476.7440327659</v>
      </c>
      <c r="C330" s="12"/>
    </row>
    <row r="331" spans="1:3">
      <c r="A331">
        <v>328</v>
      </c>
      <c r="B331" s="12">
        <v>106409.74507461725</v>
      </c>
      <c r="C331" s="12"/>
    </row>
    <row r="332" spans="1:3">
      <c r="A332">
        <v>329</v>
      </c>
      <c r="B332" s="12">
        <v>155294.23203943958</v>
      </c>
      <c r="C332" s="12"/>
    </row>
    <row r="333" spans="1:3">
      <c r="A333">
        <v>330</v>
      </c>
      <c r="B333" s="12">
        <v>143421.24219331358</v>
      </c>
      <c r="C333" s="12"/>
    </row>
    <row r="334" spans="1:3">
      <c r="A334">
        <v>331</v>
      </c>
      <c r="B334" s="12">
        <v>106890.69081417329</v>
      </c>
      <c r="C334" s="12"/>
    </row>
    <row r="335" spans="1:3">
      <c r="A335">
        <v>332</v>
      </c>
      <c r="B335" s="12">
        <v>136952.78680919547</v>
      </c>
      <c r="C335" s="12"/>
    </row>
    <row r="336" spans="1:3">
      <c r="A336">
        <v>333</v>
      </c>
      <c r="B336" s="12">
        <v>104654.39686922522</v>
      </c>
      <c r="C336" s="12"/>
    </row>
    <row r="337" spans="1:3">
      <c r="A337">
        <v>334</v>
      </c>
      <c r="B337" s="12">
        <v>111281.89968855344</v>
      </c>
      <c r="C337" s="12"/>
    </row>
    <row r="338" spans="1:3">
      <c r="A338">
        <v>335</v>
      </c>
      <c r="B338" s="12">
        <v>94280.778634466929</v>
      </c>
      <c r="C338" s="12"/>
    </row>
    <row r="339" spans="1:3">
      <c r="A339">
        <v>336</v>
      </c>
      <c r="B339" s="12">
        <v>93465.885548406935</v>
      </c>
      <c r="C339" s="12"/>
    </row>
    <row r="340" spans="1:3">
      <c r="A340">
        <v>337</v>
      </c>
      <c r="B340" s="12">
        <v>106856.54111736389</v>
      </c>
      <c r="C340" s="12"/>
    </row>
    <row r="341" spans="1:3">
      <c r="A341">
        <v>338</v>
      </c>
      <c r="B341" s="12">
        <v>102924.67802403111</v>
      </c>
      <c r="C341" s="12"/>
    </row>
    <row r="342" spans="1:3">
      <c r="A342">
        <v>339</v>
      </c>
      <c r="B342" s="12">
        <v>83913.144202754716</v>
      </c>
      <c r="C342" s="12"/>
    </row>
    <row r="343" spans="1:3">
      <c r="A343">
        <v>340</v>
      </c>
      <c r="B343" s="12">
        <v>114398.14818724882</v>
      </c>
      <c r="C343" s="12"/>
    </row>
    <row r="344" spans="1:3">
      <c r="A344">
        <v>341</v>
      </c>
      <c r="B344" s="12">
        <v>87884.758969831426</v>
      </c>
      <c r="C344" s="12"/>
    </row>
    <row r="345" spans="1:3">
      <c r="A345">
        <v>342</v>
      </c>
      <c r="B345" s="12">
        <v>93116.647916000249</v>
      </c>
      <c r="C345" s="12"/>
    </row>
    <row r="346" spans="1:3">
      <c r="A346">
        <v>343</v>
      </c>
      <c r="B346" s="12">
        <v>102187.11768138094</v>
      </c>
      <c r="C346" s="12"/>
    </row>
    <row r="347" spans="1:3">
      <c r="A347">
        <v>344</v>
      </c>
      <c r="B347" s="12">
        <v>98654.86488578438</v>
      </c>
      <c r="C347" s="12"/>
    </row>
    <row r="348" spans="1:3">
      <c r="A348">
        <v>345</v>
      </c>
      <c r="B348" s="12">
        <v>104610.41279049497</v>
      </c>
      <c r="C348" s="12"/>
    </row>
    <row r="349" spans="1:3">
      <c r="A349">
        <v>346</v>
      </c>
      <c r="B349" s="12">
        <v>114121.54100851536</v>
      </c>
      <c r="C349" s="12"/>
    </row>
    <row r="350" spans="1:3">
      <c r="A350">
        <v>347</v>
      </c>
      <c r="B350" s="12">
        <v>180269.64244553895</v>
      </c>
      <c r="C350" s="12"/>
    </row>
    <row r="351" spans="1:3">
      <c r="A351">
        <v>348</v>
      </c>
      <c r="B351" s="12">
        <v>83970.750263950409</v>
      </c>
      <c r="C351" s="12"/>
    </row>
    <row r="352" spans="1:3">
      <c r="A352">
        <v>349</v>
      </c>
      <c r="B352" s="12">
        <v>115297.76901468098</v>
      </c>
      <c r="C352" s="12"/>
    </row>
    <row r="353" spans="1:3">
      <c r="A353">
        <v>350</v>
      </c>
      <c r="B353" s="12">
        <v>109851.74199869615</v>
      </c>
      <c r="C353" s="12"/>
    </row>
    <row r="354" spans="1:3">
      <c r="A354">
        <v>351</v>
      </c>
      <c r="B354" s="12">
        <v>136941.95691937947</v>
      </c>
      <c r="C354" s="12"/>
    </row>
    <row r="355" spans="1:3">
      <c r="A355">
        <v>352</v>
      </c>
      <c r="B355" s="12">
        <v>93238.796080596861</v>
      </c>
      <c r="C355" s="12"/>
    </row>
    <row r="356" spans="1:3">
      <c r="A356">
        <v>353</v>
      </c>
      <c r="B356" s="12">
        <v>94416.44791970434</v>
      </c>
      <c r="C356" s="12"/>
    </row>
    <row r="357" spans="1:3">
      <c r="A357">
        <v>354</v>
      </c>
      <c r="B357" s="12">
        <v>81199.809694106938</v>
      </c>
      <c r="C357" s="12"/>
    </row>
    <row r="358" spans="1:3">
      <c r="A358">
        <v>355</v>
      </c>
      <c r="B358" s="12">
        <v>169689.39401176761</v>
      </c>
      <c r="C358" s="12"/>
    </row>
    <row r="359" spans="1:3">
      <c r="A359">
        <v>356</v>
      </c>
      <c r="B359" s="12">
        <v>130634.12389728647</v>
      </c>
      <c r="C359" s="12"/>
    </row>
    <row r="360" spans="1:3">
      <c r="A360">
        <v>357</v>
      </c>
      <c r="B360" s="12">
        <v>103388.2324392405</v>
      </c>
      <c r="C360" s="12"/>
    </row>
    <row r="361" spans="1:3">
      <c r="A361">
        <v>358</v>
      </c>
      <c r="B361" s="12">
        <v>98761.125230746373</v>
      </c>
      <c r="C361" s="12"/>
    </row>
    <row r="362" spans="1:3">
      <c r="A362">
        <v>359</v>
      </c>
      <c r="B362" s="12">
        <v>94218.813182539772</v>
      </c>
      <c r="C362" s="12"/>
    </row>
    <row r="363" spans="1:3">
      <c r="A363">
        <v>360</v>
      </c>
      <c r="B363" s="12">
        <v>136466.46255169137</v>
      </c>
      <c r="C363" s="12"/>
    </row>
    <row r="364" spans="1:3">
      <c r="A364">
        <v>361</v>
      </c>
      <c r="B364" s="12">
        <v>100372.91874214956</v>
      </c>
      <c r="C364" s="12"/>
    </row>
    <row r="365" spans="1:3">
      <c r="A365">
        <v>362</v>
      </c>
      <c r="B365" s="12">
        <v>120076.43899682823</v>
      </c>
      <c r="C365" s="12"/>
    </row>
    <row r="366" spans="1:3">
      <c r="A366">
        <v>363</v>
      </c>
      <c r="B366" s="12">
        <v>132097.38361092191</v>
      </c>
      <c r="C366" s="12"/>
    </row>
    <row r="367" spans="1:3">
      <c r="A367">
        <v>364</v>
      </c>
      <c r="B367" s="12">
        <v>134524.67358230785</v>
      </c>
      <c r="C367" s="12"/>
    </row>
    <row r="368" spans="1:3">
      <c r="A368">
        <v>365</v>
      </c>
      <c r="B368" s="12">
        <v>189176.97181774947</v>
      </c>
      <c r="C368" s="12"/>
    </row>
    <row r="369" spans="1:3">
      <c r="A369">
        <v>366</v>
      </c>
      <c r="B369" s="12">
        <v>103028.80374709525</v>
      </c>
      <c r="C369" s="12"/>
    </row>
    <row r="370" spans="1:3">
      <c r="A370">
        <v>367</v>
      </c>
      <c r="B370" s="12">
        <v>231485.75170895539</v>
      </c>
      <c r="C370" s="12"/>
    </row>
    <row r="371" spans="1:3">
      <c r="A371">
        <v>368</v>
      </c>
      <c r="B371" s="12">
        <v>100566.86820054051</v>
      </c>
      <c r="C371" s="12"/>
    </row>
    <row r="372" spans="1:3">
      <c r="A372">
        <v>369</v>
      </c>
      <c r="B372" s="12">
        <v>75202.525988158071</v>
      </c>
      <c r="C372" s="12"/>
    </row>
    <row r="373" spans="1:3">
      <c r="A373">
        <v>370</v>
      </c>
      <c r="B373" s="12">
        <v>73834.624981656991</v>
      </c>
      <c r="C373" s="12"/>
    </row>
    <row r="374" spans="1:3">
      <c r="A374">
        <v>371</v>
      </c>
      <c r="B374" s="12">
        <v>89693.150932839708</v>
      </c>
      <c r="C374" s="12"/>
    </row>
    <row r="375" spans="1:3">
      <c r="A375">
        <v>372</v>
      </c>
      <c r="B375" s="12">
        <v>110403.6770752861</v>
      </c>
      <c r="C375" s="12"/>
    </row>
    <row r="376" spans="1:3">
      <c r="A376">
        <v>373</v>
      </c>
      <c r="B376" s="12">
        <v>111595.20808604469</v>
      </c>
      <c r="C376" s="12"/>
    </row>
    <row r="377" spans="1:3">
      <c r="A377">
        <v>374</v>
      </c>
      <c r="B377" s="12">
        <v>105403.57976812424</v>
      </c>
      <c r="C377" s="12"/>
    </row>
    <row r="378" spans="1:3">
      <c r="A378">
        <v>375</v>
      </c>
      <c r="B378" s="12">
        <v>115234.65551349864</v>
      </c>
      <c r="C378" s="12"/>
    </row>
    <row r="379" spans="1:3">
      <c r="A379">
        <v>376</v>
      </c>
      <c r="B379" s="12">
        <v>70410.672251134893</v>
      </c>
      <c r="C379" s="12"/>
    </row>
    <row r="380" spans="1:3">
      <c r="A380">
        <v>377</v>
      </c>
      <c r="B380" s="12">
        <v>104960.09572030611</v>
      </c>
      <c r="C380" s="12"/>
    </row>
    <row r="381" spans="1:3">
      <c r="A381">
        <v>378</v>
      </c>
      <c r="B381" s="12">
        <v>82531.568659378128</v>
      </c>
      <c r="C381" s="12"/>
    </row>
    <row r="382" spans="1:3">
      <c r="A382">
        <v>379</v>
      </c>
      <c r="B382" s="12">
        <v>159521.55946444452</v>
      </c>
      <c r="C382" s="12"/>
    </row>
    <row r="383" spans="1:3">
      <c r="A383">
        <v>380</v>
      </c>
      <c r="B383" s="12">
        <v>94923.488904927406</v>
      </c>
      <c r="C383" s="12"/>
    </row>
    <row r="384" spans="1:3">
      <c r="A384">
        <v>381</v>
      </c>
      <c r="B384" s="12">
        <v>133875.15914566864</v>
      </c>
      <c r="C384" s="12"/>
    </row>
    <row r="385" spans="1:3">
      <c r="A385">
        <v>382</v>
      </c>
      <c r="B385" s="12">
        <v>87985.690187475426</v>
      </c>
      <c r="C385" s="12"/>
    </row>
    <row r="386" spans="1:3">
      <c r="A386">
        <v>383</v>
      </c>
      <c r="B386" s="12">
        <v>114588.79565780032</v>
      </c>
      <c r="C386" s="12"/>
    </row>
    <row r="387" spans="1:3">
      <c r="A387">
        <v>384</v>
      </c>
      <c r="B387" s="12">
        <v>80590.916317199939</v>
      </c>
      <c r="C387" s="12"/>
    </row>
    <row r="388" spans="1:3">
      <c r="A388">
        <v>385</v>
      </c>
      <c r="B388" s="12">
        <v>153796.45800462845</v>
      </c>
      <c r="C388" s="12"/>
    </row>
    <row r="389" spans="1:3">
      <c r="A389">
        <v>386</v>
      </c>
      <c r="B389" s="12">
        <v>88522.39803806413</v>
      </c>
      <c r="C389" s="12"/>
    </row>
    <row r="390" spans="1:3">
      <c r="A390">
        <v>387</v>
      </c>
      <c r="B390" s="12">
        <v>126225.09714730477</v>
      </c>
      <c r="C390" s="12"/>
    </row>
    <row r="391" spans="1:3">
      <c r="A391">
        <v>388</v>
      </c>
      <c r="B391" s="12">
        <v>57448.292296671432</v>
      </c>
      <c r="C391" s="12"/>
    </row>
    <row r="392" spans="1:3">
      <c r="A392">
        <v>389</v>
      </c>
      <c r="B392" s="12">
        <v>98977.657191720296</v>
      </c>
      <c r="C392" s="12"/>
    </row>
    <row r="393" spans="1:3">
      <c r="A393">
        <v>390</v>
      </c>
      <c r="B393" s="12">
        <v>67195.09425906706</v>
      </c>
      <c r="C393" s="12"/>
    </row>
    <row r="394" spans="1:3">
      <c r="A394">
        <v>391</v>
      </c>
      <c r="B394" s="12">
        <v>132042.54543851773</v>
      </c>
      <c r="C394" s="12"/>
    </row>
    <row r="395" spans="1:3">
      <c r="A395">
        <v>392</v>
      </c>
      <c r="B395" s="12">
        <v>89066.631940729829</v>
      </c>
      <c r="C395" s="12"/>
    </row>
    <row r="396" spans="1:3">
      <c r="A396">
        <v>393</v>
      </c>
      <c r="B396" s="12">
        <v>107048.55455741099</v>
      </c>
      <c r="C396" s="12"/>
    </row>
    <row r="397" spans="1:3">
      <c r="A397">
        <v>394</v>
      </c>
      <c r="B397" s="12">
        <v>74721.601892833351</v>
      </c>
      <c r="C397" s="12"/>
    </row>
    <row r="398" spans="1:3">
      <c r="A398">
        <v>395</v>
      </c>
      <c r="B398" s="12">
        <v>148652.96487781074</v>
      </c>
      <c r="C398" s="12"/>
    </row>
    <row r="399" spans="1:3">
      <c r="A399">
        <v>396</v>
      </c>
      <c r="B399" s="12">
        <v>70222.744967197141</v>
      </c>
      <c r="C399" s="12"/>
    </row>
    <row r="400" spans="1:3">
      <c r="A400">
        <v>397</v>
      </c>
      <c r="B400" s="12">
        <v>122347.29686897948</v>
      </c>
      <c r="C400" s="12"/>
    </row>
    <row r="401" spans="1:3">
      <c r="A401">
        <v>398</v>
      </c>
      <c r="B401" s="12">
        <v>191403.22959859858</v>
      </c>
      <c r="C401" s="12"/>
    </row>
    <row r="402" spans="1:3">
      <c r="A402">
        <v>399</v>
      </c>
      <c r="B402" s="12">
        <v>105734.45383843733</v>
      </c>
      <c r="C402" s="12"/>
    </row>
    <row r="403" spans="1:3">
      <c r="A403">
        <v>400</v>
      </c>
      <c r="B403" s="12">
        <v>139224.83448642399</v>
      </c>
      <c r="C403" s="12"/>
    </row>
    <row r="404" spans="1:3">
      <c r="A404">
        <v>401</v>
      </c>
      <c r="B404" s="12">
        <v>105682.05414019585</v>
      </c>
      <c r="C404" s="12"/>
    </row>
    <row r="405" spans="1:3">
      <c r="A405">
        <v>402</v>
      </c>
      <c r="B405" s="12">
        <v>149805.76457998896</v>
      </c>
      <c r="C405" s="12"/>
    </row>
    <row r="406" spans="1:3">
      <c r="A406">
        <v>403</v>
      </c>
      <c r="B406" s="12">
        <v>219811.4185134297</v>
      </c>
      <c r="C406" s="12"/>
    </row>
    <row r="407" spans="1:3">
      <c r="A407">
        <v>404</v>
      </c>
      <c r="B407" s="12">
        <v>105985.40668778439</v>
      </c>
      <c r="C407" s="12"/>
    </row>
    <row r="408" spans="1:3">
      <c r="A408">
        <v>405</v>
      </c>
      <c r="B408" s="12">
        <v>184469.58268133449</v>
      </c>
      <c r="C408" s="12"/>
    </row>
    <row r="409" spans="1:3">
      <c r="A409">
        <v>406</v>
      </c>
      <c r="B409" s="12">
        <v>120669.00692374184</v>
      </c>
      <c r="C409" s="12"/>
    </row>
    <row r="410" spans="1:3">
      <c r="A410">
        <v>407</v>
      </c>
      <c r="B410" s="12">
        <v>126103.15367224517</v>
      </c>
      <c r="C410" s="12"/>
    </row>
    <row r="411" spans="1:3">
      <c r="A411">
        <v>408</v>
      </c>
      <c r="B411" s="12">
        <v>131728.88817156761</v>
      </c>
      <c r="C411" s="12"/>
    </row>
    <row r="412" spans="1:3">
      <c r="A412">
        <v>409</v>
      </c>
      <c r="B412" s="12">
        <v>136603.77423226897</v>
      </c>
      <c r="C412" s="12"/>
    </row>
    <row r="413" spans="1:3">
      <c r="A413">
        <v>410</v>
      </c>
      <c r="B413" s="12">
        <v>111159.33117796826</v>
      </c>
      <c r="C413" s="12"/>
    </row>
    <row r="414" spans="1:3">
      <c r="A414">
        <v>411</v>
      </c>
      <c r="B414" s="12">
        <v>66426.962981527889</v>
      </c>
      <c r="C414" s="12"/>
    </row>
    <row r="415" spans="1:3">
      <c r="A415">
        <v>412</v>
      </c>
      <c r="B415" s="12">
        <v>112159.30670452825</v>
      </c>
      <c r="C415" s="12"/>
    </row>
    <row r="416" spans="1:3">
      <c r="A416">
        <v>413</v>
      </c>
      <c r="B416" s="12">
        <v>91826.659578278137</v>
      </c>
      <c r="C416" s="12"/>
    </row>
    <row r="417" spans="1:3">
      <c r="A417">
        <v>414</v>
      </c>
      <c r="B417" s="12">
        <v>116962.00714559188</v>
      </c>
      <c r="C417" s="12"/>
    </row>
    <row r="418" spans="1:3">
      <c r="A418">
        <v>415</v>
      </c>
      <c r="B418" s="12">
        <v>79029.740249959737</v>
      </c>
      <c r="C418" s="12"/>
    </row>
    <row r="419" spans="1:3">
      <c r="A419">
        <v>416</v>
      </c>
      <c r="B419" s="12">
        <v>109527.26647094039</v>
      </c>
      <c r="C419" s="12"/>
    </row>
    <row r="420" spans="1:3">
      <c r="A420">
        <v>417</v>
      </c>
      <c r="B420" s="12">
        <v>91019.533797696466</v>
      </c>
      <c r="C420" s="12"/>
    </row>
    <row r="421" spans="1:3">
      <c r="A421">
        <v>418</v>
      </c>
      <c r="B421" s="12">
        <v>155979.41192970789</v>
      </c>
      <c r="C421" s="12"/>
    </row>
    <row r="422" spans="1:3">
      <c r="A422">
        <v>419</v>
      </c>
      <c r="B422" s="12">
        <v>96074.239432672737</v>
      </c>
      <c r="C422" s="12"/>
    </row>
    <row r="423" spans="1:3">
      <c r="A423">
        <v>420</v>
      </c>
      <c r="B423" s="12">
        <v>92689.844545831074</v>
      </c>
      <c r="C423" s="12"/>
    </row>
    <row r="424" spans="1:3">
      <c r="A424">
        <v>421</v>
      </c>
      <c r="B424" s="12">
        <v>103545.99973444821</v>
      </c>
      <c r="C424" s="12"/>
    </row>
    <row r="425" spans="1:3">
      <c r="A425">
        <v>422</v>
      </c>
      <c r="B425" s="12">
        <v>150427.98181758082</v>
      </c>
      <c r="C425" s="12"/>
    </row>
    <row r="426" spans="1:3">
      <c r="A426">
        <v>423</v>
      </c>
      <c r="B426" s="12">
        <v>87222.452104205295</v>
      </c>
      <c r="C426" s="12"/>
    </row>
    <row r="427" spans="1:3">
      <c r="A427">
        <v>424</v>
      </c>
      <c r="B427" s="12">
        <v>145167.19823888462</v>
      </c>
      <c r="C427" s="12"/>
    </row>
    <row r="428" spans="1:3">
      <c r="A428">
        <v>425</v>
      </c>
      <c r="B428" s="12">
        <v>79474.200116324326</v>
      </c>
      <c r="C428" s="12"/>
    </row>
    <row r="429" spans="1:3">
      <c r="A429">
        <v>426</v>
      </c>
      <c r="B429" s="12">
        <v>94013.257579255209</v>
      </c>
      <c r="C429" s="12"/>
    </row>
    <row r="430" spans="1:3">
      <c r="A430">
        <v>427</v>
      </c>
      <c r="B430" s="12">
        <v>76576.166632094872</v>
      </c>
      <c r="C430" s="12"/>
    </row>
    <row r="431" spans="1:3">
      <c r="A431">
        <v>428</v>
      </c>
      <c r="B431" s="12">
        <v>157290.37297929122</v>
      </c>
      <c r="C431" s="12"/>
    </row>
    <row r="432" spans="1:3">
      <c r="A432">
        <v>429</v>
      </c>
      <c r="B432" s="12">
        <v>102018.95900400939</v>
      </c>
      <c r="C432" s="12"/>
    </row>
    <row r="433" spans="1:3">
      <c r="A433">
        <v>430</v>
      </c>
      <c r="B433" s="12">
        <v>142609.42252831961</v>
      </c>
      <c r="C433" s="12"/>
    </row>
    <row r="434" spans="1:3">
      <c r="A434">
        <v>431</v>
      </c>
      <c r="B434" s="12">
        <v>75456.927651625359</v>
      </c>
      <c r="C434" s="12"/>
    </row>
    <row r="435" spans="1:3">
      <c r="A435">
        <v>432</v>
      </c>
      <c r="B435" s="12">
        <v>101610.33818890141</v>
      </c>
      <c r="C435" s="12"/>
    </row>
    <row r="436" spans="1:3">
      <c r="A436">
        <v>433</v>
      </c>
      <c r="B436" s="12">
        <v>170095.39838001045</v>
      </c>
      <c r="C436" s="12"/>
    </row>
    <row r="437" spans="1:3">
      <c r="A437">
        <v>434</v>
      </c>
      <c r="B437" s="12">
        <v>152077.14323763759</v>
      </c>
      <c r="C437" s="12"/>
    </row>
    <row r="438" spans="1:3">
      <c r="A438">
        <v>435</v>
      </c>
      <c r="B438" s="12">
        <v>128690.97650810498</v>
      </c>
      <c r="C438" s="12"/>
    </row>
    <row r="439" spans="1:3">
      <c r="A439">
        <v>436</v>
      </c>
      <c r="B439" s="12">
        <v>219425.88999316582</v>
      </c>
      <c r="C439" s="12"/>
    </row>
    <row r="440" spans="1:3">
      <c r="A440">
        <v>437</v>
      </c>
      <c r="B440" s="12">
        <v>93736.364270939623</v>
      </c>
      <c r="C440" s="12"/>
    </row>
    <row r="441" spans="1:3">
      <c r="A441">
        <v>438</v>
      </c>
      <c r="B441" s="12">
        <v>127441.72729408432</v>
      </c>
      <c r="C441" s="12"/>
    </row>
    <row r="442" spans="1:3">
      <c r="A442">
        <v>439</v>
      </c>
      <c r="B442" s="12">
        <v>107388.4879384407</v>
      </c>
      <c r="C442" s="12"/>
    </row>
    <row r="443" spans="1:3">
      <c r="A443">
        <v>440</v>
      </c>
      <c r="B443" s="12">
        <v>135498.08085046677</v>
      </c>
      <c r="C443" s="12"/>
    </row>
    <row r="444" spans="1:3">
      <c r="A444">
        <v>441</v>
      </c>
      <c r="B444" s="12">
        <v>129678.62997397121</v>
      </c>
      <c r="C444" s="12"/>
    </row>
    <row r="445" spans="1:3">
      <c r="A445">
        <v>442</v>
      </c>
      <c r="B445" s="12">
        <v>100253.51139999992</v>
      </c>
      <c r="C445" s="12"/>
    </row>
    <row r="446" spans="1:3">
      <c r="A446">
        <v>443</v>
      </c>
      <c r="B446" s="12">
        <v>87074.301662905127</v>
      </c>
      <c r="C446" s="12"/>
    </row>
    <row r="447" spans="1:3">
      <c r="A447">
        <v>444</v>
      </c>
      <c r="B447" s="12">
        <v>107352.52664914998</v>
      </c>
      <c r="C447" s="12"/>
    </row>
    <row r="448" spans="1:3">
      <c r="A448">
        <v>445</v>
      </c>
      <c r="B448" s="12">
        <v>101883.30881777423</v>
      </c>
      <c r="C448" s="12"/>
    </row>
    <row r="449" spans="1:3">
      <c r="A449">
        <v>446</v>
      </c>
      <c r="B449" s="12">
        <v>171024.69187449728</v>
      </c>
      <c r="C449" s="12"/>
    </row>
    <row r="450" spans="1:3">
      <c r="A450">
        <v>447</v>
      </c>
      <c r="B450" s="12">
        <v>111803.17136442348</v>
      </c>
      <c r="C450" s="12"/>
    </row>
    <row r="451" spans="1:3">
      <c r="A451">
        <v>448</v>
      </c>
      <c r="B451" s="12">
        <v>100322.58160726815</v>
      </c>
      <c r="C451" s="12"/>
    </row>
    <row r="452" spans="1:3">
      <c r="A452">
        <v>449</v>
      </c>
      <c r="B452" s="12">
        <v>91239.470683114196</v>
      </c>
      <c r="C452" s="12"/>
    </row>
    <row r="453" spans="1:3">
      <c r="A453">
        <v>450</v>
      </c>
      <c r="B453" s="12">
        <v>112983.09968612995</v>
      </c>
      <c r="C453" s="12"/>
    </row>
    <row r="454" spans="1:3">
      <c r="A454">
        <v>451</v>
      </c>
      <c r="B454" s="12">
        <v>165617.50479463927</v>
      </c>
      <c r="C454" s="12"/>
    </row>
    <row r="455" spans="1:3">
      <c r="A455">
        <v>452</v>
      </c>
      <c r="B455" s="12">
        <v>143295.04471784338</v>
      </c>
      <c r="C455" s="12"/>
    </row>
    <row r="456" spans="1:3">
      <c r="A456">
        <v>453</v>
      </c>
      <c r="B456" s="12">
        <v>77254.718062132539</v>
      </c>
      <c r="C456" s="12"/>
    </row>
    <row r="457" spans="1:3">
      <c r="A457">
        <v>454</v>
      </c>
      <c r="B457" s="12">
        <v>68134.437529597853</v>
      </c>
      <c r="C457" s="12"/>
    </row>
    <row r="458" spans="1:3">
      <c r="A458">
        <v>455</v>
      </c>
      <c r="B458" s="12">
        <v>119997.50297363625</v>
      </c>
      <c r="C458" s="12"/>
    </row>
    <row r="459" spans="1:3">
      <c r="A459">
        <v>456</v>
      </c>
      <c r="B459" s="12">
        <v>103215.98017212321</v>
      </c>
      <c r="C459" s="12"/>
    </row>
    <row r="460" spans="1:3">
      <c r="A460">
        <v>457</v>
      </c>
      <c r="B460" s="12">
        <v>62094.515478214264</v>
      </c>
      <c r="C460" s="12"/>
    </row>
    <row r="461" spans="1:3">
      <c r="A461">
        <v>458</v>
      </c>
      <c r="B461" s="12">
        <v>151510.82660438953</v>
      </c>
      <c r="C461" s="12"/>
    </row>
    <row r="462" spans="1:3">
      <c r="A462">
        <v>459</v>
      </c>
      <c r="B462" s="12">
        <v>93936.735767585982</v>
      </c>
      <c r="C462" s="12"/>
    </row>
    <row r="463" spans="1:3">
      <c r="A463">
        <v>460</v>
      </c>
      <c r="B463" s="12">
        <v>99542.050030851184</v>
      </c>
      <c r="C463" s="12"/>
    </row>
    <row r="464" spans="1:3">
      <c r="A464">
        <v>461</v>
      </c>
      <c r="B464" s="12">
        <v>117855.24748707467</v>
      </c>
      <c r="C464" s="12"/>
    </row>
    <row r="465" spans="1:3">
      <c r="A465">
        <v>462</v>
      </c>
      <c r="B465" s="12">
        <v>106944.9491253506</v>
      </c>
      <c r="C465" s="12"/>
    </row>
    <row r="466" spans="1:3">
      <c r="A466">
        <v>463</v>
      </c>
      <c r="B466" s="12">
        <v>83033.395674935629</v>
      </c>
      <c r="C466" s="12"/>
    </row>
    <row r="467" spans="1:3">
      <c r="A467">
        <v>464</v>
      </c>
      <c r="B467" s="12">
        <v>158594.129527443</v>
      </c>
      <c r="C467" s="12"/>
    </row>
    <row r="468" spans="1:3">
      <c r="A468">
        <v>465</v>
      </c>
      <c r="B468" s="12">
        <v>53790.163269272307</v>
      </c>
      <c r="C468" s="12"/>
    </row>
    <row r="469" spans="1:3">
      <c r="A469">
        <v>466</v>
      </c>
      <c r="B469" s="12">
        <v>90229.98736143409</v>
      </c>
      <c r="C469" s="12"/>
    </row>
    <row r="470" spans="1:3">
      <c r="A470">
        <v>467</v>
      </c>
      <c r="B470" s="12">
        <v>106492.93715342322</v>
      </c>
      <c r="C470" s="12"/>
    </row>
    <row r="471" spans="1:3">
      <c r="A471">
        <v>468</v>
      </c>
      <c r="B471" s="12">
        <v>135045.51229695324</v>
      </c>
      <c r="C471" s="12"/>
    </row>
    <row r="472" spans="1:3">
      <c r="A472">
        <v>469</v>
      </c>
      <c r="B472" s="12">
        <v>120903.56826149677</v>
      </c>
      <c r="C472" s="12"/>
    </row>
    <row r="473" spans="1:3">
      <c r="A473">
        <v>470</v>
      </c>
      <c r="B473" s="12">
        <v>111150.14239181913</v>
      </c>
      <c r="C473" s="12"/>
    </row>
    <row r="474" spans="1:3">
      <c r="A474">
        <v>471</v>
      </c>
      <c r="B474" s="12">
        <v>71684.704914920789</v>
      </c>
      <c r="C474" s="12"/>
    </row>
    <row r="475" spans="1:3">
      <c r="A475">
        <v>472</v>
      </c>
      <c r="B475" s="12">
        <v>93308.597789766791</v>
      </c>
      <c r="C475" s="12"/>
    </row>
    <row r="476" spans="1:3">
      <c r="A476">
        <v>473</v>
      </c>
      <c r="B476" s="12">
        <v>153126.59880183425</v>
      </c>
      <c r="C476" s="12"/>
    </row>
    <row r="477" spans="1:3">
      <c r="A477">
        <v>474</v>
      </c>
      <c r="B477" s="12">
        <v>208622.10356984445</v>
      </c>
      <c r="C477" s="12"/>
    </row>
    <row r="478" spans="1:3">
      <c r="A478">
        <v>475</v>
      </c>
      <c r="B478" s="12">
        <v>134275.45440115911</v>
      </c>
      <c r="C478" s="12"/>
    </row>
    <row r="479" spans="1:3">
      <c r="A479">
        <v>476</v>
      </c>
      <c r="B479" s="12">
        <v>101667.05417701881</v>
      </c>
      <c r="C479" s="12"/>
    </row>
    <row r="480" spans="1:3">
      <c r="A480">
        <v>477</v>
      </c>
      <c r="B480" s="12">
        <v>129091.99240667894</v>
      </c>
      <c r="C480" s="12"/>
    </row>
    <row r="481" spans="1:3">
      <c r="A481">
        <v>478</v>
      </c>
      <c r="B481" s="12">
        <v>83831.907445084071</v>
      </c>
      <c r="C481" s="12"/>
    </row>
    <row r="482" spans="1:3">
      <c r="A482">
        <v>479</v>
      </c>
      <c r="B482" s="12">
        <v>103945.80332798325</v>
      </c>
      <c r="C482" s="12"/>
    </row>
    <row r="483" spans="1:3">
      <c r="A483">
        <v>480</v>
      </c>
      <c r="B483" s="12">
        <v>75600.674278725797</v>
      </c>
      <c r="C483" s="12"/>
    </row>
    <row r="484" spans="1:3">
      <c r="A484">
        <v>481</v>
      </c>
      <c r="B484" s="12">
        <v>103628.13520981734</v>
      </c>
      <c r="C484" s="12"/>
    </row>
    <row r="485" spans="1:3">
      <c r="A485">
        <v>482</v>
      </c>
      <c r="B485" s="12">
        <v>134429.68944995321</v>
      </c>
      <c r="C485" s="12"/>
    </row>
    <row r="486" spans="1:3">
      <c r="A486">
        <v>483</v>
      </c>
      <c r="B486" s="12">
        <v>66923.751910782099</v>
      </c>
      <c r="C486" s="12"/>
    </row>
    <row r="487" spans="1:3">
      <c r="A487">
        <v>484</v>
      </c>
      <c r="B487" s="12">
        <v>185888.9941165279</v>
      </c>
      <c r="C487" s="12"/>
    </row>
    <row r="488" spans="1:3">
      <c r="A488">
        <v>485</v>
      </c>
      <c r="B488" s="12">
        <v>172497.38343994797</v>
      </c>
      <c r="C488" s="12"/>
    </row>
    <row r="489" spans="1:3">
      <c r="A489">
        <v>486</v>
      </c>
      <c r="B489" s="12">
        <v>86032.407282315515</v>
      </c>
      <c r="C489" s="12"/>
    </row>
    <row r="490" spans="1:3">
      <c r="A490">
        <v>487</v>
      </c>
      <c r="B490" s="12">
        <v>123483.08311879358</v>
      </c>
      <c r="C490" s="12"/>
    </row>
    <row r="491" spans="1:3">
      <c r="A491">
        <v>488</v>
      </c>
      <c r="B491" s="12">
        <v>65251.482847609812</v>
      </c>
      <c r="C491" s="12"/>
    </row>
    <row r="492" spans="1:3">
      <c r="A492">
        <v>489</v>
      </c>
      <c r="B492" s="12">
        <v>120925.53048694046</v>
      </c>
      <c r="C492" s="12"/>
    </row>
    <row r="493" spans="1:3">
      <c r="A493">
        <v>490</v>
      </c>
      <c r="B493" s="12">
        <v>128906.36849264964</v>
      </c>
      <c r="C493" s="12"/>
    </row>
    <row r="494" spans="1:3">
      <c r="A494">
        <v>491</v>
      </c>
      <c r="B494" s="12">
        <v>125013.79114024978</v>
      </c>
      <c r="C494" s="12"/>
    </row>
    <row r="495" spans="1:3">
      <c r="A495">
        <v>492</v>
      </c>
      <c r="B495" s="12">
        <v>74782.937277702513</v>
      </c>
      <c r="C495" s="12"/>
    </row>
    <row r="496" spans="1:3">
      <c r="A496">
        <v>493</v>
      </c>
      <c r="B496" s="12">
        <v>123389.66830469592</v>
      </c>
      <c r="C496" s="12"/>
    </row>
    <row r="497" spans="1:3">
      <c r="A497">
        <v>494</v>
      </c>
      <c r="B497" s="12">
        <v>108393.11217915025</v>
      </c>
      <c r="C497" s="12"/>
    </row>
    <row r="498" spans="1:3">
      <c r="A498">
        <v>495</v>
      </c>
      <c r="B498" s="12">
        <v>149517.17120134973</v>
      </c>
      <c r="C498" s="12"/>
    </row>
    <row r="499" spans="1:3">
      <c r="A499">
        <v>496</v>
      </c>
      <c r="B499" s="12">
        <v>156603.09952552599</v>
      </c>
      <c r="C499" s="12"/>
    </row>
    <row r="500" spans="1:3">
      <c r="A500">
        <v>497</v>
      </c>
      <c r="B500" s="12">
        <v>88399.604418678457</v>
      </c>
      <c r="C500" s="12"/>
    </row>
    <row r="501" spans="1:3">
      <c r="A501">
        <v>498</v>
      </c>
      <c r="B501" s="12">
        <v>107094.66865688442</v>
      </c>
      <c r="C501" s="12"/>
    </row>
    <row r="502" spans="1:3">
      <c r="A502">
        <v>499</v>
      </c>
      <c r="B502" s="12">
        <v>135162.60490338868</v>
      </c>
      <c r="C502" s="12"/>
    </row>
    <row r="503" spans="1:3">
      <c r="A503">
        <v>500</v>
      </c>
      <c r="B503" s="12">
        <v>122667.1058802115</v>
      </c>
      <c r="C503" s="12"/>
    </row>
    <row r="504" spans="1:3">
      <c r="A504">
        <v>501</v>
      </c>
      <c r="B504" s="12">
        <v>121802.68023897886</v>
      </c>
      <c r="C504" s="12"/>
    </row>
    <row r="505" spans="1:3">
      <c r="A505">
        <v>502</v>
      </c>
      <c r="B505" s="12">
        <v>102863.8229359846</v>
      </c>
      <c r="C505" s="12"/>
    </row>
    <row r="506" spans="1:3">
      <c r="A506">
        <v>503</v>
      </c>
      <c r="B506" s="12">
        <v>139161.07871065679</v>
      </c>
      <c r="C506" s="12"/>
    </row>
    <row r="507" spans="1:3">
      <c r="A507">
        <v>504</v>
      </c>
      <c r="B507" s="12">
        <v>195851.96376532369</v>
      </c>
      <c r="C507" s="12"/>
    </row>
    <row r="508" spans="1:3">
      <c r="A508">
        <v>505</v>
      </c>
      <c r="B508" s="12">
        <v>78900.02711254044</v>
      </c>
      <c r="C508" s="12"/>
    </row>
    <row r="509" spans="1:3">
      <c r="A509">
        <v>506</v>
      </c>
      <c r="B509" s="12">
        <v>94600.498117037787</v>
      </c>
      <c r="C509" s="12"/>
    </row>
    <row r="510" spans="1:3">
      <c r="A510">
        <v>507</v>
      </c>
      <c r="B510" s="12">
        <v>102955.26762559003</v>
      </c>
      <c r="C510" s="12"/>
    </row>
    <row r="511" spans="1:3">
      <c r="A511">
        <v>508</v>
      </c>
      <c r="B511" s="12">
        <v>79132.766553266614</v>
      </c>
      <c r="C511" s="12"/>
    </row>
    <row r="512" spans="1:3">
      <c r="A512">
        <v>509</v>
      </c>
      <c r="B512" s="12">
        <v>88038.004410957103</v>
      </c>
      <c r="C512" s="12"/>
    </row>
    <row r="513" spans="1:3">
      <c r="A513">
        <v>510</v>
      </c>
      <c r="B513" s="12">
        <v>137895.70400429142</v>
      </c>
      <c r="C513" s="12"/>
    </row>
    <row r="514" spans="1:3">
      <c r="A514">
        <v>511</v>
      </c>
      <c r="B514" s="12">
        <v>142939.83257222257</v>
      </c>
      <c r="C514" s="12"/>
    </row>
    <row r="515" spans="1:3">
      <c r="A515">
        <v>512</v>
      </c>
      <c r="B515" s="12">
        <v>133063.8387195472</v>
      </c>
      <c r="C515" s="12"/>
    </row>
    <row r="516" spans="1:3">
      <c r="A516">
        <v>513</v>
      </c>
      <c r="B516" s="12">
        <v>123418.84136955407</v>
      </c>
      <c r="C516" s="12"/>
    </row>
    <row r="517" spans="1:3">
      <c r="A517">
        <v>514</v>
      </c>
      <c r="B517" s="12">
        <v>147506.4149137254</v>
      </c>
      <c r="C517" s="12"/>
    </row>
    <row r="518" spans="1:3">
      <c r="A518">
        <v>515</v>
      </c>
      <c r="B518" s="12">
        <v>134975.20578640894</v>
      </c>
      <c r="C518" s="12"/>
    </row>
    <row r="519" spans="1:3">
      <c r="A519">
        <v>516</v>
      </c>
      <c r="B519" s="12">
        <v>59144.422526211296</v>
      </c>
      <c r="C519" s="12"/>
    </row>
    <row r="520" spans="1:3">
      <c r="A520">
        <v>517</v>
      </c>
      <c r="B520" s="12">
        <v>108482.45018881914</v>
      </c>
      <c r="C520" s="12"/>
    </row>
    <row r="521" spans="1:3">
      <c r="A521">
        <v>518</v>
      </c>
      <c r="B521" s="12">
        <v>77514.589913869815</v>
      </c>
      <c r="C521" s="12"/>
    </row>
    <row r="522" spans="1:3">
      <c r="A522">
        <v>519</v>
      </c>
      <c r="B522" s="12">
        <v>149047.6031453691</v>
      </c>
      <c r="C522" s="12"/>
    </row>
    <row r="523" spans="1:3">
      <c r="A523">
        <v>520</v>
      </c>
      <c r="B523" s="12">
        <v>108581.3386817342</v>
      </c>
      <c r="C523" s="12"/>
    </row>
    <row r="524" spans="1:3">
      <c r="A524">
        <v>521</v>
      </c>
      <c r="B524" s="12">
        <v>79612.429774840159</v>
      </c>
      <c r="C524" s="12"/>
    </row>
    <row r="525" spans="1:3">
      <c r="A525">
        <v>522</v>
      </c>
      <c r="B525" s="12">
        <v>93658.743669473406</v>
      </c>
      <c r="C525" s="12"/>
    </row>
    <row r="526" spans="1:3">
      <c r="A526">
        <v>523</v>
      </c>
      <c r="B526" s="12">
        <v>105535.46400421673</v>
      </c>
      <c r="C526" s="12"/>
    </row>
    <row r="527" spans="1:3">
      <c r="A527">
        <v>524</v>
      </c>
      <c r="B527" s="12">
        <v>121745.17779120011</v>
      </c>
      <c r="C527" s="12"/>
    </row>
    <row r="528" spans="1:3">
      <c r="A528">
        <v>525</v>
      </c>
      <c r="B528" s="12">
        <v>150086.36653162807</v>
      </c>
      <c r="C528" s="12"/>
    </row>
    <row r="529" spans="1:3">
      <c r="A529">
        <v>526</v>
      </c>
      <c r="B529" s="12">
        <v>114609.97467545934</v>
      </c>
      <c r="C529" s="12"/>
    </row>
    <row r="530" spans="1:3">
      <c r="A530">
        <v>527</v>
      </c>
      <c r="B530" s="12">
        <v>156401.37895339544</v>
      </c>
      <c r="C530" s="12"/>
    </row>
    <row r="531" spans="1:3">
      <c r="A531">
        <v>528</v>
      </c>
      <c r="B531" s="12">
        <v>120772.69250126582</v>
      </c>
      <c r="C531" s="12"/>
    </row>
    <row r="532" spans="1:3">
      <c r="A532">
        <v>529</v>
      </c>
      <c r="B532" s="12">
        <v>167144.44481930346</v>
      </c>
      <c r="C532" s="12"/>
    </row>
    <row r="533" spans="1:3">
      <c r="A533">
        <v>530</v>
      </c>
      <c r="B533" s="12">
        <v>103993.44800739028</v>
      </c>
      <c r="C533" s="12"/>
    </row>
    <row r="534" spans="1:3">
      <c r="A534">
        <v>531</v>
      </c>
      <c r="B534" s="12">
        <v>92154.577119201247</v>
      </c>
      <c r="C534" s="12"/>
    </row>
    <row r="535" spans="1:3">
      <c r="A535">
        <v>532</v>
      </c>
      <c r="B535" s="12">
        <v>91680.425158036815</v>
      </c>
      <c r="C535" s="12"/>
    </row>
    <row r="536" spans="1:3">
      <c r="A536">
        <v>533</v>
      </c>
      <c r="B536" s="12">
        <v>91180.058480427237</v>
      </c>
      <c r="C536" s="12"/>
    </row>
    <row r="537" spans="1:3">
      <c r="A537">
        <v>534</v>
      </c>
      <c r="B537" s="12">
        <v>95079.765954535134</v>
      </c>
      <c r="C537" s="12"/>
    </row>
    <row r="538" spans="1:3">
      <c r="A538">
        <v>535</v>
      </c>
      <c r="B538" s="12">
        <v>93275.992439385067</v>
      </c>
      <c r="C538" s="12"/>
    </row>
    <row r="539" spans="1:3">
      <c r="A539">
        <v>536</v>
      </c>
      <c r="B539" s="12">
        <v>89812.520476698613</v>
      </c>
      <c r="C539" s="12"/>
    </row>
    <row r="540" spans="1:3">
      <c r="A540">
        <v>537</v>
      </c>
      <c r="B540" s="12">
        <v>117456.60557713427</v>
      </c>
      <c r="C540" s="12"/>
    </row>
    <row r="541" spans="1:3">
      <c r="A541">
        <v>538</v>
      </c>
      <c r="B541" s="12">
        <v>93681.104452638087</v>
      </c>
      <c r="C541" s="12"/>
    </row>
    <row r="542" spans="1:3">
      <c r="A542">
        <v>539</v>
      </c>
      <c r="B542" s="12">
        <v>92623.72319435986</v>
      </c>
      <c r="C542" s="12"/>
    </row>
    <row r="543" spans="1:3">
      <c r="A543">
        <v>540</v>
      </c>
      <c r="B543" s="12">
        <v>79976.701181609315</v>
      </c>
      <c r="C543" s="12"/>
    </row>
    <row r="544" spans="1:3">
      <c r="A544">
        <v>541</v>
      </c>
      <c r="B544" s="12">
        <v>58595.176344727384</v>
      </c>
      <c r="C544" s="12"/>
    </row>
    <row r="545" spans="1:3">
      <c r="A545">
        <v>542</v>
      </c>
      <c r="B545" s="12">
        <v>83621.342324997822</v>
      </c>
      <c r="C545" s="12"/>
    </row>
    <row r="546" spans="1:3">
      <c r="A546">
        <v>543</v>
      </c>
      <c r="B546" s="12">
        <v>127009.24297200733</v>
      </c>
      <c r="C546" s="12"/>
    </row>
    <row r="547" spans="1:3">
      <c r="A547">
        <v>544</v>
      </c>
      <c r="B547" s="12">
        <v>75809.641335765467</v>
      </c>
      <c r="C547" s="12"/>
    </row>
    <row r="548" spans="1:3">
      <c r="A548">
        <v>545</v>
      </c>
      <c r="B548" s="12">
        <v>128694.87000473886</v>
      </c>
      <c r="C548" s="12"/>
    </row>
    <row r="549" spans="1:3">
      <c r="A549">
        <v>546</v>
      </c>
      <c r="B549" s="12">
        <v>74756.56241908588</v>
      </c>
      <c r="C549" s="12"/>
    </row>
    <row r="550" spans="1:3">
      <c r="A550">
        <v>547</v>
      </c>
      <c r="B550" s="12">
        <v>128568.1332398721</v>
      </c>
      <c r="C550" s="12"/>
    </row>
    <row r="551" spans="1:3">
      <c r="A551">
        <v>548</v>
      </c>
      <c r="B551" s="12">
        <v>167771.17366357191</v>
      </c>
      <c r="C551" s="12"/>
    </row>
    <row r="552" spans="1:3">
      <c r="A552">
        <v>549</v>
      </c>
      <c r="B552" s="12">
        <v>102977.91350065972</v>
      </c>
      <c r="C552" s="12"/>
    </row>
    <row r="553" spans="1:3">
      <c r="A553">
        <v>550</v>
      </c>
      <c r="B553" s="12">
        <v>160762.63791649303</v>
      </c>
      <c r="C553" s="12"/>
    </row>
    <row r="554" spans="1:3">
      <c r="A554">
        <v>551</v>
      </c>
      <c r="B554" s="12">
        <v>152862.62508884183</v>
      </c>
      <c r="C554" s="12"/>
    </row>
    <row r="555" spans="1:3">
      <c r="A555">
        <v>552</v>
      </c>
      <c r="B555" s="12">
        <v>165210.71256131708</v>
      </c>
      <c r="C555" s="12"/>
    </row>
    <row r="556" spans="1:3">
      <c r="A556">
        <v>553</v>
      </c>
      <c r="B556" s="12">
        <v>173736.87718267599</v>
      </c>
      <c r="C556" s="12"/>
    </row>
    <row r="557" spans="1:3">
      <c r="A557">
        <v>554</v>
      </c>
      <c r="B557" s="12">
        <v>166251.76858327337</v>
      </c>
      <c r="C557" s="12"/>
    </row>
    <row r="558" spans="1:3">
      <c r="A558">
        <v>555</v>
      </c>
      <c r="B558" s="12">
        <v>84567.839108123299</v>
      </c>
      <c r="C558" s="12"/>
    </row>
    <row r="559" spans="1:3">
      <c r="A559">
        <v>556</v>
      </c>
      <c r="B559" s="12">
        <v>154372.42229203216</v>
      </c>
      <c r="C559" s="12"/>
    </row>
    <row r="560" spans="1:3">
      <c r="A560">
        <v>557</v>
      </c>
      <c r="B560" s="12">
        <v>101768.60766502435</v>
      </c>
      <c r="C560" s="12"/>
    </row>
    <row r="561" spans="1:3">
      <c r="A561">
        <v>558</v>
      </c>
      <c r="B561" s="12">
        <v>145496.67145957655</v>
      </c>
      <c r="C561" s="12"/>
    </row>
    <row r="562" spans="1:3">
      <c r="A562">
        <v>559</v>
      </c>
      <c r="B562" s="12">
        <v>82413.986937767346</v>
      </c>
      <c r="C562" s="12"/>
    </row>
    <row r="563" spans="1:3">
      <c r="A563">
        <v>560</v>
      </c>
      <c r="B563" s="12">
        <v>116346.36487534932</v>
      </c>
      <c r="C563" s="12"/>
    </row>
    <row r="564" spans="1:3">
      <c r="A564">
        <v>561</v>
      </c>
      <c r="B564" s="12">
        <v>118446.85478532896</v>
      </c>
      <c r="C564" s="12"/>
    </row>
    <row r="565" spans="1:3">
      <c r="A565">
        <v>562</v>
      </c>
      <c r="B565" s="12">
        <v>93295.762306918186</v>
      </c>
      <c r="C565" s="12"/>
    </row>
    <row r="566" spans="1:3">
      <c r="A566">
        <v>563</v>
      </c>
      <c r="B566" s="12">
        <v>109677.68911223713</v>
      </c>
      <c r="C566" s="12"/>
    </row>
    <row r="567" spans="1:3">
      <c r="A567">
        <v>564</v>
      </c>
      <c r="B567" s="12">
        <v>121342.53847721426</v>
      </c>
      <c r="C567" s="12"/>
    </row>
    <row r="568" spans="1:3">
      <c r="A568">
        <v>565</v>
      </c>
      <c r="B568" s="12">
        <v>105757.06501644976</v>
      </c>
      <c r="C568" s="12"/>
    </row>
    <row r="569" spans="1:3">
      <c r="A569">
        <v>566</v>
      </c>
      <c r="B569" s="12">
        <v>121050.85946184387</v>
      </c>
      <c r="C569" s="12"/>
    </row>
    <row r="570" spans="1:3">
      <c r="A570">
        <v>567</v>
      </c>
      <c r="B570" s="12">
        <v>183306.90210283283</v>
      </c>
      <c r="C570" s="12"/>
    </row>
    <row r="571" spans="1:3">
      <c r="A571">
        <v>568</v>
      </c>
      <c r="B571" s="12">
        <v>88097.561308875811</v>
      </c>
      <c r="C571" s="12"/>
    </row>
    <row r="572" spans="1:3">
      <c r="A572">
        <v>569</v>
      </c>
      <c r="B572" s="12">
        <v>105406.61754790851</v>
      </c>
      <c r="C572" s="12"/>
    </row>
    <row r="573" spans="1:3">
      <c r="A573">
        <v>570</v>
      </c>
      <c r="B573" s="12">
        <v>123888.3112827396</v>
      </c>
      <c r="C573" s="12"/>
    </row>
    <row r="574" spans="1:3">
      <c r="A574">
        <v>571</v>
      </c>
      <c r="B574" s="12">
        <v>126524.66160209624</v>
      </c>
      <c r="C574" s="12"/>
    </row>
    <row r="575" spans="1:3">
      <c r="A575">
        <v>572</v>
      </c>
      <c r="B575" s="12">
        <v>115787.17944405615</v>
      </c>
      <c r="C575" s="12"/>
    </row>
    <row r="576" spans="1:3">
      <c r="A576">
        <v>573</v>
      </c>
      <c r="B576" s="12">
        <v>159574.40613441475</v>
      </c>
      <c r="C576" s="12"/>
    </row>
    <row r="577" spans="1:3">
      <c r="A577">
        <v>574</v>
      </c>
      <c r="B577" s="12">
        <v>106963.49326583352</v>
      </c>
      <c r="C577" s="12"/>
    </row>
    <row r="578" spans="1:3">
      <c r="A578">
        <v>575</v>
      </c>
      <c r="B578" s="12">
        <v>103954.75465880506</v>
      </c>
      <c r="C578" s="12"/>
    </row>
    <row r="579" spans="1:3">
      <c r="A579">
        <v>576</v>
      </c>
      <c r="B579" s="12">
        <v>125725.91423120818</v>
      </c>
      <c r="C579" s="12"/>
    </row>
    <row r="580" spans="1:3">
      <c r="A580">
        <v>577</v>
      </c>
      <c r="B580" s="12">
        <v>131000.14068375717</v>
      </c>
      <c r="C580" s="12"/>
    </row>
    <row r="581" spans="1:3">
      <c r="A581">
        <v>578</v>
      </c>
      <c r="B581" s="12">
        <v>131100.2431967727</v>
      </c>
      <c r="C581" s="12"/>
    </row>
    <row r="582" spans="1:3">
      <c r="A582">
        <v>579</v>
      </c>
      <c r="B582" s="12">
        <v>74681.767347697896</v>
      </c>
      <c r="C582" s="12"/>
    </row>
    <row r="583" spans="1:3">
      <c r="A583">
        <v>580</v>
      </c>
      <c r="B583" s="12">
        <v>104692.90425605232</v>
      </c>
      <c r="C583" s="12"/>
    </row>
    <row r="584" spans="1:3">
      <c r="A584">
        <v>581</v>
      </c>
      <c r="B584" s="12">
        <v>114428.18843318152</v>
      </c>
      <c r="C584" s="12"/>
    </row>
    <row r="585" spans="1:3">
      <c r="A585">
        <v>582</v>
      </c>
      <c r="B585" s="12">
        <v>106478.13010975768</v>
      </c>
      <c r="C585" s="12"/>
    </row>
    <row r="586" spans="1:3">
      <c r="A586">
        <v>583</v>
      </c>
      <c r="B586" s="12">
        <v>186001.18406060679</v>
      </c>
      <c r="C586" s="12"/>
    </row>
    <row r="587" spans="1:3">
      <c r="A587">
        <v>584</v>
      </c>
      <c r="B587" s="12">
        <v>63424.649626106111</v>
      </c>
      <c r="C587" s="12"/>
    </row>
    <row r="588" spans="1:3">
      <c r="A588">
        <v>585</v>
      </c>
      <c r="B588" s="12">
        <v>97706.967792990952</v>
      </c>
      <c r="C588" s="12"/>
    </row>
    <row r="589" spans="1:3">
      <c r="A589">
        <v>586</v>
      </c>
      <c r="B589" s="12">
        <v>106275.0961360873</v>
      </c>
      <c r="C589" s="12"/>
    </row>
    <row r="590" spans="1:3">
      <c r="A590">
        <v>587</v>
      </c>
      <c r="B590" s="12">
        <v>147676.71724837451</v>
      </c>
      <c r="C590" s="12"/>
    </row>
    <row r="591" spans="1:3">
      <c r="A591">
        <v>588</v>
      </c>
      <c r="B591" s="12">
        <v>79442.289628253522</v>
      </c>
      <c r="C591" s="12"/>
    </row>
    <row r="592" spans="1:3">
      <c r="A592">
        <v>589</v>
      </c>
      <c r="B592" s="12">
        <v>57903.72534321752</v>
      </c>
      <c r="C592" s="12"/>
    </row>
    <row r="593" spans="1:3">
      <c r="A593">
        <v>590</v>
      </c>
      <c r="B593" s="12">
        <v>123285.7384870049</v>
      </c>
      <c r="C593" s="12"/>
    </row>
    <row r="594" spans="1:3">
      <c r="A594">
        <v>591</v>
      </c>
      <c r="B594" s="12">
        <v>129216.14728156012</v>
      </c>
      <c r="C594" s="12"/>
    </row>
    <row r="595" spans="1:3">
      <c r="A595">
        <v>592</v>
      </c>
      <c r="B595" s="12">
        <v>102415.41049022826</v>
      </c>
      <c r="C595" s="12"/>
    </row>
    <row r="596" spans="1:3">
      <c r="A596">
        <v>593</v>
      </c>
      <c r="B596" s="12">
        <v>90234.22539636257</v>
      </c>
      <c r="C596" s="12"/>
    </row>
    <row r="597" spans="1:3">
      <c r="A597">
        <v>594</v>
      </c>
      <c r="B597" s="12">
        <v>148615.82057513352</v>
      </c>
      <c r="C597" s="12"/>
    </row>
    <row r="598" spans="1:3">
      <c r="A598">
        <v>595</v>
      </c>
      <c r="B598" s="12">
        <v>129712.45142269621</v>
      </c>
      <c r="C598" s="12"/>
    </row>
    <row r="599" spans="1:3">
      <c r="A599">
        <v>596</v>
      </c>
      <c r="B599" s="12">
        <v>167572.34265479949</v>
      </c>
      <c r="C599" s="12"/>
    </row>
    <row r="600" spans="1:3">
      <c r="A600">
        <v>597</v>
      </c>
      <c r="B600" s="12">
        <v>74530.354004817666</v>
      </c>
      <c r="C600" s="12"/>
    </row>
    <row r="601" spans="1:3">
      <c r="A601">
        <v>598</v>
      </c>
      <c r="B601" s="12">
        <v>71769.168106821162</v>
      </c>
      <c r="C601" s="12"/>
    </row>
    <row r="602" spans="1:3">
      <c r="A602">
        <v>599</v>
      </c>
      <c r="B602" s="12">
        <v>102840.47823892652</v>
      </c>
      <c r="C602" s="12"/>
    </row>
    <row r="603" spans="1:3">
      <c r="A603">
        <v>600</v>
      </c>
      <c r="B603" s="12">
        <v>127738.43484073643</v>
      </c>
      <c r="C603" s="12"/>
    </row>
    <row r="604" spans="1:3">
      <c r="A604">
        <v>601</v>
      </c>
      <c r="B604" s="12">
        <v>100251.46253617175</v>
      </c>
      <c r="C604" s="12"/>
    </row>
    <row r="605" spans="1:3">
      <c r="A605">
        <v>602</v>
      </c>
      <c r="B605" s="12">
        <v>181321.48639467196</v>
      </c>
      <c r="C605" s="12"/>
    </row>
    <row r="606" spans="1:3">
      <c r="A606">
        <v>603</v>
      </c>
      <c r="B606" s="12">
        <v>125152.24594261669</v>
      </c>
      <c r="C606" s="12"/>
    </row>
    <row r="607" spans="1:3">
      <c r="A607">
        <v>604</v>
      </c>
      <c r="B607" s="12">
        <v>118026.62476666739</v>
      </c>
      <c r="C607" s="12"/>
    </row>
    <row r="608" spans="1:3">
      <c r="A608">
        <v>605</v>
      </c>
      <c r="B608" s="12">
        <v>80496.269913014592</v>
      </c>
      <c r="C608" s="12"/>
    </row>
    <row r="609" spans="1:3">
      <c r="A609">
        <v>606</v>
      </c>
      <c r="B609" s="12">
        <v>127323.28037612693</v>
      </c>
      <c r="C609" s="12"/>
    </row>
    <row r="610" spans="1:3">
      <c r="A610">
        <v>607</v>
      </c>
      <c r="B610" s="12">
        <v>82730.249236605378</v>
      </c>
      <c r="C610" s="12"/>
    </row>
    <row r="611" spans="1:3">
      <c r="A611">
        <v>608</v>
      </c>
      <c r="B611" s="12">
        <v>109074.78764598547</v>
      </c>
      <c r="C611" s="12"/>
    </row>
    <row r="612" spans="1:3">
      <c r="A612">
        <v>609</v>
      </c>
      <c r="B612" s="12">
        <v>72722.804530520181</v>
      </c>
      <c r="C612" s="12"/>
    </row>
    <row r="613" spans="1:3">
      <c r="A613">
        <v>610</v>
      </c>
      <c r="B613" s="12">
        <v>95404.151871186768</v>
      </c>
      <c r="C613" s="12"/>
    </row>
    <row r="614" spans="1:3">
      <c r="A614">
        <v>611</v>
      </c>
      <c r="B614" s="12">
        <v>107607.59656871922</v>
      </c>
      <c r="C614" s="12"/>
    </row>
    <row r="615" spans="1:3">
      <c r="A615">
        <v>612</v>
      </c>
      <c r="B615" s="12">
        <v>108196.04241571542</v>
      </c>
      <c r="C615" s="12"/>
    </row>
    <row r="616" spans="1:3">
      <c r="A616">
        <v>613</v>
      </c>
      <c r="B616" s="12">
        <v>64486.005302164864</v>
      </c>
      <c r="C616" s="12"/>
    </row>
    <row r="617" spans="1:3">
      <c r="A617">
        <v>614</v>
      </c>
      <c r="B617" s="12">
        <v>219117.89787221525</v>
      </c>
      <c r="C617" s="12"/>
    </row>
    <row r="618" spans="1:3">
      <c r="A618">
        <v>615</v>
      </c>
      <c r="B618" s="12">
        <v>82904.355729110204</v>
      </c>
      <c r="C618" s="12"/>
    </row>
    <row r="619" spans="1:3">
      <c r="A619">
        <v>616</v>
      </c>
      <c r="B619" s="12">
        <v>126904.30916196415</v>
      </c>
      <c r="C619" s="12"/>
    </row>
    <row r="620" spans="1:3">
      <c r="A620">
        <v>617</v>
      </c>
      <c r="B620" s="12">
        <v>140698.63075536722</v>
      </c>
      <c r="C620" s="12"/>
    </row>
    <row r="621" spans="1:3">
      <c r="A621">
        <v>618</v>
      </c>
      <c r="B621" s="12">
        <v>70753.060849547692</v>
      </c>
      <c r="C621" s="12"/>
    </row>
    <row r="622" spans="1:3">
      <c r="A622">
        <v>619</v>
      </c>
      <c r="B622" s="12">
        <v>82710.637768063258</v>
      </c>
      <c r="C622" s="12"/>
    </row>
    <row r="623" spans="1:3">
      <c r="A623">
        <v>620</v>
      </c>
      <c r="B623" s="12">
        <v>210160.95823562599</v>
      </c>
      <c r="C623" s="12"/>
    </row>
    <row r="624" spans="1:3">
      <c r="A624">
        <v>621</v>
      </c>
      <c r="B624" s="12">
        <v>125467.31182495524</v>
      </c>
      <c r="C624" s="12"/>
    </row>
    <row r="625" spans="1:3">
      <c r="A625">
        <v>622</v>
      </c>
      <c r="B625" s="12">
        <v>122600.31551215523</v>
      </c>
      <c r="C625" s="12"/>
    </row>
    <row r="626" spans="1:3">
      <c r="A626">
        <v>623</v>
      </c>
      <c r="B626" s="12">
        <v>92651.386269216571</v>
      </c>
      <c r="C626" s="12"/>
    </row>
    <row r="627" spans="1:3">
      <c r="A627">
        <v>624</v>
      </c>
      <c r="B627" s="12">
        <v>150210.42374321909</v>
      </c>
      <c r="C627" s="12"/>
    </row>
    <row r="628" spans="1:3">
      <c r="A628">
        <v>625</v>
      </c>
      <c r="B628" s="12">
        <v>151443.79512763175</v>
      </c>
      <c r="C628" s="12"/>
    </row>
    <row r="629" spans="1:3">
      <c r="A629">
        <v>626</v>
      </c>
      <c r="B629" s="12">
        <v>191678.0286689864</v>
      </c>
      <c r="C629" s="12"/>
    </row>
    <row r="630" spans="1:3">
      <c r="A630">
        <v>627</v>
      </c>
      <c r="B630" s="12">
        <v>89026.196093180013</v>
      </c>
      <c r="C630" s="12"/>
    </row>
    <row r="631" spans="1:3">
      <c r="A631">
        <v>628</v>
      </c>
      <c r="B631" s="12">
        <v>99683.546556959613</v>
      </c>
      <c r="C631" s="12"/>
    </row>
    <row r="632" spans="1:3">
      <c r="A632">
        <v>629</v>
      </c>
      <c r="B632" s="12">
        <v>79859.911281210007</v>
      </c>
      <c r="C632" s="12"/>
    </row>
    <row r="633" spans="1:3">
      <c r="A633">
        <v>630</v>
      </c>
      <c r="B633" s="12">
        <v>65585.00861490707</v>
      </c>
      <c r="C633" s="12"/>
    </row>
    <row r="634" spans="1:3">
      <c r="A634">
        <v>631</v>
      </c>
      <c r="B634" s="12">
        <v>186445.98935421495</v>
      </c>
      <c r="C634" s="12"/>
    </row>
    <row r="635" spans="1:3">
      <c r="A635">
        <v>632</v>
      </c>
      <c r="B635" s="12">
        <v>54924.816340599529</v>
      </c>
      <c r="C635" s="12"/>
    </row>
    <row r="636" spans="1:3">
      <c r="A636">
        <v>633</v>
      </c>
      <c r="B636" s="12">
        <v>115128.92561668066</v>
      </c>
      <c r="C636" s="12"/>
    </row>
    <row r="637" spans="1:3">
      <c r="A637">
        <v>634</v>
      </c>
      <c r="B637" s="12">
        <v>67486.224914564533</v>
      </c>
      <c r="C637" s="12"/>
    </row>
    <row r="638" spans="1:3">
      <c r="A638">
        <v>635</v>
      </c>
      <c r="B638" s="12">
        <v>140998.45810260312</v>
      </c>
      <c r="C638" s="12"/>
    </row>
    <row r="639" spans="1:3">
      <c r="A639">
        <v>636</v>
      </c>
      <c r="B639" s="12">
        <v>120032.34923372878</v>
      </c>
      <c r="C639" s="12"/>
    </row>
    <row r="640" spans="1:3">
      <c r="A640">
        <v>637</v>
      </c>
      <c r="B640" s="12">
        <v>88450.149610317982</v>
      </c>
      <c r="C640" s="12"/>
    </row>
    <row r="641" spans="1:3">
      <c r="A641">
        <v>638</v>
      </c>
      <c r="B641" s="12">
        <v>124109.45155410735</v>
      </c>
      <c r="C641" s="12"/>
    </row>
    <row r="642" spans="1:3">
      <c r="A642">
        <v>639</v>
      </c>
      <c r="B642" s="12">
        <v>100678.36627536229</v>
      </c>
      <c r="C642" s="12"/>
    </row>
    <row r="643" spans="1:3">
      <c r="A643">
        <v>640</v>
      </c>
      <c r="B643" s="12">
        <v>160064.01245343094</v>
      </c>
      <c r="C643" s="12"/>
    </row>
    <row r="644" spans="1:3">
      <c r="A644">
        <v>641</v>
      </c>
      <c r="B644" s="12">
        <v>87298.589336905061</v>
      </c>
      <c r="C644" s="12"/>
    </row>
    <row r="645" spans="1:3">
      <c r="A645">
        <v>642</v>
      </c>
      <c r="B645" s="12">
        <v>112178.59846360736</v>
      </c>
      <c r="C645" s="12"/>
    </row>
    <row r="646" spans="1:3">
      <c r="A646">
        <v>643</v>
      </c>
      <c r="B646" s="12">
        <v>166129.15224149672</v>
      </c>
      <c r="C646" s="12"/>
    </row>
    <row r="647" spans="1:3">
      <c r="A647">
        <v>644</v>
      </c>
      <c r="B647" s="12">
        <v>99918.530746311328</v>
      </c>
      <c r="C647" s="12"/>
    </row>
    <row r="648" spans="1:3">
      <c r="A648">
        <v>645</v>
      </c>
      <c r="B648" s="12">
        <v>155587.85308331321</v>
      </c>
      <c r="C648" s="12"/>
    </row>
    <row r="649" spans="1:3">
      <c r="A649">
        <v>646</v>
      </c>
      <c r="B649" s="12">
        <v>86608.438720193881</v>
      </c>
      <c r="C649" s="12"/>
    </row>
    <row r="650" spans="1:3">
      <c r="A650">
        <v>647</v>
      </c>
      <c r="B650" s="12">
        <v>132684.71613444015</v>
      </c>
      <c r="C650" s="12"/>
    </row>
    <row r="651" spans="1:3">
      <c r="A651">
        <v>648</v>
      </c>
      <c r="B651" s="12">
        <v>166686.91824702013</v>
      </c>
      <c r="C651" s="12"/>
    </row>
    <row r="652" spans="1:3">
      <c r="A652">
        <v>649</v>
      </c>
      <c r="B652" s="12">
        <v>128780.62927959689</v>
      </c>
      <c r="C652" s="12"/>
    </row>
    <row r="653" spans="1:3">
      <c r="A653">
        <v>650</v>
      </c>
      <c r="B653" s="12">
        <v>105156.67036735115</v>
      </c>
      <c r="C653" s="12"/>
    </row>
    <row r="654" spans="1:3">
      <c r="A654">
        <v>651</v>
      </c>
      <c r="B654" s="12">
        <v>119745.5705810629</v>
      </c>
      <c r="C654" s="12"/>
    </row>
    <row r="655" spans="1:3">
      <c r="A655">
        <v>652</v>
      </c>
      <c r="B655" s="12">
        <v>106077.56908982131</v>
      </c>
      <c r="C655" s="12"/>
    </row>
    <row r="656" spans="1:3">
      <c r="A656">
        <v>653</v>
      </c>
      <c r="B656" s="12">
        <v>81394.27683979315</v>
      </c>
      <c r="C656" s="12"/>
    </row>
    <row r="657" spans="1:3">
      <c r="A657">
        <v>654</v>
      </c>
      <c r="B657" s="12">
        <v>154981.48924127291</v>
      </c>
      <c r="C657" s="12"/>
    </row>
    <row r="658" spans="1:3">
      <c r="A658">
        <v>655</v>
      </c>
      <c r="B658" s="12">
        <v>69343.491909277596</v>
      </c>
      <c r="C658" s="12"/>
    </row>
    <row r="659" spans="1:3">
      <c r="A659">
        <v>656</v>
      </c>
      <c r="B659" s="12">
        <v>87489.723910474117</v>
      </c>
      <c r="C659" s="12"/>
    </row>
    <row r="660" spans="1:3">
      <c r="A660">
        <v>657</v>
      </c>
      <c r="B660" s="12">
        <v>173983.49591593689</v>
      </c>
      <c r="C660" s="12"/>
    </row>
    <row r="661" spans="1:3">
      <c r="A661">
        <v>658</v>
      </c>
      <c r="B661" s="12">
        <v>117511.30427034687</v>
      </c>
      <c r="C661" s="12"/>
    </row>
    <row r="662" spans="1:3">
      <c r="A662">
        <v>659</v>
      </c>
      <c r="B662" s="12">
        <v>155366.92741170028</v>
      </c>
      <c r="C662" s="12"/>
    </row>
    <row r="663" spans="1:3">
      <c r="A663">
        <v>660</v>
      </c>
      <c r="B663" s="12">
        <v>91722.008710131966</v>
      </c>
      <c r="C663" s="12"/>
    </row>
    <row r="664" spans="1:3">
      <c r="A664">
        <v>661</v>
      </c>
      <c r="B664" s="12">
        <v>140913.99113197465</v>
      </c>
      <c r="C664" s="12"/>
    </row>
    <row r="665" spans="1:3">
      <c r="A665">
        <v>662</v>
      </c>
      <c r="B665" s="12">
        <v>151304.93367532213</v>
      </c>
      <c r="C665" s="12"/>
    </row>
    <row r="666" spans="1:3">
      <c r="A666">
        <v>663</v>
      </c>
      <c r="B666" s="12">
        <v>91179.730898636146</v>
      </c>
      <c r="C666" s="12"/>
    </row>
    <row r="667" spans="1:3">
      <c r="A667">
        <v>664</v>
      </c>
      <c r="B667" s="12">
        <v>109865.70225516941</v>
      </c>
      <c r="C667" s="12"/>
    </row>
    <row r="668" spans="1:3">
      <c r="A668">
        <v>665</v>
      </c>
      <c r="B668" s="12">
        <v>105035.13392111234</v>
      </c>
      <c r="C668" s="12"/>
    </row>
    <row r="669" spans="1:3">
      <c r="A669">
        <v>666</v>
      </c>
      <c r="B669" s="12">
        <v>83401.894786445424</v>
      </c>
      <c r="C669" s="12"/>
    </row>
    <row r="670" spans="1:3">
      <c r="A670">
        <v>667</v>
      </c>
      <c r="B670" s="12">
        <v>96584.090993977385</v>
      </c>
      <c r="C670" s="12"/>
    </row>
    <row r="671" spans="1:3">
      <c r="A671">
        <v>668</v>
      </c>
      <c r="B671" s="12">
        <v>77849.149624496888</v>
      </c>
      <c r="C671" s="12"/>
    </row>
    <row r="672" spans="1:3">
      <c r="A672">
        <v>669</v>
      </c>
      <c r="B672" s="12">
        <v>171314.62750807457</v>
      </c>
      <c r="C672" s="12"/>
    </row>
    <row r="673" spans="1:3">
      <c r="A673">
        <v>670</v>
      </c>
      <c r="B673" s="12">
        <v>102424.432485179</v>
      </c>
      <c r="C673" s="12"/>
    </row>
    <row r="674" spans="1:3">
      <c r="A674">
        <v>671</v>
      </c>
      <c r="B674" s="12">
        <v>126459.09252411897</v>
      </c>
      <c r="C674" s="12"/>
    </row>
    <row r="675" spans="1:3">
      <c r="A675">
        <v>672</v>
      </c>
      <c r="B675" s="12">
        <v>95164.928610066738</v>
      </c>
      <c r="C675" s="12"/>
    </row>
    <row r="676" spans="1:3">
      <c r="A676">
        <v>673</v>
      </c>
      <c r="B676" s="12">
        <v>142994.5621488865</v>
      </c>
      <c r="C676" s="12"/>
    </row>
    <row r="677" spans="1:3">
      <c r="A677">
        <v>674</v>
      </c>
      <c r="B677" s="12">
        <v>84266.668308530221</v>
      </c>
      <c r="C677" s="12"/>
    </row>
    <row r="678" spans="1:3">
      <c r="A678">
        <v>675</v>
      </c>
      <c r="B678" s="12">
        <v>91726.034036854457</v>
      </c>
      <c r="C678" s="12"/>
    </row>
    <row r="679" spans="1:3">
      <c r="A679">
        <v>676</v>
      </c>
      <c r="B679" s="12">
        <v>143572.24576218356</v>
      </c>
      <c r="C679" s="12"/>
    </row>
    <row r="680" spans="1:3">
      <c r="A680">
        <v>677</v>
      </c>
      <c r="B680" s="12">
        <v>111234.54474579886</v>
      </c>
      <c r="C680" s="12"/>
    </row>
    <row r="681" spans="1:3">
      <c r="A681">
        <v>678</v>
      </c>
      <c r="B681" s="12">
        <v>98627.613328075473</v>
      </c>
      <c r="C681" s="12"/>
    </row>
    <row r="682" spans="1:3">
      <c r="A682">
        <v>679</v>
      </c>
      <c r="B682" s="12">
        <v>100801.53741303089</v>
      </c>
      <c r="C682" s="12"/>
    </row>
    <row r="683" spans="1:3">
      <c r="A683">
        <v>680</v>
      </c>
      <c r="B683" s="12">
        <v>87061.413348175527</v>
      </c>
      <c r="C683" s="12"/>
    </row>
    <row r="684" spans="1:3">
      <c r="A684">
        <v>681</v>
      </c>
      <c r="B684" s="12">
        <v>183759.43600194526</v>
      </c>
      <c r="C684" s="12"/>
    </row>
    <row r="685" spans="1:3">
      <c r="A685">
        <v>682</v>
      </c>
      <c r="B685" s="12">
        <v>86768.910122139889</v>
      </c>
      <c r="C685" s="12"/>
    </row>
    <row r="686" spans="1:3">
      <c r="A686">
        <v>683</v>
      </c>
      <c r="B686" s="12">
        <v>157968.43344874182</v>
      </c>
      <c r="C686" s="12"/>
    </row>
    <row r="687" spans="1:3">
      <c r="A687">
        <v>684</v>
      </c>
      <c r="B687" s="12">
        <v>93571.616052317069</v>
      </c>
      <c r="C687" s="12"/>
    </row>
    <row r="688" spans="1:3">
      <c r="A688">
        <v>685</v>
      </c>
      <c r="B688" s="12">
        <v>76433.346051104149</v>
      </c>
      <c r="C688" s="12"/>
    </row>
    <row r="689" spans="1:3">
      <c r="A689">
        <v>686</v>
      </c>
      <c r="B689" s="12">
        <v>122424.50514027361</v>
      </c>
      <c r="C689" s="12"/>
    </row>
    <row r="690" spans="1:3">
      <c r="A690">
        <v>687</v>
      </c>
      <c r="B690" s="12">
        <v>89499.111537550751</v>
      </c>
      <c r="C690" s="12"/>
    </row>
    <row r="691" spans="1:3">
      <c r="A691">
        <v>688</v>
      </c>
      <c r="B691" s="12">
        <v>87241.600778453765</v>
      </c>
      <c r="C691" s="12"/>
    </row>
    <row r="692" spans="1:3">
      <c r="A692">
        <v>689</v>
      </c>
      <c r="B692" s="12">
        <v>98504.219063315308</v>
      </c>
      <c r="C692" s="12"/>
    </row>
    <row r="693" spans="1:3">
      <c r="A693">
        <v>690</v>
      </c>
      <c r="B693" s="12">
        <v>88584.263145321805</v>
      </c>
      <c r="C693" s="12"/>
    </row>
    <row r="694" spans="1:3">
      <c r="A694">
        <v>691</v>
      </c>
      <c r="B694" s="12">
        <v>156693.57173241713</v>
      </c>
      <c r="C694" s="12"/>
    </row>
    <row r="695" spans="1:3">
      <c r="A695">
        <v>692</v>
      </c>
      <c r="B695" s="12">
        <v>136442.49802303343</v>
      </c>
      <c r="C695" s="12"/>
    </row>
    <row r="696" spans="1:3">
      <c r="A696">
        <v>693</v>
      </c>
      <c r="B696" s="12">
        <v>94604.315283582095</v>
      </c>
      <c r="C696" s="12"/>
    </row>
    <row r="697" spans="1:3">
      <c r="A697">
        <v>694</v>
      </c>
      <c r="B697" s="12">
        <v>59290.036769226761</v>
      </c>
      <c r="C697" s="12"/>
    </row>
    <row r="698" spans="1:3">
      <c r="A698">
        <v>695</v>
      </c>
      <c r="B698" s="12">
        <v>141856.60531647567</v>
      </c>
      <c r="C698" s="12"/>
    </row>
    <row r="699" spans="1:3">
      <c r="A699">
        <v>696</v>
      </c>
      <c r="B699" s="12">
        <v>105671.79986094672</v>
      </c>
      <c r="C699" s="12"/>
    </row>
    <row r="700" spans="1:3">
      <c r="A700">
        <v>697</v>
      </c>
      <c r="B700" s="12">
        <v>78887.176699484116</v>
      </c>
      <c r="C700" s="12"/>
    </row>
    <row r="701" spans="1:3">
      <c r="A701">
        <v>698</v>
      </c>
      <c r="B701" s="12">
        <v>150772.48271729358</v>
      </c>
      <c r="C701" s="12"/>
    </row>
    <row r="702" spans="1:3">
      <c r="A702">
        <v>699</v>
      </c>
      <c r="B702" s="12">
        <v>112507.47381943269</v>
      </c>
      <c r="C702" s="12"/>
    </row>
    <row r="703" spans="1:3">
      <c r="A703">
        <v>700</v>
      </c>
      <c r="B703" s="12">
        <v>79120.086109169613</v>
      </c>
      <c r="C703" s="12"/>
    </row>
    <row r="704" spans="1:3">
      <c r="A704">
        <v>701</v>
      </c>
      <c r="B704" s="12">
        <v>130348.91775318462</v>
      </c>
      <c r="C704" s="12"/>
    </row>
    <row r="705" spans="1:3">
      <c r="A705">
        <v>702</v>
      </c>
      <c r="B705" s="12">
        <v>145462.34974447341</v>
      </c>
      <c r="C705" s="12"/>
    </row>
    <row r="706" spans="1:3">
      <c r="A706">
        <v>703</v>
      </c>
      <c r="B706" s="12">
        <v>81348.867752224178</v>
      </c>
      <c r="C706" s="12"/>
    </row>
    <row r="707" spans="1:3">
      <c r="A707">
        <v>704</v>
      </c>
      <c r="B707" s="12">
        <v>118098.35060135309</v>
      </c>
      <c r="C707" s="12"/>
    </row>
    <row r="708" spans="1:3">
      <c r="A708">
        <v>705</v>
      </c>
      <c r="B708" s="12">
        <v>78666.589467800281</v>
      </c>
      <c r="C708" s="12"/>
    </row>
    <row r="709" spans="1:3">
      <c r="A709">
        <v>706</v>
      </c>
      <c r="B709" s="12">
        <v>77663.797131201631</v>
      </c>
      <c r="C709" s="12"/>
    </row>
    <row r="710" spans="1:3">
      <c r="A710">
        <v>707</v>
      </c>
      <c r="B710" s="12">
        <v>131584.31356831899</v>
      </c>
      <c r="C710" s="12"/>
    </row>
    <row r="711" spans="1:3">
      <c r="A711">
        <v>708</v>
      </c>
      <c r="B711" s="12">
        <v>116038.2744322279</v>
      </c>
      <c r="C711" s="12"/>
    </row>
    <row r="712" spans="1:3">
      <c r="A712">
        <v>709</v>
      </c>
      <c r="B712" s="12">
        <v>128465.60319622952</v>
      </c>
      <c r="C712" s="12"/>
    </row>
    <row r="713" spans="1:3">
      <c r="A713">
        <v>710</v>
      </c>
      <c r="B713" s="12">
        <v>118719.18365295407</v>
      </c>
      <c r="C713" s="12"/>
    </row>
    <row r="714" spans="1:3">
      <c r="A714">
        <v>711</v>
      </c>
      <c r="B714" s="12">
        <v>55444.365181499605</v>
      </c>
      <c r="C714" s="12"/>
    </row>
    <row r="715" spans="1:3">
      <c r="A715">
        <v>712</v>
      </c>
      <c r="B715" s="12">
        <v>89983.347135924996</v>
      </c>
      <c r="C715" s="12"/>
    </row>
    <row r="716" spans="1:3">
      <c r="A716">
        <v>713</v>
      </c>
      <c r="B716" s="12">
        <v>111445.50804639584</v>
      </c>
      <c r="C716" s="12"/>
    </row>
    <row r="717" spans="1:3">
      <c r="A717">
        <v>714</v>
      </c>
      <c r="B717" s="12">
        <v>128918.79687047153</v>
      </c>
      <c r="C717" s="12"/>
    </row>
    <row r="718" spans="1:3">
      <c r="A718">
        <v>715</v>
      </c>
      <c r="B718" s="12">
        <v>149596.388164773</v>
      </c>
      <c r="C718" s="12"/>
    </row>
    <row r="719" spans="1:3">
      <c r="A719">
        <v>716</v>
      </c>
      <c r="B719" s="12">
        <v>144740.30059723224</v>
      </c>
      <c r="C719" s="12"/>
    </row>
    <row r="720" spans="1:3">
      <c r="A720">
        <v>717</v>
      </c>
      <c r="B720" s="12">
        <v>180925.35043499083</v>
      </c>
      <c r="C720" s="12"/>
    </row>
    <row r="721" spans="1:3">
      <c r="A721">
        <v>718</v>
      </c>
      <c r="B721" s="12">
        <v>71107.07272025384</v>
      </c>
      <c r="C721" s="12"/>
    </row>
    <row r="722" spans="1:3">
      <c r="A722">
        <v>719</v>
      </c>
      <c r="B722" s="12">
        <v>113129.31257720766</v>
      </c>
      <c r="C722" s="12"/>
    </row>
    <row r="723" spans="1:3">
      <c r="A723">
        <v>720</v>
      </c>
      <c r="B723" s="12">
        <v>95747.583501772213</v>
      </c>
      <c r="C723" s="12"/>
    </row>
    <row r="724" spans="1:3">
      <c r="A724">
        <v>721</v>
      </c>
      <c r="B724" s="12">
        <v>88624.613799880855</v>
      </c>
      <c r="C724" s="12"/>
    </row>
    <row r="725" spans="1:3">
      <c r="A725">
        <v>722</v>
      </c>
      <c r="B725" s="12">
        <v>147947.59786826189</v>
      </c>
      <c r="C725" s="12"/>
    </row>
    <row r="726" spans="1:3">
      <c r="A726">
        <v>723</v>
      </c>
      <c r="B726" s="12">
        <v>71183.058520062565</v>
      </c>
      <c r="C726" s="12"/>
    </row>
    <row r="727" spans="1:3">
      <c r="A727">
        <v>724</v>
      </c>
      <c r="B727" s="12">
        <v>123833.17891126161</v>
      </c>
      <c r="C727" s="12"/>
    </row>
    <row r="728" spans="1:3">
      <c r="A728">
        <v>725</v>
      </c>
      <c r="B728" s="12">
        <v>118295.24424467458</v>
      </c>
      <c r="C728" s="12"/>
    </row>
    <row r="729" spans="1:3">
      <c r="A729">
        <v>726</v>
      </c>
      <c r="B729" s="12">
        <v>134163.62007342192</v>
      </c>
      <c r="C729" s="12"/>
    </row>
    <row r="730" spans="1:3">
      <c r="A730">
        <v>727</v>
      </c>
      <c r="B730" s="12">
        <v>118281.23659744156</v>
      </c>
      <c r="C730" s="12"/>
    </row>
    <row r="731" spans="1:3">
      <c r="A731">
        <v>728</v>
      </c>
      <c r="B731" s="12">
        <v>136636.13665263483</v>
      </c>
      <c r="C731" s="12"/>
    </row>
    <row r="732" spans="1:3">
      <c r="A732">
        <v>729</v>
      </c>
      <c r="B732" s="12">
        <v>69323.812520080508</v>
      </c>
      <c r="C732" s="12"/>
    </row>
    <row r="733" spans="1:3">
      <c r="A733">
        <v>730</v>
      </c>
      <c r="B733" s="12">
        <v>91199.999089355901</v>
      </c>
      <c r="C733" s="12"/>
    </row>
    <row r="734" spans="1:3">
      <c r="A734">
        <v>731</v>
      </c>
      <c r="B734" s="12">
        <v>87184.104360352037</v>
      </c>
      <c r="C734" s="12"/>
    </row>
    <row r="735" spans="1:3">
      <c r="A735">
        <v>732</v>
      </c>
      <c r="B735" s="12">
        <v>117965.23139880221</v>
      </c>
      <c r="C735" s="12"/>
    </row>
    <row r="736" spans="1:3">
      <c r="A736">
        <v>733</v>
      </c>
      <c r="B736" s="12">
        <v>97511.591989464607</v>
      </c>
      <c r="C736" s="12"/>
    </row>
    <row r="737" spans="1:3">
      <c r="A737">
        <v>734</v>
      </c>
      <c r="B737" s="12">
        <v>132858.8028999673</v>
      </c>
      <c r="C737" s="12"/>
    </row>
    <row r="738" spans="1:3">
      <c r="A738">
        <v>735</v>
      </c>
      <c r="B738" s="12">
        <v>128093.59398096966</v>
      </c>
      <c r="C738" s="12"/>
    </row>
    <row r="739" spans="1:3">
      <c r="A739">
        <v>736</v>
      </c>
      <c r="B739" s="12">
        <v>114672.89130425583</v>
      </c>
      <c r="C739" s="12"/>
    </row>
    <row r="740" spans="1:3">
      <c r="A740">
        <v>737</v>
      </c>
      <c r="B740" s="12">
        <v>201463.9188071361</v>
      </c>
      <c r="C740" s="12"/>
    </row>
    <row r="741" spans="1:3">
      <c r="A741">
        <v>738</v>
      </c>
      <c r="B741" s="12">
        <v>98093.061216402755</v>
      </c>
      <c r="C741" s="12"/>
    </row>
    <row r="742" spans="1:3">
      <c r="A742">
        <v>739</v>
      </c>
      <c r="B742" s="12">
        <v>159544.50319557369</v>
      </c>
      <c r="C742" s="12"/>
    </row>
    <row r="743" spans="1:3">
      <c r="A743">
        <v>740</v>
      </c>
      <c r="B743" s="12">
        <v>136589.50702022554</v>
      </c>
      <c r="C743" s="12"/>
    </row>
    <row r="744" spans="1:3">
      <c r="A744">
        <v>741</v>
      </c>
      <c r="B744" s="12">
        <v>116705.02568430219</v>
      </c>
      <c r="C744" s="12"/>
    </row>
    <row r="745" spans="1:3">
      <c r="A745">
        <v>742</v>
      </c>
      <c r="B745" s="12">
        <v>90639.455570437814</v>
      </c>
      <c r="C745" s="12"/>
    </row>
    <row r="746" spans="1:3">
      <c r="A746">
        <v>743</v>
      </c>
      <c r="B746" s="12">
        <v>117589.06593280523</v>
      </c>
      <c r="C746" s="12"/>
    </row>
    <row r="747" spans="1:3">
      <c r="A747">
        <v>744</v>
      </c>
      <c r="B747" s="12">
        <v>136161.78866545783</v>
      </c>
      <c r="C747" s="12"/>
    </row>
    <row r="748" spans="1:3">
      <c r="A748">
        <v>745</v>
      </c>
      <c r="B748" s="12">
        <v>72243.505312620357</v>
      </c>
      <c r="C748" s="12"/>
    </row>
    <row r="749" spans="1:3">
      <c r="A749">
        <v>746</v>
      </c>
      <c r="B749" s="12">
        <v>105293.47546815001</v>
      </c>
      <c r="C749" s="12"/>
    </row>
    <row r="750" spans="1:3">
      <c r="A750">
        <v>747</v>
      </c>
      <c r="B750" s="12">
        <v>96741.532027066743</v>
      </c>
      <c r="C750" s="12"/>
    </row>
    <row r="751" spans="1:3">
      <c r="A751">
        <v>748</v>
      </c>
      <c r="B751" s="12">
        <v>97266.892330995193</v>
      </c>
      <c r="C751" s="12"/>
    </row>
    <row r="752" spans="1:3">
      <c r="A752">
        <v>749</v>
      </c>
      <c r="B752" s="12">
        <v>110032.34547323061</v>
      </c>
      <c r="C752" s="12"/>
    </row>
    <row r="753" spans="1:3">
      <c r="A753">
        <v>750</v>
      </c>
      <c r="B753" s="12">
        <v>139589.89717505264</v>
      </c>
      <c r="C753" s="12"/>
    </row>
    <row r="754" spans="1:3">
      <c r="A754">
        <v>751</v>
      </c>
      <c r="B754" s="12">
        <v>108223.09831543732</v>
      </c>
      <c r="C754" s="12"/>
    </row>
    <row r="755" spans="1:3">
      <c r="A755">
        <v>752</v>
      </c>
      <c r="B755" s="12">
        <v>127928.2588306543</v>
      </c>
      <c r="C755" s="12"/>
    </row>
    <row r="756" spans="1:3">
      <c r="A756">
        <v>753</v>
      </c>
      <c r="B756" s="12">
        <v>87253.877921459323</v>
      </c>
      <c r="C756" s="12"/>
    </row>
    <row r="757" spans="1:3">
      <c r="A757">
        <v>754</v>
      </c>
      <c r="B757" s="12">
        <v>115714.56951345612</v>
      </c>
      <c r="C757" s="12"/>
    </row>
    <row r="758" spans="1:3">
      <c r="A758">
        <v>755</v>
      </c>
      <c r="B758" s="12">
        <v>126485.87000854629</v>
      </c>
      <c r="C758" s="12"/>
    </row>
    <row r="759" spans="1:3">
      <c r="A759">
        <v>756</v>
      </c>
      <c r="B759" s="12">
        <v>49615.758772052679</v>
      </c>
      <c r="C759" s="12"/>
    </row>
    <row r="760" spans="1:3">
      <c r="A760">
        <v>757</v>
      </c>
      <c r="B760" s="12">
        <v>89413.235405374042</v>
      </c>
      <c r="C760" s="12"/>
    </row>
    <row r="761" spans="1:3">
      <c r="A761">
        <v>758</v>
      </c>
      <c r="B761" s="12">
        <v>149790.97354270672</v>
      </c>
      <c r="C761" s="12"/>
    </row>
    <row r="762" spans="1:3">
      <c r="A762">
        <v>759</v>
      </c>
      <c r="B762" s="12">
        <v>110215.04258683874</v>
      </c>
      <c r="C762" s="12"/>
    </row>
    <row r="763" spans="1:3">
      <c r="A763">
        <v>760</v>
      </c>
      <c r="B763" s="12">
        <v>122630.61668821027</v>
      </c>
      <c r="C763" s="12"/>
    </row>
    <row r="764" spans="1:3">
      <c r="A764">
        <v>761</v>
      </c>
      <c r="B764" s="12">
        <v>67829.553189235623</v>
      </c>
      <c r="C764" s="12"/>
    </row>
    <row r="765" spans="1:3">
      <c r="A765">
        <v>762</v>
      </c>
      <c r="B765" s="12">
        <v>63270.716213246196</v>
      </c>
      <c r="C765" s="12"/>
    </row>
    <row r="766" spans="1:3">
      <c r="A766">
        <v>763</v>
      </c>
      <c r="B766" s="12">
        <v>98886.709743031679</v>
      </c>
      <c r="C766" s="12"/>
    </row>
    <row r="767" spans="1:3">
      <c r="A767">
        <v>764</v>
      </c>
      <c r="B767" s="12">
        <v>175418.6361025107</v>
      </c>
      <c r="C767" s="12"/>
    </row>
    <row r="768" spans="1:3">
      <c r="A768">
        <v>765</v>
      </c>
      <c r="B768" s="12">
        <v>179623.66999972195</v>
      </c>
      <c r="C768" s="12"/>
    </row>
    <row r="769" spans="1:3">
      <c r="A769">
        <v>766</v>
      </c>
      <c r="B769" s="12">
        <v>97802.605312097832</v>
      </c>
      <c r="C769" s="12"/>
    </row>
    <row r="770" spans="1:3">
      <c r="A770">
        <v>767</v>
      </c>
      <c r="B770" s="12">
        <v>110661.17509386639</v>
      </c>
      <c r="C770" s="12"/>
    </row>
    <row r="771" spans="1:3">
      <c r="A771">
        <v>768</v>
      </c>
      <c r="B771" s="12">
        <v>160838.24099160696</v>
      </c>
      <c r="C771" s="12"/>
    </row>
    <row r="772" spans="1:3">
      <c r="A772">
        <v>769</v>
      </c>
      <c r="B772" s="12">
        <v>136496.06963034836</v>
      </c>
      <c r="C772" s="12"/>
    </row>
    <row r="773" spans="1:3">
      <c r="A773">
        <v>770</v>
      </c>
      <c r="B773" s="12">
        <v>92326.252821629751</v>
      </c>
      <c r="C773" s="12"/>
    </row>
    <row r="774" spans="1:3">
      <c r="A774">
        <v>771</v>
      </c>
      <c r="B774" s="12">
        <v>87672.745538720395</v>
      </c>
      <c r="C774" s="12"/>
    </row>
    <row r="775" spans="1:3">
      <c r="A775">
        <v>772</v>
      </c>
      <c r="B775" s="12">
        <v>98304.232477826343</v>
      </c>
      <c r="C775" s="12"/>
    </row>
    <row r="776" spans="1:3">
      <c r="A776">
        <v>773</v>
      </c>
      <c r="B776" s="12">
        <v>148673.26498030484</v>
      </c>
      <c r="C776" s="12"/>
    </row>
    <row r="777" spans="1:3">
      <c r="A777">
        <v>774</v>
      </c>
      <c r="B777" s="12">
        <v>141701.06540878239</v>
      </c>
      <c r="C777" s="12"/>
    </row>
    <row r="778" spans="1:3">
      <c r="A778">
        <v>775</v>
      </c>
      <c r="B778" s="12">
        <v>85554.436853388266</v>
      </c>
      <c r="C778" s="12"/>
    </row>
    <row r="779" spans="1:3">
      <c r="A779">
        <v>776</v>
      </c>
      <c r="B779" s="12">
        <v>115373.52531515202</v>
      </c>
      <c r="C779" s="12"/>
    </row>
    <row r="780" spans="1:3">
      <c r="A780">
        <v>777</v>
      </c>
      <c r="B780" s="12">
        <v>140310.0127998899</v>
      </c>
      <c r="C780" s="12"/>
    </row>
    <row r="781" spans="1:3">
      <c r="A781">
        <v>778</v>
      </c>
      <c r="B781" s="12">
        <v>170321.57543361202</v>
      </c>
      <c r="C781" s="12"/>
    </row>
    <row r="782" spans="1:3">
      <c r="A782">
        <v>779</v>
      </c>
      <c r="B782" s="12">
        <v>112686.67360338263</v>
      </c>
      <c r="C782" s="12"/>
    </row>
    <row r="783" spans="1:3">
      <c r="A783">
        <v>780</v>
      </c>
      <c r="B783" s="12">
        <v>99355.445541995374</v>
      </c>
      <c r="C783" s="12"/>
    </row>
    <row r="784" spans="1:3">
      <c r="A784">
        <v>781</v>
      </c>
      <c r="B784" s="12">
        <v>90429.047214789694</v>
      </c>
      <c r="C784" s="12"/>
    </row>
    <row r="785" spans="1:3">
      <c r="A785">
        <v>782</v>
      </c>
      <c r="B785" s="12">
        <v>90840.625290995231</v>
      </c>
      <c r="C785" s="12"/>
    </row>
    <row r="786" spans="1:3">
      <c r="A786">
        <v>783</v>
      </c>
      <c r="B786" s="12">
        <v>96654.372625506818</v>
      </c>
      <c r="C786" s="12"/>
    </row>
    <row r="787" spans="1:3">
      <c r="A787">
        <v>784</v>
      </c>
      <c r="B787" s="12">
        <v>81416.629449983666</v>
      </c>
      <c r="C787" s="12"/>
    </row>
    <row r="788" spans="1:3">
      <c r="A788">
        <v>785</v>
      </c>
      <c r="B788" s="12">
        <v>101575.66606177343</v>
      </c>
      <c r="C788" s="12"/>
    </row>
    <row r="789" spans="1:3">
      <c r="A789">
        <v>786</v>
      </c>
      <c r="B789" s="12">
        <v>127992.94002729413</v>
      </c>
      <c r="C789" s="12"/>
    </row>
    <row r="790" spans="1:3">
      <c r="A790">
        <v>787</v>
      </c>
      <c r="B790" s="12">
        <v>94717.285739726809</v>
      </c>
      <c r="C790" s="12"/>
    </row>
    <row r="791" spans="1:3">
      <c r="A791">
        <v>788</v>
      </c>
      <c r="B791" s="12">
        <v>143145.47291728438</v>
      </c>
      <c r="C791" s="12"/>
    </row>
    <row r="792" spans="1:3">
      <c r="A792">
        <v>789</v>
      </c>
      <c r="B792" s="12">
        <v>109871.25670316159</v>
      </c>
      <c r="C792" s="12"/>
    </row>
    <row r="793" spans="1:3">
      <c r="A793">
        <v>790</v>
      </c>
      <c r="B793" s="12">
        <v>105994.84287052896</v>
      </c>
      <c r="C793" s="12"/>
    </row>
    <row r="794" spans="1:3">
      <c r="A794">
        <v>791</v>
      </c>
      <c r="B794" s="12">
        <v>92137.914632928587</v>
      </c>
      <c r="C794" s="12"/>
    </row>
    <row r="795" spans="1:3">
      <c r="A795">
        <v>792</v>
      </c>
      <c r="B795" s="12">
        <v>129179.4886039336</v>
      </c>
      <c r="C795" s="12"/>
    </row>
    <row r="796" spans="1:3">
      <c r="A796">
        <v>793</v>
      </c>
      <c r="B796" s="12">
        <v>160628.07152470751</v>
      </c>
      <c r="C796" s="12"/>
    </row>
    <row r="797" spans="1:3">
      <c r="A797">
        <v>794</v>
      </c>
      <c r="B797" s="12">
        <v>107446.16662683857</v>
      </c>
      <c r="C797" s="12"/>
    </row>
    <row r="798" spans="1:3">
      <c r="A798">
        <v>795</v>
      </c>
      <c r="B798" s="12">
        <v>62356.025520757867</v>
      </c>
      <c r="C798" s="12"/>
    </row>
    <row r="799" spans="1:3">
      <c r="A799">
        <v>796</v>
      </c>
      <c r="B799" s="12">
        <v>127477.27128964361</v>
      </c>
      <c r="C799" s="12"/>
    </row>
    <row r="800" spans="1:3">
      <c r="A800">
        <v>797</v>
      </c>
      <c r="B800" s="12">
        <v>93819.499299154151</v>
      </c>
      <c r="C800" s="12"/>
    </row>
    <row r="801" spans="1:3">
      <c r="A801">
        <v>798</v>
      </c>
      <c r="B801" s="12">
        <v>135256.23565853518</v>
      </c>
      <c r="C801" s="12"/>
    </row>
    <row r="802" spans="1:3">
      <c r="A802">
        <v>799</v>
      </c>
      <c r="B802" s="12">
        <v>89681.79324098806</v>
      </c>
      <c r="C802" s="12"/>
    </row>
    <row r="803" spans="1:3">
      <c r="A803">
        <v>800</v>
      </c>
      <c r="B803" s="12">
        <v>133309.38021586995</v>
      </c>
      <c r="C803" s="12"/>
    </row>
    <row r="804" spans="1:3">
      <c r="A804">
        <v>801</v>
      </c>
      <c r="B804" s="12">
        <v>157659.04616429913</v>
      </c>
      <c r="C804" s="12"/>
    </row>
    <row r="805" spans="1:3">
      <c r="A805">
        <v>802</v>
      </c>
      <c r="B805" s="12">
        <v>117739.6989436872</v>
      </c>
      <c r="C805" s="12"/>
    </row>
    <row r="806" spans="1:3">
      <c r="A806">
        <v>803</v>
      </c>
      <c r="B806" s="12">
        <v>128531.95939830958</v>
      </c>
      <c r="C806" s="12"/>
    </row>
    <row r="807" spans="1:3">
      <c r="A807">
        <v>804</v>
      </c>
      <c r="B807" s="12">
        <v>90176.682154129929</v>
      </c>
      <c r="C807" s="12"/>
    </row>
    <row r="808" spans="1:3">
      <c r="A808">
        <v>805</v>
      </c>
      <c r="B808" s="12">
        <v>144221.76936557141</v>
      </c>
      <c r="C808" s="12"/>
    </row>
    <row r="809" spans="1:3">
      <c r="A809">
        <v>806</v>
      </c>
      <c r="B809" s="12">
        <v>98528.366898131397</v>
      </c>
      <c r="C809" s="12"/>
    </row>
    <row r="810" spans="1:3">
      <c r="A810">
        <v>807</v>
      </c>
      <c r="B810" s="12">
        <v>141867.54830690558</v>
      </c>
      <c r="C810" s="12"/>
    </row>
    <row r="811" spans="1:3">
      <c r="A811">
        <v>808</v>
      </c>
      <c r="B811" s="12">
        <v>94907.456206717936</v>
      </c>
      <c r="C811" s="12"/>
    </row>
    <row r="812" spans="1:3">
      <c r="A812">
        <v>809</v>
      </c>
      <c r="B812" s="12">
        <v>97382.218185706923</v>
      </c>
      <c r="C812" s="12"/>
    </row>
    <row r="813" spans="1:3">
      <c r="A813">
        <v>810</v>
      </c>
      <c r="B813" s="12">
        <v>114922.57618200249</v>
      </c>
      <c r="C813" s="12"/>
    </row>
    <row r="814" spans="1:3">
      <c r="A814">
        <v>811</v>
      </c>
      <c r="B814" s="12">
        <v>120482.13296921464</v>
      </c>
      <c r="C814" s="12"/>
    </row>
    <row r="815" spans="1:3">
      <c r="A815">
        <v>812</v>
      </c>
      <c r="B815" s="12">
        <v>109459.94227443905</v>
      </c>
      <c r="C815" s="12"/>
    </row>
    <row r="816" spans="1:3">
      <c r="A816">
        <v>813</v>
      </c>
      <c r="B816" s="12">
        <v>228956.64907214028</v>
      </c>
      <c r="C816" s="12"/>
    </row>
    <row r="817" spans="1:3">
      <c r="A817">
        <v>814</v>
      </c>
      <c r="B817" s="12">
        <v>98179.359391853781</v>
      </c>
      <c r="C817" s="12"/>
    </row>
    <row r="818" spans="1:3">
      <c r="A818">
        <v>815</v>
      </c>
      <c r="B818" s="12">
        <v>225673.97704251841</v>
      </c>
      <c r="C818" s="12"/>
    </row>
    <row r="819" spans="1:3">
      <c r="A819">
        <v>816</v>
      </c>
      <c r="B819" s="12">
        <v>93570.961976963474</v>
      </c>
      <c r="C819" s="12"/>
    </row>
    <row r="820" spans="1:3">
      <c r="A820">
        <v>817</v>
      </c>
      <c r="B820" s="12">
        <v>63777.747198011617</v>
      </c>
      <c r="C820" s="12"/>
    </row>
    <row r="821" spans="1:3">
      <c r="A821">
        <v>818</v>
      </c>
      <c r="B821" s="12">
        <v>68256.389054230414</v>
      </c>
      <c r="C821" s="12"/>
    </row>
    <row r="822" spans="1:3">
      <c r="A822">
        <v>819</v>
      </c>
      <c r="B822" s="12">
        <v>85597.810924906298</v>
      </c>
      <c r="C822" s="12"/>
    </row>
    <row r="823" spans="1:3">
      <c r="A823">
        <v>820</v>
      </c>
      <c r="B823" s="12">
        <v>88388.529845814788</v>
      </c>
      <c r="C823" s="12"/>
    </row>
    <row r="824" spans="1:3">
      <c r="A824">
        <v>821</v>
      </c>
      <c r="B824" s="12">
        <v>112172.78002446711</v>
      </c>
      <c r="C824" s="12"/>
    </row>
    <row r="825" spans="1:3">
      <c r="A825">
        <v>822</v>
      </c>
      <c r="B825" s="12">
        <v>80375.995156679928</v>
      </c>
      <c r="C825" s="12"/>
    </row>
    <row r="826" spans="1:3">
      <c r="A826">
        <v>823</v>
      </c>
      <c r="B826" s="12">
        <v>133870.14815947766</v>
      </c>
      <c r="C826" s="12"/>
    </row>
    <row r="827" spans="1:3">
      <c r="A827">
        <v>824</v>
      </c>
      <c r="B827" s="12">
        <v>77952.852849466173</v>
      </c>
      <c r="C827" s="12"/>
    </row>
    <row r="828" spans="1:3">
      <c r="A828">
        <v>825</v>
      </c>
      <c r="B828" s="12">
        <v>90177.838437168757</v>
      </c>
      <c r="C828" s="12"/>
    </row>
    <row r="829" spans="1:3">
      <c r="A829">
        <v>826</v>
      </c>
      <c r="B829" s="12">
        <v>87570.764639325527</v>
      </c>
      <c r="C829" s="12"/>
    </row>
    <row r="830" spans="1:3">
      <c r="A830">
        <v>827</v>
      </c>
      <c r="B830" s="12">
        <v>164331.49492176413</v>
      </c>
      <c r="C830" s="12"/>
    </row>
    <row r="831" spans="1:3">
      <c r="A831">
        <v>828</v>
      </c>
      <c r="B831" s="12">
        <v>101111.36619817496</v>
      </c>
      <c r="C831" s="12"/>
    </row>
    <row r="832" spans="1:3">
      <c r="A832">
        <v>829</v>
      </c>
      <c r="B832" s="12">
        <v>110043.34256412616</v>
      </c>
      <c r="C832" s="12"/>
    </row>
    <row r="833" spans="1:3">
      <c r="A833">
        <v>830</v>
      </c>
      <c r="B833" s="12">
        <v>94449.989039559645</v>
      </c>
      <c r="C833" s="12"/>
    </row>
    <row r="834" spans="1:3">
      <c r="A834">
        <v>831</v>
      </c>
      <c r="B834" s="12">
        <v>145824.1178356375</v>
      </c>
      <c r="C834" s="12"/>
    </row>
    <row r="835" spans="1:3">
      <c r="A835">
        <v>832</v>
      </c>
      <c r="B835" s="12">
        <v>83949.487993779796</v>
      </c>
      <c r="C835" s="12"/>
    </row>
    <row r="836" spans="1:3">
      <c r="A836">
        <v>833</v>
      </c>
      <c r="B836" s="12">
        <v>117963.73426337472</v>
      </c>
      <c r="C836" s="12"/>
    </row>
    <row r="837" spans="1:3">
      <c r="A837">
        <v>834</v>
      </c>
      <c r="B837" s="12">
        <v>86466.467349269617</v>
      </c>
      <c r="C837" s="12"/>
    </row>
    <row r="838" spans="1:3">
      <c r="A838">
        <v>835</v>
      </c>
      <c r="B838" s="12">
        <v>104205.08454475267</v>
      </c>
      <c r="C838" s="12"/>
    </row>
    <row r="839" spans="1:3">
      <c r="A839">
        <v>836</v>
      </c>
      <c r="B839" s="12">
        <v>85278.525209966669</v>
      </c>
      <c r="C839" s="12"/>
    </row>
    <row r="840" spans="1:3">
      <c r="A840">
        <v>837</v>
      </c>
      <c r="B840" s="12">
        <v>143054.70479356922</v>
      </c>
      <c r="C840" s="12"/>
    </row>
    <row r="841" spans="1:3">
      <c r="A841">
        <v>838</v>
      </c>
      <c r="B841" s="12">
        <v>79258.216997306212</v>
      </c>
      <c r="C841" s="12"/>
    </row>
    <row r="842" spans="1:3">
      <c r="A842">
        <v>839</v>
      </c>
      <c r="B842" s="12">
        <v>105049.80731245381</v>
      </c>
      <c r="C842" s="12"/>
    </row>
    <row r="843" spans="1:3">
      <c r="A843">
        <v>840</v>
      </c>
      <c r="B843" s="12">
        <v>73269.057870793273</v>
      </c>
      <c r="C843" s="12"/>
    </row>
    <row r="844" spans="1:3">
      <c r="A844">
        <v>841</v>
      </c>
      <c r="B844" s="12">
        <v>108550.02502226703</v>
      </c>
      <c r="C844" s="12"/>
    </row>
    <row r="845" spans="1:3">
      <c r="A845">
        <v>842</v>
      </c>
      <c r="B845" s="12">
        <v>84751.796995254641</v>
      </c>
      <c r="C845" s="12"/>
    </row>
    <row r="846" spans="1:3">
      <c r="A846">
        <v>843</v>
      </c>
      <c r="B846" s="12">
        <v>95000.429749618634</v>
      </c>
      <c r="C846" s="12"/>
    </row>
    <row r="847" spans="1:3">
      <c r="A847">
        <v>844</v>
      </c>
      <c r="B847" s="12">
        <v>70731.895159724387</v>
      </c>
      <c r="C847" s="12"/>
    </row>
    <row r="848" spans="1:3">
      <c r="A848">
        <v>845</v>
      </c>
      <c r="B848" s="12">
        <v>117684.47439849323</v>
      </c>
      <c r="C848" s="12"/>
    </row>
    <row r="849" spans="1:3">
      <c r="A849">
        <v>846</v>
      </c>
      <c r="B849" s="12">
        <v>90805.350450162994</v>
      </c>
      <c r="C849" s="12"/>
    </row>
    <row r="850" spans="1:3">
      <c r="A850">
        <v>847</v>
      </c>
      <c r="B850" s="12">
        <v>71641.295061469238</v>
      </c>
      <c r="C850" s="12"/>
    </row>
    <row r="851" spans="1:3">
      <c r="A851">
        <v>848</v>
      </c>
      <c r="B851" s="12">
        <v>145630.20246108138</v>
      </c>
      <c r="C851" s="12"/>
    </row>
    <row r="852" spans="1:3">
      <c r="A852">
        <v>849</v>
      </c>
      <c r="B852" s="12">
        <v>65770.500332606971</v>
      </c>
      <c r="C852" s="12"/>
    </row>
    <row r="853" spans="1:3">
      <c r="A853">
        <v>850</v>
      </c>
      <c r="B853" s="12">
        <v>109148.25510700099</v>
      </c>
      <c r="C853" s="12"/>
    </row>
    <row r="854" spans="1:3">
      <c r="A854">
        <v>851</v>
      </c>
      <c r="B854" s="12">
        <v>93260.363777690596</v>
      </c>
      <c r="C854" s="12"/>
    </row>
    <row r="855" spans="1:3">
      <c r="A855">
        <v>852</v>
      </c>
      <c r="B855" s="12">
        <v>129760.69936350003</v>
      </c>
      <c r="C855" s="12"/>
    </row>
    <row r="856" spans="1:3">
      <c r="A856">
        <v>853</v>
      </c>
      <c r="B856" s="12">
        <v>113759.91267904261</v>
      </c>
      <c r="C856" s="12"/>
    </row>
    <row r="857" spans="1:3">
      <c r="A857">
        <v>854</v>
      </c>
      <c r="B857" s="12">
        <v>152837.06531815525</v>
      </c>
      <c r="C857" s="12"/>
    </row>
    <row r="858" spans="1:3">
      <c r="A858">
        <v>855</v>
      </c>
      <c r="B858" s="12">
        <v>99378.309527242789</v>
      </c>
      <c r="C858" s="12"/>
    </row>
    <row r="859" spans="1:3">
      <c r="A859">
        <v>856</v>
      </c>
      <c r="B859" s="12">
        <v>117901.07032588235</v>
      </c>
      <c r="C859" s="12"/>
    </row>
    <row r="860" spans="1:3">
      <c r="A860">
        <v>857</v>
      </c>
      <c r="B860" s="12">
        <v>131246.29961974843</v>
      </c>
      <c r="C860" s="12"/>
    </row>
    <row r="861" spans="1:3">
      <c r="A861">
        <v>858</v>
      </c>
      <c r="B861" s="12">
        <v>126498.19835630432</v>
      </c>
      <c r="C861" s="12"/>
    </row>
    <row r="862" spans="1:3">
      <c r="A862">
        <v>859</v>
      </c>
      <c r="B862" s="12">
        <v>104307.45636258485</v>
      </c>
      <c r="C862" s="12"/>
    </row>
    <row r="863" spans="1:3">
      <c r="A863">
        <v>860</v>
      </c>
      <c r="B863" s="12">
        <v>164986.66313545211</v>
      </c>
      <c r="C863" s="12"/>
    </row>
    <row r="864" spans="1:3">
      <c r="A864">
        <v>861</v>
      </c>
      <c r="B864" s="12">
        <v>115290.6088721648</v>
      </c>
      <c r="C864" s="12"/>
    </row>
    <row r="865" spans="1:3">
      <c r="A865">
        <v>862</v>
      </c>
      <c r="B865" s="12">
        <v>113335.88797506622</v>
      </c>
      <c r="C865" s="12"/>
    </row>
    <row r="866" spans="1:3">
      <c r="A866">
        <v>863</v>
      </c>
      <c r="B866" s="12">
        <v>127050.98691601952</v>
      </c>
      <c r="C866" s="12"/>
    </row>
    <row r="867" spans="1:3">
      <c r="A867">
        <v>864</v>
      </c>
      <c r="B867" s="12">
        <v>141238.72568874745</v>
      </c>
      <c r="C867" s="12"/>
    </row>
    <row r="868" spans="1:3">
      <c r="A868">
        <v>865</v>
      </c>
      <c r="B868" s="12">
        <v>82241.616225731661</v>
      </c>
      <c r="C868" s="12"/>
    </row>
    <row r="869" spans="1:3">
      <c r="A869">
        <v>866</v>
      </c>
      <c r="B869" s="12">
        <v>155679.09497262261</v>
      </c>
      <c r="C869" s="12"/>
    </row>
    <row r="870" spans="1:3">
      <c r="A870">
        <v>867</v>
      </c>
      <c r="B870" s="12">
        <v>87735.897782650092</v>
      </c>
      <c r="C870" s="12"/>
    </row>
    <row r="871" spans="1:3">
      <c r="A871">
        <v>868</v>
      </c>
      <c r="B871" s="12">
        <v>80561.939735495063</v>
      </c>
      <c r="C871" s="12"/>
    </row>
    <row r="872" spans="1:3">
      <c r="A872">
        <v>869</v>
      </c>
      <c r="B872" s="12">
        <v>96309.879023125453</v>
      </c>
      <c r="C872" s="12"/>
    </row>
    <row r="873" spans="1:3">
      <c r="A873">
        <v>870</v>
      </c>
      <c r="B873" s="12">
        <v>126014.46107398608</v>
      </c>
      <c r="C873" s="12"/>
    </row>
    <row r="874" spans="1:3">
      <c r="A874">
        <v>871</v>
      </c>
      <c r="B874" s="12">
        <v>116175.25663607972</v>
      </c>
      <c r="C874" s="12"/>
    </row>
    <row r="875" spans="1:3">
      <c r="A875">
        <v>872</v>
      </c>
      <c r="B875" s="12">
        <v>127824.63443705611</v>
      </c>
      <c r="C875" s="12"/>
    </row>
    <row r="876" spans="1:3">
      <c r="A876">
        <v>873</v>
      </c>
      <c r="B876" s="12">
        <v>76987.333239721658</v>
      </c>
      <c r="C876" s="12"/>
    </row>
    <row r="877" spans="1:3">
      <c r="A877">
        <v>874</v>
      </c>
      <c r="B877" s="12">
        <v>82719.932493113825</v>
      </c>
      <c r="C877" s="12"/>
    </row>
    <row r="878" spans="1:3">
      <c r="A878">
        <v>875</v>
      </c>
      <c r="B878" s="12">
        <v>64473.543316479925</v>
      </c>
      <c r="C878" s="12"/>
    </row>
    <row r="879" spans="1:3">
      <c r="A879">
        <v>876</v>
      </c>
      <c r="B879" s="12">
        <v>150610.23986590863</v>
      </c>
      <c r="C879" s="12"/>
    </row>
    <row r="880" spans="1:3">
      <c r="A880">
        <v>877</v>
      </c>
      <c r="B880" s="12">
        <v>110705.8925206381</v>
      </c>
      <c r="C880" s="12"/>
    </row>
    <row r="881" spans="1:3">
      <c r="A881">
        <v>878</v>
      </c>
      <c r="B881" s="12">
        <v>147475.26832191271</v>
      </c>
      <c r="C881" s="12"/>
    </row>
    <row r="882" spans="1:3">
      <c r="A882">
        <v>879</v>
      </c>
      <c r="B882" s="12">
        <v>75516.491364561021</v>
      </c>
      <c r="C882" s="12"/>
    </row>
    <row r="883" spans="1:3">
      <c r="A883">
        <v>880</v>
      </c>
      <c r="B883" s="12">
        <v>117378.00077912549</v>
      </c>
      <c r="C883" s="12"/>
    </row>
    <row r="884" spans="1:3">
      <c r="A884">
        <v>881</v>
      </c>
      <c r="B884" s="12">
        <v>158280.50928524276</v>
      </c>
      <c r="C884" s="12"/>
    </row>
    <row r="885" spans="1:3">
      <c r="A885">
        <v>882</v>
      </c>
      <c r="B885" s="12">
        <v>132705.33441753138</v>
      </c>
      <c r="C885" s="12"/>
    </row>
    <row r="886" spans="1:3">
      <c r="A886">
        <v>883</v>
      </c>
      <c r="B886" s="12">
        <v>146340.20673413022</v>
      </c>
      <c r="C886" s="12"/>
    </row>
    <row r="887" spans="1:3">
      <c r="A887">
        <v>884</v>
      </c>
      <c r="B887" s="12">
        <v>206305.82280093175</v>
      </c>
      <c r="C887" s="12"/>
    </row>
    <row r="888" spans="1:3">
      <c r="A888">
        <v>885</v>
      </c>
      <c r="B888" s="12">
        <v>94298.113752176621</v>
      </c>
      <c r="C888" s="12"/>
    </row>
    <row r="889" spans="1:3">
      <c r="A889">
        <v>886</v>
      </c>
      <c r="B889" s="12">
        <v>98987.490728031902</v>
      </c>
      <c r="C889" s="12"/>
    </row>
    <row r="890" spans="1:3">
      <c r="A890">
        <v>887</v>
      </c>
      <c r="B890" s="12">
        <v>103025.68167618384</v>
      </c>
      <c r="C890" s="12"/>
    </row>
    <row r="891" spans="1:3">
      <c r="A891">
        <v>888</v>
      </c>
      <c r="B891" s="12">
        <v>118821.36419202459</v>
      </c>
      <c r="C891" s="12"/>
    </row>
    <row r="892" spans="1:3">
      <c r="A892">
        <v>889</v>
      </c>
      <c r="B892" s="12">
        <v>127302.73054810244</v>
      </c>
      <c r="C892" s="12"/>
    </row>
    <row r="893" spans="1:3">
      <c r="A893">
        <v>890</v>
      </c>
      <c r="B893" s="12">
        <v>99342.538204330238</v>
      </c>
      <c r="C893" s="12"/>
    </row>
    <row r="894" spans="1:3">
      <c r="A894">
        <v>891</v>
      </c>
      <c r="B894" s="12">
        <v>80944.552914956264</v>
      </c>
      <c r="C894" s="12"/>
    </row>
    <row r="895" spans="1:3">
      <c r="A895">
        <v>892</v>
      </c>
      <c r="B895" s="12">
        <v>101617.33340494684</v>
      </c>
      <c r="C895" s="12"/>
    </row>
    <row r="896" spans="1:3">
      <c r="A896">
        <v>893</v>
      </c>
      <c r="B896" s="12">
        <v>78315.576467118401</v>
      </c>
      <c r="C896" s="12"/>
    </row>
    <row r="897" spans="1:3">
      <c r="A897">
        <v>894</v>
      </c>
      <c r="B897" s="12">
        <v>152433.86079317474</v>
      </c>
      <c r="C897" s="12"/>
    </row>
    <row r="898" spans="1:3">
      <c r="A898">
        <v>895</v>
      </c>
      <c r="B898" s="12">
        <v>124393.50831999331</v>
      </c>
      <c r="C898" s="12"/>
    </row>
    <row r="899" spans="1:3">
      <c r="A899">
        <v>896</v>
      </c>
      <c r="B899" s="12">
        <v>83054.040187225633</v>
      </c>
      <c r="C899" s="12"/>
    </row>
    <row r="900" spans="1:3">
      <c r="A900">
        <v>897</v>
      </c>
      <c r="B900" s="12">
        <v>97590.217511750539</v>
      </c>
      <c r="C900" s="12"/>
    </row>
    <row r="901" spans="1:3">
      <c r="A901">
        <v>898</v>
      </c>
      <c r="B901" s="12">
        <v>111782.20129754103</v>
      </c>
      <c r="C901" s="12"/>
    </row>
    <row r="902" spans="1:3">
      <c r="A902">
        <v>899</v>
      </c>
      <c r="B902" s="12">
        <v>148019.75983131019</v>
      </c>
      <c r="C902" s="12"/>
    </row>
    <row r="903" spans="1:3">
      <c r="A903">
        <v>900</v>
      </c>
      <c r="B903" s="12">
        <v>156440.01709845924</v>
      </c>
      <c r="C903" s="12"/>
    </row>
    <row r="904" spans="1:3">
      <c r="A904">
        <v>901</v>
      </c>
      <c r="B904" s="12">
        <v>91345.682308842617</v>
      </c>
      <c r="C904" s="12"/>
    </row>
    <row r="905" spans="1:3">
      <c r="A905">
        <v>902</v>
      </c>
      <c r="B905" s="12">
        <v>115525.28881259686</v>
      </c>
      <c r="C905" s="12"/>
    </row>
    <row r="906" spans="1:3">
      <c r="A906">
        <v>903</v>
      </c>
      <c r="B906" s="12">
        <v>119842.09966024358</v>
      </c>
      <c r="C906" s="12"/>
    </row>
    <row r="907" spans="1:3">
      <c r="A907">
        <v>904</v>
      </c>
      <c r="B907" s="12">
        <v>107499.08227860506</v>
      </c>
      <c r="C907" s="12"/>
    </row>
    <row r="908" spans="1:3">
      <c r="A908">
        <v>905</v>
      </c>
      <c r="B908" s="12">
        <v>99096.155107349536</v>
      </c>
      <c r="C908" s="12"/>
    </row>
    <row r="909" spans="1:3">
      <c r="A909">
        <v>906</v>
      </c>
      <c r="B909" s="12">
        <v>78480.165045240952</v>
      </c>
      <c r="C909" s="12"/>
    </row>
    <row r="910" spans="1:3">
      <c r="A910">
        <v>907</v>
      </c>
      <c r="B910" s="12">
        <v>68770.66065107577</v>
      </c>
      <c r="C910" s="12"/>
    </row>
    <row r="911" spans="1:3">
      <c r="A911">
        <v>908</v>
      </c>
      <c r="B911" s="12">
        <v>160938.41004977978</v>
      </c>
      <c r="C911" s="12"/>
    </row>
    <row r="912" spans="1:3">
      <c r="A912">
        <v>909</v>
      </c>
      <c r="B912" s="12">
        <v>131592.91896490232</v>
      </c>
      <c r="C912" s="12"/>
    </row>
    <row r="913" spans="1:3">
      <c r="A913">
        <v>910</v>
      </c>
      <c r="B913" s="12">
        <v>129376.06545378231</v>
      </c>
      <c r="C913" s="12"/>
    </row>
    <row r="914" spans="1:3">
      <c r="A914">
        <v>911</v>
      </c>
      <c r="B914" s="12">
        <v>120754.84183826589</v>
      </c>
      <c r="C914" s="12"/>
    </row>
    <row r="915" spans="1:3">
      <c r="A915">
        <v>912</v>
      </c>
      <c r="B915" s="12">
        <v>63017.465730069118</v>
      </c>
      <c r="C915" s="12"/>
    </row>
    <row r="916" spans="1:3">
      <c r="A916">
        <v>913</v>
      </c>
      <c r="B916" s="12">
        <v>143859.35172165904</v>
      </c>
      <c r="C916" s="12"/>
    </row>
    <row r="917" spans="1:3">
      <c r="A917">
        <v>914</v>
      </c>
      <c r="B917" s="12">
        <v>77862.270946670164</v>
      </c>
      <c r="C917" s="12"/>
    </row>
    <row r="918" spans="1:3">
      <c r="A918">
        <v>915</v>
      </c>
      <c r="B918" s="12">
        <v>115331.93107157233</v>
      </c>
      <c r="C918" s="12"/>
    </row>
    <row r="919" spans="1:3">
      <c r="A919">
        <v>916</v>
      </c>
      <c r="B919" s="12">
        <v>122314.94786747784</v>
      </c>
      <c r="C919" s="12"/>
    </row>
    <row r="920" spans="1:3">
      <c r="A920">
        <v>917</v>
      </c>
      <c r="B920" s="12">
        <v>96646.450880406759</v>
      </c>
      <c r="C920" s="12"/>
    </row>
    <row r="921" spans="1:3">
      <c r="A921">
        <v>918</v>
      </c>
      <c r="B921" s="12">
        <v>107092.72584659612</v>
      </c>
      <c r="C921" s="12"/>
    </row>
    <row r="922" spans="1:3">
      <c r="A922">
        <v>919</v>
      </c>
      <c r="B922" s="12">
        <v>80074.580439988044</v>
      </c>
      <c r="C922" s="12"/>
    </row>
    <row r="923" spans="1:3">
      <c r="A923">
        <v>920</v>
      </c>
      <c r="B923" s="12">
        <v>81873.384525538786</v>
      </c>
      <c r="C923" s="12"/>
    </row>
    <row r="924" spans="1:3">
      <c r="A924">
        <v>921</v>
      </c>
      <c r="B924" s="12">
        <v>167390.48195509065</v>
      </c>
      <c r="C924" s="12"/>
    </row>
    <row r="925" spans="1:3">
      <c r="A925">
        <v>922</v>
      </c>
      <c r="B925" s="12">
        <v>80245.622335961249</v>
      </c>
      <c r="C925" s="12"/>
    </row>
    <row r="926" spans="1:3">
      <c r="A926">
        <v>923</v>
      </c>
      <c r="B926" s="12">
        <v>131825.30980905591</v>
      </c>
      <c r="C926" s="12"/>
    </row>
    <row r="927" spans="1:3">
      <c r="A927">
        <v>924</v>
      </c>
      <c r="B927" s="12">
        <v>139718.08519982675</v>
      </c>
      <c r="C927" s="12"/>
    </row>
    <row r="928" spans="1:3">
      <c r="A928">
        <v>925</v>
      </c>
      <c r="B928" s="12">
        <v>142159.20032425967</v>
      </c>
      <c r="C928" s="12"/>
    </row>
    <row r="929" spans="1:3">
      <c r="A929">
        <v>926</v>
      </c>
      <c r="B929" s="12">
        <v>95746.939893553325</v>
      </c>
      <c r="C929" s="12"/>
    </row>
    <row r="930" spans="1:3">
      <c r="A930">
        <v>927</v>
      </c>
      <c r="B930" s="12">
        <v>100952.34351025306</v>
      </c>
      <c r="C930" s="12"/>
    </row>
    <row r="931" spans="1:3">
      <c r="A931">
        <v>928</v>
      </c>
      <c r="B931" s="12">
        <v>77785.238256533776</v>
      </c>
      <c r="C931" s="12"/>
    </row>
    <row r="932" spans="1:3">
      <c r="A932">
        <v>929</v>
      </c>
      <c r="B932" s="12">
        <v>116202.44224704965</v>
      </c>
      <c r="C932" s="12"/>
    </row>
    <row r="933" spans="1:3">
      <c r="A933">
        <v>930</v>
      </c>
      <c r="B933" s="12">
        <v>115368.47225186117</v>
      </c>
      <c r="C933" s="12"/>
    </row>
    <row r="934" spans="1:3">
      <c r="A934">
        <v>931</v>
      </c>
      <c r="B934" s="12">
        <v>69745.843637469399</v>
      </c>
      <c r="C934" s="12"/>
    </row>
    <row r="935" spans="1:3">
      <c r="A935">
        <v>932</v>
      </c>
      <c r="B935" s="12">
        <v>175549.68569445217</v>
      </c>
      <c r="C935" s="12"/>
    </row>
    <row r="936" spans="1:3">
      <c r="A936">
        <v>933</v>
      </c>
      <c r="B936" s="12">
        <v>58335.51318370449</v>
      </c>
      <c r="C936" s="12"/>
    </row>
    <row r="937" spans="1:3">
      <c r="A937">
        <v>934</v>
      </c>
      <c r="B937" s="12">
        <v>75600.739113497752</v>
      </c>
      <c r="C937" s="12"/>
    </row>
    <row r="938" spans="1:3">
      <c r="A938">
        <v>935</v>
      </c>
      <c r="B938" s="12">
        <v>133482.01085452398</v>
      </c>
      <c r="C938" s="12"/>
    </row>
    <row r="939" spans="1:3">
      <c r="A939">
        <v>936</v>
      </c>
      <c r="B939" s="12">
        <v>61212.636525633388</v>
      </c>
      <c r="C939" s="12"/>
    </row>
    <row r="940" spans="1:3">
      <c r="A940">
        <v>937</v>
      </c>
      <c r="B940" s="12">
        <v>114592.01171008714</v>
      </c>
      <c r="C940" s="12"/>
    </row>
    <row r="941" spans="1:3">
      <c r="A941">
        <v>938</v>
      </c>
      <c r="B941" s="12">
        <v>112297.88836590476</v>
      </c>
      <c r="C941" s="12"/>
    </row>
    <row r="942" spans="1:3">
      <c r="A942">
        <v>939</v>
      </c>
      <c r="B942" s="12">
        <v>135162.79643478824</v>
      </c>
      <c r="C942" s="12"/>
    </row>
    <row r="943" spans="1:3">
      <c r="A943">
        <v>940</v>
      </c>
      <c r="B943" s="12">
        <v>72125.49900974831</v>
      </c>
      <c r="C943" s="12"/>
    </row>
    <row r="944" spans="1:3">
      <c r="A944">
        <v>941</v>
      </c>
      <c r="B944" s="12">
        <v>111329.89443688569</v>
      </c>
      <c r="C944" s="12"/>
    </row>
    <row r="945" spans="1:3">
      <c r="A945">
        <v>942</v>
      </c>
      <c r="B945" s="12">
        <v>120991.77138362059</v>
      </c>
      <c r="C945" s="12"/>
    </row>
    <row r="946" spans="1:3">
      <c r="A946">
        <v>943</v>
      </c>
      <c r="B946" s="12">
        <v>128402.92916379216</v>
      </c>
      <c r="C946" s="12"/>
    </row>
    <row r="947" spans="1:3">
      <c r="A947">
        <v>944</v>
      </c>
      <c r="B947" s="12">
        <v>151140.36880651608</v>
      </c>
      <c r="C947" s="12"/>
    </row>
    <row r="948" spans="1:3">
      <c r="A948">
        <v>945</v>
      </c>
      <c r="B948" s="12">
        <v>79028.646062766085</v>
      </c>
      <c r="C948" s="12"/>
    </row>
    <row r="949" spans="1:3">
      <c r="A949">
        <v>946</v>
      </c>
      <c r="B949" s="12">
        <v>112092.07813539875</v>
      </c>
      <c r="C949" s="12"/>
    </row>
    <row r="950" spans="1:3">
      <c r="A950">
        <v>947</v>
      </c>
      <c r="B950" s="12">
        <v>155488.60792085083</v>
      </c>
      <c r="C950" s="12"/>
    </row>
    <row r="951" spans="1:3">
      <c r="A951">
        <v>948</v>
      </c>
      <c r="B951" s="12">
        <v>94514.648506025638</v>
      </c>
      <c r="C951" s="12"/>
    </row>
    <row r="952" spans="1:3">
      <c r="A952">
        <v>949</v>
      </c>
      <c r="B952" s="12">
        <v>114049.48962419281</v>
      </c>
      <c r="C952" s="12"/>
    </row>
    <row r="953" spans="1:3">
      <c r="A953">
        <v>950</v>
      </c>
      <c r="B953" s="12">
        <v>79559.069143627625</v>
      </c>
      <c r="C953" s="12"/>
    </row>
    <row r="954" spans="1:3">
      <c r="A954">
        <v>951</v>
      </c>
      <c r="B954" s="12">
        <v>116347.21052800171</v>
      </c>
      <c r="C954" s="12"/>
    </row>
    <row r="955" spans="1:3">
      <c r="A955">
        <v>952</v>
      </c>
      <c r="B955" s="12">
        <v>170313.86917982466</v>
      </c>
      <c r="C955" s="12"/>
    </row>
    <row r="956" spans="1:3">
      <c r="A956">
        <v>953</v>
      </c>
      <c r="B956" s="12">
        <v>110219.07584853629</v>
      </c>
      <c r="C956" s="12"/>
    </row>
    <row r="957" spans="1:3">
      <c r="A957">
        <v>954</v>
      </c>
      <c r="B957" s="12">
        <v>103900.62552567941</v>
      </c>
      <c r="C957" s="12"/>
    </row>
    <row r="958" spans="1:3">
      <c r="A958">
        <v>955</v>
      </c>
      <c r="B958" s="12">
        <v>135858.80962043282</v>
      </c>
      <c r="C958" s="12"/>
    </row>
    <row r="959" spans="1:3">
      <c r="A959">
        <v>956</v>
      </c>
      <c r="B959" s="12">
        <v>122378.02320354772</v>
      </c>
      <c r="C959" s="12"/>
    </row>
    <row r="960" spans="1:3">
      <c r="A960">
        <v>957</v>
      </c>
      <c r="B960" s="12">
        <v>152054.41219214283</v>
      </c>
      <c r="C960" s="12"/>
    </row>
    <row r="961" spans="1:3">
      <c r="A961">
        <v>958</v>
      </c>
      <c r="B961" s="12">
        <v>91981.05345964474</v>
      </c>
      <c r="C961" s="12"/>
    </row>
    <row r="962" spans="1:3">
      <c r="A962">
        <v>959</v>
      </c>
      <c r="B962" s="12">
        <v>99920.802183649532</v>
      </c>
      <c r="C962" s="12"/>
    </row>
    <row r="963" spans="1:3">
      <c r="A963">
        <v>960</v>
      </c>
      <c r="B963" s="12">
        <v>81553.07641452174</v>
      </c>
      <c r="C963" s="12"/>
    </row>
    <row r="964" spans="1:3">
      <c r="A964">
        <v>961</v>
      </c>
      <c r="B964" s="12">
        <v>63598.602401615688</v>
      </c>
      <c r="C964" s="12"/>
    </row>
    <row r="965" spans="1:3">
      <c r="A965">
        <v>962</v>
      </c>
      <c r="B965" s="12">
        <v>108901.42628319358</v>
      </c>
      <c r="C965" s="12"/>
    </row>
    <row r="966" spans="1:3">
      <c r="A966">
        <v>963</v>
      </c>
      <c r="B966" s="12">
        <v>99585.694364646828</v>
      </c>
      <c r="C966" s="12"/>
    </row>
    <row r="967" spans="1:3">
      <c r="A967">
        <v>964</v>
      </c>
      <c r="B967" s="12">
        <v>118914.52060880535</v>
      </c>
      <c r="C967" s="12"/>
    </row>
    <row r="968" spans="1:3">
      <c r="A968">
        <v>965</v>
      </c>
      <c r="B968" s="12">
        <v>87849.047151453429</v>
      </c>
      <c r="C968" s="12"/>
    </row>
    <row r="969" spans="1:3">
      <c r="A969">
        <v>966</v>
      </c>
      <c r="B969" s="12">
        <v>109929.43835566884</v>
      </c>
      <c r="C969" s="12"/>
    </row>
    <row r="970" spans="1:3">
      <c r="A970">
        <v>967</v>
      </c>
      <c r="B970" s="12">
        <v>98632.687075938142</v>
      </c>
      <c r="C970" s="12"/>
    </row>
    <row r="971" spans="1:3">
      <c r="A971">
        <v>968</v>
      </c>
      <c r="B971" s="12">
        <v>102402.93969467297</v>
      </c>
      <c r="C971" s="12"/>
    </row>
    <row r="972" spans="1:3">
      <c r="A972">
        <v>969</v>
      </c>
      <c r="B972" s="12">
        <v>150810.38244176502</v>
      </c>
      <c r="C972" s="12"/>
    </row>
    <row r="973" spans="1:3">
      <c r="A973">
        <v>970</v>
      </c>
      <c r="B973" s="12">
        <v>91852.179425853188</v>
      </c>
      <c r="C973" s="12"/>
    </row>
    <row r="974" spans="1:3">
      <c r="A974">
        <v>971</v>
      </c>
      <c r="B974" s="12">
        <v>99570.005656461362</v>
      </c>
      <c r="C974" s="12"/>
    </row>
    <row r="975" spans="1:3">
      <c r="A975">
        <v>972</v>
      </c>
      <c r="B975" s="12">
        <v>112867.11736844684</v>
      </c>
      <c r="C975" s="12"/>
    </row>
    <row r="976" spans="1:3">
      <c r="A976">
        <v>973</v>
      </c>
      <c r="B976" s="12">
        <v>162276.3070750589</v>
      </c>
      <c r="C976" s="12"/>
    </row>
    <row r="977" spans="1:3">
      <c r="A977">
        <v>974</v>
      </c>
      <c r="B977" s="12">
        <v>111988.03965342192</v>
      </c>
      <c r="C977" s="12"/>
    </row>
    <row r="978" spans="1:3">
      <c r="A978">
        <v>975</v>
      </c>
      <c r="B978" s="12">
        <v>127910.54218262728</v>
      </c>
      <c r="C978" s="12"/>
    </row>
    <row r="979" spans="1:3">
      <c r="A979">
        <v>976</v>
      </c>
      <c r="B979" s="12">
        <v>101875.73834657999</v>
      </c>
      <c r="C979" s="12"/>
    </row>
    <row r="980" spans="1:3">
      <c r="A980">
        <v>977</v>
      </c>
      <c r="B980" s="12">
        <v>187142.05148270185</v>
      </c>
      <c r="C980" s="12"/>
    </row>
    <row r="981" spans="1:3">
      <c r="A981">
        <v>978</v>
      </c>
      <c r="B981" s="12">
        <v>106187.02134301103</v>
      </c>
      <c r="C981" s="12"/>
    </row>
    <row r="982" spans="1:3">
      <c r="A982">
        <v>979</v>
      </c>
      <c r="B982" s="12">
        <v>96346.252349941424</v>
      </c>
      <c r="C982" s="12"/>
    </row>
    <row r="983" spans="1:3">
      <c r="A983">
        <v>980</v>
      </c>
      <c r="B983" s="12">
        <v>63616.995694336954</v>
      </c>
      <c r="C983" s="12"/>
    </row>
    <row r="984" spans="1:3">
      <c r="A984">
        <v>981</v>
      </c>
      <c r="B984" s="12">
        <v>68476.440517315757</v>
      </c>
      <c r="C984" s="12"/>
    </row>
    <row r="985" spans="1:3">
      <c r="A985">
        <v>982</v>
      </c>
      <c r="B985" s="12">
        <v>85711.521948861118</v>
      </c>
      <c r="C985" s="12"/>
    </row>
    <row r="986" spans="1:3">
      <c r="A986">
        <v>983</v>
      </c>
      <c r="B986" s="12">
        <v>108054.41018675256</v>
      </c>
      <c r="C986" s="12"/>
    </row>
    <row r="987" spans="1:3">
      <c r="A987">
        <v>984</v>
      </c>
      <c r="B987" s="12">
        <v>118297.12108408316</v>
      </c>
      <c r="C987" s="12"/>
    </row>
    <row r="988" spans="1:3">
      <c r="A988">
        <v>985</v>
      </c>
      <c r="B988" s="12">
        <v>116136.21364584799</v>
      </c>
      <c r="C988" s="12"/>
    </row>
    <row r="989" spans="1:3">
      <c r="A989">
        <v>986</v>
      </c>
      <c r="B989" s="12">
        <v>84552.023630418145</v>
      </c>
      <c r="C989" s="12"/>
    </row>
    <row r="990" spans="1:3">
      <c r="A990">
        <v>987</v>
      </c>
      <c r="B990" s="12">
        <v>114976.2039284186</v>
      </c>
      <c r="C990" s="12"/>
    </row>
    <row r="991" spans="1:3">
      <c r="A991">
        <v>988</v>
      </c>
      <c r="B991" s="12">
        <v>83244.483339520812</v>
      </c>
      <c r="C991" s="12"/>
    </row>
    <row r="992" spans="1:3">
      <c r="A992">
        <v>989</v>
      </c>
      <c r="B992" s="12">
        <v>70090.282182175491</v>
      </c>
      <c r="C992" s="12"/>
    </row>
    <row r="993" spans="1:3">
      <c r="A993">
        <v>990</v>
      </c>
      <c r="B993" s="12">
        <v>114916.93152764362</v>
      </c>
      <c r="C993" s="12"/>
    </row>
    <row r="994" spans="1:3">
      <c r="A994">
        <v>991</v>
      </c>
      <c r="B994" s="12">
        <v>117460.52382979511</v>
      </c>
      <c r="C994" s="12"/>
    </row>
    <row r="995" spans="1:3">
      <c r="A995">
        <v>992</v>
      </c>
      <c r="B995" s="12">
        <v>92973.183630040992</v>
      </c>
      <c r="C995" s="12"/>
    </row>
    <row r="996" spans="1:3">
      <c r="A996">
        <v>993</v>
      </c>
      <c r="B996" s="12">
        <v>118925.69767224044</v>
      </c>
      <c r="C996" s="12"/>
    </row>
    <row r="997" spans="1:3">
      <c r="A997">
        <v>994</v>
      </c>
      <c r="B997" s="12">
        <v>63160.677547645108</v>
      </c>
      <c r="C997" s="12"/>
    </row>
    <row r="998" spans="1:3">
      <c r="A998">
        <v>995</v>
      </c>
      <c r="B998" s="12">
        <v>154679.17546726781</v>
      </c>
      <c r="C998" s="12"/>
    </row>
    <row r="999" spans="1:3">
      <c r="A999">
        <v>996</v>
      </c>
      <c r="B999" s="12">
        <v>142398.72806086307</v>
      </c>
      <c r="C999" s="12"/>
    </row>
    <row r="1000" spans="1:3">
      <c r="A1000">
        <v>997</v>
      </c>
      <c r="B1000" s="12">
        <v>93506.728710997413</v>
      </c>
      <c r="C1000" s="12"/>
    </row>
    <row r="1001" spans="1:3">
      <c r="A1001">
        <v>998</v>
      </c>
      <c r="B1001" s="12">
        <v>161636.4965804579</v>
      </c>
      <c r="C1001" s="12"/>
    </row>
    <row r="1002" spans="1:3">
      <c r="A1002">
        <v>999</v>
      </c>
      <c r="B1002" s="12">
        <v>152656.49093906331</v>
      </c>
      <c r="C1002" s="12"/>
    </row>
    <row r="1003" spans="1:3">
      <c r="A1003">
        <v>1000</v>
      </c>
      <c r="B1003" s="12">
        <v>142547.14148846804</v>
      </c>
      <c r="C1003" s="12"/>
    </row>
    <row r="1004" spans="1:3">
      <c r="A1004">
        <v>1001</v>
      </c>
      <c r="B1004" s="12">
        <v>164508.69063055012</v>
      </c>
      <c r="C1004" s="12"/>
    </row>
    <row r="1005" spans="1:3">
      <c r="A1005">
        <v>1002</v>
      </c>
      <c r="B1005" s="12">
        <v>148835.59600712179</v>
      </c>
      <c r="C1005" s="12"/>
    </row>
    <row r="1006" spans="1:3">
      <c r="A1006">
        <v>1003</v>
      </c>
      <c r="B1006" s="12">
        <v>104702.29492810712</v>
      </c>
      <c r="C1006" s="12"/>
    </row>
    <row r="1007" spans="1:3">
      <c r="A1007">
        <v>1004</v>
      </c>
      <c r="B1007" s="12">
        <v>139516.92245327902</v>
      </c>
      <c r="C1007" s="12"/>
    </row>
    <row r="1008" spans="1:3">
      <c r="A1008">
        <v>1005</v>
      </c>
      <c r="B1008" s="12">
        <v>106227.05095494664</v>
      </c>
      <c r="C1008" s="12"/>
    </row>
    <row r="1009" spans="1:3">
      <c r="A1009">
        <v>1006</v>
      </c>
      <c r="B1009" s="12">
        <v>129767.41475661828</v>
      </c>
      <c r="C1009" s="12"/>
    </row>
    <row r="1010" spans="1:3">
      <c r="A1010">
        <v>1007</v>
      </c>
      <c r="B1010" s="12">
        <v>52868.046704025968</v>
      </c>
      <c r="C1010" s="12"/>
    </row>
    <row r="1011" spans="1:3">
      <c r="A1011">
        <v>1008</v>
      </c>
      <c r="B1011" s="12">
        <v>111856.15608567961</v>
      </c>
      <c r="C1011" s="12"/>
    </row>
    <row r="1012" spans="1:3">
      <c r="A1012">
        <v>1009</v>
      </c>
      <c r="B1012" s="12">
        <v>121621.58640001257</v>
      </c>
      <c r="C1012" s="12"/>
    </row>
    <row r="1013" spans="1:3">
      <c r="A1013">
        <v>1010</v>
      </c>
      <c r="B1013" s="12">
        <v>197832.55313625131</v>
      </c>
      <c r="C1013" s="12"/>
    </row>
    <row r="1014" spans="1:3">
      <c r="A1014">
        <v>1011</v>
      </c>
      <c r="B1014" s="12">
        <v>90893.248567391216</v>
      </c>
      <c r="C1014" s="12"/>
    </row>
    <row r="1015" spans="1:3">
      <c r="A1015">
        <v>1012</v>
      </c>
      <c r="B1015" s="12">
        <v>90541.214199114431</v>
      </c>
      <c r="C1015" s="12"/>
    </row>
    <row r="1016" spans="1:3">
      <c r="A1016">
        <v>1013</v>
      </c>
      <c r="B1016" s="12">
        <v>115661.11038879647</v>
      </c>
      <c r="C1016" s="12"/>
    </row>
    <row r="1017" spans="1:3">
      <c r="A1017">
        <v>1014</v>
      </c>
      <c r="B1017" s="12">
        <v>141033.50624386207</v>
      </c>
      <c r="C1017" s="12"/>
    </row>
    <row r="1018" spans="1:3">
      <c r="A1018">
        <v>1015</v>
      </c>
      <c r="B1018" s="12">
        <v>72646.64815484565</v>
      </c>
      <c r="C1018" s="12"/>
    </row>
    <row r="1019" spans="1:3">
      <c r="A1019">
        <v>1016</v>
      </c>
      <c r="B1019" s="12">
        <v>92101.319731300246</v>
      </c>
      <c r="C1019" s="12"/>
    </row>
    <row r="1020" spans="1:3">
      <c r="A1020">
        <v>1017</v>
      </c>
      <c r="B1020" s="12">
        <v>94937.685775877617</v>
      </c>
      <c r="C1020" s="12"/>
    </row>
    <row r="1021" spans="1:3">
      <c r="A1021">
        <v>1018</v>
      </c>
      <c r="B1021" s="12">
        <v>157078.233161568</v>
      </c>
      <c r="C1021" s="12"/>
    </row>
    <row r="1022" spans="1:3">
      <c r="A1022">
        <v>1019</v>
      </c>
      <c r="B1022" s="12">
        <v>85923.014740172177</v>
      </c>
      <c r="C1022" s="12"/>
    </row>
    <row r="1023" spans="1:3">
      <c r="A1023">
        <v>1020</v>
      </c>
      <c r="B1023" s="12">
        <v>121976.31272128136</v>
      </c>
      <c r="C1023" s="12"/>
    </row>
    <row r="1024" spans="1:3">
      <c r="A1024">
        <v>1021</v>
      </c>
      <c r="B1024" s="12">
        <v>125778.85021784784</v>
      </c>
      <c r="C1024" s="12"/>
    </row>
    <row r="1025" spans="1:3">
      <c r="A1025">
        <v>1022</v>
      </c>
      <c r="B1025" s="12">
        <v>65550.725263076427</v>
      </c>
      <c r="C1025" s="12"/>
    </row>
    <row r="1026" spans="1:3">
      <c r="A1026">
        <v>1023</v>
      </c>
      <c r="B1026" s="12">
        <v>91440.375036759739</v>
      </c>
      <c r="C1026" s="12"/>
    </row>
    <row r="1027" spans="1:3">
      <c r="A1027">
        <v>1024</v>
      </c>
      <c r="B1027" s="12">
        <v>112045.16039887397</v>
      </c>
      <c r="C1027" s="12"/>
    </row>
    <row r="1028" spans="1:3">
      <c r="A1028">
        <v>1025</v>
      </c>
      <c r="B1028" s="12">
        <v>134152.20080144645</v>
      </c>
      <c r="C1028" s="12"/>
    </row>
    <row r="1029" spans="1:3">
      <c r="A1029">
        <v>1026</v>
      </c>
      <c r="B1029" s="12">
        <v>141188.36934399648</v>
      </c>
      <c r="C1029" s="12"/>
    </row>
    <row r="1030" spans="1:3">
      <c r="A1030">
        <v>1027</v>
      </c>
      <c r="B1030" s="12">
        <v>74114.473309595734</v>
      </c>
      <c r="C1030" s="12"/>
    </row>
    <row r="1031" spans="1:3">
      <c r="A1031">
        <v>1028</v>
      </c>
      <c r="B1031" s="12">
        <v>133008.93809793534</v>
      </c>
      <c r="C1031" s="12"/>
    </row>
    <row r="1032" spans="1:3">
      <c r="A1032">
        <v>1029</v>
      </c>
      <c r="B1032" s="12">
        <v>120997.84060270847</v>
      </c>
      <c r="C1032" s="12"/>
    </row>
    <row r="1033" spans="1:3">
      <c r="A1033">
        <v>1030</v>
      </c>
      <c r="B1033" s="12">
        <v>132110.03010587982</v>
      </c>
      <c r="C1033" s="12"/>
    </row>
    <row r="1034" spans="1:3">
      <c r="A1034">
        <v>1031</v>
      </c>
      <c r="B1034" s="12">
        <v>69776.443350040601</v>
      </c>
      <c r="C1034" s="12"/>
    </row>
    <row r="1035" spans="1:3">
      <c r="A1035">
        <v>1032</v>
      </c>
      <c r="B1035" s="12">
        <v>64776.02908801438</v>
      </c>
      <c r="C1035" s="12"/>
    </row>
    <row r="1036" spans="1:3">
      <c r="A1036">
        <v>1033</v>
      </c>
      <c r="B1036" s="12">
        <v>111285.8966188107</v>
      </c>
      <c r="C1036" s="12"/>
    </row>
    <row r="1037" spans="1:3">
      <c r="A1037">
        <v>1034</v>
      </c>
      <c r="B1037" s="12">
        <v>114712.07996999385</v>
      </c>
      <c r="C1037" s="12"/>
    </row>
    <row r="1038" spans="1:3">
      <c r="A1038">
        <v>1035</v>
      </c>
      <c r="B1038" s="12">
        <v>132701.87851405458</v>
      </c>
      <c r="C1038" s="12"/>
    </row>
    <row r="1039" spans="1:3">
      <c r="A1039">
        <v>1036</v>
      </c>
      <c r="B1039" s="12">
        <v>97597.470485630605</v>
      </c>
      <c r="C1039" s="12"/>
    </row>
    <row r="1040" spans="1:3">
      <c r="A1040">
        <v>1037</v>
      </c>
      <c r="B1040" s="12">
        <v>87263.085181338014</v>
      </c>
      <c r="C1040" s="12"/>
    </row>
    <row r="1041" spans="1:3">
      <c r="A1041">
        <v>1038</v>
      </c>
      <c r="B1041" s="12">
        <v>138126.36374918156</v>
      </c>
      <c r="C1041" s="12"/>
    </row>
    <row r="1042" spans="1:3">
      <c r="A1042">
        <v>1039</v>
      </c>
      <c r="B1042" s="12">
        <v>114423.57684827546</v>
      </c>
      <c r="C1042" s="12"/>
    </row>
    <row r="1043" spans="1:3">
      <c r="A1043">
        <v>1040</v>
      </c>
      <c r="B1043" s="12">
        <v>131174.95788916302</v>
      </c>
      <c r="C1043" s="12"/>
    </row>
    <row r="1044" spans="1:3">
      <c r="A1044">
        <v>1041</v>
      </c>
      <c r="B1044" s="12">
        <v>73167.32431735142</v>
      </c>
      <c r="C1044" s="12"/>
    </row>
    <row r="1045" spans="1:3">
      <c r="A1045">
        <v>1042</v>
      </c>
      <c r="B1045" s="12">
        <v>157631.24211060905</v>
      </c>
      <c r="C1045" s="12"/>
    </row>
    <row r="1046" spans="1:3">
      <c r="A1046">
        <v>1043</v>
      </c>
      <c r="B1046" s="12">
        <v>124036.92929159381</v>
      </c>
      <c r="C1046" s="12"/>
    </row>
    <row r="1047" spans="1:3">
      <c r="A1047">
        <v>1044</v>
      </c>
      <c r="B1047" s="12">
        <v>153645.62330053013</v>
      </c>
      <c r="C1047" s="12"/>
    </row>
    <row r="1048" spans="1:3">
      <c r="A1048">
        <v>1045</v>
      </c>
      <c r="B1048" s="12">
        <v>60367.404714947406</v>
      </c>
      <c r="C1048" s="12"/>
    </row>
    <row r="1049" spans="1:3">
      <c r="A1049">
        <v>1046</v>
      </c>
      <c r="B1049" s="12">
        <v>57212.696684018607</v>
      </c>
      <c r="C1049" s="12"/>
    </row>
    <row r="1050" spans="1:3">
      <c r="A1050">
        <v>1047</v>
      </c>
      <c r="B1050" s="12">
        <v>146461.48794771972</v>
      </c>
      <c r="C1050" s="12"/>
    </row>
    <row r="1051" spans="1:3">
      <c r="A1051">
        <v>1048</v>
      </c>
      <c r="B1051" s="12">
        <v>129173.35319872182</v>
      </c>
      <c r="C1051" s="12"/>
    </row>
    <row r="1052" spans="1:3">
      <c r="A1052">
        <v>1049</v>
      </c>
      <c r="B1052" s="12">
        <v>67876.622853252804</v>
      </c>
      <c r="C1052" s="12"/>
    </row>
    <row r="1053" spans="1:3">
      <c r="A1053">
        <v>1050</v>
      </c>
      <c r="B1053" s="12">
        <v>162264.07158354964</v>
      </c>
      <c r="C1053" s="12"/>
    </row>
    <row r="1054" spans="1:3">
      <c r="A1054">
        <v>1051</v>
      </c>
      <c r="B1054" s="12">
        <v>121421.29265917969</v>
      </c>
      <c r="C1054" s="12"/>
    </row>
    <row r="1055" spans="1:3">
      <c r="A1055">
        <v>1052</v>
      </c>
      <c r="B1055" s="12">
        <v>116834.03639460447</v>
      </c>
      <c r="C1055" s="12"/>
    </row>
    <row r="1056" spans="1:3">
      <c r="A1056">
        <v>1053</v>
      </c>
      <c r="B1056" s="12">
        <v>103752.20799445258</v>
      </c>
      <c r="C1056" s="12"/>
    </row>
    <row r="1057" spans="1:3">
      <c r="A1057">
        <v>1054</v>
      </c>
      <c r="B1057" s="12">
        <v>136102.55755178127</v>
      </c>
      <c r="C1057" s="12"/>
    </row>
    <row r="1058" spans="1:3">
      <c r="A1058">
        <v>1055</v>
      </c>
      <c r="B1058" s="12">
        <v>93142.236901091077</v>
      </c>
      <c r="C1058" s="12"/>
    </row>
    <row r="1059" spans="1:3">
      <c r="A1059">
        <v>1056</v>
      </c>
      <c r="B1059" s="12">
        <v>129525.54239878211</v>
      </c>
      <c r="C1059" s="12"/>
    </row>
    <row r="1060" spans="1:3">
      <c r="A1060">
        <v>1057</v>
      </c>
      <c r="B1060" s="12">
        <v>65278.776806773967</v>
      </c>
      <c r="C1060" s="12"/>
    </row>
    <row r="1061" spans="1:3">
      <c r="A1061">
        <v>1058</v>
      </c>
      <c r="B1061" s="12">
        <v>102484.75097502607</v>
      </c>
      <c r="C1061" s="12"/>
    </row>
    <row r="1062" spans="1:3">
      <c r="A1062">
        <v>1059</v>
      </c>
      <c r="B1062" s="12">
        <v>128625.85134076033</v>
      </c>
      <c r="C1062" s="12"/>
    </row>
    <row r="1063" spans="1:3">
      <c r="A1063">
        <v>1060</v>
      </c>
      <c r="B1063" s="12">
        <v>97789.651813465985</v>
      </c>
      <c r="C1063" s="12"/>
    </row>
    <row r="1064" spans="1:3">
      <c r="A1064">
        <v>1061</v>
      </c>
      <c r="B1064" s="12">
        <v>82536.034427704639</v>
      </c>
      <c r="C1064" s="12"/>
    </row>
    <row r="1065" spans="1:3">
      <c r="A1065">
        <v>1062</v>
      </c>
      <c r="B1065" s="12">
        <v>177848.30090385611</v>
      </c>
      <c r="C1065" s="12"/>
    </row>
    <row r="1066" spans="1:3">
      <c r="A1066">
        <v>1063</v>
      </c>
      <c r="B1066" s="12">
        <v>105884.16840009892</v>
      </c>
      <c r="C1066" s="12"/>
    </row>
    <row r="1067" spans="1:3">
      <c r="A1067">
        <v>1064</v>
      </c>
      <c r="B1067" s="12">
        <v>100062.51625010445</v>
      </c>
      <c r="C1067" s="12"/>
    </row>
    <row r="1068" spans="1:3">
      <c r="A1068">
        <v>1065</v>
      </c>
      <c r="B1068" s="12">
        <v>185241.24161466709</v>
      </c>
      <c r="C1068" s="12"/>
    </row>
    <row r="1069" spans="1:3">
      <c r="A1069">
        <v>1066</v>
      </c>
      <c r="B1069" s="12">
        <v>94036.590260550787</v>
      </c>
      <c r="C1069" s="12"/>
    </row>
    <row r="1070" spans="1:3">
      <c r="A1070">
        <v>1067</v>
      </c>
      <c r="B1070" s="12">
        <v>161976.63929189125</v>
      </c>
      <c r="C1070" s="12"/>
    </row>
    <row r="1071" spans="1:3">
      <c r="A1071">
        <v>1068</v>
      </c>
      <c r="B1071" s="12">
        <v>102583.17173792598</v>
      </c>
      <c r="C1071" s="12"/>
    </row>
    <row r="1072" spans="1:3">
      <c r="A1072">
        <v>1069</v>
      </c>
      <c r="B1072" s="12">
        <v>136327.78369195166</v>
      </c>
      <c r="C1072" s="12"/>
    </row>
    <row r="1073" spans="1:3">
      <c r="A1073">
        <v>1070</v>
      </c>
      <c r="B1073" s="12">
        <v>87453.236032506393</v>
      </c>
      <c r="C1073" s="12"/>
    </row>
    <row r="1074" spans="1:3">
      <c r="A1074">
        <v>1071</v>
      </c>
      <c r="B1074" s="12">
        <v>159809.56670857355</v>
      </c>
      <c r="C1074" s="12"/>
    </row>
    <row r="1075" spans="1:3">
      <c r="A1075">
        <v>1072</v>
      </c>
      <c r="B1075" s="12">
        <v>78758.042759816482</v>
      </c>
      <c r="C1075" s="12"/>
    </row>
    <row r="1076" spans="1:3">
      <c r="A1076">
        <v>1073</v>
      </c>
      <c r="B1076" s="12">
        <v>100917.09363595941</v>
      </c>
      <c r="C1076" s="12"/>
    </row>
    <row r="1077" spans="1:3">
      <c r="A1077">
        <v>1074</v>
      </c>
      <c r="B1077" s="12">
        <v>103031.4013505434</v>
      </c>
      <c r="C1077" s="12"/>
    </row>
    <row r="1078" spans="1:3">
      <c r="A1078">
        <v>1075</v>
      </c>
      <c r="B1078" s="12">
        <v>97753.861971656821</v>
      </c>
      <c r="C1078" s="12"/>
    </row>
    <row r="1079" spans="1:3">
      <c r="A1079">
        <v>1076</v>
      </c>
      <c r="B1079" s="12">
        <v>80817.229173928907</v>
      </c>
      <c r="C1079" s="12"/>
    </row>
    <row r="1080" spans="1:3">
      <c r="A1080">
        <v>1077</v>
      </c>
      <c r="B1080" s="12">
        <v>95538.732809686131</v>
      </c>
      <c r="C1080" s="12"/>
    </row>
    <row r="1081" spans="1:3">
      <c r="A1081">
        <v>1078</v>
      </c>
      <c r="B1081" s="12">
        <v>74024.114704711217</v>
      </c>
      <c r="C1081" s="12"/>
    </row>
    <row r="1082" spans="1:3">
      <c r="A1082">
        <v>1079</v>
      </c>
      <c r="B1082" s="12">
        <v>150939.15762666904</v>
      </c>
      <c r="C1082" s="12"/>
    </row>
    <row r="1083" spans="1:3">
      <c r="A1083">
        <v>1080</v>
      </c>
      <c r="B1083" s="12">
        <v>53169.310924635596</v>
      </c>
      <c r="C1083" s="12"/>
    </row>
    <row r="1084" spans="1:3">
      <c r="A1084">
        <v>1081</v>
      </c>
      <c r="B1084" s="12">
        <v>129114.21005142557</v>
      </c>
      <c r="C1084" s="12"/>
    </row>
    <row r="1085" spans="1:3">
      <c r="A1085">
        <v>1082</v>
      </c>
      <c r="B1085" s="12">
        <v>76137.890854857178</v>
      </c>
      <c r="C1085" s="12"/>
    </row>
    <row r="1086" spans="1:3">
      <c r="A1086">
        <v>1083</v>
      </c>
      <c r="B1086" s="12">
        <v>103625.17490364518</v>
      </c>
      <c r="C1086" s="12"/>
    </row>
    <row r="1087" spans="1:3">
      <c r="A1087">
        <v>1084</v>
      </c>
      <c r="B1087" s="12">
        <v>128140.04388834929</v>
      </c>
      <c r="C1087" s="12"/>
    </row>
    <row r="1088" spans="1:3">
      <c r="A1088">
        <v>1085</v>
      </c>
      <c r="B1088" s="12">
        <v>100870.44989462098</v>
      </c>
      <c r="C1088" s="12"/>
    </row>
    <row r="1089" spans="1:3">
      <c r="A1089">
        <v>1086</v>
      </c>
      <c r="B1089" s="12">
        <v>110210.67303521307</v>
      </c>
      <c r="C1089" s="12"/>
    </row>
    <row r="1090" spans="1:3">
      <c r="A1090">
        <v>1087</v>
      </c>
      <c r="B1090" s="12">
        <v>112962.18156464781</v>
      </c>
      <c r="C1090" s="12"/>
    </row>
    <row r="1091" spans="1:3">
      <c r="A1091">
        <v>1088</v>
      </c>
      <c r="B1091" s="12">
        <v>163571.7410749608</v>
      </c>
      <c r="C1091" s="12"/>
    </row>
    <row r="1092" spans="1:3">
      <c r="A1092">
        <v>1089</v>
      </c>
      <c r="B1092" s="12">
        <v>104030.43105246952</v>
      </c>
      <c r="C1092" s="12"/>
    </row>
    <row r="1093" spans="1:3">
      <c r="A1093">
        <v>1090</v>
      </c>
      <c r="B1093" s="12">
        <v>103390.65021648056</v>
      </c>
      <c r="C1093" s="12"/>
    </row>
    <row r="1094" spans="1:3">
      <c r="A1094">
        <v>1091</v>
      </c>
      <c r="B1094" s="12">
        <v>152557.31027301768</v>
      </c>
      <c r="C1094" s="12"/>
    </row>
    <row r="1095" spans="1:3">
      <c r="A1095">
        <v>1092</v>
      </c>
      <c r="B1095" s="12">
        <v>133354.95330894791</v>
      </c>
      <c r="C1095" s="12"/>
    </row>
    <row r="1096" spans="1:3">
      <c r="A1096">
        <v>1093</v>
      </c>
      <c r="B1096" s="12">
        <v>151261.11975376285</v>
      </c>
      <c r="C1096" s="12"/>
    </row>
    <row r="1097" spans="1:3">
      <c r="A1097">
        <v>1094</v>
      </c>
      <c r="B1097" s="12">
        <v>116499.94432280085</v>
      </c>
      <c r="C1097" s="12"/>
    </row>
    <row r="1098" spans="1:3">
      <c r="A1098">
        <v>1095</v>
      </c>
      <c r="B1098" s="12">
        <v>156970.49208724385</v>
      </c>
      <c r="C1098" s="12"/>
    </row>
    <row r="1099" spans="1:3">
      <c r="A1099">
        <v>1096</v>
      </c>
      <c r="B1099" s="12">
        <v>172791.59803797837</v>
      </c>
      <c r="C1099" s="12"/>
    </row>
    <row r="1100" spans="1:3">
      <c r="A1100">
        <v>1097</v>
      </c>
      <c r="B1100" s="12">
        <v>150989.82829387818</v>
      </c>
      <c r="C1100" s="12"/>
    </row>
    <row r="1101" spans="1:3">
      <c r="A1101">
        <v>1098</v>
      </c>
      <c r="B1101" s="12">
        <v>102131.31102822053</v>
      </c>
      <c r="C1101" s="12"/>
    </row>
    <row r="1102" spans="1:3">
      <c r="A1102">
        <v>1099</v>
      </c>
      <c r="B1102" s="12">
        <v>108559.04554246103</v>
      </c>
      <c r="C1102" s="12"/>
    </row>
    <row r="1103" spans="1:3">
      <c r="A1103">
        <v>1100</v>
      </c>
      <c r="B1103" s="12">
        <v>120445.90598940762</v>
      </c>
      <c r="C1103" s="12"/>
    </row>
    <row r="1104" spans="1:3">
      <c r="A1104">
        <v>1101</v>
      </c>
      <c r="B1104" s="12">
        <v>108311.89295200843</v>
      </c>
      <c r="C1104" s="12"/>
    </row>
    <row r="1105" spans="1:3">
      <c r="A1105">
        <v>1102</v>
      </c>
      <c r="B1105" s="12">
        <v>207897.97297644996</v>
      </c>
      <c r="C1105" s="12"/>
    </row>
    <row r="1106" spans="1:3">
      <c r="A1106">
        <v>1103</v>
      </c>
      <c r="B1106" s="12">
        <v>81757.463416245111</v>
      </c>
      <c r="C1106" s="12"/>
    </row>
    <row r="1107" spans="1:3">
      <c r="A1107">
        <v>1104</v>
      </c>
      <c r="B1107" s="12">
        <v>111533.34545946223</v>
      </c>
      <c r="C1107" s="12"/>
    </row>
    <row r="1108" spans="1:3">
      <c r="A1108">
        <v>1105</v>
      </c>
      <c r="B1108" s="12">
        <v>148308.34498952562</v>
      </c>
      <c r="C1108" s="12"/>
    </row>
    <row r="1109" spans="1:3">
      <c r="A1109">
        <v>1106</v>
      </c>
      <c r="B1109" s="12">
        <v>117628.22029428973</v>
      </c>
      <c r="C1109" s="12"/>
    </row>
    <row r="1110" spans="1:3">
      <c r="A1110">
        <v>1107</v>
      </c>
      <c r="B1110" s="12">
        <v>160465.9789809357</v>
      </c>
      <c r="C1110" s="12"/>
    </row>
    <row r="1111" spans="1:3">
      <c r="A1111">
        <v>1108</v>
      </c>
      <c r="B1111" s="12">
        <v>66390.331898217468</v>
      </c>
      <c r="C1111" s="12"/>
    </row>
    <row r="1112" spans="1:3">
      <c r="A1112">
        <v>1109</v>
      </c>
      <c r="B1112" s="12">
        <v>136684.79455967274</v>
      </c>
      <c r="C1112" s="12"/>
    </row>
    <row r="1113" spans="1:3">
      <c r="A1113">
        <v>1110</v>
      </c>
      <c r="B1113" s="12">
        <v>140767.13225241529</v>
      </c>
      <c r="C1113" s="12"/>
    </row>
    <row r="1114" spans="1:3">
      <c r="A1114">
        <v>1111</v>
      </c>
      <c r="B1114" s="12">
        <v>117033.95794766862</v>
      </c>
      <c r="C1114" s="12"/>
    </row>
    <row r="1115" spans="1:3">
      <c r="A1115">
        <v>1112</v>
      </c>
      <c r="B1115" s="12">
        <v>89340.994138749156</v>
      </c>
      <c r="C1115" s="12"/>
    </row>
    <row r="1116" spans="1:3">
      <c r="A1116">
        <v>1113</v>
      </c>
      <c r="B1116" s="12">
        <v>92269.457438648635</v>
      </c>
      <c r="C1116" s="12"/>
    </row>
    <row r="1117" spans="1:3">
      <c r="A1117">
        <v>1114</v>
      </c>
      <c r="B1117" s="12">
        <v>74880.375685018153</v>
      </c>
      <c r="C1117" s="12"/>
    </row>
    <row r="1118" spans="1:3">
      <c r="A1118">
        <v>1115</v>
      </c>
      <c r="B1118" s="12">
        <v>100285.3731789094</v>
      </c>
      <c r="C1118" s="12"/>
    </row>
    <row r="1119" spans="1:3">
      <c r="A1119">
        <v>1116</v>
      </c>
      <c r="B1119" s="12">
        <v>80847.476371507364</v>
      </c>
      <c r="C1119" s="12"/>
    </row>
    <row r="1120" spans="1:3">
      <c r="A1120">
        <v>1117</v>
      </c>
      <c r="B1120" s="12">
        <v>208588.35640920102</v>
      </c>
      <c r="C1120" s="12"/>
    </row>
    <row r="1121" spans="1:3">
      <c r="A1121">
        <v>1118</v>
      </c>
      <c r="B1121" s="12">
        <v>136193.90231596355</v>
      </c>
      <c r="C1121" s="12"/>
    </row>
    <row r="1122" spans="1:3">
      <c r="A1122">
        <v>1119</v>
      </c>
      <c r="B1122" s="12">
        <v>156142.93051288865</v>
      </c>
      <c r="C1122" s="12"/>
    </row>
    <row r="1123" spans="1:3">
      <c r="A1123">
        <v>1120</v>
      </c>
      <c r="B1123" s="12">
        <v>136882.58763839136</v>
      </c>
      <c r="C1123" s="12"/>
    </row>
    <row r="1124" spans="1:3">
      <c r="A1124">
        <v>1121</v>
      </c>
      <c r="B1124" s="12">
        <v>186845.21139784905</v>
      </c>
      <c r="C1124" s="12"/>
    </row>
    <row r="1125" spans="1:3">
      <c r="A1125">
        <v>1122</v>
      </c>
      <c r="B1125" s="12">
        <v>111827.76040921301</v>
      </c>
      <c r="C1125" s="12"/>
    </row>
    <row r="1126" spans="1:3">
      <c r="A1126">
        <v>1123</v>
      </c>
      <c r="B1126" s="12">
        <v>73976.054285854494</v>
      </c>
      <c r="C1126" s="12"/>
    </row>
    <row r="1127" spans="1:3">
      <c r="A1127">
        <v>1124</v>
      </c>
      <c r="B1127" s="12">
        <v>116162.13289278901</v>
      </c>
      <c r="C1127" s="12"/>
    </row>
    <row r="1128" spans="1:3">
      <c r="A1128">
        <v>1125</v>
      </c>
      <c r="B1128" s="12">
        <v>93281.326870547331</v>
      </c>
      <c r="C1128" s="12"/>
    </row>
    <row r="1129" spans="1:3">
      <c r="A1129">
        <v>1126</v>
      </c>
      <c r="B1129" s="12">
        <v>110165.55123934014</v>
      </c>
      <c r="C1129" s="12"/>
    </row>
    <row r="1130" spans="1:3">
      <c r="A1130">
        <v>1127</v>
      </c>
      <c r="B1130" s="12">
        <v>133861.12198687956</v>
      </c>
      <c r="C1130" s="12"/>
    </row>
    <row r="1131" spans="1:3">
      <c r="A1131">
        <v>1128</v>
      </c>
      <c r="B1131" s="12">
        <v>98620.705662645385</v>
      </c>
      <c r="C1131" s="12"/>
    </row>
    <row r="1132" spans="1:3">
      <c r="A1132">
        <v>1129</v>
      </c>
      <c r="B1132" s="12">
        <v>127028.68576191459</v>
      </c>
      <c r="C1132" s="12"/>
    </row>
    <row r="1133" spans="1:3">
      <c r="A1133">
        <v>1130</v>
      </c>
      <c r="B1133" s="12">
        <v>140574.19151668291</v>
      </c>
      <c r="C1133" s="12"/>
    </row>
    <row r="1134" spans="1:3">
      <c r="A1134">
        <v>1131</v>
      </c>
      <c r="B1134" s="12">
        <v>150019.75877900765</v>
      </c>
      <c r="C1134" s="12"/>
    </row>
    <row r="1135" spans="1:3">
      <c r="A1135">
        <v>1132</v>
      </c>
      <c r="B1135" s="12">
        <v>112623.10280953394</v>
      </c>
      <c r="C1135" s="12"/>
    </row>
    <row r="1136" spans="1:3">
      <c r="A1136">
        <v>1133</v>
      </c>
      <c r="B1136" s="12">
        <v>65591.652474003291</v>
      </c>
      <c r="C1136" s="12"/>
    </row>
    <row r="1137" spans="1:3">
      <c r="A1137">
        <v>1134</v>
      </c>
      <c r="B1137" s="12">
        <v>92983.522467028219</v>
      </c>
      <c r="C1137" s="12"/>
    </row>
    <row r="1138" spans="1:3">
      <c r="A1138">
        <v>1135</v>
      </c>
      <c r="B1138" s="12">
        <v>90662.438972330667</v>
      </c>
      <c r="C1138" s="12"/>
    </row>
    <row r="1139" spans="1:3">
      <c r="A1139">
        <v>1136</v>
      </c>
      <c r="B1139" s="12">
        <v>73630.586500321297</v>
      </c>
      <c r="C1139" s="12"/>
    </row>
    <row r="1140" spans="1:3">
      <c r="A1140">
        <v>1137</v>
      </c>
      <c r="B1140" s="12">
        <v>123114.07656400203</v>
      </c>
      <c r="C1140" s="12"/>
    </row>
    <row r="1141" spans="1:3">
      <c r="A1141">
        <v>1138</v>
      </c>
      <c r="B1141" s="12">
        <v>132361.54271400691</v>
      </c>
      <c r="C1141" s="12"/>
    </row>
    <row r="1142" spans="1:3">
      <c r="A1142">
        <v>1139</v>
      </c>
      <c r="B1142" s="12">
        <v>138448.26745136146</v>
      </c>
      <c r="C1142" s="12"/>
    </row>
    <row r="1143" spans="1:3">
      <c r="A1143">
        <v>1140</v>
      </c>
      <c r="B1143" s="12">
        <v>148788.7749255847</v>
      </c>
      <c r="C1143" s="12"/>
    </row>
    <row r="1144" spans="1:3">
      <c r="A1144">
        <v>1141</v>
      </c>
      <c r="B1144" s="12">
        <v>121149.62537524107</v>
      </c>
      <c r="C1144" s="12"/>
    </row>
    <row r="1145" spans="1:3">
      <c r="A1145">
        <v>1142</v>
      </c>
      <c r="B1145" s="12">
        <v>89261.665495826499</v>
      </c>
      <c r="C1145" s="12"/>
    </row>
    <row r="1146" spans="1:3">
      <c r="A1146">
        <v>1143</v>
      </c>
      <c r="B1146" s="12">
        <v>122979.40973827947</v>
      </c>
      <c r="C1146" s="12"/>
    </row>
    <row r="1147" spans="1:3">
      <c r="A1147">
        <v>1144</v>
      </c>
      <c r="B1147" s="12">
        <v>118149.90611471412</v>
      </c>
      <c r="C1147" s="12"/>
    </row>
    <row r="1148" spans="1:3">
      <c r="A1148">
        <v>1145</v>
      </c>
      <c r="B1148" s="12">
        <v>97991.929336432077</v>
      </c>
      <c r="C1148" s="12"/>
    </row>
    <row r="1149" spans="1:3">
      <c r="A1149">
        <v>1146</v>
      </c>
      <c r="B1149" s="12">
        <v>167442.04941921189</v>
      </c>
      <c r="C1149" s="12"/>
    </row>
    <row r="1150" spans="1:3">
      <c r="A1150">
        <v>1147</v>
      </c>
      <c r="B1150" s="12">
        <v>92080.509727572222</v>
      </c>
      <c r="C1150" s="12"/>
    </row>
    <row r="1151" spans="1:3">
      <c r="A1151">
        <v>1148</v>
      </c>
      <c r="B1151" s="12">
        <v>87599.23849236613</v>
      </c>
      <c r="C1151" s="12"/>
    </row>
    <row r="1152" spans="1:3">
      <c r="A1152">
        <v>1149</v>
      </c>
      <c r="B1152" s="12">
        <v>131643.81507250411</v>
      </c>
      <c r="C1152" s="12"/>
    </row>
    <row r="1153" spans="1:3">
      <c r="A1153">
        <v>1150</v>
      </c>
      <c r="B1153" s="12">
        <v>127981.9810067751</v>
      </c>
      <c r="C1153" s="12"/>
    </row>
    <row r="1154" spans="1:3">
      <c r="A1154">
        <v>1151</v>
      </c>
      <c r="B1154" s="12">
        <v>73348.453309834164</v>
      </c>
      <c r="C1154" s="12"/>
    </row>
    <row r="1155" spans="1:3">
      <c r="A1155">
        <v>1152</v>
      </c>
      <c r="B1155" s="12">
        <v>124117.66701279409</v>
      </c>
      <c r="C1155" s="12"/>
    </row>
    <row r="1156" spans="1:3">
      <c r="A1156">
        <v>1153</v>
      </c>
      <c r="B1156" s="12">
        <v>97388.887770994959</v>
      </c>
      <c r="C1156" s="12"/>
    </row>
    <row r="1157" spans="1:3">
      <c r="A1157">
        <v>1154</v>
      </c>
      <c r="B1157" s="12">
        <v>80068.182281177782</v>
      </c>
      <c r="C1157" s="12"/>
    </row>
    <row r="1158" spans="1:3">
      <c r="A1158">
        <v>1155</v>
      </c>
      <c r="B1158" s="12">
        <v>117398.07302961531</v>
      </c>
      <c r="C1158" s="12"/>
    </row>
    <row r="1159" spans="1:3">
      <c r="A1159">
        <v>1156</v>
      </c>
      <c r="B1159" s="12">
        <v>129505.61173727932</v>
      </c>
      <c r="C1159" s="12"/>
    </row>
    <row r="1160" spans="1:3">
      <c r="A1160">
        <v>1157</v>
      </c>
      <c r="B1160" s="12">
        <v>87895.312833292963</v>
      </c>
      <c r="C1160" s="12"/>
    </row>
    <row r="1161" spans="1:3">
      <c r="A1161">
        <v>1158</v>
      </c>
      <c r="B1161" s="12">
        <v>124990.00473657993</v>
      </c>
      <c r="C1161" s="12"/>
    </row>
    <row r="1162" spans="1:3">
      <c r="A1162">
        <v>1159</v>
      </c>
      <c r="B1162" s="12">
        <v>82309.375717186442</v>
      </c>
      <c r="C1162" s="12"/>
    </row>
    <row r="1163" spans="1:3">
      <c r="A1163">
        <v>1160</v>
      </c>
      <c r="B1163" s="12">
        <v>87585.399469539712</v>
      </c>
      <c r="C1163" s="12"/>
    </row>
    <row r="1164" spans="1:3">
      <c r="A1164">
        <v>1161</v>
      </c>
      <c r="B1164" s="12">
        <v>123440.34452814139</v>
      </c>
      <c r="C1164" s="12"/>
    </row>
    <row r="1165" spans="1:3">
      <c r="A1165">
        <v>1162</v>
      </c>
      <c r="B1165" s="12">
        <v>132522.85761295012</v>
      </c>
      <c r="C1165" s="12"/>
    </row>
    <row r="1166" spans="1:3">
      <c r="A1166">
        <v>1163</v>
      </c>
      <c r="B1166" s="12">
        <v>138560.85224095368</v>
      </c>
      <c r="C1166" s="12"/>
    </row>
    <row r="1167" spans="1:3">
      <c r="A1167">
        <v>1164</v>
      </c>
      <c r="B1167" s="12">
        <v>157053.34255365355</v>
      </c>
      <c r="C1167" s="12"/>
    </row>
    <row r="1168" spans="1:3">
      <c r="A1168">
        <v>1165</v>
      </c>
      <c r="B1168" s="12">
        <v>207548.19535496214</v>
      </c>
      <c r="C1168" s="12"/>
    </row>
    <row r="1169" spans="1:3">
      <c r="A1169">
        <v>1166</v>
      </c>
      <c r="B1169" s="12">
        <v>96093.474078499072</v>
      </c>
      <c r="C1169" s="12"/>
    </row>
    <row r="1170" spans="1:3">
      <c r="A1170">
        <v>1167</v>
      </c>
      <c r="B1170" s="12">
        <v>121007.18055400037</v>
      </c>
      <c r="C1170" s="12"/>
    </row>
    <row r="1171" spans="1:3">
      <c r="A1171">
        <v>1168</v>
      </c>
      <c r="B1171" s="12">
        <v>115378.1359045023</v>
      </c>
      <c r="C1171" s="12"/>
    </row>
    <row r="1172" spans="1:3">
      <c r="A1172">
        <v>1169</v>
      </c>
      <c r="B1172" s="12">
        <v>76269.582774325972</v>
      </c>
      <c r="C1172" s="12"/>
    </row>
    <row r="1173" spans="1:3">
      <c r="A1173">
        <v>1170</v>
      </c>
      <c r="B1173" s="12">
        <v>145842.81712892829</v>
      </c>
      <c r="C1173" s="12"/>
    </row>
    <row r="1174" spans="1:3">
      <c r="A1174">
        <v>1171</v>
      </c>
      <c r="B1174" s="12">
        <v>74448.997882802592</v>
      </c>
      <c r="C1174" s="12"/>
    </row>
    <row r="1175" spans="1:3">
      <c r="A1175">
        <v>1172</v>
      </c>
      <c r="B1175" s="12">
        <v>156973.19727702808</v>
      </c>
      <c r="C1175" s="12"/>
    </row>
    <row r="1176" spans="1:3">
      <c r="A1176">
        <v>1173</v>
      </c>
      <c r="B1176" s="12">
        <v>90009.54365313804</v>
      </c>
      <c r="C1176" s="12"/>
    </row>
    <row r="1177" spans="1:3">
      <c r="A1177">
        <v>1174</v>
      </c>
      <c r="B1177" s="12">
        <v>95412.763716941554</v>
      </c>
      <c r="C1177" s="12"/>
    </row>
    <row r="1178" spans="1:3">
      <c r="A1178">
        <v>1175</v>
      </c>
      <c r="B1178" s="12">
        <v>107299.17639602107</v>
      </c>
      <c r="C1178" s="12"/>
    </row>
    <row r="1179" spans="1:3">
      <c r="A1179">
        <v>1176</v>
      </c>
      <c r="B1179" s="12">
        <v>105359.23699486235</v>
      </c>
      <c r="C1179" s="12"/>
    </row>
    <row r="1180" spans="1:3">
      <c r="A1180">
        <v>1177</v>
      </c>
      <c r="B1180" s="12">
        <v>106971.49667710098</v>
      </c>
      <c r="C1180" s="12"/>
    </row>
    <row r="1181" spans="1:3">
      <c r="A1181">
        <v>1178</v>
      </c>
      <c r="B1181" s="12">
        <v>117696.30165248914</v>
      </c>
      <c r="C1181" s="12"/>
    </row>
    <row r="1182" spans="1:3">
      <c r="A1182">
        <v>1179</v>
      </c>
      <c r="B1182" s="12">
        <v>86538.758897569642</v>
      </c>
      <c r="C1182" s="12"/>
    </row>
    <row r="1183" spans="1:3">
      <c r="A1183">
        <v>1180</v>
      </c>
      <c r="B1183" s="12">
        <v>86248.424383376216</v>
      </c>
      <c r="C1183" s="12"/>
    </row>
    <row r="1184" spans="1:3">
      <c r="A1184">
        <v>1181</v>
      </c>
      <c r="B1184" s="12">
        <v>118209.47420311095</v>
      </c>
      <c r="C1184" s="12"/>
    </row>
    <row r="1185" spans="1:3">
      <c r="A1185">
        <v>1182</v>
      </c>
      <c r="B1185" s="12">
        <v>108258.97314130812</v>
      </c>
      <c r="C1185" s="12"/>
    </row>
    <row r="1186" spans="1:3">
      <c r="A1186">
        <v>1183</v>
      </c>
      <c r="B1186" s="12">
        <v>141482.02553281086</v>
      </c>
      <c r="C1186" s="12"/>
    </row>
    <row r="1187" spans="1:3">
      <c r="A1187">
        <v>1184</v>
      </c>
      <c r="B1187" s="12">
        <v>96951.332485580962</v>
      </c>
      <c r="C1187" s="12"/>
    </row>
    <row r="1188" spans="1:3">
      <c r="A1188">
        <v>1185</v>
      </c>
      <c r="B1188" s="12">
        <v>96493.39581269928</v>
      </c>
      <c r="C1188" s="12"/>
    </row>
    <row r="1189" spans="1:3">
      <c r="A1189">
        <v>1186</v>
      </c>
      <c r="B1189" s="12">
        <v>87706.229147456601</v>
      </c>
      <c r="C1189" s="12"/>
    </row>
    <row r="1190" spans="1:3">
      <c r="A1190">
        <v>1187</v>
      </c>
      <c r="B1190" s="12">
        <v>175785.31638615922</v>
      </c>
      <c r="C1190" s="12"/>
    </row>
    <row r="1191" spans="1:3">
      <c r="A1191">
        <v>1188</v>
      </c>
      <c r="B1191" s="12">
        <v>133169.73470359924</v>
      </c>
      <c r="C1191" s="12"/>
    </row>
    <row r="1192" spans="1:3">
      <c r="A1192">
        <v>1189</v>
      </c>
      <c r="B1192" s="12">
        <v>105905.62180324175</v>
      </c>
      <c r="C1192" s="12"/>
    </row>
    <row r="1193" spans="1:3">
      <c r="A1193">
        <v>1190</v>
      </c>
      <c r="B1193" s="12">
        <v>46669.016292521381</v>
      </c>
      <c r="C1193" s="12"/>
    </row>
    <row r="1194" spans="1:3">
      <c r="A1194">
        <v>1191</v>
      </c>
      <c r="B1194" s="12">
        <v>97136.671903380324</v>
      </c>
      <c r="C1194" s="12"/>
    </row>
    <row r="1195" spans="1:3">
      <c r="A1195">
        <v>1192</v>
      </c>
      <c r="B1195" s="12">
        <v>134495.38564359469</v>
      </c>
      <c r="C1195" s="12"/>
    </row>
    <row r="1196" spans="1:3">
      <c r="A1196">
        <v>1193</v>
      </c>
      <c r="B1196" s="12">
        <v>102842.34607341912</v>
      </c>
      <c r="C1196" s="12"/>
    </row>
    <row r="1197" spans="1:3">
      <c r="A1197">
        <v>1194</v>
      </c>
      <c r="B1197" s="12">
        <v>104296.45586011173</v>
      </c>
      <c r="C1197" s="12"/>
    </row>
    <row r="1198" spans="1:3">
      <c r="A1198">
        <v>1195</v>
      </c>
      <c r="B1198" s="12">
        <v>111203.24645148237</v>
      </c>
      <c r="C1198" s="12"/>
    </row>
    <row r="1199" spans="1:3">
      <c r="A1199">
        <v>1196</v>
      </c>
      <c r="B1199" s="12">
        <v>48024.520433944082</v>
      </c>
      <c r="C1199" s="12"/>
    </row>
    <row r="1200" spans="1:3">
      <c r="A1200">
        <v>1197</v>
      </c>
      <c r="B1200" s="12">
        <v>87044.941199624562</v>
      </c>
      <c r="C1200" s="12"/>
    </row>
    <row r="1201" spans="1:3">
      <c r="A1201">
        <v>1198</v>
      </c>
      <c r="B1201" s="12">
        <v>133567.74888109262</v>
      </c>
      <c r="C1201" s="12"/>
    </row>
    <row r="1202" spans="1:3">
      <c r="A1202">
        <v>1199</v>
      </c>
      <c r="B1202" s="12">
        <v>112975.51903210394</v>
      </c>
      <c r="C1202" s="12"/>
    </row>
    <row r="1203" spans="1:3">
      <c r="A1203">
        <v>1200</v>
      </c>
      <c r="B1203" s="12">
        <v>113112.19400670291</v>
      </c>
      <c r="C1203" s="12"/>
    </row>
    <row r="1204" spans="1:3">
      <c r="A1204">
        <v>1201</v>
      </c>
      <c r="B1204" s="12">
        <v>101296.63360960357</v>
      </c>
      <c r="C1204" s="12"/>
    </row>
    <row r="1205" spans="1:3">
      <c r="A1205">
        <v>1202</v>
      </c>
      <c r="B1205" s="12">
        <v>135760.3166345887</v>
      </c>
      <c r="C1205" s="12"/>
    </row>
    <row r="1206" spans="1:3">
      <c r="A1206">
        <v>1203</v>
      </c>
      <c r="B1206" s="12">
        <v>113349.95689275383</v>
      </c>
      <c r="C1206" s="12"/>
    </row>
    <row r="1207" spans="1:3">
      <c r="A1207">
        <v>1204</v>
      </c>
      <c r="B1207" s="12">
        <v>77940.008134517484</v>
      </c>
      <c r="C1207" s="12"/>
    </row>
    <row r="1208" spans="1:3">
      <c r="A1208">
        <v>1205</v>
      </c>
      <c r="B1208" s="12">
        <v>76562.434255684129</v>
      </c>
      <c r="C1208" s="12"/>
    </row>
    <row r="1209" spans="1:3">
      <c r="A1209">
        <v>1206</v>
      </c>
      <c r="B1209" s="12">
        <v>197287.23439418527</v>
      </c>
      <c r="C1209" s="12"/>
    </row>
    <row r="1210" spans="1:3">
      <c r="A1210">
        <v>1207</v>
      </c>
      <c r="B1210" s="12">
        <v>103987.20403832056</v>
      </c>
      <c r="C1210" s="12"/>
    </row>
    <row r="1211" spans="1:3">
      <c r="A1211">
        <v>1208</v>
      </c>
      <c r="B1211" s="12">
        <v>151307.40421115072</v>
      </c>
      <c r="C1211" s="12"/>
    </row>
    <row r="1212" spans="1:3">
      <c r="A1212">
        <v>1209</v>
      </c>
      <c r="B1212" s="12">
        <v>83814.210166854769</v>
      </c>
      <c r="C1212" s="12"/>
    </row>
    <row r="1213" spans="1:3">
      <c r="A1213">
        <v>1210</v>
      </c>
      <c r="B1213" s="12">
        <v>70457.544739017932</v>
      </c>
      <c r="C1213" s="12"/>
    </row>
    <row r="1214" spans="1:3">
      <c r="A1214">
        <v>1211</v>
      </c>
      <c r="B1214" s="12">
        <v>88315.787286875304</v>
      </c>
      <c r="C1214" s="12"/>
    </row>
    <row r="1215" spans="1:3">
      <c r="A1215">
        <v>1212</v>
      </c>
      <c r="B1215" s="12">
        <v>186761.14723277627</v>
      </c>
      <c r="C1215" s="12"/>
    </row>
    <row r="1216" spans="1:3">
      <c r="A1216">
        <v>1213</v>
      </c>
      <c r="B1216" s="12">
        <v>175595.80055344294</v>
      </c>
      <c r="C1216" s="12"/>
    </row>
    <row r="1217" spans="1:3">
      <c r="A1217">
        <v>1214</v>
      </c>
      <c r="B1217" s="12">
        <v>111896.38918922872</v>
      </c>
      <c r="C1217" s="12"/>
    </row>
    <row r="1218" spans="1:3">
      <c r="A1218">
        <v>1215</v>
      </c>
      <c r="B1218" s="12">
        <v>112787.09107244428</v>
      </c>
      <c r="C1218" s="12"/>
    </row>
    <row r="1219" spans="1:3">
      <c r="A1219">
        <v>1216</v>
      </c>
      <c r="B1219" s="12">
        <v>164740.33967363084</v>
      </c>
      <c r="C1219" s="12"/>
    </row>
    <row r="1220" spans="1:3">
      <c r="A1220">
        <v>1217</v>
      </c>
      <c r="B1220" s="12">
        <v>185382.8541526008</v>
      </c>
      <c r="C1220" s="12"/>
    </row>
    <row r="1221" spans="1:3">
      <c r="A1221">
        <v>1218</v>
      </c>
      <c r="B1221" s="12">
        <v>101584.12248643549</v>
      </c>
      <c r="C1221" s="12"/>
    </row>
    <row r="1222" spans="1:3">
      <c r="A1222">
        <v>1219</v>
      </c>
      <c r="B1222" s="12">
        <v>96856.411106735584</v>
      </c>
      <c r="C1222" s="12"/>
    </row>
    <row r="1223" spans="1:3">
      <c r="A1223">
        <v>1220</v>
      </c>
      <c r="B1223" s="12">
        <v>111318.45760288418</v>
      </c>
      <c r="C1223" s="12"/>
    </row>
    <row r="1224" spans="1:3">
      <c r="A1224">
        <v>1221</v>
      </c>
      <c r="B1224" s="12">
        <v>125990.58567211336</v>
      </c>
      <c r="C1224" s="12"/>
    </row>
    <row r="1225" spans="1:3">
      <c r="A1225">
        <v>1222</v>
      </c>
      <c r="B1225" s="12">
        <v>163997.11969037875</v>
      </c>
      <c r="C1225" s="12"/>
    </row>
    <row r="1226" spans="1:3">
      <c r="A1226">
        <v>1223</v>
      </c>
      <c r="B1226" s="12">
        <v>110792.61389326674</v>
      </c>
      <c r="C1226" s="12"/>
    </row>
    <row r="1227" spans="1:3">
      <c r="A1227">
        <v>1224</v>
      </c>
      <c r="B1227" s="12">
        <v>109204.67512904345</v>
      </c>
      <c r="C1227" s="12"/>
    </row>
    <row r="1228" spans="1:3">
      <c r="A1228">
        <v>1225</v>
      </c>
      <c r="B1228" s="12">
        <v>151997.03517022205</v>
      </c>
      <c r="C1228" s="12"/>
    </row>
    <row r="1229" spans="1:3">
      <c r="A1229">
        <v>1226</v>
      </c>
      <c r="B1229" s="12">
        <v>83339.207536689297</v>
      </c>
      <c r="C1229" s="12"/>
    </row>
    <row r="1230" spans="1:3">
      <c r="A1230">
        <v>1227</v>
      </c>
      <c r="B1230" s="12">
        <v>152762.90429446625</v>
      </c>
      <c r="C1230" s="12"/>
    </row>
    <row r="1231" spans="1:3">
      <c r="A1231">
        <v>1228</v>
      </c>
      <c r="B1231" s="12">
        <v>74176.889750849848</v>
      </c>
      <c r="C1231" s="12"/>
    </row>
    <row r="1232" spans="1:3">
      <c r="A1232">
        <v>1229</v>
      </c>
      <c r="B1232" s="12">
        <v>125043.94205678705</v>
      </c>
      <c r="C1232" s="12"/>
    </row>
    <row r="1233" spans="1:3">
      <c r="A1233">
        <v>1230</v>
      </c>
      <c r="B1233" s="12">
        <v>85501.422828695271</v>
      </c>
      <c r="C1233" s="12"/>
    </row>
    <row r="1234" spans="1:3">
      <c r="A1234">
        <v>1231</v>
      </c>
      <c r="B1234" s="12">
        <v>108397.60140851879</v>
      </c>
      <c r="C1234" s="12"/>
    </row>
    <row r="1235" spans="1:3">
      <c r="A1235">
        <v>1232</v>
      </c>
      <c r="B1235" s="12">
        <v>148363.26881722477</v>
      </c>
      <c r="C1235" s="12"/>
    </row>
    <row r="1236" spans="1:3">
      <c r="A1236">
        <v>1233</v>
      </c>
      <c r="B1236" s="12">
        <v>108960.06682154568</v>
      </c>
      <c r="C1236" s="12"/>
    </row>
    <row r="1237" spans="1:3">
      <c r="A1237">
        <v>1234</v>
      </c>
      <c r="B1237" s="12">
        <v>148449.22558175336</v>
      </c>
      <c r="C1237" s="12"/>
    </row>
    <row r="1238" spans="1:3">
      <c r="A1238">
        <v>1235</v>
      </c>
      <c r="B1238" s="12">
        <v>111134.68142009413</v>
      </c>
      <c r="C1238" s="12"/>
    </row>
    <row r="1239" spans="1:3">
      <c r="A1239">
        <v>1236</v>
      </c>
      <c r="B1239" s="12">
        <v>109388.63318708917</v>
      </c>
      <c r="C1239" s="12"/>
    </row>
    <row r="1240" spans="1:3">
      <c r="A1240">
        <v>1237</v>
      </c>
      <c r="B1240" s="12">
        <v>191322.7027654055</v>
      </c>
      <c r="C1240" s="12"/>
    </row>
    <row r="1241" spans="1:3">
      <c r="A1241">
        <v>1238</v>
      </c>
      <c r="B1241" s="12">
        <v>124697.32828906771</v>
      </c>
      <c r="C1241" s="12"/>
    </row>
    <row r="1242" spans="1:3">
      <c r="A1242">
        <v>1239</v>
      </c>
      <c r="B1242" s="12">
        <v>129788.09432110141</v>
      </c>
      <c r="C1242" s="12"/>
    </row>
    <row r="1243" spans="1:3">
      <c r="A1243">
        <v>1240</v>
      </c>
      <c r="B1243" s="12">
        <v>135261.01402881744</v>
      </c>
      <c r="C1243" s="12"/>
    </row>
    <row r="1244" spans="1:3">
      <c r="A1244">
        <v>1241</v>
      </c>
      <c r="B1244" s="12">
        <v>140914.10022513464</v>
      </c>
      <c r="C1244" s="12"/>
    </row>
    <row r="1245" spans="1:3">
      <c r="A1245">
        <v>1242</v>
      </c>
      <c r="B1245" s="12">
        <v>114054.41883523046</v>
      </c>
      <c r="C1245" s="12"/>
    </row>
    <row r="1246" spans="1:3">
      <c r="A1246">
        <v>1243</v>
      </c>
      <c r="B1246" s="12">
        <v>83980.936352433215</v>
      </c>
      <c r="C1246" s="12"/>
    </row>
    <row r="1247" spans="1:3">
      <c r="A1247">
        <v>1244</v>
      </c>
      <c r="B1247" s="12">
        <v>115070.94314761675</v>
      </c>
      <c r="C1247" s="12"/>
    </row>
    <row r="1248" spans="1:3">
      <c r="A1248">
        <v>1245</v>
      </c>
      <c r="B1248" s="12">
        <v>95399.856710405176</v>
      </c>
      <c r="C1248" s="12"/>
    </row>
    <row r="1249" spans="1:3">
      <c r="A1249">
        <v>1246</v>
      </c>
      <c r="B1249" s="12">
        <v>120033.27311595411</v>
      </c>
      <c r="C1249" s="12"/>
    </row>
    <row r="1250" spans="1:3">
      <c r="A1250">
        <v>1247</v>
      </c>
      <c r="B1250" s="12">
        <v>82525.995881237453</v>
      </c>
      <c r="C1250" s="12"/>
    </row>
    <row r="1251" spans="1:3">
      <c r="A1251">
        <v>1248</v>
      </c>
      <c r="B1251" s="12">
        <v>125692.80922087848</v>
      </c>
      <c r="C1251" s="12"/>
    </row>
    <row r="1252" spans="1:3">
      <c r="A1252">
        <v>1249</v>
      </c>
      <c r="B1252" s="12">
        <v>174611.58548506725</v>
      </c>
      <c r="C1252" s="12"/>
    </row>
    <row r="1253" spans="1:3">
      <c r="A1253">
        <v>1250</v>
      </c>
      <c r="B1253" s="12">
        <v>120302.54435210903</v>
      </c>
      <c r="C1253" s="12"/>
    </row>
    <row r="1254" spans="1:3">
      <c r="A1254">
        <v>1251</v>
      </c>
      <c r="B1254" s="12">
        <v>137575.3738066417</v>
      </c>
      <c r="C1254" s="12"/>
    </row>
    <row r="1255" spans="1:3">
      <c r="A1255">
        <v>1252</v>
      </c>
      <c r="B1255" s="12">
        <v>107653.25465051712</v>
      </c>
      <c r="C1255" s="12"/>
    </row>
    <row r="1256" spans="1:3">
      <c r="A1256">
        <v>1253</v>
      </c>
      <c r="B1256" s="12">
        <v>130950.74849444372</v>
      </c>
      <c r="C1256" s="12"/>
    </row>
    <row r="1257" spans="1:3">
      <c r="A1257">
        <v>1254</v>
      </c>
      <c r="B1257" s="12">
        <v>125921.57744724254</v>
      </c>
      <c r="C1257" s="12"/>
    </row>
    <row r="1258" spans="1:3">
      <c r="A1258">
        <v>1255</v>
      </c>
      <c r="B1258" s="12">
        <v>101492.4513394009</v>
      </c>
      <c r="C1258" s="12"/>
    </row>
    <row r="1259" spans="1:3">
      <c r="A1259">
        <v>1256</v>
      </c>
      <c r="B1259" s="12">
        <v>117074.36385525673</v>
      </c>
      <c r="C1259" s="12"/>
    </row>
    <row r="1260" spans="1:3">
      <c r="A1260">
        <v>1257</v>
      </c>
      <c r="B1260" s="12">
        <v>109007.13189824703</v>
      </c>
      <c r="C1260" s="12"/>
    </row>
    <row r="1261" spans="1:3">
      <c r="A1261">
        <v>1258</v>
      </c>
      <c r="B1261" s="12">
        <v>138703.31765351948</v>
      </c>
      <c r="C1261" s="12"/>
    </row>
    <row r="1262" spans="1:3">
      <c r="A1262">
        <v>1259</v>
      </c>
      <c r="B1262" s="12">
        <v>126849.48418011761</v>
      </c>
      <c r="C1262" s="12"/>
    </row>
    <row r="1263" spans="1:3">
      <c r="A1263">
        <v>1260</v>
      </c>
      <c r="B1263" s="12">
        <v>130241.05239629882</v>
      </c>
      <c r="C1263" s="12"/>
    </row>
    <row r="1264" spans="1:3">
      <c r="A1264">
        <v>1261</v>
      </c>
      <c r="B1264" s="12">
        <v>202955.11037448663</v>
      </c>
      <c r="C1264" s="12"/>
    </row>
    <row r="1265" spans="1:3">
      <c r="A1265">
        <v>1262</v>
      </c>
      <c r="B1265" s="12">
        <v>105353.62188593204</v>
      </c>
      <c r="C1265" s="12"/>
    </row>
    <row r="1266" spans="1:3">
      <c r="A1266">
        <v>1263</v>
      </c>
      <c r="B1266" s="12">
        <v>242054.93272730144</v>
      </c>
      <c r="C1266" s="12"/>
    </row>
    <row r="1267" spans="1:3">
      <c r="A1267">
        <v>1264</v>
      </c>
      <c r="B1267" s="12">
        <v>72664.783707634051</v>
      </c>
      <c r="C1267" s="12"/>
    </row>
    <row r="1268" spans="1:3">
      <c r="A1268">
        <v>1265</v>
      </c>
      <c r="B1268" s="12">
        <v>80257.409581027736</v>
      </c>
      <c r="C1268" s="12"/>
    </row>
    <row r="1269" spans="1:3">
      <c r="A1269">
        <v>1266</v>
      </c>
      <c r="B1269" s="12">
        <v>75969.844666559366</v>
      </c>
      <c r="C1269" s="12"/>
    </row>
    <row r="1270" spans="1:3">
      <c r="A1270">
        <v>1267</v>
      </c>
      <c r="B1270" s="12">
        <v>92203.647427286734</v>
      </c>
      <c r="C1270" s="12"/>
    </row>
    <row r="1271" spans="1:3">
      <c r="A1271">
        <v>1268</v>
      </c>
      <c r="B1271" s="12">
        <v>112440.396507306</v>
      </c>
      <c r="C1271" s="12"/>
    </row>
    <row r="1272" spans="1:3">
      <c r="A1272">
        <v>1269</v>
      </c>
      <c r="B1272" s="12">
        <v>114767.17753627374</v>
      </c>
      <c r="C1272" s="12"/>
    </row>
    <row r="1273" spans="1:3">
      <c r="A1273">
        <v>1270</v>
      </c>
      <c r="B1273" s="12">
        <v>107647.50592361022</v>
      </c>
      <c r="C1273" s="12"/>
    </row>
    <row r="1274" spans="1:3">
      <c r="A1274">
        <v>1271</v>
      </c>
      <c r="B1274" s="12">
        <v>118602.35258040957</v>
      </c>
      <c r="C1274" s="12"/>
    </row>
    <row r="1275" spans="1:3">
      <c r="A1275">
        <v>1272</v>
      </c>
      <c r="B1275" s="12">
        <v>72333.059299922417</v>
      </c>
      <c r="C1275" s="12"/>
    </row>
    <row r="1276" spans="1:3">
      <c r="A1276">
        <v>1273</v>
      </c>
      <c r="B1276" s="12">
        <v>109921.48246962506</v>
      </c>
      <c r="C1276" s="12"/>
    </row>
    <row r="1277" spans="1:3">
      <c r="A1277">
        <v>1274</v>
      </c>
      <c r="B1277" s="12">
        <v>84933.424274336518</v>
      </c>
      <c r="C1277" s="12"/>
    </row>
    <row r="1278" spans="1:3">
      <c r="A1278">
        <v>1275</v>
      </c>
      <c r="B1278" s="12">
        <v>164832.06741166394</v>
      </c>
      <c r="C1278" s="12"/>
    </row>
    <row r="1279" spans="1:3">
      <c r="A1279">
        <v>1276</v>
      </c>
      <c r="B1279" s="12">
        <v>97307.944779257406</v>
      </c>
      <c r="C1279" s="12"/>
    </row>
    <row r="1280" spans="1:3">
      <c r="A1280">
        <v>1277</v>
      </c>
      <c r="B1280" s="12">
        <v>136443.91692361966</v>
      </c>
      <c r="C1280" s="12"/>
    </row>
    <row r="1281" spans="1:3">
      <c r="A1281">
        <v>1278</v>
      </c>
      <c r="B1281" s="12">
        <v>90032.2109844527</v>
      </c>
      <c r="C1281" s="12"/>
    </row>
    <row r="1282" spans="1:3">
      <c r="A1282">
        <v>1279</v>
      </c>
      <c r="B1282" s="12">
        <v>117866.67903299362</v>
      </c>
      <c r="C1282" s="12"/>
    </row>
    <row r="1283" spans="1:3">
      <c r="A1283">
        <v>1280</v>
      </c>
      <c r="B1283" s="12">
        <v>135690.39020803027</v>
      </c>
      <c r="C1283" s="12"/>
    </row>
    <row r="1284" spans="1:3">
      <c r="A1284">
        <v>1281</v>
      </c>
      <c r="B1284" s="12">
        <v>93677.515266544768</v>
      </c>
      <c r="C1284" s="12"/>
    </row>
    <row r="1285" spans="1:3">
      <c r="A1285">
        <v>1282</v>
      </c>
      <c r="B1285" s="12">
        <v>115213.77223678862</v>
      </c>
      <c r="C1285" s="12"/>
    </row>
    <row r="1286" spans="1:3">
      <c r="A1286">
        <v>1283</v>
      </c>
      <c r="B1286" s="12">
        <v>170670.70999153887</v>
      </c>
      <c r="C1286" s="12"/>
    </row>
    <row r="1287" spans="1:3">
      <c r="A1287">
        <v>1284</v>
      </c>
      <c r="B1287" s="12">
        <v>140286.51873053898</v>
      </c>
      <c r="C1287" s="12"/>
    </row>
    <row r="1288" spans="1:3">
      <c r="A1288">
        <v>1285</v>
      </c>
      <c r="B1288" s="12">
        <v>79884.239661800937</v>
      </c>
      <c r="C1288" s="12"/>
    </row>
    <row r="1289" spans="1:3">
      <c r="A1289">
        <v>1286</v>
      </c>
      <c r="B1289" s="12">
        <v>72610.373851142809</v>
      </c>
      <c r="C1289" s="12"/>
    </row>
    <row r="1290" spans="1:3">
      <c r="A1290">
        <v>1287</v>
      </c>
      <c r="B1290" s="12">
        <v>122627.90259418711</v>
      </c>
      <c r="C1290" s="12"/>
    </row>
    <row r="1291" spans="1:3">
      <c r="A1291">
        <v>1288</v>
      </c>
      <c r="B1291" s="12">
        <v>105882.23612737494</v>
      </c>
      <c r="C1291" s="12"/>
    </row>
    <row r="1292" spans="1:3">
      <c r="A1292">
        <v>1289</v>
      </c>
      <c r="B1292" s="12">
        <v>64606.044948539282</v>
      </c>
      <c r="C1292" s="12"/>
    </row>
    <row r="1293" spans="1:3">
      <c r="A1293">
        <v>1290</v>
      </c>
      <c r="B1293" s="12">
        <v>148468.81825970273</v>
      </c>
      <c r="C1293" s="12"/>
    </row>
    <row r="1294" spans="1:3">
      <c r="A1294">
        <v>1291</v>
      </c>
      <c r="B1294" s="12">
        <v>96803.883907011812</v>
      </c>
      <c r="C1294" s="12"/>
    </row>
    <row r="1295" spans="1:3">
      <c r="A1295">
        <v>1292</v>
      </c>
      <c r="B1295" s="12">
        <v>103509.73851371095</v>
      </c>
      <c r="C1295" s="12"/>
    </row>
    <row r="1296" spans="1:3">
      <c r="A1296">
        <v>1293</v>
      </c>
      <c r="B1296" s="12">
        <v>62402.794146894652</v>
      </c>
      <c r="C1296" s="12"/>
    </row>
    <row r="1297" spans="1:3">
      <c r="A1297">
        <v>1294</v>
      </c>
      <c r="B1297" s="12">
        <v>109607.99365713709</v>
      </c>
      <c r="C1297" s="12"/>
    </row>
    <row r="1298" spans="1:3">
      <c r="A1298">
        <v>1295</v>
      </c>
      <c r="B1298" s="12">
        <v>85646.095327579402</v>
      </c>
      <c r="C1298" s="12"/>
    </row>
    <row r="1299" spans="1:3">
      <c r="A1299">
        <v>1296</v>
      </c>
      <c r="B1299" s="12">
        <v>162533.18214656052</v>
      </c>
      <c r="C1299" s="12"/>
    </row>
    <row r="1300" spans="1:3">
      <c r="A1300">
        <v>1297</v>
      </c>
      <c r="B1300" s="12">
        <v>57559.294673336321</v>
      </c>
      <c r="C1300" s="12"/>
    </row>
    <row r="1301" spans="1:3">
      <c r="A1301">
        <v>1298</v>
      </c>
      <c r="B1301" s="12">
        <v>93329.349602818809</v>
      </c>
      <c r="C1301" s="12"/>
    </row>
    <row r="1302" spans="1:3">
      <c r="A1302">
        <v>1299</v>
      </c>
      <c r="B1302" s="12">
        <v>108715.64347063781</v>
      </c>
      <c r="C1302" s="12"/>
    </row>
    <row r="1303" spans="1:3">
      <c r="A1303">
        <v>1300</v>
      </c>
      <c r="B1303" s="12">
        <v>123776.36663484704</v>
      </c>
      <c r="C1303" s="12"/>
    </row>
    <row r="1304" spans="1:3">
      <c r="A1304">
        <v>1301</v>
      </c>
      <c r="B1304" s="12">
        <v>175535.59161183779</v>
      </c>
      <c r="C1304" s="12"/>
    </row>
    <row r="1305" spans="1:3">
      <c r="A1305">
        <v>1302</v>
      </c>
      <c r="B1305" s="12">
        <v>138496.23751788054</v>
      </c>
      <c r="C1305" s="12"/>
    </row>
    <row r="1306" spans="1:3">
      <c r="A1306">
        <v>1303</v>
      </c>
      <c r="B1306" s="12">
        <v>78921.1751643967</v>
      </c>
      <c r="C1306" s="12"/>
    </row>
    <row r="1307" spans="1:3">
      <c r="A1307">
        <v>1304</v>
      </c>
      <c r="B1307" s="12">
        <v>105801.44549344854</v>
      </c>
      <c r="C1307" s="12"/>
    </row>
    <row r="1308" spans="1:3">
      <c r="A1308">
        <v>1305</v>
      </c>
      <c r="B1308" s="12">
        <v>123203.76227843038</v>
      </c>
      <c r="C1308" s="12"/>
    </row>
    <row r="1309" spans="1:3">
      <c r="A1309">
        <v>1306</v>
      </c>
      <c r="B1309" s="12">
        <v>131373.15335703464</v>
      </c>
      <c r="C1309" s="12"/>
    </row>
    <row r="1310" spans="1:3">
      <c r="A1310">
        <v>1307</v>
      </c>
      <c r="B1310" s="12">
        <v>119986.79890320131</v>
      </c>
      <c r="C1310" s="12"/>
    </row>
    <row r="1311" spans="1:3">
      <c r="A1311">
        <v>1308</v>
      </c>
      <c r="B1311" s="12">
        <v>149557.53031602618</v>
      </c>
      <c r="C1311" s="12"/>
    </row>
    <row r="1312" spans="1:3">
      <c r="A1312">
        <v>1309</v>
      </c>
      <c r="B1312" s="12">
        <v>133097.97666557512</v>
      </c>
      <c r="C1312" s="12"/>
    </row>
    <row r="1313" spans="1:3">
      <c r="A1313">
        <v>1310</v>
      </c>
      <c r="B1313" s="12">
        <v>97042.899312118956</v>
      </c>
      <c r="C1313" s="12"/>
    </row>
    <row r="1314" spans="1:3">
      <c r="A1314">
        <v>1311</v>
      </c>
      <c r="B1314" s="12">
        <v>121795.26839225645</v>
      </c>
      <c r="C1314" s="12"/>
    </row>
    <row r="1315" spans="1:3">
      <c r="A1315">
        <v>1312</v>
      </c>
      <c r="B1315" s="12">
        <v>133883.36616816319</v>
      </c>
      <c r="C1315" s="12"/>
    </row>
    <row r="1316" spans="1:3">
      <c r="A1316">
        <v>1313</v>
      </c>
      <c r="B1316" s="12">
        <v>94671.840504523774</v>
      </c>
      <c r="C1316" s="12"/>
    </row>
    <row r="1317" spans="1:3">
      <c r="A1317">
        <v>1314</v>
      </c>
      <c r="B1317" s="12">
        <v>160366.14794822509</v>
      </c>
      <c r="C1317" s="12"/>
    </row>
    <row r="1318" spans="1:3">
      <c r="A1318">
        <v>1315</v>
      </c>
      <c r="B1318" s="12">
        <v>99409.770221875442</v>
      </c>
      <c r="C1318" s="12"/>
    </row>
    <row r="1319" spans="1:3">
      <c r="A1319">
        <v>1316</v>
      </c>
      <c r="B1319" s="12">
        <v>94927.778528587762</v>
      </c>
      <c r="C1319" s="12"/>
    </row>
    <row r="1320" spans="1:3">
      <c r="A1320">
        <v>1317</v>
      </c>
      <c r="B1320" s="12">
        <v>106578.2216393913</v>
      </c>
      <c r="C1320" s="12"/>
    </row>
    <row r="1321" spans="1:3">
      <c r="A1321">
        <v>1318</v>
      </c>
      <c r="B1321" s="12">
        <v>144567.18956275191</v>
      </c>
      <c r="C1321" s="12"/>
    </row>
    <row r="1322" spans="1:3">
      <c r="A1322">
        <v>1319</v>
      </c>
      <c r="B1322" s="12">
        <v>90271.720814763641</v>
      </c>
      <c r="C1322" s="12"/>
    </row>
    <row r="1323" spans="1:3">
      <c r="A1323">
        <v>1320</v>
      </c>
      <c r="B1323" s="12">
        <v>150021.06153933771</v>
      </c>
      <c r="C1323" s="12"/>
    </row>
    <row r="1324" spans="1:3">
      <c r="A1324">
        <v>1321</v>
      </c>
      <c r="B1324" s="12">
        <v>84421.237304541704</v>
      </c>
      <c r="C1324" s="12"/>
    </row>
    <row r="1325" spans="1:3">
      <c r="A1325">
        <v>1322</v>
      </c>
      <c r="B1325" s="12">
        <v>96911.750402929989</v>
      </c>
      <c r="C1325" s="12"/>
    </row>
    <row r="1326" spans="1:3">
      <c r="A1326">
        <v>1323</v>
      </c>
      <c r="B1326" s="12">
        <v>79016.718549471087</v>
      </c>
      <c r="C1326" s="12"/>
    </row>
    <row r="1327" spans="1:3">
      <c r="A1327">
        <v>1324</v>
      </c>
      <c r="B1327" s="12">
        <v>123026.96985025023</v>
      </c>
      <c r="C1327" s="12"/>
    </row>
    <row r="1328" spans="1:3">
      <c r="A1328">
        <v>1325</v>
      </c>
      <c r="B1328" s="12">
        <v>104282.86424406059</v>
      </c>
      <c r="C1328" s="12"/>
    </row>
    <row r="1329" spans="1:3">
      <c r="A1329">
        <v>1326</v>
      </c>
      <c r="B1329" s="12">
        <v>149513.76564561742</v>
      </c>
      <c r="C1329" s="12"/>
    </row>
    <row r="1330" spans="1:3">
      <c r="A1330">
        <v>1327</v>
      </c>
      <c r="B1330" s="12">
        <v>78535.284271810116</v>
      </c>
      <c r="C1330" s="12"/>
    </row>
    <row r="1331" spans="1:3">
      <c r="A1331">
        <v>1328</v>
      </c>
      <c r="B1331" s="12">
        <v>104142.43366833818</v>
      </c>
      <c r="C1331" s="12"/>
    </row>
    <row r="1332" spans="1:3">
      <c r="A1332">
        <v>1329</v>
      </c>
      <c r="B1332" s="12">
        <v>175587.70224366855</v>
      </c>
      <c r="C1332" s="12"/>
    </row>
    <row r="1333" spans="1:3">
      <c r="A1333">
        <v>1330</v>
      </c>
      <c r="B1333" s="12">
        <v>155579.31592296655</v>
      </c>
      <c r="C1333" s="12"/>
    </row>
    <row r="1334" spans="1:3">
      <c r="A1334">
        <v>1331</v>
      </c>
      <c r="B1334" s="12">
        <v>64155.948170596552</v>
      </c>
      <c r="C1334" s="12"/>
    </row>
    <row r="1335" spans="1:3">
      <c r="A1335">
        <v>1332</v>
      </c>
      <c r="B1335" s="12">
        <v>110027.77232864457</v>
      </c>
      <c r="C1335" s="12"/>
    </row>
    <row r="1336" spans="1:3">
      <c r="A1336">
        <v>1333</v>
      </c>
      <c r="B1336" s="12">
        <v>96444.873065734922</v>
      </c>
      <c r="C1336" s="12"/>
    </row>
    <row r="1337" spans="1:3">
      <c r="A1337">
        <v>1334</v>
      </c>
      <c r="B1337" s="12">
        <v>144151.87499139618</v>
      </c>
      <c r="C1337" s="12"/>
    </row>
    <row r="1338" spans="1:3">
      <c r="A1338">
        <v>1335</v>
      </c>
      <c r="B1338" s="12">
        <v>135674.96331022488</v>
      </c>
      <c r="C1338" s="12"/>
    </row>
    <row r="1339" spans="1:3">
      <c r="A1339">
        <v>1336</v>
      </c>
      <c r="B1339" s="12">
        <v>202369.33051055457</v>
      </c>
      <c r="C1339" s="12"/>
    </row>
    <row r="1340" spans="1:3">
      <c r="A1340">
        <v>1337</v>
      </c>
      <c r="B1340" s="12">
        <v>81391.901339783348</v>
      </c>
      <c r="C1340" s="12"/>
    </row>
    <row r="1341" spans="1:3">
      <c r="A1341">
        <v>1338</v>
      </c>
      <c r="B1341" s="12">
        <v>97030.181592845562</v>
      </c>
      <c r="C1341" s="12"/>
    </row>
    <row r="1342" spans="1:3">
      <c r="A1342">
        <v>1339</v>
      </c>
      <c r="B1342" s="12">
        <v>105138.9081715901</v>
      </c>
      <c r="C1342" s="12"/>
    </row>
    <row r="1343" spans="1:3">
      <c r="A1343">
        <v>1340</v>
      </c>
      <c r="B1343" s="12">
        <v>83057.157511773141</v>
      </c>
      <c r="C1343" s="12"/>
    </row>
    <row r="1344" spans="1:3">
      <c r="A1344">
        <v>1341</v>
      </c>
      <c r="B1344" s="12">
        <v>90987.142206764445</v>
      </c>
      <c r="C1344" s="12"/>
    </row>
    <row r="1345" spans="1:3">
      <c r="A1345">
        <v>1342</v>
      </c>
      <c r="B1345" s="12">
        <v>135997.25639716376</v>
      </c>
      <c r="C1345" s="12"/>
    </row>
    <row r="1346" spans="1:3">
      <c r="A1346">
        <v>1343</v>
      </c>
      <c r="B1346" s="12">
        <v>151323.36458405538</v>
      </c>
      <c r="C1346" s="12"/>
    </row>
    <row r="1347" spans="1:3">
      <c r="A1347">
        <v>1344</v>
      </c>
      <c r="B1347" s="12">
        <v>137010.41263214816</v>
      </c>
      <c r="C1347" s="12"/>
    </row>
    <row r="1348" spans="1:3">
      <c r="A1348">
        <v>1345</v>
      </c>
      <c r="B1348" s="12">
        <v>127212.25124800435</v>
      </c>
      <c r="C1348" s="12"/>
    </row>
    <row r="1349" spans="1:3">
      <c r="A1349">
        <v>1346</v>
      </c>
      <c r="B1349" s="12">
        <v>152672.62402717755</v>
      </c>
      <c r="C1349" s="12"/>
    </row>
    <row r="1350" spans="1:3">
      <c r="A1350">
        <v>1347</v>
      </c>
      <c r="B1350" s="12">
        <v>137795.69432383063</v>
      </c>
      <c r="C1350" s="12"/>
    </row>
    <row r="1351" spans="1:3">
      <c r="A1351">
        <v>1348</v>
      </c>
      <c r="B1351" s="12">
        <v>61713.867458152788</v>
      </c>
      <c r="C1351" s="12"/>
    </row>
    <row r="1352" spans="1:3">
      <c r="A1352">
        <v>1349</v>
      </c>
      <c r="B1352" s="12">
        <v>111445.84095290473</v>
      </c>
      <c r="C1352" s="12"/>
    </row>
    <row r="1353" spans="1:3">
      <c r="A1353">
        <v>1350</v>
      </c>
      <c r="B1353" s="12">
        <v>83766.256574016341</v>
      </c>
      <c r="C1353" s="12"/>
    </row>
    <row r="1354" spans="1:3">
      <c r="A1354">
        <v>1351</v>
      </c>
      <c r="B1354" s="12">
        <v>152610.33911520836</v>
      </c>
      <c r="C1354" s="12"/>
    </row>
    <row r="1355" spans="1:3">
      <c r="A1355">
        <v>1352</v>
      </c>
      <c r="B1355" s="12">
        <v>112009.37523689924</v>
      </c>
      <c r="C1355" s="12"/>
    </row>
    <row r="1356" spans="1:3">
      <c r="A1356">
        <v>1353</v>
      </c>
      <c r="B1356" s="12">
        <v>87060.887777866519</v>
      </c>
      <c r="C1356" s="12"/>
    </row>
    <row r="1357" spans="1:3">
      <c r="A1357">
        <v>1354</v>
      </c>
      <c r="B1357" s="12">
        <v>69587.832929036143</v>
      </c>
      <c r="C1357" s="12"/>
    </row>
    <row r="1358" spans="1:3">
      <c r="A1358">
        <v>1355</v>
      </c>
      <c r="B1358" s="12">
        <v>81301.781988530114</v>
      </c>
      <c r="C1358" s="12"/>
    </row>
    <row r="1359" spans="1:3">
      <c r="A1359">
        <v>1356</v>
      </c>
      <c r="B1359" s="12">
        <v>146024.94355909244</v>
      </c>
      <c r="C1359" s="12"/>
    </row>
    <row r="1360" spans="1:3">
      <c r="A1360">
        <v>1357</v>
      </c>
      <c r="B1360" s="12">
        <v>155986.4028121361</v>
      </c>
      <c r="C1360" s="12"/>
    </row>
    <row r="1361" spans="1:3">
      <c r="A1361">
        <v>1358</v>
      </c>
      <c r="B1361" s="12">
        <v>121320.09277610587</v>
      </c>
      <c r="C1361" s="12"/>
    </row>
    <row r="1362" spans="1:3">
      <c r="A1362">
        <v>1359</v>
      </c>
      <c r="B1362" s="12">
        <v>116251.55447190037</v>
      </c>
      <c r="C1362" s="12"/>
    </row>
    <row r="1363" spans="1:3">
      <c r="A1363">
        <v>1360</v>
      </c>
      <c r="B1363" s="12">
        <v>78069.5421884221</v>
      </c>
      <c r="C1363" s="12"/>
    </row>
    <row r="1364" spans="1:3">
      <c r="A1364">
        <v>1361</v>
      </c>
      <c r="B1364" s="12">
        <v>129552.98283972322</v>
      </c>
      <c r="C1364" s="12"/>
    </row>
    <row r="1365" spans="1:3">
      <c r="A1365">
        <v>1362</v>
      </c>
      <c r="B1365" s="12">
        <v>82587.802474982731</v>
      </c>
      <c r="C1365" s="12"/>
    </row>
    <row r="1366" spans="1:3">
      <c r="A1366">
        <v>1363</v>
      </c>
      <c r="B1366" s="12">
        <v>105896.71289132186</v>
      </c>
      <c r="C1366" s="12"/>
    </row>
    <row r="1367" spans="1:3">
      <c r="A1367">
        <v>1364</v>
      </c>
      <c r="B1367" s="12">
        <v>113291.46184304995</v>
      </c>
      <c r="C1367" s="12"/>
    </row>
    <row r="1368" spans="1:3">
      <c r="A1368">
        <v>1365</v>
      </c>
      <c r="B1368" s="12">
        <v>123150.5491398788</v>
      </c>
      <c r="C1368" s="12"/>
    </row>
    <row r="1369" spans="1:3">
      <c r="A1369">
        <v>1366</v>
      </c>
      <c r="B1369" s="12">
        <v>114082.83968105225</v>
      </c>
      <c r="C1369" s="12"/>
    </row>
    <row r="1370" spans="1:3">
      <c r="A1370">
        <v>1367</v>
      </c>
      <c r="B1370" s="12">
        <v>74542.322474386106</v>
      </c>
      <c r="C1370" s="12"/>
    </row>
    <row r="1371" spans="1:3">
      <c r="A1371">
        <v>1368</v>
      </c>
      <c r="B1371" s="12">
        <v>95524.37651904329</v>
      </c>
      <c r="C1371" s="12"/>
    </row>
    <row r="1372" spans="1:3">
      <c r="A1372">
        <v>1369</v>
      </c>
      <c r="B1372" s="12">
        <v>158556.40215990829</v>
      </c>
      <c r="C1372" s="12"/>
    </row>
    <row r="1373" spans="1:3">
      <c r="A1373">
        <v>1370</v>
      </c>
      <c r="B1373" s="12">
        <v>109153.59516156133</v>
      </c>
      <c r="C1373" s="12"/>
    </row>
    <row r="1374" spans="1:3">
      <c r="A1374">
        <v>1371</v>
      </c>
      <c r="B1374" s="12">
        <v>138108.07552076798</v>
      </c>
      <c r="C1374" s="12"/>
    </row>
    <row r="1375" spans="1:3">
      <c r="A1375">
        <v>1372</v>
      </c>
      <c r="B1375" s="12">
        <v>105850.36654377563</v>
      </c>
      <c r="C1375" s="12"/>
    </row>
    <row r="1376" spans="1:3">
      <c r="A1376">
        <v>1373</v>
      </c>
      <c r="B1376" s="12">
        <v>135423.24833045903</v>
      </c>
      <c r="C1376" s="12"/>
    </row>
    <row r="1377" spans="1:3">
      <c r="A1377">
        <v>1374</v>
      </c>
      <c r="B1377" s="12">
        <v>86468.194698087027</v>
      </c>
      <c r="C1377" s="12"/>
    </row>
    <row r="1378" spans="1:3">
      <c r="A1378">
        <v>1375</v>
      </c>
      <c r="B1378" s="12">
        <v>106314.21857923146</v>
      </c>
      <c r="C1378" s="12"/>
    </row>
    <row r="1379" spans="1:3">
      <c r="A1379">
        <v>1376</v>
      </c>
      <c r="B1379" s="12">
        <v>78057.017268311392</v>
      </c>
      <c r="C1379" s="12"/>
    </row>
    <row r="1380" spans="1:3">
      <c r="A1380">
        <v>1377</v>
      </c>
      <c r="B1380" s="12">
        <v>106012.51646258941</v>
      </c>
      <c r="C1380" s="12"/>
    </row>
    <row r="1381" spans="1:3">
      <c r="A1381">
        <v>1378</v>
      </c>
      <c r="B1381" s="12">
        <v>138919.67096302193</v>
      </c>
      <c r="C1381" s="12"/>
    </row>
    <row r="1382" spans="1:3">
      <c r="A1382">
        <v>1379</v>
      </c>
      <c r="B1382" s="12">
        <v>69487.346160750982</v>
      </c>
      <c r="C1382" s="12"/>
    </row>
    <row r="1383" spans="1:3">
      <c r="A1383">
        <v>1380</v>
      </c>
      <c r="B1383" s="12">
        <v>192208.16429158466</v>
      </c>
      <c r="C1383" s="12"/>
    </row>
    <row r="1384" spans="1:3">
      <c r="A1384">
        <v>1381</v>
      </c>
      <c r="B1384" s="12">
        <v>85316.883347056995</v>
      </c>
      <c r="C1384" s="12"/>
    </row>
    <row r="1385" spans="1:3">
      <c r="A1385">
        <v>1382</v>
      </c>
      <c r="B1385" s="12">
        <v>87990.966368531444</v>
      </c>
      <c r="C1385" s="12"/>
    </row>
    <row r="1386" spans="1:3">
      <c r="A1386">
        <v>1383</v>
      </c>
      <c r="B1386" s="12">
        <v>126597.69755703853</v>
      </c>
      <c r="C1386" s="12"/>
    </row>
    <row r="1387" spans="1:3">
      <c r="A1387">
        <v>1384</v>
      </c>
      <c r="B1387" s="12">
        <v>69494.568336457509</v>
      </c>
      <c r="C1387" s="12"/>
    </row>
    <row r="1388" spans="1:3">
      <c r="A1388">
        <v>1385</v>
      </c>
      <c r="B1388" s="12">
        <v>123524.84518865643</v>
      </c>
      <c r="C1388" s="12"/>
    </row>
    <row r="1389" spans="1:3">
      <c r="A1389">
        <v>1386</v>
      </c>
      <c r="B1389" s="12">
        <v>132032.24798602267</v>
      </c>
      <c r="C1389" s="12"/>
    </row>
    <row r="1390" spans="1:3">
      <c r="A1390">
        <v>1387</v>
      </c>
      <c r="B1390" s="12">
        <v>95758.559062812768</v>
      </c>
      <c r="C1390" s="12"/>
    </row>
    <row r="1391" spans="1:3">
      <c r="A1391">
        <v>1388</v>
      </c>
      <c r="B1391" s="12">
        <v>76784.332557213464</v>
      </c>
      <c r="C1391" s="12"/>
    </row>
    <row r="1392" spans="1:3">
      <c r="A1392">
        <v>1389</v>
      </c>
      <c r="B1392" s="12">
        <v>106102.13032598917</v>
      </c>
      <c r="C1392" s="12"/>
    </row>
    <row r="1393" spans="1:3">
      <c r="A1393">
        <v>1390</v>
      </c>
      <c r="B1393" s="12">
        <v>148923.16763389707</v>
      </c>
      <c r="C1393" s="12"/>
    </row>
    <row r="1394" spans="1:3">
      <c r="A1394">
        <v>1391</v>
      </c>
      <c r="B1394" s="12">
        <v>81882.713431119744</v>
      </c>
      <c r="C1394" s="12"/>
    </row>
    <row r="1395" spans="1:3">
      <c r="A1395">
        <v>1392</v>
      </c>
      <c r="B1395" s="12">
        <v>118795.85619708404</v>
      </c>
      <c r="C1395" s="12"/>
    </row>
    <row r="1396" spans="1:3">
      <c r="A1396">
        <v>1393</v>
      </c>
      <c r="B1396" s="12">
        <v>120897.54282654916</v>
      </c>
      <c r="C1396" s="12"/>
    </row>
    <row r="1397" spans="1:3">
      <c r="A1397">
        <v>1394</v>
      </c>
      <c r="B1397" s="12">
        <v>95248.406630527606</v>
      </c>
      <c r="C1397" s="12"/>
    </row>
    <row r="1398" spans="1:3">
      <c r="A1398">
        <v>1395</v>
      </c>
      <c r="B1398" s="12">
        <v>112136.59748624645</v>
      </c>
      <c r="C1398" s="12"/>
    </row>
    <row r="1399" spans="1:3">
      <c r="A1399">
        <v>1396</v>
      </c>
      <c r="B1399" s="12">
        <v>124157.11513575813</v>
      </c>
      <c r="C1399" s="12"/>
    </row>
    <row r="1400" spans="1:3">
      <c r="A1400">
        <v>1397</v>
      </c>
      <c r="B1400" s="12">
        <v>112648.76112601772</v>
      </c>
      <c r="C1400" s="12"/>
    </row>
    <row r="1401" spans="1:3">
      <c r="A1401">
        <v>1398</v>
      </c>
      <c r="B1401" s="12">
        <v>118371.1633338977</v>
      </c>
      <c r="C1401" s="12"/>
    </row>
    <row r="1402" spans="1:3">
      <c r="A1402">
        <v>1399</v>
      </c>
      <c r="B1402" s="12">
        <v>89781.155955754002</v>
      </c>
      <c r="C1402" s="12"/>
    </row>
    <row r="1403" spans="1:3">
      <c r="A1403">
        <v>1400</v>
      </c>
      <c r="B1403" s="12">
        <v>90266.364838608555</v>
      </c>
      <c r="C1403" s="12"/>
    </row>
    <row r="1404" spans="1:3">
      <c r="A1404">
        <v>1401</v>
      </c>
      <c r="B1404" s="12">
        <v>108291.76343334228</v>
      </c>
      <c r="C1404" s="12"/>
    </row>
    <row r="1405" spans="1:3">
      <c r="A1405">
        <v>1402</v>
      </c>
      <c r="B1405" s="12">
        <v>126421.48975737262</v>
      </c>
      <c r="C1405" s="12"/>
    </row>
    <row r="1406" spans="1:3">
      <c r="A1406">
        <v>1403</v>
      </c>
      <c r="B1406" s="12">
        <v>130421.6269076616</v>
      </c>
      <c r="C1406" s="12"/>
    </row>
    <row r="1407" spans="1:3">
      <c r="A1407">
        <v>1404</v>
      </c>
      <c r="B1407" s="12">
        <v>118354.17228412267</v>
      </c>
      <c r="C1407" s="12"/>
    </row>
    <row r="1408" spans="1:3">
      <c r="A1408">
        <v>1405</v>
      </c>
      <c r="B1408" s="12">
        <v>165239.01762321492</v>
      </c>
      <c r="C1408" s="12"/>
    </row>
    <row r="1409" spans="1:3">
      <c r="A1409">
        <v>1406</v>
      </c>
      <c r="B1409" s="12">
        <v>109013.39765858903</v>
      </c>
      <c r="C1409" s="12"/>
    </row>
    <row r="1410" spans="1:3">
      <c r="A1410">
        <v>1407</v>
      </c>
      <c r="B1410" s="12">
        <v>108525.01536491977</v>
      </c>
      <c r="C1410" s="12"/>
    </row>
    <row r="1411" spans="1:3">
      <c r="A1411">
        <v>1408</v>
      </c>
      <c r="B1411" s="12">
        <v>100581.57553324534</v>
      </c>
      <c r="C1411" s="12"/>
    </row>
    <row r="1412" spans="1:3">
      <c r="A1412">
        <v>1409</v>
      </c>
      <c r="B1412" s="12">
        <v>61638.192026307719</v>
      </c>
      <c r="C1412" s="12"/>
    </row>
    <row r="1413" spans="1:3">
      <c r="A1413">
        <v>1410</v>
      </c>
      <c r="B1413" s="12">
        <v>130224.46253040501</v>
      </c>
      <c r="C1413" s="12"/>
    </row>
    <row r="1414" spans="1:3">
      <c r="A1414">
        <v>1411</v>
      </c>
      <c r="B1414" s="12">
        <v>91665.950830428177</v>
      </c>
      <c r="C1414" s="12"/>
    </row>
    <row r="1415" spans="1:3">
      <c r="A1415">
        <v>1412</v>
      </c>
      <c r="B1415" s="12">
        <v>85024.813407189635</v>
      </c>
      <c r="C1415" s="12"/>
    </row>
    <row r="1416" spans="1:3">
      <c r="A1416">
        <v>1413</v>
      </c>
      <c r="B1416" s="12">
        <v>93401.218189481879</v>
      </c>
      <c r="C1416" s="12"/>
    </row>
    <row r="1417" spans="1:3">
      <c r="A1417">
        <v>1414</v>
      </c>
      <c r="B1417" s="12">
        <v>84504.520046866819</v>
      </c>
      <c r="C1417" s="12"/>
    </row>
    <row r="1418" spans="1:3">
      <c r="A1418">
        <v>1415</v>
      </c>
      <c r="B1418" s="12">
        <v>129712.39269591782</v>
      </c>
      <c r="C1418" s="12"/>
    </row>
    <row r="1419" spans="1:3">
      <c r="A1419">
        <v>1416</v>
      </c>
      <c r="B1419" s="12">
        <v>108521.72754273444</v>
      </c>
      <c r="C1419" s="12"/>
    </row>
    <row r="1420" spans="1:3">
      <c r="A1420">
        <v>1417</v>
      </c>
      <c r="B1420" s="12">
        <v>131804.43431567034</v>
      </c>
      <c r="C1420" s="12"/>
    </row>
    <row r="1421" spans="1:3">
      <c r="A1421">
        <v>1418</v>
      </c>
      <c r="B1421" s="12">
        <v>95698.494643184473</v>
      </c>
      <c r="C1421" s="12"/>
    </row>
    <row r="1422" spans="1:3">
      <c r="A1422">
        <v>1419</v>
      </c>
      <c r="B1422" s="12">
        <v>103221.15742180703</v>
      </c>
      <c r="C1422" s="12"/>
    </row>
    <row r="1423" spans="1:3">
      <c r="A1423">
        <v>1420</v>
      </c>
      <c r="B1423" s="12">
        <v>124960.19626079529</v>
      </c>
      <c r="C1423" s="12"/>
    </row>
    <row r="1424" spans="1:3">
      <c r="A1424">
        <v>1421</v>
      </c>
      <c r="B1424" s="12">
        <v>154124.20321820545</v>
      </c>
      <c r="C1424" s="12"/>
    </row>
    <row r="1425" spans="1:3">
      <c r="A1425">
        <v>1422</v>
      </c>
      <c r="B1425" s="12">
        <v>118544.0385407006</v>
      </c>
      <c r="C1425" s="12"/>
    </row>
    <row r="1426" spans="1:3">
      <c r="A1426">
        <v>1423</v>
      </c>
      <c r="B1426" s="12">
        <v>160327.80551266539</v>
      </c>
      <c r="C1426" s="12"/>
    </row>
    <row r="1427" spans="1:3">
      <c r="A1427">
        <v>1424</v>
      </c>
      <c r="B1427" s="12">
        <v>92230.270651211365</v>
      </c>
      <c r="C1427" s="12"/>
    </row>
    <row r="1428" spans="1:3">
      <c r="A1428">
        <v>1425</v>
      </c>
      <c r="B1428" s="12">
        <v>172624.0302883859</v>
      </c>
      <c r="C1428" s="12"/>
    </row>
    <row r="1429" spans="1:3">
      <c r="A1429">
        <v>1426</v>
      </c>
      <c r="B1429" s="12">
        <v>106544.50461098443</v>
      </c>
      <c r="C1429" s="12"/>
    </row>
    <row r="1430" spans="1:3">
      <c r="A1430">
        <v>1427</v>
      </c>
      <c r="B1430" s="12">
        <v>98639.550350000733</v>
      </c>
      <c r="C1430" s="12"/>
    </row>
    <row r="1431" spans="1:3">
      <c r="A1431">
        <v>1428</v>
      </c>
      <c r="B1431" s="12">
        <v>93772.454476183033</v>
      </c>
      <c r="C1431" s="12"/>
    </row>
    <row r="1432" spans="1:3">
      <c r="A1432">
        <v>1429</v>
      </c>
      <c r="B1432" s="12">
        <v>96307.659203059477</v>
      </c>
      <c r="C1432" s="12"/>
    </row>
    <row r="1433" spans="1:3">
      <c r="A1433">
        <v>1430</v>
      </c>
      <c r="B1433" s="12">
        <v>97567.490777867657</v>
      </c>
      <c r="C1433" s="12"/>
    </row>
    <row r="1434" spans="1:3">
      <c r="A1434">
        <v>1431</v>
      </c>
      <c r="B1434" s="12">
        <v>95949.126976545696</v>
      </c>
      <c r="C1434" s="12"/>
    </row>
    <row r="1435" spans="1:3">
      <c r="A1435">
        <v>1432</v>
      </c>
      <c r="B1435" s="12">
        <v>92938.164930906976</v>
      </c>
      <c r="C1435" s="12"/>
    </row>
    <row r="1436" spans="1:3">
      <c r="A1436">
        <v>1433</v>
      </c>
      <c r="B1436" s="12">
        <v>120388.98952838831</v>
      </c>
      <c r="C1436" s="12"/>
    </row>
    <row r="1437" spans="1:3">
      <c r="A1437">
        <v>1434</v>
      </c>
      <c r="B1437" s="12">
        <v>96472.425302285585</v>
      </c>
      <c r="C1437" s="12"/>
    </row>
    <row r="1438" spans="1:3">
      <c r="A1438">
        <v>1435</v>
      </c>
      <c r="B1438" s="12">
        <v>97387.812788791169</v>
      </c>
      <c r="C1438" s="12"/>
    </row>
    <row r="1439" spans="1:3">
      <c r="A1439">
        <v>1436</v>
      </c>
      <c r="B1439" s="12">
        <v>82541.061871615791</v>
      </c>
      <c r="C1439" s="12"/>
    </row>
    <row r="1440" spans="1:3">
      <c r="A1440">
        <v>1437</v>
      </c>
      <c r="B1440" s="12">
        <v>61258.869541515691</v>
      </c>
      <c r="C1440" s="12"/>
    </row>
    <row r="1441" spans="1:3">
      <c r="A1441">
        <v>1438</v>
      </c>
      <c r="B1441" s="12">
        <v>86897.617059310898</v>
      </c>
      <c r="C1441" s="12"/>
    </row>
    <row r="1442" spans="1:3">
      <c r="A1442">
        <v>1439</v>
      </c>
      <c r="B1442" s="12">
        <v>130348.12869699276</v>
      </c>
      <c r="C1442" s="12"/>
    </row>
    <row r="1443" spans="1:3">
      <c r="A1443">
        <v>1440</v>
      </c>
      <c r="B1443" s="12">
        <v>75310.519150711072</v>
      </c>
      <c r="C1443" s="12"/>
    </row>
    <row r="1444" spans="1:3">
      <c r="A1444">
        <v>1441</v>
      </c>
      <c r="B1444" s="12">
        <v>132178.61273032203</v>
      </c>
      <c r="C1444" s="12"/>
    </row>
    <row r="1445" spans="1:3">
      <c r="A1445">
        <v>1442</v>
      </c>
      <c r="B1445" s="12">
        <v>74984.52309641648</v>
      </c>
      <c r="C1445" s="12"/>
    </row>
    <row r="1446" spans="1:3">
      <c r="A1446">
        <v>1443</v>
      </c>
      <c r="B1446" s="12">
        <v>110426.95632004933</v>
      </c>
      <c r="C1446" s="12"/>
    </row>
    <row r="1447" spans="1:3">
      <c r="A1447">
        <v>1444</v>
      </c>
      <c r="B1447" s="12">
        <v>110662.56628827492</v>
      </c>
      <c r="C1447" s="12"/>
    </row>
    <row r="1448" spans="1:3">
      <c r="A1448">
        <v>1445</v>
      </c>
      <c r="B1448" s="12">
        <v>69386.234372478517</v>
      </c>
      <c r="C1448" s="12"/>
    </row>
    <row r="1449" spans="1:3">
      <c r="A1449">
        <v>1446</v>
      </c>
      <c r="B1449" s="12">
        <v>228771.3223126136</v>
      </c>
      <c r="C1449" s="12"/>
    </row>
    <row r="1450" spans="1:3">
      <c r="A1450">
        <v>1447</v>
      </c>
      <c r="B1450" s="12">
        <v>85284.568734744287</v>
      </c>
      <c r="C1450" s="12"/>
    </row>
    <row r="1451" spans="1:3">
      <c r="A1451">
        <v>1448</v>
      </c>
      <c r="B1451" s="12">
        <v>130013.77640368672</v>
      </c>
      <c r="C1451" s="12"/>
    </row>
    <row r="1452" spans="1:3">
      <c r="A1452">
        <v>1449</v>
      </c>
      <c r="B1452" s="12">
        <v>150260.95309474829</v>
      </c>
      <c r="C1452" s="12"/>
    </row>
    <row r="1453" spans="1:3">
      <c r="A1453">
        <v>1450</v>
      </c>
      <c r="B1453" s="12">
        <v>67518.370243348923</v>
      </c>
      <c r="C1453" s="12"/>
    </row>
    <row r="1454" spans="1:3">
      <c r="A1454">
        <v>1451</v>
      </c>
      <c r="B1454" s="12">
        <v>84534.061287683769</v>
      </c>
      <c r="C1454" s="12"/>
    </row>
    <row r="1455" spans="1:3">
      <c r="A1455">
        <v>1452</v>
      </c>
      <c r="B1455" s="12">
        <v>219247.53019846807</v>
      </c>
      <c r="C1455" s="12"/>
    </row>
    <row r="1456" spans="1:3">
      <c r="A1456">
        <v>1453</v>
      </c>
      <c r="B1456" s="12">
        <v>129692.71084088375</v>
      </c>
      <c r="C1456" s="12"/>
    </row>
    <row r="1457" spans="1:3">
      <c r="A1457">
        <v>1454</v>
      </c>
      <c r="B1457" s="12">
        <v>119825.38139890631</v>
      </c>
      <c r="C1457" s="12"/>
    </row>
    <row r="1458" spans="1:3">
      <c r="A1458">
        <v>1455</v>
      </c>
      <c r="B1458" s="12">
        <v>94948.938555752364</v>
      </c>
      <c r="C1458" s="12"/>
    </row>
    <row r="1459" spans="1:3">
      <c r="A1459">
        <v>1456</v>
      </c>
      <c r="B1459" s="12">
        <v>154340.81746873545</v>
      </c>
      <c r="C1459" s="12"/>
    </row>
    <row r="1460" spans="1:3">
      <c r="A1460">
        <v>1457</v>
      </c>
      <c r="B1460" s="12">
        <v>155619.34883099611</v>
      </c>
      <c r="C1460" s="12"/>
    </row>
    <row r="1461" spans="1:3">
      <c r="A1461">
        <v>1458</v>
      </c>
      <c r="B1461" s="12">
        <v>171679.42240033275</v>
      </c>
      <c r="C1461" s="12"/>
    </row>
    <row r="1462" spans="1:3">
      <c r="A1462">
        <v>1459</v>
      </c>
      <c r="B1462" s="12">
        <v>91919.582246808408</v>
      </c>
      <c r="C1462" s="12"/>
    </row>
    <row r="1463" spans="1:3">
      <c r="A1463">
        <v>1460</v>
      </c>
      <c r="B1463" s="12">
        <v>103796.60504577219</v>
      </c>
      <c r="C1463" s="12"/>
    </row>
    <row r="1464" spans="1:3">
      <c r="A1464">
        <v>1461</v>
      </c>
      <c r="B1464" s="12">
        <v>106631.2996497008</v>
      </c>
      <c r="C1464" s="12"/>
    </row>
    <row r="1465" spans="1:3">
      <c r="A1465">
        <v>1462</v>
      </c>
      <c r="B1465" s="12">
        <v>155303.24909642054</v>
      </c>
      <c r="C1465" s="12"/>
    </row>
    <row r="1466" spans="1:3">
      <c r="A1466">
        <v>1463</v>
      </c>
      <c r="B1466" s="12">
        <v>96354.200566018495</v>
      </c>
      <c r="C1466" s="12"/>
    </row>
    <row r="1467" spans="1:3">
      <c r="A1467">
        <v>1464</v>
      </c>
      <c r="B1467" s="12">
        <v>84783.828293379382</v>
      </c>
      <c r="C1467" s="12"/>
    </row>
    <row r="1468" spans="1:3">
      <c r="A1468">
        <v>1465</v>
      </c>
      <c r="B1468" s="12">
        <v>86986.162190213639</v>
      </c>
      <c r="C1468" s="12"/>
    </row>
    <row r="1469" spans="1:3">
      <c r="A1469">
        <v>1466</v>
      </c>
      <c r="B1469" s="12">
        <v>136545.7117409381</v>
      </c>
      <c r="C1469" s="12"/>
    </row>
    <row r="1470" spans="1:3">
      <c r="A1470">
        <v>1467</v>
      </c>
      <c r="B1470" s="12">
        <v>70276.095952896401</v>
      </c>
      <c r="C1470" s="12"/>
    </row>
    <row r="1471" spans="1:3">
      <c r="A1471">
        <v>1468</v>
      </c>
      <c r="B1471" s="12">
        <v>145414.45083420968</v>
      </c>
      <c r="C1471" s="12"/>
    </row>
    <row r="1472" spans="1:3">
      <c r="A1472">
        <v>1469</v>
      </c>
      <c r="B1472" s="12">
        <v>133667.5499155249</v>
      </c>
      <c r="C1472" s="12"/>
    </row>
    <row r="1473" spans="1:3">
      <c r="A1473">
        <v>1470</v>
      </c>
      <c r="B1473" s="12">
        <v>73221.780770096957</v>
      </c>
      <c r="C1473" s="12"/>
    </row>
    <row r="1474" spans="1:3">
      <c r="A1474">
        <v>1471</v>
      </c>
      <c r="B1474" s="12">
        <v>91024.175124363057</v>
      </c>
      <c r="C1474" s="12"/>
    </row>
    <row r="1475" spans="1:3">
      <c r="A1475">
        <v>1472</v>
      </c>
      <c r="B1475" s="12">
        <v>128637.08744539267</v>
      </c>
      <c r="C1475" s="12"/>
    </row>
    <row r="1476" spans="1:3">
      <c r="A1476">
        <v>1473</v>
      </c>
      <c r="B1476" s="12">
        <v>134340.87026518403</v>
      </c>
      <c r="C1476" s="12"/>
    </row>
    <row r="1477" spans="1:3">
      <c r="A1477">
        <v>1474</v>
      </c>
      <c r="B1477" s="12">
        <v>134107.52047475608</v>
      </c>
      <c r="C1477" s="12"/>
    </row>
    <row r="1478" spans="1:3">
      <c r="A1478">
        <v>1475</v>
      </c>
      <c r="B1478" s="12">
        <v>74619.884298791178</v>
      </c>
      <c r="C1478" s="12"/>
    </row>
    <row r="1479" spans="1:3">
      <c r="A1479">
        <v>1476</v>
      </c>
      <c r="B1479" s="12">
        <v>109501.51043966554</v>
      </c>
      <c r="C1479" s="12"/>
    </row>
    <row r="1480" spans="1:3">
      <c r="A1480">
        <v>1477</v>
      </c>
      <c r="B1480" s="12">
        <v>117042.32060884878</v>
      </c>
      <c r="C1480" s="12"/>
    </row>
    <row r="1481" spans="1:3">
      <c r="A1481">
        <v>1478</v>
      </c>
      <c r="B1481" s="12">
        <v>110040.91619289544</v>
      </c>
      <c r="C1481" s="12"/>
    </row>
    <row r="1482" spans="1:3">
      <c r="A1482">
        <v>1479</v>
      </c>
      <c r="B1482" s="12">
        <v>85835.205898354863</v>
      </c>
      <c r="C1482" s="12"/>
    </row>
    <row r="1483" spans="1:3">
      <c r="A1483">
        <v>1480</v>
      </c>
      <c r="B1483" s="12">
        <v>75482.207477389122</v>
      </c>
      <c r="C1483" s="12"/>
    </row>
    <row r="1484" spans="1:3">
      <c r="A1484">
        <v>1481</v>
      </c>
      <c r="B1484" s="12">
        <v>101638.44369565735</v>
      </c>
      <c r="C1484" s="12"/>
    </row>
    <row r="1485" spans="1:3">
      <c r="A1485">
        <v>1482</v>
      </c>
      <c r="B1485" s="12">
        <v>110141.75516655736</v>
      </c>
      <c r="C1485" s="12"/>
    </row>
    <row r="1486" spans="1:3">
      <c r="A1486">
        <v>1483</v>
      </c>
      <c r="B1486" s="12">
        <v>153191.14995131368</v>
      </c>
      <c r="C1486" s="12"/>
    </row>
    <row r="1487" spans="1:3">
      <c r="A1487">
        <v>1484</v>
      </c>
      <c r="B1487" s="12">
        <v>81689.322648954476</v>
      </c>
      <c r="C1487" s="12"/>
    </row>
    <row r="1488" spans="1:3">
      <c r="A1488">
        <v>1485</v>
      </c>
      <c r="B1488" s="12">
        <v>61013.237481319033</v>
      </c>
      <c r="C1488" s="12"/>
    </row>
    <row r="1489" spans="1:3">
      <c r="A1489">
        <v>1486</v>
      </c>
      <c r="B1489" s="12">
        <v>126455.98775402267</v>
      </c>
      <c r="C1489" s="12"/>
    </row>
    <row r="1490" spans="1:3">
      <c r="A1490">
        <v>1487</v>
      </c>
      <c r="B1490" s="12">
        <v>132906.63172945561</v>
      </c>
      <c r="C1490" s="12"/>
    </row>
    <row r="1491" spans="1:3">
      <c r="A1491">
        <v>1488</v>
      </c>
      <c r="B1491" s="12">
        <v>106504.90823198453</v>
      </c>
      <c r="C1491" s="12"/>
    </row>
    <row r="1492" spans="1:3">
      <c r="A1492">
        <v>1489</v>
      </c>
      <c r="B1492" s="12">
        <v>92166.572145916914</v>
      </c>
      <c r="C1492" s="12"/>
    </row>
    <row r="1493" spans="1:3">
      <c r="A1493">
        <v>1490</v>
      </c>
      <c r="B1493" s="12">
        <v>159364.57472093109</v>
      </c>
      <c r="C1493" s="12"/>
    </row>
    <row r="1494" spans="1:3">
      <c r="A1494">
        <v>1491</v>
      </c>
      <c r="B1494" s="12">
        <v>132798.27404279762</v>
      </c>
      <c r="C1494" s="12"/>
    </row>
    <row r="1495" spans="1:3">
      <c r="A1495">
        <v>1492</v>
      </c>
      <c r="B1495" s="12">
        <v>171444.90791205451</v>
      </c>
      <c r="C1495" s="12"/>
    </row>
    <row r="1496" spans="1:3">
      <c r="A1496">
        <v>1493</v>
      </c>
      <c r="B1496" s="12">
        <v>76647.945436088019</v>
      </c>
      <c r="C1496" s="12"/>
    </row>
    <row r="1497" spans="1:3">
      <c r="A1497">
        <v>1494</v>
      </c>
      <c r="B1497" s="12">
        <v>74183.513785938194</v>
      </c>
      <c r="C1497" s="12"/>
    </row>
    <row r="1498" spans="1:3">
      <c r="A1498">
        <v>1495</v>
      </c>
      <c r="B1498" s="12">
        <v>106664.25152456666</v>
      </c>
      <c r="C1498" s="12"/>
    </row>
    <row r="1499" spans="1:3">
      <c r="A1499">
        <v>1496</v>
      </c>
      <c r="B1499" s="12">
        <v>131594.11909437875</v>
      </c>
      <c r="C1499" s="12"/>
    </row>
    <row r="1500" spans="1:3">
      <c r="A1500">
        <v>1497</v>
      </c>
      <c r="B1500" s="12">
        <v>135363.29562167093</v>
      </c>
      <c r="C1500" s="12"/>
    </row>
    <row r="1501" spans="1:3">
      <c r="A1501">
        <v>1498</v>
      </c>
      <c r="B1501" s="12">
        <v>85942.269686496627</v>
      </c>
      <c r="C1501" s="12"/>
    </row>
    <row r="1502" spans="1:3">
      <c r="A1502">
        <v>1499</v>
      </c>
      <c r="B1502" s="12">
        <v>100601.13700572283</v>
      </c>
      <c r="C1502" s="12"/>
    </row>
    <row r="1503" spans="1:3">
      <c r="A1503">
        <v>1500</v>
      </c>
      <c r="B1503" s="12">
        <v>83875.629838082081</v>
      </c>
      <c r="C1503" s="12"/>
    </row>
    <row r="1504" spans="1:3">
      <c r="A1504">
        <v>1501</v>
      </c>
      <c r="B1504" s="12">
        <v>179098.30060928271</v>
      </c>
      <c r="C1504" s="12"/>
    </row>
    <row r="1505" spans="1:3">
      <c r="A1505">
        <v>1502</v>
      </c>
      <c r="B1505" s="12">
        <v>105840.8915387905</v>
      </c>
      <c r="C1505" s="12"/>
    </row>
    <row r="1506" spans="1:3">
      <c r="A1506">
        <v>1503</v>
      </c>
      <c r="B1506" s="12">
        <v>129509.88218126203</v>
      </c>
      <c r="C1506" s="12"/>
    </row>
    <row r="1507" spans="1:3">
      <c r="A1507">
        <v>1504</v>
      </c>
      <c r="B1507" s="12">
        <v>97179.323382546747</v>
      </c>
      <c r="C1507" s="12"/>
    </row>
    <row r="1508" spans="1:3">
      <c r="A1508">
        <v>1505</v>
      </c>
      <c r="B1508" s="12">
        <v>145779.21848029108</v>
      </c>
      <c r="C1508" s="12"/>
    </row>
    <row r="1509" spans="1:3">
      <c r="A1509">
        <v>1506</v>
      </c>
      <c r="B1509" s="12">
        <v>81037.468411931259</v>
      </c>
      <c r="C1509" s="12"/>
    </row>
    <row r="1510" spans="1:3">
      <c r="A1510">
        <v>1507</v>
      </c>
      <c r="B1510" s="12">
        <v>93753.253061140422</v>
      </c>
      <c r="C1510" s="12"/>
    </row>
    <row r="1511" spans="1:3">
      <c r="A1511">
        <v>1508</v>
      </c>
      <c r="B1511" s="12">
        <v>148138.92348464334</v>
      </c>
      <c r="C1511" s="12"/>
    </row>
    <row r="1512" spans="1:3">
      <c r="A1512">
        <v>1509</v>
      </c>
      <c r="B1512" s="12">
        <v>113872.04195230005</v>
      </c>
      <c r="C1512" s="12"/>
    </row>
    <row r="1513" spans="1:3">
      <c r="A1513">
        <v>1510</v>
      </c>
      <c r="B1513" s="12">
        <v>101484.31208950198</v>
      </c>
      <c r="C1513" s="12"/>
    </row>
    <row r="1514" spans="1:3">
      <c r="A1514">
        <v>1511</v>
      </c>
      <c r="B1514" s="12">
        <v>103539.87628274848</v>
      </c>
      <c r="C1514" s="12"/>
    </row>
    <row r="1515" spans="1:3">
      <c r="A1515">
        <v>1512</v>
      </c>
      <c r="B1515" s="12">
        <v>89474.235224626173</v>
      </c>
      <c r="C1515" s="12"/>
    </row>
    <row r="1516" spans="1:3">
      <c r="A1516">
        <v>1513</v>
      </c>
      <c r="B1516" s="12">
        <v>97008.516277204981</v>
      </c>
      <c r="C1516" s="12"/>
    </row>
    <row r="1517" spans="1:3">
      <c r="A1517">
        <v>1514</v>
      </c>
      <c r="B1517" s="12">
        <v>90584.876108519922</v>
      </c>
      <c r="C1517" s="12"/>
    </row>
    <row r="1518" spans="1:3">
      <c r="A1518">
        <v>1515</v>
      </c>
      <c r="B1518" s="12">
        <v>161981.71154150393</v>
      </c>
      <c r="C1518" s="12"/>
    </row>
    <row r="1519" spans="1:3">
      <c r="A1519">
        <v>1516</v>
      </c>
      <c r="B1519" s="12">
        <v>112916.95245452369</v>
      </c>
      <c r="C1519" s="12"/>
    </row>
    <row r="1520" spans="1:3">
      <c r="A1520">
        <v>1517</v>
      </c>
      <c r="B1520" s="12">
        <v>151584.10709898511</v>
      </c>
      <c r="C1520" s="12"/>
    </row>
    <row r="1521" spans="1:3">
      <c r="A1521">
        <v>1518</v>
      </c>
      <c r="B1521" s="12">
        <v>99798.212571713215</v>
      </c>
      <c r="C1521" s="12"/>
    </row>
    <row r="1522" spans="1:3">
      <c r="A1522">
        <v>1519</v>
      </c>
      <c r="B1522" s="12">
        <v>144976.77793514694</v>
      </c>
      <c r="C1522" s="12"/>
    </row>
    <row r="1523" spans="1:3">
      <c r="A1523">
        <v>1520</v>
      </c>
      <c r="B1523" s="12">
        <v>80419.040040073101</v>
      </c>
      <c r="C1523" s="12"/>
    </row>
    <row r="1524" spans="1:3">
      <c r="A1524">
        <v>1521</v>
      </c>
      <c r="B1524" s="12">
        <v>129616.11641941176</v>
      </c>
      <c r="C1524" s="12"/>
    </row>
    <row r="1525" spans="1:3">
      <c r="A1525">
        <v>1522</v>
      </c>
      <c r="B1525" s="12">
        <v>87298.205687090202</v>
      </c>
      <c r="C1525" s="12"/>
    </row>
    <row r="1526" spans="1:3">
      <c r="A1526">
        <v>1523</v>
      </c>
      <c r="B1526" s="12">
        <v>121883.78770233237</v>
      </c>
      <c r="C1526" s="12"/>
    </row>
    <row r="1527" spans="1:3">
      <c r="A1527">
        <v>1524</v>
      </c>
      <c r="B1527" s="12">
        <v>60236.815175652046</v>
      </c>
      <c r="C1527" s="12"/>
    </row>
    <row r="1528" spans="1:3">
      <c r="A1528">
        <v>1525</v>
      </c>
      <c r="B1528" s="12">
        <v>75622.887932237762</v>
      </c>
      <c r="C1528" s="12"/>
    </row>
    <row r="1529" spans="1:3">
      <c r="A1529">
        <v>1526</v>
      </c>
      <c r="B1529" s="12">
        <v>68564.282269842908</v>
      </c>
      <c r="C1529" s="12"/>
    </row>
    <row r="1530" spans="1:3">
      <c r="A1530">
        <v>1527</v>
      </c>
      <c r="B1530" s="12">
        <v>184716.16760991019</v>
      </c>
      <c r="C1530" s="12"/>
    </row>
    <row r="1531" spans="1:3">
      <c r="A1531">
        <v>1528</v>
      </c>
      <c r="B1531" s="12">
        <v>58242.438306790733</v>
      </c>
      <c r="C1531" s="12"/>
    </row>
    <row r="1532" spans="1:3">
      <c r="A1532">
        <v>1529</v>
      </c>
      <c r="B1532" s="12">
        <v>118257.99898895335</v>
      </c>
      <c r="C1532" s="12"/>
    </row>
    <row r="1533" spans="1:3">
      <c r="A1533">
        <v>1530</v>
      </c>
      <c r="B1533" s="12">
        <v>71599.578094444267</v>
      </c>
      <c r="C1533" s="12"/>
    </row>
    <row r="1534" spans="1:3">
      <c r="A1534">
        <v>1531</v>
      </c>
      <c r="B1534" s="12">
        <v>137634.19052052865</v>
      </c>
      <c r="C1534" s="12"/>
    </row>
    <row r="1535" spans="1:3">
      <c r="A1535">
        <v>1532</v>
      </c>
      <c r="B1535" s="12">
        <v>57967.631670868519</v>
      </c>
      <c r="C1535" s="12"/>
    </row>
    <row r="1536" spans="1:3">
      <c r="A1536">
        <v>1533</v>
      </c>
      <c r="B1536" s="12">
        <v>90747.031610054677</v>
      </c>
      <c r="C1536" s="12"/>
    </row>
    <row r="1537" spans="1:3">
      <c r="A1537">
        <v>1534</v>
      </c>
      <c r="B1537" s="12">
        <v>130667.40949604989</v>
      </c>
      <c r="C1537" s="12"/>
    </row>
    <row r="1538" spans="1:3">
      <c r="A1538">
        <v>1535</v>
      </c>
      <c r="B1538" s="12">
        <v>103262.9606103648</v>
      </c>
      <c r="C1538" s="12"/>
    </row>
    <row r="1539" spans="1:3">
      <c r="A1539">
        <v>1536</v>
      </c>
      <c r="B1539" s="12">
        <v>171054.65280285379</v>
      </c>
      <c r="C1539" s="12"/>
    </row>
    <row r="1540" spans="1:3">
      <c r="A1540">
        <v>1537</v>
      </c>
      <c r="B1540" s="12">
        <v>91716.777609560551</v>
      </c>
      <c r="C1540" s="12"/>
    </row>
    <row r="1541" spans="1:3">
      <c r="A1541">
        <v>1538</v>
      </c>
      <c r="B1541" s="12">
        <v>117702.94178206257</v>
      </c>
      <c r="C1541" s="12"/>
    </row>
    <row r="1542" spans="1:3">
      <c r="A1542">
        <v>1539</v>
      </c>
      <c r="B1542" s="12">
        <v>173800.37423530221</v>
      </c>
      <c r="C1542" s="12"/>
    </row>
    <row r="1543" spans="1:3">
      <c r="A1543">
        <v>1540</v>
      </c>
      <c r="B1543" s="12">
        <v>102758.73555513729</v>
      </c>
      <c r="C1543" s="12"/>
    </row>
    <row r="1544" spans="1:3">
      <c r="A1544">
        <v>1541</v>
      </c>
      <c r="B1544" s="12">
        <v>159743.49198680586</v>
      </c>
      <c r="C1544" s="12"/>
    </row>
    <row r="1545" spans="1:3">
      <c r="A1545">
        <v>1542</v>
      </c>
      <c r="B1545" s="12">
        <v>89978.259615843985</v>
      </c>
      <c r="C1545" s="12"/>
    </row>
    <row r="1546" spans="1:3">
      <c r="A1546">
        <v>1543</v>
      </c>
      <c r="B1546" s="12">
        <v>137465.74204428284</v>
      </c>
      <c r="C1546" s="12"/>
    </row>
    <row r="1547" spans="1:3">
      <c r="A1547">
        <v>1544</v>
      </c>
      <c r="B1547" s="12">
        <v>171508.14172426439</v>
      </c>
      <c r="C1547" s="12"/>
    </row>
    <row r="1548" spans="1:3">
      <c r="A1548">
        <v>1545</v>
      </c>
      <c r="B1548" s="12">
        <v>132401.39777816407</v>
      </c>
      <c r="C1548" s="12"/>
    </row>
    <row r="1549" spans="1:3">
      <c r="A1549">
        <v>1546</v>
      </c>
      <c r="B1549" s="12">
        <v>107941.51079459369</v>
      </c>
      <c r="C1549" s="12"/>
    </row>
    <row r="1550" spans="1:3">
      <c r="A1550">
        <v>1547</v>
      </c>
      <c r="B1550" s="12">
        <v>122291.53685285426</v>
      </c>
      <c r="C1550" s="12"/>
    </row>
    <row r="1551" spans="1:3">
      <c r="A1551">
        <v>1548</v>
      </c>
      <c r="B1551" s="12">
        <v>108978.16216681068</v>
      </c>
      <c r="C1551" s="12"/>
    </row>
    <row r="1552" spans="1:3">
      <c r="A1552">
        <v>1549</v>
      </c>
      <c r="B1552" s="12">
        <v>83554.277856235203</v>
      </c>
      <c r="C1552" s="12"/>
    </row>
    <row r="1553" spans="1:3">
      <c r="A1553">
        <v>1550</v>
      </c>
      <c r="B1553" s="12">
        <v>66320.180891065043</v>
      </c>
      <c r="C1553" s="12"/>
    </row>
    <row r="1554" spans="1:3">
      <c r="A1554">
        <v>1551</v>
      </c>
      <c r="B1554" s="12">
        <v>63583.037025839098</v>
      </c>
      <c r="C1554" s="12"/>
    </row>
    <row r="1555" spans="1:3">
      <c r="A1555">
        <v>1552</v>
      </c>
      <c r="B1555" s="12">
        <v>98762.253543659259</v>
      </c>
      <c r="C1555" s="12"/>
    </row>
    <row r="1556" spans="1:3">
      <c r="A1556">
        <v>1553</v>
      </c>
      <c r="B1556" s="12">
        <v>92127.292754420821</v>
      </c>
      <c r="C1556" s="12"/>
    </row>
    <row r="1557" spans="1:3">
      <c r="A1557">
        <v>1554</v>
      </c>
      <c r="B1557" s="12">
        <v>151720.36887039038</v>
      </c>
      <c r="C1557" s="12"/>
    </row>
    <row r="1558" spans="1:3">
      <c r="A1558">
        <v>1555</v>
      </c>
      <c r="B1558" s="12">
        <v>73726.541283730898</v>
      </c>
      <c r="C1558" s="12"/>
    </row>
    <row r="1559" spans="1:3">
      <c r="A1559">
        <v>1556</v>
      </c>
      <c r="B1559" s="12">
        <v>118728.32974071609</v>
      </c>
      <c r="C1559" s="12"/>
    </row>
    <row r="1560" spans="1:3">
      <c r="A1560">
        <v>1557</v>
      </c>
      <c r="B1560" s="12">
        <v>116239.98049931334</v>
      </c>
      <c r="C1560" s="12"/>
    </row>
    <row r="1561" spans="1:3">
      <c r="A1561">
        <v>1558</v>
      </c>
      <c r="B1561" s="12">
        <v>137685.73146538748</v>
      </c>
      <c r="C1561" s="12"/>
    </row>
    <row r="1562" spans="1:3">
      <c r="A1562">
        <v>1559</v>
      </c>
      <c r="B1562" s="12">
        <v>121130.98960552085</v>
      </c>
      <c r="C1562" s="12"/>
    </row>
    <row r="1563" spans="1:3">
      <c r="A1563">
        <v>1560</v>
      </c>
      <c r="B1563" s="12">
        <v>140569.83983437749</v>
      </c>
      <c r="C1563" s="12"/>
    </row>
    <row r="1564" spans="1:3">
      <c r="A1564">
        <v>1561</v>
      </c>
      <c r="B1564" s="12">
        <v>79176.849951202574</v>
      </c>
      <c r="C1564" s="12"/>
    </row>
    <row r="1565" spans="1:3">
      <c r="A1565">
        <v>1562</v>
      </c>
      <c r="B1565" s="12">
        <v>88645.558308602238</v>
      </c>
      <c r="C1565" s="12"/>
    </row>
    <row r="1566" spans="1:3">
      <c r="A1566">
        <v>1563</v>
      </c>
      <c r="B1566" s="12">
        <v>89399.616924686692</v>
      </c>
      <c r="C1566" s="12"/>
    </row>
    <row r="1567" spans="1:3">
      <c r="A1567">
        <v>1564</v>
      </c>
      <c r="B1567" s="12">
        <v>120441.57432702593</v>
      </c>
      <c r="C1567" s="12"/>
    </row>
    <row r="1568" spans="1:3">
      <c r="A1568">
        <v>1565</v>
      </c>
      <c r="B1568" s="12">
        <v>99635.686828503458</v>
      </c>
      <c r="C1568" s="12"/>
    </row>
    <row r="1569" spans="1:3">
      <c r="A1569">
        <v>1566</v>
      </c>
      <c r="B1569" s="12">
        <v>137178.93380377803</v>
      </c>
      <c r="C1569" s="12"/>
    </row>
    <row r="1570" spans="1:3">
      <c r="A1570">
        <v>1567</v>
      </c>
      <c r="B1570" s="12">
        <v>132372.8516672157</v>
      </c>
      <c r="C1570" s="12"/>
    </row>
    <row r="1571" spans="1:3">
      <c r="A1571">
        <v>1568</v>
      </c>
      <c r="B1571" s="12">
        <v>117524.07295358457</v>
      </c>
      <c r="C1571" s="12"/>
    </row>
    <row r="1572" spans="1:3">
      <c r="A1572">
        <v>1569</v>
      </c>
      <c r="B1572" s="12">
        <v>210479.82765065829</v>
      </c>
      <c r="C1572" s="12"/>
    </row>
    <row r="1573" spans="1:3">
      <c r="A1573">
        <v>1570</v>
      </c>
      <c r="B1573" s="12">
        <v>108838.13887476845</v>
      </c>
      <c r="C1573" s="12"/>
    </row>
    <row r="1574" spans="1:3">
      <c r="A1574">
        <v>1571</v>
      </c>
      <c r="B1574" s="12">
        <v>62263.046510996093</v>
      </c>
      <c r="C1574" s="12"/>
    </row>
    <row r="1575" spans="1:3">
      <c r="A1575">
        <v>1572</v>
      </c>
      <c r="B1575" s="12">
        <v>104082.01672190323</v>
      </c>
      <c r="C1575" s="12"/>
    </row>
    <row r="1576" spans="1:3">
      <c r="A1576">
        <v>1573</v>
      </c>
      <c r="B1576" s="12">
        <v>90912.796461913298</v>
      </c>
      <c r="C1576" s="12"/>
    </row>
    <row r="1577" spans="1:3">
      <c r="A1577">
        <v>1574</v>
      </c>
      <c r="B1577" s="12">
        <v>115514.7417627297</v>
      </c>
      <c r="C1577" s="12"/>
    </row>
    <row r="1578" spans="1:3">
      <c r="A1578">
        <v>1575</v>
      </c>
      <c r="B1578" s="12">
        <v>133502.97624779757</v>
      </c>
      <c r="C1578" s="12"/>
    </row>
    <row r="1579" spans="1:3">
      <c r="A1579">
        <v>1576</v>
      </c>
      <c r="B1579" s="12">
        <v>122936.10085033048</v>
      </c>
      <c r="C1579" s="12"/>
    </row>
    <row r="1580" spans="1:3">
      <c r="A1580">
        <v>1577</v>
      </c>
      <c r="B1580" s="12">
        <v>87648.007031768211</v>
      </c>
      <c r="C1580" s="12"/>
    </row>
    <row r="1581" spans="1:3">
      <c r="A1581">
        <v>1578</v>
      </c>
      <c r="B1581" s="12">
        <v>153776.61982345334</v>
      </c>
      <c r="C1581" s="12"/>
    </row>
    <row r="1582" spans="1:3">
      <c r="A1582">
        <v>1579</v>
      </c>
      <c r="B1582" s="12">
        <v>159453.81569610295</v>
      </c>
      <c r="C1582" s="12"/>
    </row>
    <row r="1583" spans="1:3">
      <c r="A1583">
        <v>1580</v>
      </c>
      <c r="B1583" s="12">
        <v>97285.013856742007</v>
      </c>
      <c r="C1583" s="12"/>
    </row>
    <row r="1584" spans="1:3">
      <c r="A1584">
        <v>1581</v>
      </c>
      <c r="B1584" s="12">
        <v>78609.122404944865</v>
      </c>
      <c r="C1584" s="12"/>
    </row>
    <row r="1585" spans="1:3">
      <c r="A1585">
        <v>1582</v>
      </c>
      <c r="B1585" s="12">
        <v>125916.76567952946</v>
      </c>
      <c r="C1585" s="12"/>
    </row>
    <row r="1586" spans="1:3">
      <c r="A1586">
        <v>1583</v>
      </c>
      <c r="B1586" s="12">
        <v>92250.690083296897</v>
      </c>
      <c r="C1586" s="12"/>
    </row>
    <row r="1587" spans="1:3">
      <c r="A1587">
        <v>1584</v>
      </c>
      <c r="B1587" s="12">
        <v>95627.188921953202</v>
      </c>
      <c r="C1587" s="12"/>
    </row>
    <row r="1588" spans="1:3">
      <c r="A1588">
        <v>1585</v>
      </c>
      <c r="B1588" s="12">
        <v>101439.96342168798</v>
      </c>
      <c r="C1588" s="12"/>
    </row>
    <row r="1589" spans="1:3">
      <c r="A1589">
        <v>1586</v>
      </c>
      <c r="B1589" s="12">
        <v>91760.125118130745</v>
      </c>
      <c r="C1589" s="12"/>
    </row>
    <row r="1590" spans="1:3">
      <c r="A1590">
        <v>1587</v>
      </c>
      <c r="B1590" s="12">
        <v>160793.21504923768</v>
      </c>
      <c r="C1590" s="12"/>
    </row>
    <row r="1591" spans="1:3">
      <c r="A1591">
        <v>1588</v>
      </c>
      <c r="B1591" s="12">
        <v>139760.33967726026</v>
      </c>
      <c r="C1591" s="12"/>
    </row>
    <row r="1592" spans="1:3">
      <c r="A1592">
        <v>1589</v>
      </c>
      <c r="B1592" s="12">
        <v>99402.098480990055</v>
      </c>
      <c r="C1592" s="12"/>
    </row>
    <row r="1593" spans="1:3">
      <c r="A1593">
        <v>1590</v>
      </c>
      <c r="B1593" s="12">
        <v>65587.015474317406</v>
      </c>
      <c r="C1593" s="12"/>
    </row>
    <row r="1594" spans="1:3">
      <c r="A1594">
        <v>1591</v>
      </c>
      <c r="B1594" s="12">
        <v>148353.88170745957</v>
      </c>
      <c r="C1594" s="12"/>
    </row>
    <row r="1595" spans="1:3">
      <c r="A1595">
        <v>1592</v>
      </c>
      <c r="B1595" s="12">
        <v>101142.02669482822</v>
      </c>
      <c r="C1595" s="12"/>
    </row>
    <row r="1596" spans="1:3">
      <c r="A1596">
        <v>1593</v>
      </c>
      <c r="B1596" s="12">
        <v>84918.905873079464</v>
      </c>
      <c r="C1596" s="12"/>
    </row>
    <row r="1597" spans="1:3">
      <c r="A1597">
        <v>1594</v>
      </c>
      <c r="B1597" s="12">
        <v>154312.97752450174</v>
      </c>
      <c r="C1597" s="12"/>
    </row>
    <row r="1598" spans="1:3">
      <c r="A1598">
        <v>1595</v>
      </c>
      <c r="B1598" s="12">
        <v>116111.28094560455</v>
      </c>
      <c r="C1598" s="12"/>
    </row>
    <row r="1599" spans="1:3">
      <c r="A1599">
        <v>1596</v>
      </c>
      <c r="B1599" s="12">
        <v>82170.192059483787</v>
      </c>
      <c r="C1599" s="12"/>
    </row>
    <row r="1600" spans="1:3">
      <c r="A1600">
        <v>1597</v>
      </c>
      <c r="B1600" s="12">
        <v>135892.17981732445</v>
      </c>
      <c r="C1600" s="12"/>
    </row>
    <row r="1601" spans="1:3">
      <c r="A1601">
        <v>1598</v>
      </c>
      <c r="B1601" s="12">
        <v>148202.38928860321</v>
      </c>
      <c r="C1601" s="12"/>
    </row>
    <row r="1602" spans="1:3">
      <c r="A1602">
        <v>1599</v>
      </c>
      <c r="B1602" s="12">
        <v>83963.439697147507</v>
      </c>
      <c r="C1602" s="12"/>
    </row>
    <row r="1603" spans="1:3">
      <c r="A1603">
        <v>1600</v>
      </c>
      <c r="B1603" s="12">
        <v>120937.92616336398</v>
      </c>
      <c r="C1603" s="12"/>
    </row>
    <row r="1604" spans="1:3">
      <c r="A1604">
        <v>1601</v>
      </c>
      <c r="B1604" s="12">
        <v>80669.105142076034</v>
      </c>
      <c r="C1604" s="12"/>
    </row>
    <row r="1605" spans="1:3">
      <c r="A1605">
        <v>1602</v>
      </c>
      <c r="B1605" s="12">
        <v>80706.344649936116</v>
      </c>
      <c r="C1605" s="12"/>
    </row>
    <row r="1606" spans="1:3">
      <c r="A1606">
        <v>1603</v>
      </c>
      <c r="B1606" s="12">
        <v>134627.08283578369</v>
      </c>
      <c r="C1606" s="12"/>
    </row>
    <row r="1607" spans="1:3">
      <c r="A1607">
        <v>1604</v>
      </c>
      <c r="B1607" s="12">
        <v>118511.53694302139</v>
      </c>
      <c r="C1607" s="12"/>
    </row>
    <row r="1608" spans="1:3">
      <c r="A1608">
        <v>1605</v>
      </c>
      <c r="B1608" s="12">
        <v>177553.17467034623</v>
      </c>
      <c r="C1608" s="12"/>
    </row>
    <row r="1609" spans="1:3">
      <c r="A1609">
        <v>1606</v>
      </c>
      <c r="B1609" s="12">
        <v>145262.87903225262</v>
      </c>
      <c r="C1609" s="12"/>
    </row>
    <row r="1610" spans="1:3">
      <c r="A1610">
        <v>1607</v>
      </c>
      <c r="B1610" s="12">
        <v>88108.365339224329</v>
      </c>
      <c r="C1610" s="12"/>
    </row>
    <row r="1611" spans="1:3">
      <c r="A1611">
        <v>1608</v>
      </c>
      <c r="B1611" s="12">
        <v>117759.71731907186</v>
      </c>
      <c r="C1611" s="12"/>
    </row>
    <row r="1612" spans="1:3">
      <c r="A1612">
        <v>1609</v>
      </c>
      <c r="B1612" s="12">
        <v>144104.37568402186</v>
      </c>
      <c r="C1612" s="12"/>
    </row>
    <row r="1613" spans="1:3">
      <c r="A1613">
        <v>1610</v>
      </c>
      <c r="B1613" s="12">
        <v>178168.78725528222</v>
      </c>
      <c r="C1613" s="12"/>
    </row>
    <row r="1614" spans="1:3">
      <c r="A1614">
        <v>1611</v>
      </c>
      <c r="B1614" s="12">
        <v>115889.13105934531</v>
      </c>
      <c r="C1614" s="12"/>
    </row>
    <row r="1615" spans="1:3">
      <c r="A1615">
        <v>1612</v>
      </c>
      <c r="B1615" s="12">
        <v>102419.75774740157</v>
      </c>
      <c r="C1615" s="12"/>
    </row>
    <row r="1616" spans="1:3">
      <c r="A1616">
        <v>1613</v>
      </c>
      <c r="B1616" s="12">
        <v>92966.524702416529</v>
      </c>
      <c r="C1616" s="12"/>
    </row>
    <row r="1617" spans="1:3">
      <c r="A1617">
        <v>1614</v>
      </c>
      <c r="B1617" s="12">
        <v>94469.478133500874</v>
      </c>
      <c r="C1617" s="12"/>
    </row>
    <row r="1618" spans="1:3">
      <c r="A1618">
        <v>1615</v>
      </c>
      <c r="B1618" s="12">
        <v>99051.366776686511</v>
      </c>
      <c r="C1618" s="12"/>
    </row>
    <row r="1619" spans="1:3">
      <c r="A1619">
        <v>1616</v>
      </c>
      <c r="B1619" s="12">
        <v>79904.608433123096</v>
      </c>
      <c r="C1619" s="12"/>
    </row>
    <row r="1620" spans="1:3">
      <c r="A1620">
        <v>1617</v>
      </c>
      <c r="B1620" s="12">
        <v>103732.1257439589</v>
      </c>
      <c r="C1620" s="12"/>
    </row>
    <row r="1621" spans="1:3">
      <c r="A1621">
        <v>1618</v>
      </c>
      <c r="B1621" s="12">
        <v>131621.72377496038</v>
      </c>
      <c r="C1621" s="12"/>
    </row>
    <row r="1622" spans="1:3">
      <c r="A1622">
        <v>1619</v>
      </c>
      <c r="B1622" s="12">
        <v>91504.711850500738</v>
      </c>
      <c r="C1622" s="12"/>
    </row>
    <row r="1623" spans="1:3">
      <c r="A1623">
        <v>1620</v>
      </c>
      <c r="B1623" s="12">
        <v>148080.73408727182</v>
      </c>
      <c r="C1623" s="12"/>
    </row>
    <row r="1624" spans="1:3">
      <c r="A1624">
        <v>1621</v>
      </c>
      <c r="B1624" s="12">
        <v>112007.38475531986</v>
      </c>
      <c r="C1624" s="12"/>
    </row>
    <row r="1625" spans="1:3">
      <c r="A1625">
        <v>1622</v>
      </c>
      <c r="B1625" s="12">
        <v>108161.43231629128</v>
      </c>
      <c r="C1625" s="12"/>
    </row>
    <row r="1626" spans="1:3">
      <c r="A1626">
        <v>1623</v>
      </c>
      <c r="B1626" s="12">
        <v>96338.069446037509</v>
      </c>
      <c r="C1626" s="12"/>
    </row>
    <row r="1627" spans="1:3">
      <c r="A1627">
        <v>1624</v>
      </c>
      <c r="B1627" s="12">
        <v>117309.70199242869</v>
      </c>
      <c r="C1627" s="12"/>
    </row>
    <row r="1628" spans="1:3">
      <c r="A1628">
        <v>1625</v>
      </c>
      <c r="B1628" s="12">
        <v>115319.81459006724</v>
      </c>
      <c r="C1628" s="12"/>
    </row>
    <row r="1629" spans="1:3">
      <c r="A1629">
        <v>1626</v>
      </c>
      <c r="B1629" s="12">
        <v>127229.39318176023</v>
      </c>
      <c r="C1629" s="12"/>
    </row>
    <row r="1630" spans="1:3">
      <c r="A1630">
        <v>1627</v>
      </c>
      <c r="B1630" s="12">
        <v>69317.461475436969</v>
      </c>
      <c r="C1630" s="12"/>
    </row>
    <row r="1631" spans="1:3">
      <c r="A1631">
        <v>1628</v>
      </c>
      <c r="B1631" s="12">
        <v>130686.95355082183</v>
      </c>
      <c r="C1631" s="12"/>
    </row>
    <row r="1632" spans="1:3">
      <c r="A1632">
        <v>1629</v>
      </c>
      <c r="B1632" s="12">
        <v>97923.556630105624</v>
      </c>
      <c r="C1632" s="12"/>
    </row>
    <row r="1633" spans="1:3">
      <c r="A1633">
        <v>1630</v>
      </c>
      <c r="B1633" s="12">
        <v>138529.45716496801</v>
      </c>
      <c r="C1633" s="12"/>
    </row>
    <row r="1634" spans="1:3">
      <c r="A1634">
        <v>1631</v>
      </c>
      <c r="B1634" s="12">
        <v>92863.604864876252</v>
      </c>
      <c r="C1634" s="12"/>
    </row>
    <row r="1635" spans="1:3">
      <c r="A1635">
        <v>1632</v>
      </c>
      <c r="B1635" s="12">
        <v>136350.95612627547</v>
      </c>
      <c r="C1635" s="12"/>
    </row>
    <row r="1636" spans="1:3">
      <c r="A1636">
        <v>1633</v>
      </c>
      <c r="B1636" s="12">
        <v>162950.3904585946</v>
      </c>
      <c r="C1636" s="12"/>
    </row>
    <row r="1637" spans="1:3">
      <c r="A1637">
        <v>1634</v>
      </c>
      <c r="B1637" s="12">
        <v>120680.67393647876</v>
      </c>
      <c r="C1637" s="12"/>
    </row>
    <row r="1638" spans="1:3">
      <c r="A1638">
        <v>1635</v>
      </c>
      <c r="B1638" s="12">
        <v>131183.40475283045</v>
      </c>
      <c r="C1638" s="12"/>
    </row>
    <row r="1639" spans="1:3">
      <c r="A1639">
        <v>1636</v>
      </c>
      <c r="B1639" s="12">
        <v>93108.764539770287</v>
      </c>
      <c r="C1639" s="12"/>
    </row>
    <row r="1640" spans="1:3">
      <c r="A1640">
        <v>1637</v>
      </c>
      <c r="B1640" s="12">
        <v>101929.89169806748</v>
      </c>
      <c r="C1640" s="12"/>
    </row>
    <row r="1641" spans="1:3">
      <c r="A1641">
        <v>1638</v>
      </c>
      <c r="B1641" s="12">
        <v>101562.55989069318</v>
      </c>
      <c r="C1641" s="12"/>
    </row>
    <row r="1642" spans="1:3">
      <c r="A1642">
        <v>1639</v>
      </c>
      <c r="B1642" s="12">
        <v>137649.65610843056</v>
      </c>
      <c r="C1642" s="12"/>
    </row>
    <row r="1643" spans="1:3">
      <c r="A1643">
        <v>1640</v>
      </c>
      <c r="B1643" s="12">
        <v>92677.878614885965</v>
      </c>
      <c r="C1643" s="12"/>
    </row>
    <row r="1644" spans="1:3">
      <c r="A1644">
        <v>1641</v>
      </c>
      <c r="B1644" s="12">
        <v>99953.794100785977</v>
      </c>
      <c r="C1644" s="12"/>
    </row>
    <row r="1645" spans="1:3">
      <c r="A1645">
        <v>1642</v>
      </c>
      <c r="B1645" s="12">
        <v>118087.23374476851</v>
      </c>
      <c r="C1645" s="12"/>
    </row>
    <row r="1646" spans="1:3">
      <c r="A1646">
        <v>1643</v>
      </c>
      <c r="B1646" s="12">
        <v>117368.92273553609</v>
      </c>
      <c r="C1646" s="12"/>
    </row>
    <row r="1647" spans="1:3">
      <c r="A1647">
        <v>1644</v>
      </c>
      <c r="B1647" s="12">
        <v>111653.4524311805</v>
      </c>
      <c r="C1647" s="12"/>
    </row>
    <row r="1648" spans="1:3">
      <c r="A1648">
        <v>1645</v>
      </c>
      <c r="B1648" s="12">
        <v>269999.98693645466</v>
      </c>
      <c r="C1648" s="12"/>
    </row>
    <row r="1649" spans="1:3">
      <c r="A1649">
        <v>1646</v>
      </c>
      <c r="B1649" s="12">
        <v>100540.47259175334</v>
      </c>
      <c r="C1649" s="12"/>
    </row>
    <row r="1650" spans="1:3">
      <c r="A1650">
        <v>1647</v>
      </c>
      <c r="B1650" s="12">
        <v>237093.47300396211</v>
      </c>
      <c r="C1650" s="12"/>
    </row>
    <row r="1651" spans="1:3">
      <c r="A1651">
        <v>1648</v>
      </c>
      <c r="B1651" s="12">
        <v>97021.765178013637</v>
      </c>
      <c r="C1651" s="12"/>
    </row>
    <row r="1652" spans="1:3">
      <c r="A1652">
        <v>1649</v>
      </c>
      <c r="B1652" s="12">
        <v>67087.149925629434</v>
      </c>
      <c r="C1652" s="12"/>
    </row>
    <row r="1653" spans="1:3">
      <c r="A1653">
        <v>1650</v>
      </c>
      <c r="B1653" s="12">
        <v>70208.721567730594</v>
      </c>
      <c r="C1653" s="12"/>
    </row>
    <row r="1654" spans="1:3">
      <c r="A1654">
        <v>1651</v>
      </c>
      <c r="B1654" s="12">
        <v>88441.131727080676</v>
      </c>
      <c r="C1654" s="12"/>
    </row>
    <row r="1655" spans="1:3">
      <c r="A1655">
        <v>1652</v>
      </c>
      <c r="B1655" s="12">
        <v>85016.063438698853</v>
      </c>
      <c r="C1655" s="12"/>
    </row>
    <row r="1656" spans="1:3">
      <c r="A1656">
        <v>1653</v>
      </c>
      <c r="B1656" s="12">
        <v>114608.76696417565</v>
      </c>
      <c r="C1656" s="12"/>
    </row>
    <row r="1657" spans="1:3">
      <c r="A1657">
        <v>1654</v>
      </c>
      <c r="B1657" s="12">
        <v>77671.195596970734</v>
      </c>
      <c r="C1657" s="12"/>
    </row>
    <row r="1658" spans="1:3">
      <c r="A1658">
        <v>1655</v>
      </c>
      <c r="B1658" s="12">
        <v>137874.57313755664</v>
      </c>
      <c r="C1658" s="12"/>
    </row>
    <row r="1659" spans="1:3">
      <c r="A1659">
        <v>1656</v>
      </c>
      <c r="B1659" s="12">
        <v>80056.229155690962</v>
      </c>
      <c r="C1659" s="12"/>
    </row>
    <row r="1660" spans="1:3">
      <c r="A1660">
        <v>1657</v>
      </c>
      <c r="B1660" s="12">
        <v>94458.945010017153</v>
      </c>
      <c r="C1660" s="12"/>
    </row>
    <row r="1661" spans="1:3">
      <c r="A1661">
        <v>1658</v>
      </c>
      <c r="B1661" s="12">
        <v>89565.30196762766</v>
      </c>
      <c r="C1661" s="12"/>
    </row>
    <row r="1662" spans="1:3">
      <c r="A1662">
        <v>1659</v>
      </c>
      <c r="B1662" s="12">
        <v>169903.67550854004</v>
      </c>
      <c r="C1662" s="12"/>
    </row>
    <row r="1663" spans="1:3">
      <c r="A1663">
        <v>1660</v>
      </c>
      <c r="B1663" s="12">
        <v>103912.45265314393</v>
      </c>
      <c r="C1663" s="12"/>
    </row>
    <row r="1664" spans="1:3">
      <c r="A1664">
        <v>1661</v>
      </c>
      <c r="B1664" s="12">
        <v>112799.32557980125</v>
      </c>
      <c r="C1664" s="12"/>
    </row>
    <row r="1665" spans="1:3">
      <c r="A1665">
        <v>1662</v>
      </c>
      <c r="B1665" s="12">
        <v>97009.329816969854</v>
      </c>
      <c r="C1665" s="12"/>
    </row>
    <row r="1666" spans="1:3">
      <c r="A1666">
        <v>1663</v>
      </c>
      <c r="B1666" s="12">
        <v>149046.2921664255</v>
      </c>
      <c r="C1666" s="12"/>
    </row>
    <row r="1667" spans="1:3">
      <c r="A1667">
        <v>1664</v>
      </c>
      <c r="B1667" s="12">
        <v>86688.890965423998</v>
      </c>
      <c r="C1667" s="12"/>
    </row>
    <row r="1668" spans="1:3">
      <c r="A1668">
        <v>1665</v>
      </c>
      <c r="B1668" s="12">
        <v>121658.85715401132</v>
      </c>
      <c r="C1668" s="12"/>
    </row>
    <row r="1669" spans="1:3">
      <c r="A1669">
        <v>1666</v>
      </c>
      <c r="B1669" s="12">
        <v>88934.14644540567</v>
      </c>
      <c r="C1669" s="12"/>
    </row>
    <row r="1670" spans="1:3">
      <c r="A1670">
        <v>1667</v>
      </c>
      <c r="B1670" s="12">
        <v>107762.82138343288</v>
      </c>
      <c r="C1670" s="12"/>
    </row>
    <row r="1671" spans="1:3">
      <c r="A1671">
        <v>1668</v>
      </c>
      <c r="B1671" s="12">
        <v>87353.071817572563</v>
      </c>
      <c r="C1671" s="12"/>
    </row>
    <row r="1672" spans="1:3">
      <c r="A1672">
        <v>1669</v>
      </c>
      <c r="B1672" s="12">
        <v>69789.844300601966</v>
      </c>
      <c r="C1672" s="12"/>
    </row>
    <row r="1673" spans="1:3">
      <c r="A1673">
        <v>1670</v>
      </c>
      <c r="B1673" s="12">
        <v>82013.387390001939</v>
      </c>
      <c r="C1673" s="12"/>
    </row>
    <row r="1674" spans="1:3">
      <c r="A1674">
        <v>1671</v>
      </c>
      <c r="B1674" s="12">
        <v>111558.16829101273</v>
      </c>
      <c r="C1674" s="12"/>
    </row>
    <row r="1675" spans="1:3">
      <c r="A1675">
        <v>1672</v>
      </c>
      <c r="B1675" s="12">
        <v>76479.068249958698</v>
      </c>
      <c r="C1675" s="12"/>
    </row>
    <row r="1676" spans="1:3">
      <c r="A1676">
        <v>1673</v>
      </c>
      <c r="B1676" s="12">
        <v>111438.18480684597</v>
      </c>
      <c r="C1676" s="12"/>
    </row>
    <row r="1677" spans="1:3">
      <c r="A1677">
        <v>1674</v>
      </c>
      <c r="B1677" s="12">
        <v>87797.605022289892</v>
      </c>
      <c r="C1677" s="12"/>
    </row>
    <row r="1678" spans="1:3">
      <c r="A1678">
        <v>1675</v>
      </c>
      <c r="B1678" s="12">
        <v>99543.298399105115</v>
      </c>
      <c r="C1678" s="12"/>
    </row>
    <row r="1679" spans="1:3">
      <c r="A1679">
        <v>1676</v>
      </c>
      <c r="B1679" s="12">
        <v>74195.069567598126</v>
      </c>
      <c r="C1679" s="12"/>
    </row>
    <row r="1680" spans="1:3">
      <c r="A1680">
        <v>1677</v>
      </c>
      <c r="B1680" s="12">
        <v>119990.80170148605</v>
      </c>
      <c r="C1680" s="12"/>
    </row>
    <row r="1681" spans="1:3">
      <c r="A1681">
        <v>1678</v>
      </c>
      <c r="B1681" s="12">
        <v>68353.804610546998</v>
      </c>
      <c r="C1681" s="12"/>
    </row>
    <row r="1682" spans="1:3">
      <c r="A1682">
        <v>1679</v>
      </c>
      <c r="B1682" s="12">
        <v>121192.67647731697</v>
      </c>
      <c r="C1682" s="12"/>
    </row>
    <row r="1683" spans="1:3">
      <c r="A1683">
        <v>1680</v>
      </c>
      <c r="B1683" s="12">
        <v>122582.89872641375</v>
      </c>
      <c r="C1683" s="12"/>
    </row>
    <row r="1684" spans="1:3">
      <c r="A1684">
        <v>1681</v>
      </c>
      <c r="B1684" s="12">
        <v>66423.572768243292</v>
      </c>
      <c r="C1684" s="12"/>
    </row>
    <row r="1685" spans="1:3">
      <c r="A1685">
        <v>1682</v>
      </c>
      <c r="B1685" s="12">
        <v>113182.37705148998</v>
      </c>
      <c r="C1685" s="12"/>
    </row>
    <row r="1686" spans="1:3">
      <c r="A1686">
        <v>1683</v>
      </c>
      <c r="B1686" s="12">
        <v>95647.764077061816</v>
      </c>
      <c r="C1686" s="12"/>
    </row>
    <row r="1687" spans="1:3">
      <c r="A1687">
        <v>1684</v>
      </c>
      <c r="B1687" s="12">
        <v>132987.66920049093</v>
      </c>
      <c r="C1687" s="12"/>
    </row>
    <row r="1688" spans="1:3">
      <c r="A1688">
        <v>1685</v>
      </c>
      <c r="B1688" s="12">
        <v>125636.94991706693</v>
      </c>
      <c r="C1688" s="12"/>
    </row>
    <row r="1689" spans="1:3">
      <c r="A1689">
        <v>1686</v>
      </c>
      <c r="B1689" s="12">
        <v>158751.03338372012</v>
      </c>
      <c r="C1689" s="12"/>
    </row>
    <row r="1690" spans="1:3">
      <c r="A1690">
        <v>1687</v>
      </c>
      <c r="B1690" s="12">
        <v>102441.0154135716</v>
      </c>
      <c r="C1690" s="12"/>
    </row>
    <row r="1691" spans="1:3">
      <c r="A1691">
        <v>1688</v>
      </c>
      <c r="B1691" s="12">
        <v>120940.73892732104</v>
      </c>
      <c r="C1691" s="12"/>
    </row>
    <row r="1692" spans="1:3">
      <c r="A1692">
        <v>1689</v>
      </c>
      <c r="B1692" s="12">
        <v>136616.49429985951</v>
      </c>
      <c r="C1692" s="12"/>
    </row>
    <row r="1693" spans="1:3">
      <c r="A1693">
        <v>1690</v>
      </c>
      <c r="B1693" s="12">
        <v>129480.10172988694</v>
      </c>
      <c r="C1693" s="12"/>
    </row>
    <row r="1694" spans="1:3">
      <c r="A1694">
        <v>1691</v>
      </c>
      <c r="B1694" s="12">
        <v>106440.54899680823</v>
      </c>
      <c r="C1694" s="12"/>
    </row>
    <row r="1695" spans="1:3">
      <c r="A1695">
        <v>1692</v>
      </c>
      <c r="B1695" s="12">
        <v>169300.37333965563</v>
      </c>
      <c r="C1695" s="12"/>
    </row>
    <row r="1696" spans="1:3">
      <c r="A1696">
        <v>1693</v>
      </c>
      <c r="B1696" s="12">
        <v>118365.28816902316</v>
      </c>
      <c r="C1696" s="12"/>
    </row>
    <row r="1697" spans="1:3">
      <c r="A1697">
        <v>1694</v>
      </c>
      <c r="B1697" s="12">
        <v>116042.01661897774</v>
      </c>
      <c r="C1697" s="12"/>
    </row>
    <row r="1698" spans="1:3">
      <c r="A1698">
        <v>1695</v>
      </c>
      <c r="B1698" s="12">
        <v>135927.99323079502</v>
      </c>
      <c r="C1698" s="12"/>
    </row>
    <row r="1699" spans="1:3">
      <c r="A1699">
        <v>1696</v>
      </c>
      <c r="B1699" s="12">
        <v>145198.57725844532</v>
      </c>
      <c r="C1699" s="12"/>
    </row>
    <row r="1700" spans="1:3">
      <c r="A1700">
        <v>1697</v>
      </c>
      <c r="B1700" s="12">
        <v>85127.141127598486</v>
      </c>
      <c r="C1700" s="12"/>
    </row>
    <row r="1701" spans="1:3">
      <c r="A1701">
        <v>1698</v>
      </c>
      <c r="B1701" s="12">
        <v>160649.113129089</v>
      </c>
      <c r="C1701" s="12"/>
    </row>
    <row r="1702" spans="1:3">
      <c r="A1702">
        <v>1699</v>
      </c>
      <c r="B1702" s="12">
        <v>90037.261011441791</v>
      </c>
      <c r="C1702" s="12"/>
    </row>
    <row r="1703" spans="1:3">
      <c r="A1703">
        <v>1700</v>
      </c>
      <c r="B1703" s="12">
        <v>82628.624680206834</v>
      </c>
      <c r="C1703" s="12"/>
    </row>
    <row r="1704" spans="1:3">
      <c r="A1704">
        <v>1701</v>
      </c>
      <c r="B1704" s="12">
        <v>98782.175587114019</v>
      </c>
      <c r="C1704" s="12"/>
    </row>
    <row r="1705" spans="1:3">
      <c r="A1705">
        <v>1702</v>
      </c>
      <c r="B1705" s="12">
        <v>129201.49068902411</v>
      </c>
      <c r="C1705" s="12"/>
    </row>
    <row r="1706" spans="1:3">
      <c r="A1706">
        <v>1703</v>
      </c>
      <c r="B1706" s="12">
        <v>119808.52891243588</v>
      </c>
      <c r="C1706" s="12"/>
    </row>
    <row r="1707" spans="1:3">
      <c r="A1707">
        <v>1704</v>
      </c>
      <c r="B1707" s="12">
        <v>134181.31921370755</v>
      </c>
      <c r="C1707" s="12"/>
    </row>
    <row r="1708" spans="1:3">
      <c r="A1708">
        <v>1705</v>
      </c>
      <c r="B1708" s="12">
        <v>81038.501713357764</v>
      </c>
      <c r="C1708" s="12"/>
    </row>
    <row r="1709" spans="1:3">
      <c r="A1709">
        <v>1706</v>
      </c>
      <c r="B1709" s="12">
        <v>85755.926992601075</v>
      </c>
      <c r="C1709" s="12"/>
    </row>
    <row r="1710" spans="1:3">
      <c r="A1710">
        <v>1707</v>
      </c>
      <c r="B1710" s="12">
        <v>66843.069793580333</v>
      </c>
      <c r="C1710" s="12"/>
    </row>
    <row r="1711" spans="1:3">
      <c r="A1711">
        <v>1708</v>
      </c>
      <c r="B1711" s="12">
        <v>109358.23571962296</v>
      </c>
      <c r="C1711" s="12"/>
    </row>
    <row r="1712" spans="1:3">
      <c r="A1712">
        <v>1709</v>
      </c>
      <c r="B1712" s="12">
        <v>113116.28333735309</v>
      </c>
      <c r="C1712" s="12"/>
    </row>
    <row r="1713" spans="1:3">
      <c r="A1713">
        <v>1710</v>
      </c>
      <c r="B1713" s="12">
        <v>157183.67256995078</v>
      </c>
      <c r="C1713" s="12"/>
    </row>
    <row r="1714" spans="1:3">
      <c r="A1714">
        <v>1711</v>
      </c>
      <c r="B1714" s="12">
        <v>78878.805312407014</v>
      </c>
      <c r="C1714" s="12"/>
    </row>
    <row r="1715" spans="1:3">
      <c r="A1715">
        <v>1712</v>
      </c>
      <c r="B1715" s="12">
        <v>120085.3899104367</v>
      </c>
      <c r="C1715" s="12"/>
    </row>
    <row r="1716" spans="1:3">
      <c r="A1716">
        <v>1713</v>
      </c>
      <c r="B1716" s="12">
        <v>164353.62890755446</v>
      </c>
      <c r="C1716" s="12"/>
    </row>
    <row r="1717" spans="1:3">
      <c r="A1717">
        <v>1714</v>
      </c>
      <c r="B1717" s="12">
        <v>135312.03400555134</v>
      </c>
      <c r="C1717" s="12"/>
    </row>
    <row r="1718" spans="1:3">
      <c r="A1718">
        <v>1715</v>
      </c>
      <c r="B1718" s="12">
        <v>65407.357161467866</v>
      </c>
      <c r="C1718" s="12"/>
    </row>
    <row r="1719" spans="1:3">
      <c r="A1719">
        <v>1716</v>
      </c>
      <c r="B1719" s="12">
        <v>96608.60387018403</v>
      </c>
      <c r="C1719" s="12"/>
    </row>
    <row r="1720" spans="1:3">
      <c r="A1720">
        <v>1717</v>
      </c>
      <c r="B1720" s="12">
        <v>97381.374176555764</v>
      </c>
      <c r="C1720" s="12"/>
    </row>
    <row r="1721" spans="1:3">
      <c r="A1721">
        <v>1718</v>
      </c>
      <c r="B1721" s="12">
        <v>101300.29039777277</v>
      </c>
      <c r="C1721" s="12"/>
    </row>
    <row r="1722" spans="1:3">
      <c r="A1722">
        <v>1719</v>
      </c>
      <c r="B1722" s="12">
        <v>107615.43638063219</v>
      </c>
      <c r="C1722" s="12"/>
    </row>
    <row r="1723" spans="1:3">
      <c r="A1723">
        <v>1720</v>
      </c>
      <c r="B1723" s="12">
        <v>121743.65752000688</v>
      </c>
      <c r="C1723" s="12"/>
    </row>
    <row r="1724" spans="1:3">
      <c r="A1724">
        <v>1721</v>
      </c>
      <c r="B1724" s="12">
        <v>130748.76557490299</v>
      </c>
      <c r="C1724" s="12"/>
    </row>
    <row r="1725" spans="1:3">
      <c r="A1725">
        <v>1722</v>
      </c>
      <c r="B1725" s="12">
        <v>100509.91393824399</v>
      </c>
      <c r="C1725" s="12"/>
    </row>
    <row r="1726" spans="1:3">
      <c r="A1726">
        <v>1723</v>
      </c>
      <c r="B1726" s="12">
        <v>86176.762301713068</v>
      </c>
      <c r="C1726" s="12"/>
    </row>
    <row r="1727" spans="1:3">
      <c r="A1727">
        <v>1724</v>
      </c>
      <c r="B1727" s="12">
        <v>103860.92514197323</v>
      </c>
      <c r="C1727" s="12"/>
    </row>
    <row r="1728" spans="1:3">
      <c r="A1728">
        <v>1725</v>
      </c>
      <c r="B1728" s="12">
        <v>81081.55871290034</v>
      </c>
      <c r="C1728" s="12"/>
    </row>
    <row r="1729" spans="1:3">
      <c r="A1729">
        <v>1726</v>
      </c>
      <c r="B1729" s="12">
        <v>156313.1934355773</v>
      </c>
      <c r="C1729" s="12"/>
    </row>
    <row r="1730" spans="1:3">
      <c r="A1730">
        <v>1727</v>
      </c>
      <c r="B1730" s="12">
        <v>121975.27964657472</v>
      </c>
      <c r="C1730" s="12"/>
    </row>
    <row r="1731" spans="1:3">
      <c r="A1731">
        <v>1728</v>
      </c>
      <c r="B1731" s="12">
        <v>86360.737917720224</v>
      </c>
      <c r="C1731" s="12"/>
    </row>
    <row r="1732" spans="1:3">
      <c r="A1732">
        <v>1729</v>
      </c>
      <c r="B1732" s="12">
        <v>99575.943761552408</v>
      </c>
      <c r="C1732" s="12"/>
    </row>
    <row r="1733" spans="1:3">
      <c r="A1733">
        <v>1730</v>
      </c>
      <c r="B1733" s="12">
        <v>114744.73911681445</v>
      </c>
      <c r="C1733" s="12"/>
    </row>
    <row r="1734" spans="1:3">
      <c r="A1734">
        <v>1731</v>
      </c>
      <c r="B1734" s="12">
        <v>145974.22067431538</v>
      </c>
      <c r="C1734" s="12"/>
    </row>
    <row r="1735" spans="1:3">
      <c r="A1735">
        <v>1732</v>
      </c>
      <c r="B1735" s="12">
        <v>159900.98452734511</v>
      </c>
      <c r="C1735" s="12"/>
    </row>
    <row r="1736" spans="1:3">
      <c r="A1736">
        <v>1733</v>
      </c>
      <c r="B1736" s="12">
        <v>93238.219281557278</v>
      </c>
      <c r="C1736" s="12"/>
    </row>
    <row r="1737" spans="1:3">
      <c r="A1737">
        <v>1734</v>
      </c>
      <c r="B1737" s="12">
        <v>76941.608456451329</v>
      </c>
      <c r="C1737" s="12"/>
    </row>
    <row r="1738" spans="1:3">
      <c r="A1738">
        <v>1735</v>
      </c>
      <c r="B1738" s="12">
        <v>116331.74033669509</v>
      </c>
      <c r="C1738" s="12"/>
    </row>
    <row r="1739" spans="1:3">
      <c r="A1739">
        <v>1736</v>
      </c>
      <c r="B1739" s="12">
        <v>114710.30693361645</v>
      </c>
      <c r="C1739" s="12"/>
    </row>
    <row r="1740" spans="1:3">
      <c r="A1740">
        <v>1737</v>
      </c>
      <c r="B1740" s="12">
        <v>102373.80574131574</v>
      </c>
      <c r="C1740" s="12"/>
    </row>
    <row r="1741" spans="1:3">
      <c r="A1741">
        <v>1738</v>
      </c>
      <c r="B1741" s="12">
        <v>81066.263738794296</v>
      </c>
      <c r="C1741" s="12"/>
    </row>
    <row r="1742" spans="1:3">
      <c r="A1742">
        <v>1739</v>
      </c>
      <c r="B1742" s="12">
        <v>72301.166232257718</v>
      </c>
      <c r="C1742" s="12"/>
    </row>
    <row r="1743" spans="1:3">
      <c r="A1743">
        <v>1740</v>
      </c>
      <c r="B1743" s="12">
        <v>167132.67466915346</v>
      </c>
      <c r="C1743" s="12"/>
    </row>
    <row r="1744" spans="1:3">
      <c r="A1744">
        <v>1741</v>
      </c>
      <c r="B1744" s="12">
        <v>126990.25879267641</v>
      </c>
      <c r="C1744" s="12"/>
    </row>
    <row r="1745" spans="1:3">
      <c r="A1745">
        <v>1742</v>
      </c>
      <c r="B1745" s="12">
        <v>132611.27191902499</v>
      </c>
      <c r="C1745" s="12"/>
    </row>
    <row r="1746" spans="1:3">
      <c r="A1746">
        <v>1743</v>
      </c>
      <c r="B1746" s="12">
        <v>123559.01793692971</v>
      </c>
      <c r="C1746" s="12"/>
    </row>
    <row r="1747" spans="1:3">
      <c r="A1747">
        <v>1744</v>
      </c>
      <c r="B1747" s="12">
        <v>70996.260945892282</v>
      </c>
      <c r="C1747" s="12"/>
    </row>
    <row r="1748" spans="1:3">
      <c r="A1748">
        <v>1745</v>
      </c>
      <c r="B1748" s="12">
        <v>139541.08527713086</v>
      </c>
      <c r="C1748" s="12"/>
    </row>
    <row r="1749" spans="1:3">
      <c r="A1749">
        <v>1746</v>
      </c>
      <c r="B1749" s="12">
        <v>80983.286482470779</v>
      </c>
      <c r="C1749" s="12"/>
    </row>
    <row r="1750" spans="1:3">
      <c r="A1750">
        <v>1747</v>
      </c>
      <c r="B1750" s="12">
        <v>117837.83788740086</v>
      </c>
      <c r="C1750" s="12"/>
    </row>
    <row r="1751" spans="1:3">
      <c r="A1751">
        <v>1748</v>
      </c>
      <c r="B1751" s="12">
        <v>126195.65468024919</v>
      </c>
      <c r="C1751" s="12"/>
    </row>
    <row r="1752" spans="1:3">
      <c r="A1752">
        <v>1749</v>
      </c>
      <c r="B1752" s="12">
        <v>98835.876974007493</v>
      </c>
      <c r="C1752" s="12"/>
    </row>
    <row r="1753" spans="1:3">
      <c r="A1753">
        <v>1750</v>
      </c>
      <c r="B1753" s="12">
        <v>110714.94908078454</v>
      </c>
      <c r="C1753" s="12"/>
    </row>
    <row r="1754" spans="1:3">
      <c r="A1754">
        <v>1751</v>
      </c>
      <c r="B1754" s="12">
        <v>82960.087923270141</v>
      </c>
      <c r="C1754" s="12"/>
    </row>
    <row r="1755" spans="1:3">
      <c r="A1755">
        <v>1752</v>
      </c>
      <c r="B1755" s="12">
        <v>84417.954633176967</v>
      </c>
      <c r="C1755" s="12"/>
    </row>
    <row r="1756" spans="1:3">
      <c r="A1756">
        <v>1753</v>
      </c>
      <c r="B1756" s="12">
        <v>173820.88919367979</v>
      </c>
      <c r="C1756" s="12"/>
    </row>
    <row r="1757" spans="1:3">
      <c r="A1757">
        <v>1754</v>
      </c>
      <c r="B1757" s="12">
        <v>96505.43489664697</v>
      </c>
      <c r="C1757" s="12"/>
    </row>
    <row r="1758" spans="1:3">
      <c r="A1758">
        <v>1755</v>
      </c>
      <c r="B1758" s="12">
        <v>135328.18195203031</v>
      </c>
      <c r="C1758" s="12"/>
    </row>
    <row r="1759" spans="1:3">
      <c r="A1759">
        <v>1756</v>
      </c>
      <c r="B1759" s="12">
        <v>143180.50657917597</v>
      </c>
      <c r="C1759" s="12"/>
    </row>
    <row r="1760" spans="1:3">
      <c r="A1760">
        <v>1757</v>
      </c>
      <c r="B1760" s="12">
        <v>145148.29102309805</v>
      </c>
      <c r="C1760" s="12"/>
    </row>
    <row r="1761" spans="1:3">
      <c r="A1761">
        <v>1758</v>
      </c>
      <c r="B1761" s="12">
        <v>93869.814379955656</v>
      </c>
      <c r="C1761" s="12"/>
    </row>
    <row r="1762" spans="1:3">
      <c r="A1762">
        <v>1759</v>
      </c>
      <c r="B1762" s="12">
        <v>103416.28250977054</v>
      </c>
      <c r="C1762" s="12"/>
    </row>
    <row r="1763" spans="1:3">
      <c r="A1763">
        <v>1760</v>
      </c>
      <c r="B1763" s="12">
        <v>80329.791624102669</v>
      </c>
      <c r="C1763" s="12"/>
    </row>
    <row r="1764" spans="1:3">
      <c r="A1764">
        <v>1761</v>
      </c>
      <c r="B1764" s="12">
        <v>118843.80356332613</v>
      </c>
      <c r="C1764" s="12"/>
    </row>
    <row r="1765" spans="1:3">
      <c r="A1765">
        <v>1762</v>
      </c>
      <c r="B1765" s="12">
        <v>118989.21632623817</v>
      </c>
      <c r="C1765" s="12"/>
    </row>
    <row r="1766" spans="1:3">
      <c r="A1766">
        <v>1763</v>
      </c>
      <c r="B1766" s="12">
        <v>72554.766439625164</v>
      </c>
      <c r="C1766" s="12"/>
    </row>
    <row r="1767" spans="1:3">
      <c r="A1767">
        <v>1764</v>
      </c>
      <c r="B1767" s="12">
        <v>137791.47338662407</v>
      </c>
      <c r="C1767" s="12"/>
    </row>
    <row r="1768" spans="1:3">
      <c r="A1768">
        <v>1765</v>
      </c>
      <c r="B1768" s="12">
        <v>67441.140163199612</v>
      </c>
      <c r="C1768" s="12"/>
    </row>
    <row r="1769" spans="1:3">
      <c r="A1769">
        <v>1766</v>
      </c>
      <c r="B1769" s="12">
        <v>77562.023534205757</v>
      </c>
      <c r="C1769" s="12"/>
    </row>
    <row r="1770" spans="1:3">
      <c r="A1770">
        <v>1767</v>
      </c>
      <c r="B1770" s="12">
        <v>138172.33605416093</v>
      </c>
      <c r="C1770" s="12"/>
    </row>
    <row r="1771" spans="1:3">
      <c r="A1771">
        <v>1768</v>
      </c>
      <c r="B1771" s="12">
        <v>64655.303488246325</v>
      </c>
      <c r="C1771" s="12"/>
    </row>
    <row r="1772" spans="1:3">
      <c r="A1772">
        <v>1769</v>
      </c>
      <c r="B1772" s="12">
        <v>117224.57909131989</v>
      </c>
      <c r="C1772" s="12"/>
    </row>
    <row r="1773" spans="1:3">
      <c r="A1773">
        <v>1770</v>
      </c>
      <c r="B1773" s="12">
        <v>114949.3176830783</v>
      </c>
      <c r="C1773" s="12"/>
    </row>
    <row r="1774" spans="1:3">
      <c r="A1774">
        <v>1771</v>
      </c>
      <c r="B1774" s="12">
        <v>137699.699344047</v>
      </c>
      <c r="C1774" s="12"/>
    </row>
    <row r="1775" spans="1:3">
      <c r="A1775">
        <v>1772</v>
      </c>
      <c r="B1775" s="12">
        <v>73991.257091389794</v>
      </c>
      <c r="C1775" s="12"/>
    </row>
    <row r="1776" spans="1:3">
      <c r="A1776">
        <v>1773</v>
      </c>
      <c r="B1776" s="12">
        <v>114576.15561108055</v>
      </c>
      <c r="C1776" s="12"/>
    </row>
    <row r="1777" spans="1:3">
      <c r="A1777">
        <v>1774</v>
      </c>
      <c r="B1777" s="12">
        <v>126300.35001437267</v>
      </c>
      <c r="C1777" s="12"/>
    </row>
    <row r="1778" spans="1:3">
      <c r="A1778">
        <v>1775</v>
      </c>
      <c r="B1778" s="12">
        <v>131551.40366375496</v>
      </c>
      <c r="C1778" s="12"/>
    </row>
    <row r="1779" spans="1:3">
      <c r="A1779">
        <v>1776</v>
      </c>
      <c r="B1779" s="12">
        <v>151601.23453513967</v>
      </c>
      <c r="C1779" s="12"/>
    </row>
    <row r="1780" spans="1:3">
      <c r="A1780">
        <v>1777</v>
      </c>
      <c r="B1780" s="12">
        <v>82063.943451585816</v>
      </c>
      <c r="C1780" s="12"/>
    </row>
    <row r="1781" spans="1:3">
      <c r="A1781">
        <v>1778</v>
      </c>
      <c r="B1781" s="12">
        <v>109446.36619820913</v>
      </c>
      <c r="C1781" s="12"/>
    </row>
    <row r="1782" spans="1:3">
      <c r="A1782">
        <v>1779</v>
      </c>
      <c r="B1782" s="12">
        <v>160293.07071066429</v>
      </c>
      <c r="C1782" s="12"/>
    </row>
    <row r="1783" spans="1:3">
      <c r="A1783">
        <v>1780</v>
      </c>
      <c r="B1783" s="12">
        <v>97083.696771518516</v>
      </c>
      <c r="C1783" s="12"/>
    </row>
    <row r="1784" spans="1:3">
      <c r="A1784">
        <v>1781</v>
      </c>
      <c r="B1784" s="12">
        <v>117017.96470320597</v>
      </c>
      <c r="C1784" s="12"/>
    </row>
    <row r="1785" spans="1:3">
      <c r="A1785">
        <v>1782</v>
      </c>
      <c r="B1785" s="12">
        <v>83055.566305165368</v>
      </c>
      <c r="C1785" s="12"/>
    </row>
    <row r="1786" spans="1:3">
      <c r="A1786">
        <v>1783</v>
      </c>
      <c r="B1786" s="12">
        <v>119588.62246192475</v>
      </c>
      <c r="C1786" s="12"/>
    </row>
    <row r="1787" spans="1:3">
      <c r="A1787">
        <v>1784</v>
      </c>
      <c r="B1787" s="12">
        <v>176567.00194193289</v>
      </c>
      <c r="C1787" s="12"/>
    </row>
    <row r="1788" spans="1:3">
      <c r="A1788">
        <v>1785</v>
      </c>
      <c r="B1788" s="12">
        <v>112579.87971343563</v>
      </c>
      <c r="C1788" s="12"/>
    </row>
    <row r="1789" spans="1:3">
      <c r="A1789">
        <v>1786</v>
      </c>
      <c r="B1789" s="12">
        <v>106662.5533896361</v>
      </c>
      <c r="C1789" s="12"/>
    </row>
    <row r="1790" spans="1:3">
      <c r="A1790">
        <v>1787</v>
      </c>
      <c r="B1790" s="12">
        <v>120426.73982908041</v>
      </c>
      <c r="C1790" s="12"/>
    </row>
    <row r="1791" spans="1:3">
      <c r="A1791">
        <v>1788</v>
      </c>
      <c r="B1791" s="12">
        <v>86733.98253422897</v>
      </c>
      <c r="C1791" s="12"/>
    </row>
    <row r="1792" spans="1:3">
      <c r="A1792">
        <v>1789</v>
      </c>
      <c r="B1792" s="12">
        <v>157948.17875109694</v>
      </c>
      <c r="C1792" s="12"/>
    </row>
    <row r="1793" spans="1:3">
      <c r="A1793">
        <v>1790</v>
      </c>
      <c r="B1793" s="12">
        <v>94391.801671470414</v>
      </c>
      <c r="C1793" s="12"/>
    </row>
    <row r="1794" spans="1:3">
      <c r="A1794">
        <v>1791</v>
      </c>
      <c r="B1794" s="12">
        <v>106618.01850805992</v>
      </c>
      <c r="C1794" s="12"/>
    </row>
    <row r="1795" spans="1:3">
      <c r="A1795">
        <v>1792</v>
      </c>
      <c r="B1795" s="12">
        <v>84387.52707605256</v>
      </c>
      <c r="C1795" s="12"/>
    </row>
    <row r="1796" spans="1:3">
      <c r="A1796">
        <v>1793</v>
      </c>
      <c r="B1796" s="12">
        <v>66291.573356029796</v>
      </c>
      <c r="C1796" s="12"/>
    </row>
    <row r="1797" spans="1:3">
      <c r="A1797">
        <v>1794</v>
      </c>
      <c r="B1797" s="12">
        <v>111744.97916299591</v>
      </c>
      <c r="C1797" s="12"/>
    </row>
    <row r="1798" spans="1:3">
      <c r="A1798">
        <v>1795</v>
      </c>
      <c r="B1798" s="12">
        <v>101985.58773912655</v>
      </c>
      <c r="C1798" s="12"/>
    </row>
    <row r="1799" spans="1:3">
      <c r="A1799">
        <v>1796</v>
      </c>
      <c r="B1799" s="12">
        <v>121084.83301158196</v>
      </c>
      <c r="C1799" s="12"/>
    </row>
    <row r="1800" spans="1:3">
      <c r="A1800">
        <v>1797</v>
      </c>
      <c r="B1800" s="12">
        <v>84684.091198564245</v>
      </c>
      <c r="C1800" s="12"/>
    </row>
    <row r="1801" spans="1:3">
      <c r="A1801">
        <v>1798</v>
      </c>
      <c r="B1801" s="12">
        <v>112326.74308706274</v>
      </c>
      <c r="C1801" s="12"/>
    </row>
    <row r="1802" spans="1:3">
      <c r="A1802">
        <v>1799</v>
      </c>
      <c r="B1802" s="12">
        <v>101324.87012635652</v>
      </c>
      <c r="C1802" s="12"/>
    </row>
    <row r="1803" spans="1:3">
      <c r="A1803">
        <v>1800</v>
      </c>
      <c r="B1803" s="12">
        <v>99778.452386159581</v>
      </c>
      <c r="C1803" s="12"/>
    </row>
    <row r="1804" spans="1:3">
      <c r="A1804">
        <v>1801</v>
      </c>
      <c r="B1804" s="12">
        <v>159957.24835482019</v>
      </c>
      <c r="C1804" s="12"/>
    </row>
    <row r="1805" spans="1:3">
      <c r="A1805">
        <v>1802</v>
      </c>
      <c r="B1805" s="12">
        <v>94251.409727950886</v>
      </c>
      <c r="C1805" s="12"/>
    </row>
    <row r="1806" spans="1:3">
      <c r="A1806">
        <v>1803</v>
      </c>
      <c r="B1806" s="12">
        <v>95712.857988722884</v>
      </c>
      <c r="C1806" s="12"/>
    </row>
    <row r="1807" spans="1:3">
      <c r="A1807">
        <v>1804</v>
      </c>
      <c r="B1807" s="12">
        <v>115288.48721042063</v>
      </c>
      <c r="C1807" s="12"/>
    </row>
    <row r="1808" spans="1:3">
      <c r="A1808">
        <v>1805</v>
      </c>
      <c r="B1808" s="12">
        <v>165694.53543574738</v>
      </c>
      <c r="C1808" s="12"/>
    </row>
    <row r="1809" spans="1:3">
      <c r="A1809">
        <v>1806</v>
      </c>
      <c r="B1809" s="12">
        <v>115229.43509766538</v>
      </c>
      <c r="C1809" s="12"/>
    </row>
    <row r="1810" spans="1:3">
      <c r="A1810">
        <v>1807</v>
      </c>
      <c r="B1810" s="12">
        <v>131685.65124264927</v>
      </c>
      <c r="C1810" s="12"/>
    </row>
    <row r="1811" spans="1:3">
      <c r="A1811">
        <v>1808</v>
      </c>
      <c r="B1811" s="12">
        <v>104376.08766897446</v>
      </c>
      <c r="C1811" s="12"/>
    </row>
    <row r="1812" spans="1:3">
      <c r="A1812">
        <v>1809</v>
      </c>
      <c r="B1812" s="12">
        <v>194388.86649603833</v>
      </c>
      <c r="C1812" s="12"/>
    </row>
    <row r="1813" spans="1:3">
      <c r="A1813">
        <v>1810</v>
      </c>
      <c r="B1813" s="12">
        <v>109203.41968939095</v>
      </c>
      <c r="C1813" s="12"/>
    </row>
    <row r="1814" spans="1:3">
      <c r="A1814">
        <v>1811</v>
      </c>
      <c r="B1814" s="12">
        <v>104031.4334487921</v>
      </c>
      <c r="C1814" s="12"/>
    </row>
    <row r="1815" spans="1:3">
      <c r="A1815">
        <v>1812</v>
      </c>
      <c r="B1815" s="12">
        <v>66329.088128186369</v>
      </c>
      <c r="C1815" s="12"/>
    </row>
    <row r="1816" spans="1:3">
      <c r="A1816">
        <v>1813</v>
      </c>
      <c r="B1816" s="12">
        <v>71744.372986321949</v>
      </c>
      <c r="C1816" s="12"/>
    </row>
    <row r="1817" spans="1:3">
      <c r="A1817">
        <v>1814</v>
      </c>
      <c r="B1817" s="12">
        <v>84562.402079702442</v>
      </c>
      <c r="C1817" s="12"/>
    </row>
    <row r="1818" spans="1:3">
      <c r="A1818">
        <v>1815</v>
      </c>
      <c r="B1818" s="12">
        <v>111123.6592066758</v>
      </c>
      <c r="C1818" s="12"/>
    </row>
    <row r="1819" spans="1:3">
      <c r="A1819">
        <v>1816</v>
      </c>
      <c r="B1819" s="12">
        <v>121544.98461002111</v>
      </c>
      <c r="C1819" s="12"/>
    </row>
    <row r="1820" spans="1:3">
      <c r="A1820">
        <v>1817</v>
      </c>
      <c r="B1820" s="12">
        <v>121319.31693495324</v>
      </c>
      <c r="C1820" s="12"/>
    </row>
    <row r="1821" spans="1:3">
      <c r="A1821">
        <v>1818</v>
      </c>
      <c r="B1821" s="12">
        <v>86807.939411472558</v>
      </c>
      <c r="C1821" s="12"/>
    </row>
    <row r="1822" spans="1:3">
      <c r="A1822">
        <v>1819</v>
      </c>
      <c r="B1822" s="12">
        <v>119677.72645870315</v>
      </c>
      <c r="C1822" s="12"/>
    </row>
    <row r="1823" spans="1:3">
      <c r="A1823">
        <v>1820</v>
      </c>
      <c r="B1823" s="12">
        <v>86069.48757989952</v>
      </c>
      <c r="C1823" s="12"/>
    </row>
    <row r="1824" spans="1:3">
      <c r="A1824">
        <v>1821</v>
      </c>
      <c r="B1824" s="12">
        <v>73602.81227174346</v>
      </c>
      <c r="C1824" s="12"/>
    </row>
    <row r="1825" spans="1:3">
      <c r="A1825">
        <v>1822</v>
      </c>
      <c r="B1825" s="12">
        <v>118704.46489448288</v>
      </c>
      <c r="C1825" s="12"/>
    </row>
    <row r="1826" spans="1:3">
      <c r="A1826">
        <v>1823</v>
      </c>
      <c r="B1826" s="12">
        <v>115196.34163916948</v>
      </c>
      <c r="C1826" s="12"/>
    </row>
    <row r="1827" spans="1:3">
      <c r="A1827">
        <v>1824</v>
      </c>
      <c r="B1827" s="12">
        <v>96438.386956046001</v>
      </c>
      <c r="C1827" s="12"/>
    </row>
    <row r="1828" spans="1:3">
      <c r="A1828">
        <v>1825</v>
      </c>
      <c r="B1828" s="12">
        <v>122383.26032457712</v>
      </c>
      <c r="C1828" s="12"/>
    </row>
    <row r="1829" spans="1:3">
      <c r="A1829">
        <v>1826</v>
      </c>
      <c r="B1829" s="12">
        <v>68538.964612512733</v>
      </c>
      <c r="C1829" s="12"/>
    </row>
    <row r="1830" spans="1:3">
      <c r="A1830">
        <v>1827</v>
      </c>
      <c r="B1830" s="12">
        <v>158558.03155661729</v>
      </c>
      <c r="C1830" s="12"/>
    </row>
    <row r="1831" spans="1:3">
      <c r="A1831">
        <v>1828</v>
      </c>
      <c r="B1831" s="12">
        <v>64777.70946146964</v>
      </c>
      <c r="C1831" s="12"/>
    </row>
    <row r="1832" spans="1:3">
      <c r="A1832">
        <v>1829</v>
      </c>
      <c r="B1832" s="12">
        <v>94223.733341919782</v>
      </c>
      <c r="C1832" s="12"/>
    </row>
    <row r="1833" spans="1:3">
      <c r="A1833">
        <v>1830</v>
      </c>
      <c r="B1833" s="12">
        <v>170725.61347845191</v>
      </c>
      <c r="C1833" s="12"/>
    </row>
    <row r="1834" spans="1:3">
      <c r="A1834">
        <v>1831</v>
      </c>
      <c r="B1834" s="12">
        <v>157787.32112567211</v>
      </c>
      <c r="C1834" s="12"/>
    </row>
    <row r="1835" spans="1:3">
      <c r="A1835">
        <v>1832</v>
      </c>
      <c r="B1835" s="12">
        <v>147680.89968829264</v>
      </c>
      <c r="C1835" s="12"/>
    </row>
    <row r="1836" spans="1:3">
      <c r="A1836">
        <v>1833</v>
      </c>
      <c r="B1836" s="12">
        <v>79751.360486287667</v>
      </c>
      <c r="C1836" s="12"/>
    </row>
    <row r="1837" spans="1:3">
      <c r="A1837">
        <v>1834</v>
      </c>
      <c r="B1837" s="12">
        <v>154828.10106573682</v>
      </c>
      <c r="C1837" s="12"/>
    </row>
    <row r="1838" spans="1:3">
      <c r="A1838">
        <v>1835</v>
      </c>
      <c r="B1838" s="12">
        <v>108581.99889452335</v>
      </c>
      <c r="C1838" s="12"/>
    </row>
    <row r="1839" spans="1:3">
      <c r="A1839">
        <v>1836</v>
      </c>
      <c r="B1839" s="12">
        <v>143098.86538001295</v>
      </c>
      <c r="C1839" s="12"/>
    </row>
    <row r="1840" spans="1:3">
      <c r="A1840">
        <v>1837</v>
      </c>
      <c r="B1840" s="12">
        <v>110142.64421028066</v>
      </c>
      <c r="C1840" s="12"/>
    </row>
    <row r="1841" spans="1:3">
      <c r="A1841">
        <v>1838</v>
      </c>
      <c r="B1841" s="12">
        <v>133284.35221112386</v>
      </c>
      <c r="C1841" s="12"/>
    </row>
    <row r="1842" spans="1:3">
      <c r="A1842">
        <v>1839</v>
      </c>
      <c r="B1842" s="12">
        <v>55382.112141591628</v>
      </c>
      <c r="C1842" s="12"/>
    </row>
    <row r="1843" spans="1:3">
      <c r="A1843">
        <v>1840</v>
      </c>
      <c r="B1843" s="12">
        <v>114826.09921971915</v>
      </c>
      <c r="C1843" s="12"/>
    </row>
    <row r="1844" spans="1:3">
      <c r="A1844">
        <v>1841</v>
      </c>
      <c r="B1844" s="12">
        <v>105500.16460072657</v>
      </c>
      <c r="C1844" s="12"/>
    </row>
    <row r="1845" spans="1:3">
      <c r="A1845">
        <v>1842</v>
      </c>
      <c r="B1845" s="12">
        <v>130933.67964429251</v>
      </c>
      <c r="C1845" s="12"/>
    </row>
    <row r="1846" spans="1:3">
      <c r="A1846">
        <v>1843</v>
      </c>
      <c r="B1846" s="12">
        <v>94007.016529158311</v>
      </c>
      <c r="C1846" s="12"/>
    </row>
    <row r="1847" spans="1:3">
      <c r="A1847">
        <v>1844</v>
      </c>
      <c r="B1847" s="12">
        <v>94375.440157322737</v>
      </c>
      <c r="C1847" s="12"/>
    </row>
    <row r="1848" spans="1:3">
      <c r="A1848">
        <v>1845</v>
      </c>
      <c r="B1848" s="12">
        <v>118637.65729541247</v>
      </c>
      <c r="C1848" s="12"/>
    </row>
    <row r="1849" spans="1:3">
      <c r="A1849">
        <v>1846</v>
      </c>
      <c r="B1849" s="12">
        <v>144266.093551431</v>
      </c>
      <c r="C1849" s="12"/>
    </row>
    <row r="1850" spans="1:3">
      <c r="A1850">
        <v>1847</v>
      </c>
      <c r="B1850" s="12">
        <v>74566.906305779325</v>
      </c>
      <c r="C1850" s="12"/>
    </row>
    <row r="1851" spans="1:3">
      <c r="A1851">
        <v>1848</v>
      </c>
      <c r="B1851" s="12">
        <v>100032.59767608374</v>
      </c>
      <c r="C1851" s="12"/>
    </row>
    <row r="1852" spans="1:3">
      <c r="A1852">
        <v>1849</v>
      </c>
      <c r="B1852" s="12">
        <v>98055.333685265185</v>
      </c>
      <c r="C1852" s="12"/>
    </row>
    <row r="1853" spans="1:3">
      <c r="A1853">
        <v>1850</v>
      </c>
      <c r="B1853" s="12">
        <v>163137.67997130039</v>
      </c>
      <c r="C1853" s="12"/>
    </row>
    <row r="1854" spans="1:3">
      <c r="A1854">
        <v>1851</v>
      </c>
      <c r="B1854" s="12">
        <v>88137.74241439873</v>
      </c>
      <c r="C1854" s="12"/>
    </row>
    <row r="1855" spans="1:3">
      <c r="A1855">
        <v>1852</v>
      </c>
      <c r="B1855" s="12">
        <v>125827.39794806967</v>
      </c>
      <c r="C1855" s="12"/>
    </row>
    <row r="1856" spans="1:3">
      <c r="A1856">
        <v>1853</v>
      </c>
      <c r="B1856" s="12">
        <v>115404.25593741811</v>
      </c>
      <c r="C1856" s="12"/>
    </row>
    <row r="1857" spans="1:3">
      <c r="A1857">
        <v>1854</v>
      </c>
      <c r="B1857" s="12">
        <v>70140.149023499616</v>
      </c>
      <c r="C1857" s="12"/>
    </row>
    <row r="1858" spans="1:3">
      <c r="A1858">
        <v>1855</v>
      </c>
      <c r="B1858" s="12">
        <v>93997.147340778232</v>
      </c>
      <c r="C1858" s="12"/>
    </row>
    <row r="1859" spans="1:3">
      <c r="A1859">
        <v>1856</v>
      </c>
      <c r="B1859" s="12">
        <v>114728.62556107296</v>
      </c>
      <c r="C1859" s="12"/>
    </row>
    <row r="1860" spans="1:3">
      <c r="A1860">
        <v>1857</v>
      </c>
      <c r="B1860" s="12">
        <v>136709.73691292963</v>
      </c>
      <c r="C1860" s="12"/>
    </row>
    <row r="1861" spans="1:3">
      <c r="A1861">
        <v>1858</v>
      </c>
      <c r="B1861" s="12">
        <v>144749.11182990053</v>
      </c>
      <c r="C1861" s="12"/>
    </row>
    <row r="1862" spans="1:3">
      <c r="A1862">
        <v>1859</v>
      </c>
      <c r="B1862" s="12">
        <v>77146.50698719763</v>
      </c>
      <c r="C1862" s="12"/>
    </row>
    <row r="1863" spans="1:3">
      <c r="A1863">
        <v>1860</v>
      </c>
      <c r="B1863" s="12">
        <v>138059.48101878719</v>
      </c>
      <c r="C1863" s="12"/>
    </row>
    <row r="1864" spans="1:3">
      <c r="A1864">
        <v>1861</v>
      </c>
      <c r="B1864" s="12">
        <v>123482.01092287202</v>
      </c>
      <c r="C1864" s="12"/>
    </row>
    <row r="1865" spans="1:3">
      <c r="A1865">
        <v>1862</v>
      </c>
      <c r="B1865" s="12">
        <v>134738.11025689164</v>
      </c>
      <c r="C1865" s="12"/>
    </row>
    <row r="1866" spans="1:3">
      <c r="A1866">
        <v>1863</v>
      </c>
      <c r="B1866" s="12">
        <v>75757.794987651418</v>
      </c>
      <c r="C1866" s="12"/>
    </row>
    <row r="1867" spans="1:3">
      <c r="A1867">
        <v>1864</v>
      </c>
      <c r="B1867" s="12">
        <v>71480.994269496907</v>
      </c>
      <c r="C1867" s="12"/>
    </row>
    <row r="1868" spans="1:3">
      <c r="A1868">
        <v>1865</v>
      </c>
      <c r="B1868" s="12">
        <v>114789.07266360124</v>
      </c>
      <c r="C1868" s="12"/>
    </row>
    <row r="1869" spans="1:3">
      <c r="A1869">
        <v>1866</v>
      </c>
      <c r="B1869" s="12">
        <v>118744.77141509832</v>
      </c>
      <c r="C1869" s="12"/>
    </row>
    <row r="1870" spans="1:3">
      <c r="A1870">
        <v>1867</v>
      </c>
      <c r="B1870" s="12">
        <v>138846.12239890508</v>
      </c>
      <c r="C1870" s="12"/>
    </row>
    <row r="1871" spans="1:3">
      <c r="A1871">
        <v>1868</v>
      </c>
      <c r="B1871" s="12">
        <v>100371.14066537141</v>
      </c>
      <c r="C1871" s="12"/>
    </row>
    <row r="1872" spans="1:3">
      <c r="A1872">
        <v>1869</v>
      </c>
      <c r="B1872" s="12">
        <v>89315.495340572539</v>
      </c>
      <c r="C1872" s="12"/>
    </row>
    <row r="1873" spans="1:3">
      <c r="A1873">
        <v>1870</v>
      </c>
      <c r="B1873" s="12">
        <v>141271.52107761611</v>
      </c>
      <c r="C1873" s="12"/>
    </row>
    <row r="1874" spans="1:3">
      <c r="A1874">
        <v>1871</v>
      </c>
      <c r="B1874" s="12">
        <v>118334.16046207899</v>
      </c>
      <c r="C1874" s="12"/>
    </row>
    <row r="1875" spans="1:3">
      <c r="A1875">
        <v>1872</v>
      </c>
      <c r="B1875" s="12">
        <v>135244.26179079627</v>
      </c>
      <c r="C1875" s="12"/>
    </row>
    <row r="1876" spans="1:3">
      <c r="A1876">
        <v>1873</v>
      </c>
      <c r="B1876" s="12">
        <v>75205.987653639066</v>
      </c>
      <c r="C1876" s="12"/>
    </row>
    <row r="1877" spans="1:3">
      <c r="A1877">
        <v>1874</v>
      </c>
      <c r="B1877" s="12">
        <v>68103.801295059617</v>
      </c>
      <c r="C1877" s="12"/>
    </row>
    <row r="1878" spans="1:3">
      <c r="A1878">
        <v>1875</v>
      </c>
      <c r="B1878" s="12">
        <v>127801.60128764344</v>
      </c>
      <c r="C1878" s="12"/>
    </row>
    <row r="1879" spans="1:3">
      <c r="A1879">
        <v>1876</v>
      </c>
      <c r="B1879" s="12">
        <v>158085.20062700001</v>
      </c>
      <c r="C1879" s="12"/>
    </row>
    <row r="1880" spans="1:3">
      <c r="A1880">
        <v>1877</v>
      </c>
      <c r="B1880" s="12">
        <v>63265.264676137187</v>
      </c>
      <c r="C1880" s="12"/>
    </row>
    <row r="1881" spans="1:3">
      <c r="A1881">
        <v>1878</v>
      </c>
      <c r="B1881" s="12">
        <v>60039.717126401054</v>
      </c>
      <c r="C1881" s="12"/>
    </row>
    <row r="1882" spans="1:3">
      <c r="A1882">
        <v>1879</v>
      </c>
      <c r="B1882" s="12">
        <v>149894.43372731155</v>
      </c>
      <c r="C1882" s="12"/>
    </row>
    <row r="1883" spans="1:3">
      <c r="A1883">
        <v>1880</v>
      </c>
      <c r="B1883" s="12">
        <v>132694.11475722044</v>
      </c>
      <c r="C1883" s="12"/>
    </row>
    <row r="1884" spans="1:3">
      <c r="A1884">
        <v>1881</v>
      </c>
      <c r="B1884" s="12">
        <v>70211.914439611719</v>
      </c>
      <c r="C1884" s="12"/>
    </row>
    <row r="1885" spans="1:3">
      <c r="A1885">
        <v>1882</v>
      </c>
      <c r="B1885" s="12">
        <v>166651.30513478265</v>
      </c>
      <c r="C1885" s="12"/>
    </row>
    <row r="1886" spans="1:3">
      <c r="A1886">
        <v>1883</v>
      </c>
      <c r="B1886" s="12">
        <v>124168.40757888055</v>
      </c>
      <c r="C1886" s="12"/>
    </row>
    <row r="1887" spans="1:3">
      <c r="A1887">
        <v>1884</v>
      </c>
      <c r="B1887" s="12">
        <v>122940.53390879848</v>
      </c>
      <c r="C1887" s="12"/>
    </row>
    <row r="1888" spans="1:3">
      <c r="A1888">
        <v>1885</v>
      </c>
      <c r="B1888" s="12">
        <v>106336.49577265905</v>
      </c>
      <c r="C1888" s="12"/>
    </row>
    <row r="1889" spans="1:3">
      <c r="A1889">
        <v>1886</v>
      </c>
      <c r="B1889" s="12">
        <v>140604.27315490079</v>
      </c>
      <c r="C1889" s="12"/>
    </row>
    <row r="1890" spans="1:3">
      <c r="A1890">
        <v>1887</v>
      </c>
      <c r="B1890" s="12">
        <v>95563.386428223806</v>
      </c>
      <c r="C1890" s="12"/>
    </row>
    <row r="1891" spans="1:3">
      <c r="A1891">
        <v>1888</v>
      </c>
      <c r="B1891" s="12">
        <v>127719.56014032154</v>
      </c>
      <c r="C1891" s="12"/>
    </row>
    <row r="1892" spans="1:3">
      <c r="A1892">
        <v>1889</v>
      </c>
      <c r="B1892" s="12">
        <v>67468.820007674163</v>
      </c>
      <c r="C1892" s="12"/>
    </row>
    <row r="1893" spans="1:3">
      <c r="A1893">
        <v>1890</v>
      </c>
      <c r="B1893" s="12">
        <v>105529.75282899168</v>
      </c>
      <c r="C1893" s="12"/>
    </row>
    <row r="1894" spans="1:3">
      <c r="A1894">
        <v>1891</v>
      </c>
      <c r="B1894" s="12">
        <v>124059.73095072391</v>
      </c>
      <c r="C1894" s="12"/>
    </row>
    <row r="1895" spans="1:3">
      <c r="A1895">
        <v>1892</v>
      </c>
      <c r="B1895" s="12">
        <v>99823.147795300989</v>
      </c>
      <c r="C1895" s="12"/>
    </row>
    <row r="1896" spans="1:3">
      <c r="A1896">
        <v>1893</v>
      </c>
      <c r="B1896" s="12">
        <v>86145.029288687219</v>
      </c>
      <c r="C1896" s="12"/>
    </row>
    <row r="1897" spans="1:3">
      <c r="A1897">
        <v>1894</v>
      </c>
      <c r="B1897" s="12">
        <v>187405.15734039943</v>
      </c>
      <c r="C1897" s="12"/>
    </row>
    <row r="1898" spans="1:3">
      <c r="A1898">
        <v>1895</v>
      </c>
      <c r="B1898" s="12">
        <v>79301.164973343068</v>
      </c>
      <c r="C1898" s="12"/>
    </row>
    <row r="1899" spans="1:3">
      <c r="A1899">
        <v>1896</v>
      </c>
      <c r="B1899" s="12">
        <v>128292.66726574115</v>
      </c>
      <c r="C1899" s="12"/>
    </row>
    <row r="1900" spans="1:3">
      <c r="A1900">
        <v>1897</v>
      </c>
      <c r="B1900" s="12">
        <v>83422.639792983187</v>
      </c>
      <c r="C1900" s="12"/>
    </row>
    <row r="1901" spans="1:3">
      <c r="A1901">
        <v>1898</v>
      </c>
      <c r="B1901" s="12">
        <v>97386.98093713593</v>
      </c>
      <c r="C1901" s="12"/>
    </row>
    <row r="1902" spans="1:3">
      <c r="A1902">
        <v>1899</v>
      </c>
      <c r="B1902" s="12">
        <v>166641.77321930899</v>
      </c>
      <c r="C1902" s="12"/>
    </row>
    <row r="1903" spans="1:3">
      <c r="A1903">
        <v>1900</v>
      </c>
      <c r="B1903" s="12">
        <v>104744.52594011315</v>
      </c>
      <c r="C1903" s="12"/>
    </row>
    <row r="1904" spans="1:3">
      <c r="A1904">
        <v>1901</v>
      </c>
      <c r="B1904" s="12">
        <v>140263.09056738915</v>
      </c>
      <c r="C1904" s="12"/>
    </row>
    <row r="1905" spans="1:3">
      <c r="A1905">
        <v>1902</v>
      </c>
      <c r="B1905" s="12">
        <v>90081.782238854925</v>
      </c>
      <c r="C1905" s="12"/>
    </row>
    <row r="1906" spans="1:3">
      <c r="A1906">
        <v>1903</v>
      </c>
      <c r="B1906" s="12">
        <v>163393.59833595122</v>
      </c>
      <c r="C1906" s="12"/>
    </row>
    <row r="1907" spans="1:3">
      <c r="A1907">
        <v>1904</v>
      </c>
      <c r="B1907" s="12">
        <v>81541.228640153262</v>
      </c>
      <c r="C1907" s="12"/>
    </row>
    <row r="1908" spans="1:3">
      <c r="A1908">
        <v>1905</v>
      </c>
      <c r="B1908" s="12">
        <v>104042.17584537319</v>
      </c>
      <c r="C1908" s="12"/>
    </row>
    <row r="1909" spans="1:3">
      <c r="A1909">
        <v>1906</v>
      </c>
      <c r="B1909" s="12">
        <v>107951.15019105365</v>
      </c>
      <c r="C1909" s="12"/>
    </row>
    <row r="1910" spans="1:3">
      <c r="A1910">
        <v>1907</v>
      </c>
      <c r="B1910" s="12">
        <v>100965.24587157198</v>
      </c>
      <c r="C1910" s="12"/>
    </row>
    <row r="1911" spans="1:3">
      <c r="A1911">
        <v>1908</v>
      </c>
      <c r="B1911" s="12">
        <v>83000.763284264365</v>
      </c>
      <c r="C1911" s="12"/>
    </row>
    <row r="1912" spans="1:3">
      <c r="A1912">
        <v>1909</v>
      </c>
      <c r="B1912" s="12">
        <v>93849.22212221814</v>
      </c>
      <c r="C1912" s="12"/>
    </row>
    <row r="1913" spans="1:3">
      <c r="A1913">
        <v>1910</v>
      </c>
      <c r="B1913" s="12">
        <v>76519.260091719829</v>
      </c>
      <c r="C1913" s="12"/>
    </row>
    <row r="1914" spans="1:3">
      <c r="A1914">
        <v>1911</v>
      </c>
      <c r="B1914" s="12">
        <v>146777.32930978027</v>
      </c>
      <c r="C1914" s="12"/>
    </row>
    <row r="1915" spans="1:3">
      <c r="A1915">
        <v>1912</v>
      </c>
      <c r="B1915" s="12">
        <v>56125.659443196877</v>
      </c>
      <c r="C1915" s="12"/>
    </row>
    <row r="1916" spans="1:3">
      <c r="A1916">
        <v>1913</v>
      </c>
      <c r="B1916" s="12">
        <v>131899.59921273318</v>
      </c>
      <c r="C1916" s="12"/>
    </row>
    <row r="1917" spans="1:3">
      <c r="A1917">
        <v>1914</v>
      </c>
      <c r="B1917" s="12">
        <v>80819.61099542561</v>
      </c>
      <c r="C1917" s="12"/>
    </row>
    <row r="1918" spans="1:3">
      <c r="A1918">
        <v>1915</v>
      </c>
      <c r="B1918" s="12">
        <v>102943.68822958262</v>
      </c>
      <c r="C1918" s="12"/>
    </row>
    <row r="1919" spans="1:3">
      <c r="A1919">
        <v>1916</v>
      </c>
      <c r="B1919" s="12">
        <v>58665.105087600758</v>
      </c>
      <c r="C1919" s="12"/>
    </row>
    <row r="1920" spans="1:3">
      <c r="A1920">
        <v>1917</v>
      </c>
      <c r="B1920" s="12">
        <v>102933.59978746952</v>
      </c>
      <c r="C1920" s="12"/>
    </row>
    <row r="1921" spans="1:3">
      <c r="A1921">
        <v>1918</v>
      </c>
      <c r="B1921" s="12">
        <v>118147.51112517371</v>
      </c>
      <c r="C1921" s="12"/>
    </row>
    <row r="1922" spans="1:3">
      <c r="A1922">
        <v>1919</v>
      </c>
      <c r="B1922" s="12">
        <v>115633.84395228628</v>
      </c>
      <c r="C1922" s="12"/>
    </row>
    <row r="1923" spans="1:3">
      <c r="A1923">
        <v>1920</v>
      </c>
      <c r="B1923" s="12">
        <v>179002.47878667794</v>
      </c>
      <c r="C1923" s="12"/>
    </row>
    <row r="1924" spans="1:3">
      <c r="A1924">
        <v>1921</v>
      </c>
      <c r="B1924" s="12">
        <v>107467.17869193523</v>
      </c>
      <c r="C1924" s="12"/>
    </row>
    <row r="1925" spans="1:3">
      <c r="A1925">
        <v>1922</v>
      </c>
      <c r="B1925" s="12">
        <v>107660.86747535023</v>
      </c>
      <c r="C1925" s="12"/>
    </row>
    <row r="1926" spans="1:3">
      <c r="A1926">
        <v>1923</v>
      </c>
      <c r="B1926" s="12">
        <v>163023.04219008173</v>
      </c>
      <c r="C1926" s="12"/>
    </row>
    <row r="1927" spans="1:3">
      <c r="A1927">
        <v>1924</v>
      </c>
      <c r="B1927" s="12">
        <v>132082.6108412696</v>
      </c>
      <c r="C1927" s="12"/>
    </row>
    <row r="1928" spans="1:3">
      <c r="A1928">
        <v>1925</v>
      </c>
      <c r="B1928" s="12">
        <v>118864.880882969</v>
      </c>
      <c r="C1928" s="12"/>
    </row>
    <row r="1929" spans="1:3">
      <c r="A1929">
        <v>1926</v>
      </c>
      <c r="B1929" s="12">
        <v>114261.50642980153</v>
      </c>
      <c r="C1929" s="12"/>
    </row>
    <row r="1930" spans="1:3">
      <c r="A1930">
        <v>1927</v>
      </c>
      <c r="B1930" s="12">
        <v>161028.93927164454</v>
      </c>
      <c r="C1930" s="12"/>
    </row>
    <row r="1931" spans="1:3">
      <c r="A1931">
        <v>1928</v>
      </c>
      <c r="B1931" s="12">
        <v>177735.22390478477</v>
      </c>
      <c r="C1931" s="12"/>
    </row>
    <row r="1932" spans="1:3">
      <c r="A1932">
        <v>1929</v>
      </c>
      <c r="B1932" s="12">
        <v>155122.99975630466</v>
      </c>
      <c r="C1932" s="12"/>
    </row>
    <row r="1933" spans="1:3">
      <c r="A1933">
        <v>1930</v>
      </c>
      <c r="B1933" s="12">
        <v>104686.24676947131</v>
      </c>
      <c r="C1933" s="12"/>
    </row>
    <row r="1934" spans="1:3">
      <c r="A1934">
        <v>1931</v>
      </c>
      <c r="B1934" s="12">
        <v>111118.53452823995</v>
      </c>
      <c r="C1934" s="12"/>
    </row>
    <row r="1935" spans="1:3">
      <c r="A1935">
        <v>1932</v>
      </c>
      <c r="B1935" s="12">
        <v>123796.42222942345</v>
      </c>
      <c r="C1935" s="12"/>
    </row>
    <row r="1936" spans="1:3">
      <c r="A1936">
        <v>1933</v>
      </c>
      <c r="B1936" s="12">
        <v>111203.72212995071</v>
      </c>
      <c r="C1936" s="12"/>
    </row>
    <row r="1937" spans="1:3">
      <c r="A1937">
        <v>1934</v>
      </c>
      <c r="B1937" s="12">
        <v>103138.99197530946</v>
      </c>
      <c r="C1937" s="12"/>
    </row>
    <row r="1938" spans="1:3">
      <c r="A1938">
        <v>1935</v>
      </c>
      <c r="B1938" s="12">
        <v>86010.878700834583</v>
      </c>
      <c r="C1938" s="12"/>
    </row>
    <row r="1939" spans="1:3">
      <c r="A1939">
        <v>1936</v>
      </c>
      <c r="B1939" s="12">
        <v>114373.49250981325</v>
      </c>
      <c r="C1939" s="12"/>
    </row>
    <row r="1940" spans="1:3">
      <c r="A1940">
        <v>1937</v>
      </c>
      <c r="B1940" s="12">
        <v>152680.46399012863</v>
      </c>
      <c r="C1940" s="12"/>
    </row>
    <row r="1941" spans="1:3">
      <c r="A1941">
        <v>1938</v>
      </c>
      <c r="B1941" s="12">
        <v>120658.39550331541</v>
      </c>
      <c r="C1941" s="12"/>
    </row>
    <row r="1942" spans="1:3">
      <c r="A1942">
        <v>1939</v>
      </c>
      <c r="B1942" s="12">
        <v>164107.40623018387</v>
      </c>
      <c r="C1942" s="12"/>
    </row>
    <row r="1943" spans="1:3">
      <c r="A1943">
        <v>1940</v>
      </c>
      <c r="B1943" s="12">
        <v>68750.111810087328</v>
      </c>
      <c r="C1943" s="12"/>
    </row>
    <row r="1944" spans="1:3">
      <c r="A1944">
        <v>1941</v>
      </c>
      <c r="B1944" s="12">
        <v>139706.11651392505</v>
      </c>
      <c r="C1944" s="12"/>
    </row>
    <row r="1945" spans="1:3">
      <c r="A1945">
        <v>1942</v>
      </c>
      <c r="B1945" s="12">
        <v>144816.18607058167</v>
      </c>
      <c r="C1945" s="12"/>
    </row>
    <row r="1946" spans="1:3">
      <c r="A1946">
        <v>1943</v>
      </c>
      <c r="B1946" s="12">
        <v>119548.02297198572</v>
      </c>
      <c r="C1946" s="12"/>
    </row>
    <row r="1947" spans="1:3">
      <c r="A1947">
        <v>1944</v>
      </c>
      <c r="B1947" s="12">
        <v>92007.506789706982</v>
      </c>
      <c r="C1947" s="12"/>
    </row>
    <row r="1948" spans="1:3">
      <c r="A1948">
        <v>1945</v>
      </c>
      <c r="B1948" s="12">
        <v>94788.742387812323</v>
      </c>
      <c r="C1948" s="12"/>
    </row>
    <row r="1949" spans="1:3">
      <c r="A1949">
        <v>1946</v>
      </c>
      <c r="B1949" s="12">
        <v>77279.823064697674</v>
      </c>
      <c r="C1949" s="12"/>
    </row>
    <row r="1950" spans="1:3">
      <c r="A1950">
        <v>1947</v>
      </c>
      <c r="B1950" s="12">
        <v>103807.54289060905</v>
      </c>
      <c r="C1950" s="12"/>
    </row>
    <row r="1951" spans="1:3">
      <c r="A1951">
        <v>1948</v>
      </c>
      <c r="B1951" s="12">
        <v>85204.012142184554</v>
      </c>
      <c r="C1951" s="12"/>
    </row>
    <row r="1952" spans="1:3">
      <c r="A1952">
        <v>1949</v>
      </c>
      <c r="B1952" s="12">
        <v>217136.68751032889</v>
      </c>
      <c r="C1952" s="12"/>
    </row>
    <row r="1953" spans="1:3">
      <c r="A1953">
        <v>1950</v>
      </c>
      <c r="B1953" s="12">
        <v>95652.794846063422</v>
      </c>
      <c r="C1953" s="12"/>
    </row>
    <row r="1954" spans="1:3">
      <c r="A1954">
        <v>1951</v>
      </c>
      <c r="B1954" s="12">
        <v>161092.628902759</v>
      </c>
      <c r="C1954" s="12"/>
    </row>
    <row r="1955" spans="1:3">
      <c r="A1955">
        <v>1952</v>
      </c>
      <c r="B1955" s="12">
        <v>139691.91358521124</v>
      </c>
      <c r="C1955" s="12"/>
    </row>
    <row r="1956" spans="1:3">
      <c r="A1956">
        <v>1953</v>
      </c>
      <c r="B1956" s="12">
        <v>184310.45046409531</v>
      </c>
      <c r="C1956" s="12"/>
    </row>
    <row r="1957" spans="1:3">
      <c r="A1957">
        <v>1954</v>
      </c>
      <c r="B1957" s="12">
        <v>114329.50658469323</v>
      </c>
      <c r="C1957" s="12"/>
    </row>
    <row r="1958" spans="1:3">
      <c r="A1958">
        <v>1955</v>
      </c>
      <c r="B1958" s="12">
        <v>79810.218512388295</v>
      </c>
      <c r="C1958" s="12"/>
    </row>
    <row r="1959" spans="1:3">
      <c r="A1959">
        <v>1956</v>
      </c>
      <c r="B1959" s="12">
        <v>122387.20783867777</v>
      </c>
      <c r="C1959" s="12"/>
    </row>
    <row r="1960" spans="1:3">
      <c r="A1960">
        <v>1957</v>
      </c>
      <c r="B1960" s="12">
        <v>90631.877759523661</v>
      </c>
      <c r="C1960" s="12"/>
    </row>
    <row r="1961" spans="1:3">
      <c r="A1961">
        <v>1958</v>
      </c>
      <c r="B1961" s="12">
        <v>113291.63962062866</v>
      </c>
      <c r="C1961" s="12"/>
    </row>
    <row r="1962" spans="1:3">
      <c r="A1962">
        <v>1959</v>
      </c>
      <c r="B1962" s="12">
        <v>138499.8162313372</v>
      </c>
      <c r="C1962" s="12"/>
    </row>
    <row r="1963" spans="1:3">
      <c r="A1963">
        <v>1960</v>
      </c>
      <c r="B1963" s="12">
        <v>101336.31134359345</v>
      </c>
      <c r="C1963" s="12"/>
    </row>
    <row r="1964" spans="1:3">
      <c r="A1964">
        <v>1961</v>
      </c>
      <c r="B1964" s="12">
        <v>131155.87607750361</v>
      </c>
      <c r="C1964" s="12"/>
    </row>
    <row r="1965" spans="1:3">
      <c r="A1965">
        <v>1962</v>
      </c>
      <c r="B1965" s="12">
        <v>66899.2881880731</v>
      </c>
      <c r="C1965" s="12"/>
    </row>
    <row r="1966" spans="1:3">
      <c r="A1966">
        <v>1963</v>
      </c>
      <c r="B1966" s="12">
        <v>72289.88403923373</v>
      </c>
      <c r="C1966" s="12"/>
    </row>
    <row r="1967" spans="1:3">
      <c r="A1967">
        <v>1964</v>
      </c>
      <c r="B1967" s="12">
        <v>115380.64563123652</v>
      </c>
      <c r="C1967" s="12"/>
    </row>
    <row r="1968" spans="1:3">
      <c r="A1968">
        <v>1965</v>
      </c>
      <c r="B1968" s="12">
        <v>68021.382827119131</v>
      </c>
      <c r="C1968" s="12"/>
    </row>
    <row r="1969" spans="1:3">
      <c r="A1969">
        <v>1966</v>
      </c>
      <c r="B1969" s="12">
        <v>95932.571521718375</v>
      </c>
      <c r="C1969" s="12"/>
    </row>
    <row r="1970" spans="1:3">
      <c r="A1970">
        <v>1967</v>
      </c>
      <c r="B1970" s="12">
        <v>93129.511204661045</v>
      </c>
      <c r="C1970" s="12"/>
    </row>
    <row r="1971" spans="1:3">
      <c r="A1971">
        <v>1968</v>
      </c>
      <c r="B1971" s="12">
        <v>79045.372332163824</v>
      </c>
      <c r="C1971" s="12"/>
    </row>
    <row r="1972" spans="1:3">
      <c r="A1972">
        <v>1969</v>
      </c>
      <c r="B1972" s="12">
        <v>125688.2651451431</v>
      </c>
      <c r="C1972" s="12"/>
    </row>
    <row r="1973" spans="1:3">
      <c r="A1973">
        <v>1970</v>
      </c>
      <c r="B1973" s="12">
        <v>134896.22522695499</v>
      </c>
      <c r="C1973" s="12"/>
    </row>
    <row r="1974" spans="1:3">
      <c r="A1974">
        <v>1971</v>
      </c>
      <c r="B1974" s="12">
        <v>142744.52607184014</v>
      </c>
      <c r="C1974" s="12"/>
    </row>
    <row r="1975" spans="1:3">
      <c r="A1975">
        <v>1972</v>
      </c>
      <c r="B1975" s="12">
        <v>152317.79711337161</v>
      </c>
      <c r="C1975" s="12"/>
    </row>
    <row r="1976" spans="1:3">
      <c r="A1976">
        <v>1973</v>
      </c>
      <c r="B1976" s="12">
        <v>125788.45468955234</v>
      </c>
      <c r="C1976" s="12"/>
    </row>
    <row r="1977" spans="1:3">
      <c r="A1977">
        <v>1974</v>
      </c>
      <c r="B1977" s="12">
        <v>93099.136547790433</v>
      </c>
      <c r="C1977" s="12"/>
    </row>
    <row r="1978" spans="1:3">
      <c r="A1978">
        <v>1975</v>
      </c>
      <c r="B1978" s="12">
        <v>129372.7774070195</v>
      </c>
      <c r="C1978" s="12"/>
    </row>
    <row r="1979" spans="1:3">
      <c r="A1979">
        <v>1976</v>
      </c>
      <c r="B1979" s="12">
        <v>121466.35015941381</v>
      </c>
      <c r="C1979" s="12"/>
    </row>
    <row r="1980" spans="1:3">
      <c r="A1980">
        <v>1977</v>
      </c>
      <c r="B1980" s="12">
        <v>102864.24329620399</v>
      </c>
      <c r="C1980" s="12"/>
    </row>
    <row r="1981" spans="1:3">
      <c r="A1981">
        <v>1978</v>
      </c>
      <c r="B1981" s="12">
        <v>170939.50489395022</v>
      </c>
      <c r="C1981" s="12"/>
    </row>
    <row r="1982" spans="1:3">
      <c r="A1982">
        <v>1979</v>
      </c>
      <c r="B1982" s="12">
        <v>95782.316668469386</v>
      </c>
      <c r="C1982" s="12"/>
    </row>
    <row r="1983" spans="1:3">
      <c r="A1983">
        <v>1980</v>
      </c>
      <c r="B1983" s="12">
        <v>90595.421717430785</v>
      </c>
      <c r="C1983" s="12"/>
    </row>
    <row r="1984" spans="1:3">
      <c r="A1984">
        <v>1981</v>
      </c>
      <c r="B1984" s="12">
        <v>139658.3747907349</v>
      </c>
      <c r="C1984" s="12"/>
    </row>
    <row r="1985" spans="1:3">
      <c r="A1985">
        <v>1982</v>
      </c>
      <c r="B1985" s="12">
        <v>130709.83404255789</v>
      </c>
      <c r="C1985" s="12"/>
    </row>
    <row r="1986" spans="1:3">
      <c r="A1986">
        <v>1983</v>
      </c>
      <c r="B1986" s="12">
        <v>79403.153681261509</v>
      </c>
      <c r="C1986" s="12"/>
    </row>
    <row r="1987" spans="1:3">
      <c r="A1987">
        <v>1984</v>
      </c>
      <c r="B1987" s="12">
        <v>126794.47831054109</v>
      </c>
      <c r="C1987" s="12"/>
    </row>
    <row r="1988" spans="1:3">
      <c r="A1988">
        <v>1985</v>
      </c>
      <c r="B1988" s="12">
        <v>99508.783070438018</v>
      </c>
      <c r="C1988" s="12"/>
    </row>
    <row r="1989" spans="1:3">
      <c r="A1989">
        <v>1986</v>
      </c>
      <c r="B1989" s="12">
        <v>82414.432023049463</v>
      </c>
      <c r="C1989" s="12"/>
    </row>
    <row r="1990" spans="1:3">
      <c r="A1990">
        <v>1987</v>
      </c>
      <c r="B1990" s="12">
        <v>120083.62862959367</v>
      </c>
      <c r="C1990" s="12"/>
    </row>
    <row r="1991" spans="1:3">
      <c r="A1991">
        <v>1988</v>
      </c>
      <c r="B1991" s="12">
        <v>132572.98019079617</v>
      </c>
      <c r="C1991" s="12"/>
    </row>
    <row r="1992" spans="1:3">
      <c r="A1992">
        <v>1989</v>
      </c>
      <c r="B1992" s="12">
        <v>91668.724190872148</v>
      </c>
      <c r="C1992" s="12"/>
    </row>
    <row r="1993" spans="1:3">
      <c r="A1993">
        <v>1990</v>
      </c>
      <c r="B1993" s="12">
        <v>128414.29092974345</v>
      </c>
      <c r="C1993" s="12"/>
    </row>
    <row r="1994" spans="1:3">
      <c r="A1994">
        <v>1991</v>
      </c>
      <c r="B1994" s="12">
        <v>85711.166517238438</v>
      </c>
      <c r="C1994" s="12"/>
    </row>
    <row r="1995" spans="1:3">
      <c r="A1995">
        <v>1992</v>
      </c>
      <c r="B1995" s="12">
        <v>90097.020292248184</v>
      </c>
      <c r="C1995" s="12"/>
    </row>
    <row r="1996" spans="1:3">
      <c r="A1996">
        <v>1993</v>
      </c>
      <c r="B1996" s="12">
        <v>127008.29712008398</v>
      </c>
      <c r="C1996" s="12"/>
    </row>
    <row r="1997" spans="1:3">
      <c r="A1997">
        <v>1994</v>
      </c>
      <c r="B1997" s="12">
        <v>128115.8186797837</v>
      </c>
      <c r="C1997" s="12"/>
    </row>
    <row r="1998" spans="1:3">
      <c r="A1998">
        <v>1995</v>
      </c>
      <c r="B1998" s="12">
        <v>142906.98933152342</v>
      </c>
      <c r="C1998" s="12"/>
    </row>
    <row r="1999" spans="1:3">
      <c r="A1999">
        <v>1996</v>
      </c>
      <c r="B1999" s="12">
        <v>160794.3181764381</v>
      </c>
      <c r="C1999" s="12"/>
    </row>
    <row r="2000" spans="1:3">
      <c r="A2000">
        <v>1997</v>
      </c>
      <c r="B2000" s="12">
        <v>103626.12081206914</v>
      </c>
      <c r="C2000" s="12"/>
    </row>
    <row r="2001" spans="1:3">
      <c r="A2001">
        <v>1998</v>
      </c>
      <c r="B2001" s="12">
        <v>98422.843517617584</v>
      </c>
      <c r="C2001" s="12"/>
    </row>
    <row r="2002" spans="1:3">
      <c r="A2002">
        <v>1999</v>
      </c>
      <c r="B2002" s="12">
        <v>120111.46415120839</v>
      </c>
      <c r="C2002" s="12"/>
    </row>
    <row r="2003" spans="1:3">
      <c r="A2003">
        <v>2000</v>
      </c>
      <c r="B2003" s="12">
        <v>118371.27171514665</v>
      </c>
      <c r="C2003" s="12"/>
    </row>
    <row r="2004" spans="1:3">
      <c r="A2004">
        <v>2001</v>
      </c>
      <c r="B2004" s="12">
        <v>79219.649351992979</v>
      </c>
      <c r="C2004" s="12"/>
    </row>
    <row r="2005" spans="1:3">
      <c r="A2005">
        <v>2002</v>
      </c>
      <c r="B2005" s="12">
        <v>150724.08815227874</v>
      </c>
      <c r="C2005" s="12"/>
    </row>
    <row r="2006" spans="1:3">
      <c r="A2006">
        <v>2003</v>
      </c>
      <c r="B2006" s="12">
        <v>76522.157816461127</v>
      </c>
      <c r="C2006" s="12"/>
    </row>
    <row r="2007" spans="1:3">
      <c r="A2007">
        <v>2004</v>
      </c>
      <c r="B2007" s="12">
        <v>138196.71585442859</v>
      </c>
      <c r="C2007" s="12"/>
    </row>
    <row r="2008" spans="1:3">
      <c r="A2008">
        <v>2005</v>
      </c>
      <c r="B2008" s="12">
        <v>92015.667863131966</v>
      </c>
      <c r="C2008" s="12"/>
    </row>
    <row r="2009" spans="1:3">
      <c r="A2009">
        <v>2006</v>
      </c>
      <c r="B2009" s="12">
        <v>97693.955939944499</v>
      </c>
      <c r="C2009" s="12"/>
    </row>
    <row r="2010" spans="1:3">
      <c r="A2010">
        <v>2007</v>
      </c>
      <c r="B2010" s="12">
        <v>112358.17998018205</v>
      </c>
      <c r="C2010" s="12"/>
    </row>
    <row r="2011" spans="1:3">
      <c r="A2011">
        <v>2008</v>
      </c>
      <c r="B2011" s="12">
        <v>116010.27392359685</v>
      </c>
      <c r="C2011" s="12"/>
    </row>
    <row r="2012" spans="1:3">
      <c r="A2012">
        <v>2009</v>
      </c>
      <c r="B2012" s="12">
        <v>109353.99984433904</v>
      </c>
      <c r="C2012" s="12"/>
    </row>
    <row r="2013" spans="1:3">
      <c r="A2013">
        <v>2010</v>
      </c>
      <c r="B2013" s="12">
        <v>121252.7990793166</v>
      </c>
      <c r="C2013" s="12"/>
    </row>
    <row r="2014" spans="1:3">
      <c r="A2014">
        <v>2011</v>
      </c>
      <c r="B2014" s="12">
        <v>100102.8004601209</v>
      </c>
      <c r="C2014" s="12"/>
    </row>
    <row r="2015" spans="1:3">
      <c r="A2015">
        <v>2012</v>
      </c>
      <c r="B2015" s="12">
        <v>88587.691978717921</v>
      </c>
      <c r="C2015" s="12"/>
    </row>
    <row r="2016" spans="1:3">
      <c r="A2016">
        <v>2013</v>
      </c>
      <c r="B2016" s="12">
        <v>121499.38424181465</v>
      </c>
      <c r="C2016" s="12"/>
    </row>
    <row r="2017" spans="1:3">
      <c r="A2017">
        <v>2014</v>
      </c>
      <c r="B2017" s="12">
        <v>112347.8865987179</v>
      </c>
      <c r="C2017" s="12"/>
    </row>
    <row r="2018" spans="1:3">
      <c r="A2018">
        <v>2015</v>
      </c>
      <c r="B2018" s="12">
        <v>147018.604569038</v>
      </c>
      <c r="C2018" s="12"/>
    </row>
    <row r="2019" spans="1:3">
      <c r="A2019">
        <v>2016</v>
      </c>
      <c r="B2019" s="12">
        <v>100589.55037776934</v>
      </c>
      <c r="C2019" s="12"/>
    </row>
    <row r="2020" spans="1:3">
      <c r="A2020">
        <v>2017</v>
      </c>
      <c r="B2020" s="12">
        <v>99133.28945951059</v>
      </c>
      <c r="C2020" s="12"/>
    </row>
    <row r="2021" spans="1:3">
      <c r="A2021">
        <v>2018</v>
      </c>
      <c r="B2021" s="12">
        <v>87520.621888472495</v>
      </c>
      <c r="C2021" s="12"/>
    </row>
    <row r="2022" spans="1:3">
      <c r="A2022">
        <v>2019</v>
      </c>
      <c r="B2022" s="12">
        <v>181744.80137151538</v>
      </c>
      <c r="C2022" s="12"/>
    </row>
    <row r="2023" spans="1:3">
      <c r="A2023">
        <v>2020</v>
      </c>
      <c r="B2023" s="12">
        <v>135757.57326383085</v>
      </c>
      <c r="C2023" s="12"/>
    </row>
    <row r="2024" spans="1:3">
      <c r="A2024">
        <v>2021</v>
      </c>
      <c r="B2024" s="12">
        <v>108476.70014774318</v>
      </c>
      <c r="C2024" s="12"/>
    </row>
    <row r="2025" spans="1:3">
      <c r="A2025">
        <v>2022</v>
      </c>
      <c r="B2025" s="12">
        <v>53431.066418373062</v>
      </c>
      <c r="C2025" s="12"/>
    </row>
    <row r="2026" spans="1:3">
      <c r="A2026">
        <v>2023</v>
      </c>
      <c r="B2026" s="12">
        <v>99945.536484173615</v>
      </c>
      <c r="C2026" s="12"/>
    </row>
    <row r="2027" spans="1:3">
      <c r="A2027">
        <v>2024</v>
      </c>
      <c r="B2027" s="12">
        <v>138895.13717501948</v>
      </c>
      <c r="C2027" s="12"/>
    </row>
    <row r="2028" spans="1:3">
      <c r="A2028">
        <v>2025</v>
      </c>
      <c r="B2028" s="12">
        <v>105258.75209843283</v>
      </c>
      <c r="C2028" s="12"/>
    </row>
    <row r="2029" spans="1:3">
      <c r="A2029">
        <v>2026</v>
      </c>
      <c r="B2029" s="12">
        <v>107372.2327938642</v>
      </c>
      <c r="C2029" s="12"/>
    </row>
    <row r="2030" spans="1:3">
      <c r="A2030">
        <v>2027</v>
      </c>
      <c r="B2030" s="12">
        <v>113405.65525923285</v>
      </c>
      <c r="C2030" s="12"/>
    </row>
    <row r="2031" spans="1:3">
      <c r="A2031">
        <v>2028</v>
      </c>
      <c r="B2031" s="12">
        <v>55816.703722419486</v>
      </c>
      <c r="C2031" s="12"/>
    </row>
    <row r="2032" spans="1:3">
      <c r="A2032">
        <v>2029</v>
      </c>
      <c r="B2032" s="12">
        <v>89151.288726820596</v>
      </c>
      <c r="C2032" s="12"/>
    </row>
    <row r="2033" spans="1:3">
      <c r="A2033">
        <v>2030</v>
      </c>
      <c r="B2033" s="12">
        <v>138174.2148768492</v>
      </c>
      <c r="C2033" s="12"/>
    </row>
    <row r="2034" spans="1:3">
      <c r="A2034">
        <v>2031</v>
      </c>
      <c r="B2034" s="12">
        <v>115200.49922690996</v>
      </c>
      <c r="C2034" s="12"/>
    </row>
    <row r="2035" spans="1:3">
      <c r="A2035">
        <v>2032</v>
      </c>
      <c r="B2035" s="12">
        <v>116419.2511776875</v>
      </c>
      <c r="C2035" s="12"/>
    </row>
    <row r="2036" spans="1:3">
      <c r="A2036">
        <v>2033</v>
      </c>
      <c r="B2036" s="12">
        <v>104746.04497131151</v>
      </c>
      <c r="C2036" s="12"/>
    </row>
    <row r="2037" spans="1:3">
      <c r="A2037">
        <v>2034</v>
      </c>
      <c r="B2037" s="12">
        <v>140600.72867605428</v>
      </c>
      <c r="C2037" s="12"/>
    </row>
    <row r="2038" spans="1:3">
      <c r="A2038">
        <v>2035</v>
      </c>
      <c r="B2038" s="12">
        <v>110087.69424538303</v>
      </c>
      <c r="C2038" s="12"/>
    </row>
    <row r="2039" spans="1:3">
      <c r="A2039">
        <v>2036</v>
      </c>
      <c r="B2039" s="12">
        <v>82029.146421847312</v>
      </c>
      <c r="C2039" s="12"/>
    </row>
    <row r="2040" spans="1:3">
      <c r="A2040">
        <v>2037</v>
      </c>
      <c r="B2040" s="12">
        <v>80721.488658700866</v>
      </c>
      <c r="C2040" s="12"/>
    </row>
    <row r="2041" spans="1:3">
      <c r="A2041">
        <v>2038</v>
      </c>
      <c r="B2041" s="12">
        <v>216262.64771886243</v>
      </c>
      <c r="C2041" s="12"/>
    </row>
    <row r="2042" spans="1:3">
      <c r="A2042">
        <v>2039</v>
      </c>
      <c r="B2042" s="12">
        <v>106194.17311295995</v>
      </c>
      <c r="C2042" s="12"/>
    </row>
    <row r="2043" spans="1:3">
      <c r="A2043">
        <v>2040</v>
      </c>
      <c r="B2043" s="12">
        <v>155549.85832801397</v>
      </c>
      <c r="C2043" s="12"/>
    </row>
    <row r="2044" spans="1:3">
      <c r="A2044">
        <v>2041</v>
      </c>
      <c r="B2044" s="12">
        <v>87832.523610675809</v>
      </c>
      <c r="C2044" s="12"/>
    </row>
    <row r="2045" spans="1:3">
      <c r="A2045">
        <v>2042</v>
      </c>
      <c r="B2045" s="12">
        <v>73286.291726258554</v>
      </c>
      <c r="C2045" s="12"/>
    </row>
    <row r="2046" spans="1:3">
      <c r="A2046">
        <v>2043</v>
      </c>
      <c r="B2046" s="12">
        <v>90209.709035323642</v>
      </c>
      <c r="C2046" s="12"/>
    </row>
    <row r="2047" spans="1:3">
      <c r="A2047">
        <v>2044</v>
      </c>
      <c r="B2047" s="12">
        <v>193026.30901815015</v>
      </c>
      <c r="C2047" s="12"/>
    </row>
    <row r="2048" spans="1:3">
      <c r="A2048">
        <v>2045</v>
      </c>
      <c r="B2048" s="12">
        <v>179272.61135775037</v>
      </c>
      <c r="C2048" s="12"/>
    </row>
    <row r="2049" spans="1:3">
      <c r="A2049">
        <v>2046</v>
      </c>
      <c r="B2049" s="12">
        <v>114831.83232739323</v>
      </c>
      <c r="C2049" s="12"/>
    </row>
    <row r="2050" spans="1:3">
      <c r="A2050">
        <v>2047</v>
      </c>
      <c r="B2050" s="12">
        <v>115402.67749572592</v>
      </c>
      <c r="C2050" s="12"/>
    </row>
    <row r="2051" spans="1:3">
      <c r="A2051">
        <v>2048</v>
      </c>
      <c r="B2051" s="12">
        <v>171739.24713620523</v>
      </c>
      <c r="C2051" s="12"/>
    </row>
    <row r="2052" spans="1:3">
      <c r="A2052">
        <v>2049</v>
      </c>
      <c r="B2052" s="12">
        <v>190856.33305651424</v>
      </c>
      <c r="C2052" s="12"/>
    </row>
    <row r="2053" spans="1:3">
      <c r="A2053">
        <v>2050</v>
      </c>
      <c r="B2053" s="12">
        <v>105580.34893176414</v>
      </c>
      <c r="C2053" s="12"/>
    </row>
    <row r="2054" spans="1:3">
      <c r="A2054">
        <v>2051</v>
      </c>
      <c r="B2054" s="12">
        <v>99014.0127569428</v>
      </c>
      <c r="C2054" s="12"/>
    </row>
    <row r="2055" spans="1:3">
      <c r="A2055">
        <v>2052</v>
      </c>
      <c r="B2055" s="12">
        <v>115003.96569016713</v>
      </c>
      <c r="C2055" s="12"/>
    </row>
    <row r="2056" spans="1:3">
      <c r="A2056">
        <v>2053</v>
      </c>
      <c r="B2056" s="12">
        <v>129364.21124036022</v>
      </c>
      <c r="C2056" s="12"/>
    </row>
    <row r="2057" spans="1:3">
      <c r="A2057">
        <v>2054</v>
      </c>
      <c r="B2057" s="12">
        <v>131303.31274425273</v>
      </c>
      <c r="C2057" s="12"/>
    </row>
    <row r="2058" spans="1:3">
      <c r="A2058">
        <v>2055</v>
      </c>
      <c r="B2058" s="12">
        <v>113137.34798003233</v>
      </c>
      <c r="C2058" s="12"/>
    </row>
    <row r="2059" spans="1:3">
      <c r="A2059">
        <v>2056</v>
      </c>
      <c r="B2059" s="12">
        <v>111838.33186464707</v>
      </c>
      <c r="C2059" s="12"/>
    </row>
    <row r="2060" spans="1:3">
      <c r="A2060">
        <v>2057</v>
      </c>
      <c r="B2060" s="12">
        <v>156825.68345055796</v>
      </c>
      <c r="C2060" s="12"/>
    </row>
    <row r="2061" spans="1:3">
      <c r="A2061">
        <v>2058</v>
      </c>
      <c r="B2061" s="12">
        <v>62874.076788460035</v>
      </c>
      <c r="C2061" s="12"/>
    </row>
    <row r="2062" spans="1:3">
      <c r="A2062">
        <v>2059</v>
      </c>
      <c r="B2062" s="12">
        <v>148852.67791612924</v>
      </c>
      <c r="C2062" s="12"/>
    </row>
    <row r="2063" spans="1:3">
      <c r="A2063">
        <v>2060</v>
      </c>
      <c r="B2063" s="12">
        <v>77489.591954397649</v>
      </c>
      <c r="C2063" s="12"/>
    </row>
    <row r="2064" spans="1:3">
      <c r="A2064">
        <v>2061</v>
      </c>
      <c r="B2064" s="12">
        <v>127741.80485383784</v>
      </c>
      <c r="C2064" s="12"/>
    </row>
    <row r="2065" spans="1:3">
      <c r="A2065">
        <v>2062</v>
      </c>
      <c r="B2065" s="12">
        <v>92910.195806107818</v>
      </c>
      <c r="C2065" s="12"/>
    </row>
    <row r="2066" spans="1:3">
      <c r="A2066">
        <v>2063</v>
      </c>
      <c r="B2066" s="12">
        <v>111098.57263671234</v>
      </c>
      <c r="C2066" s="12"/>
    </row>
    <row r="2067" spans="1:3">
      <c r="A2067">
        <v>2064</v>
      </c>
      <c r="B2067" s="12">
        <v>73737.648244010576</v>
      </c>
      <c r="C2067" s="12"/>
    </row>
    <row r="2068" spans="1:3">
      <c r="A2068">
        <v>2065</v>
      </c>
      <c r="B2068" s="12">
        <v>112204.1621739543</v>
      </c>
      <c r="C2068" s="12"/>
    </row>
    <row r="2069" spans="1:3">
      <c r="A2069">
        <v>2066</v>
      </c>
      <c r="B2069" s="12">
        <v>111836.7531946948</v>
      </c>
      <c r="C2069" s="12"/>
    </row>
    <row r="2070" spans="1:3">
      <c r="A2070">
        <v>2067</v>
      </c>
      <c r="B2070" s="12">
        <v>118101.12765133957</v>
      </c>
      <c r="C2070" s="12"/>
    </row>
    <row r="2071" spans="1:3">
      <c r="A2071">
        <v>2068</v>
      </c>
      <c r="B2071" s="12">
        <v>113340.44292374721</v>
      </c>
      <c r="C2071" s="12"/>
    </row>
    <row r="2072" spans="1:3">
      <c r="A2072">
        <v>2069</v>
      </c>
      <c r="B2072" s="12">
        <v>186606.02974577036</v>
      </c>
      <c r="C2072" s="12"/>
    </row>
    <row r="2073" spans="1:3">
      <c r="A2073">
        <v>2070</v>
      </c>
      <c r="B2073" s="12">
        <v>129005.59086519312</v>
      </c>
      <c r="C2073" s="12"/>
    </row>
    <row r="2074" spans="1:3">
      <c r="A2074">
        <v>2071</v>
      </c>
      <c r="B2074" s="12">
        <v>133876.60337259757</v>
      </c>
      <c r="C2074" s="12"/>
    </row>
    <row r="2075" spans="1:3">
      <c r="A2075">
        <v>2072</v>
      </c>
      <c r="B2075" s="12">
        <v>139311.6123866578</v>
      </c>
      <c r="C2075" s="12"/>
    </row>
    <row r="2076" spans="1:3">
      <c r="A2076">
        <v>2073</v>
      </c>
      <c r="B2076" s="12">
        <v>145949.17308135825</v>
      </c>
      <c r="C2076" s="12"/>
    </row>
    <row r="2077" spans="1:3">
      <c r="A2077">
        <v>2074</v>
      </c>
      <c r="B2077" s="12">
        <v>117120.05402513155</v>
      </c>
      <c r="C2077" s="12"/>
    </row>
    <row r="2078" spans="1:3">
      <c r="A2078">
        <v>2075</v>
      </c>
      <c r="B2078" s="12">
        <v>89403.065076115905</v>
      </c>
      <c r="C2078" s="12"/>
    </row>
    <row r="2079" spans="1:3">
      <c r="A2079">
        <v>2076</v>
      </c>
      <c r="B2079" s="12">
        <v>118067.49169910845</v>
      </c>
      <c r="C2079" s="12"/>
    </row>
    <row r="2080" spans="1:3">
      <c r="A2080">
        <v>2077</v>
      </c>
      <c r="B2080" s="12">
        <v>98927.196900608425</v>
      </c>
      <c r="C2080" s="12"/>
    </row>
    <row r="2081" spans="1:3">
      <c r="A2081">
        <v>2078</v>
      </c>
      <c r="B2081" s="12">
        <v>123150.02758605324</v>
      </c>
      <c r="C2081" s="12"/>
    </row>
    <row r="2082" spans="1:3">
      <c r="A2082">
        <v>2079</v>
      </c>
      <c r="B2082" s="12">
        <v>85709.146844474861</v>
      </c>
      <c r="C2082" s="12"/>
    </row>
    <row r="2083" spans="1:3">
      <c r="A2083">
        <v>2080</v>
      </c>
      <c r="B2083" s="12">
        <v>128946.3240877401</v>
      </c>
      <c r="C2083" s="12"/>
    </row>
    <row r="2084" spans="1:3">
      <c r="A2084">
        <v>2081</v>
      </c>
      <c r="B2084" s="12">
        <v>181273.91109539761</v>
      </c>
      <c r="C2084" s="12"/>
    </row>
    <row r="2085" spans="1:3">
      <c r="A2085">
        <v>2082</v>
      </c>
      <c r="B2085" s="12">
        <v>123390.7144026397</v>
      </c>
      <c r="C2085" s="12"/>
    </row>
    <row r="2086" spans="1:3">
      <c r="A2086">
        <v>2083</v>
      </c>
      <c r="B2086" s="12">
        <v>140443.70975600817</v>
      </c>
      <c r="C2086" s="12"/>
    </row>
    <row r="2087" spans="1:3">
      <c r="A2087">
        <v>2084</v>
      </c>
      <c r="B2087" s="12">
        <v>110815.73778991413</v>
      </c>
      <c r="C2087" s="12"/>
    </row>
    <row r="2088" spans="1:3">
      <c r="A2088">
        <v>2085</v>
      </c>
      <c r="B2088" s="12">
        <v>133953.16643197727</v>
      </c>
      <c r="C2088" s="12"/>
    </row>
    <row r="2089" spans="1:3">
      <c r="A2089">
        <v>2086</v>
      </c>
      <c r="B2089" s="12">
        <v>129263.80622730151</v>
      </c>
      <c r="C2089" s="12"/>
    </row>
    <row r="2090" spans="1:3">
      <c r="A2090">
        <v>2087</v>
      </c>
      <c r="B2090" s="12">
        <v>104325.74397320514</v>
      </c>
      <c r="C2090" s="12"/>
    </row>
    <row r="2091" spans="1:3">
      <c r="A2091">
        <v>2088</v>
      </c>
      <c r="B2091" s="12">
        <v>119586.0727086189</v>
      </c>
      <c r="C2091" s="12"/>
    </row>
    <row r="2092" spans="1:3">
      <c r="A2092">
        <v>2089</v>
      </c>
      <c r="B2092" s="12">
        <v>112360.84090903039</v>
      </c>
      <c r="C2092" s="12"/>
    </row>
    <row r="2093" spans="1:3">
      <c r="A2093">
        <v>2090</v>
      </c>
      <c r="B2093" s="12">
        <v>141708.37738820491</v>
      </c>
      <c r="C2093" s="12"/>
    </row>
    <row r="2094" spans="1:3">
      <c r="A2094">
        <v>2091</v>
      </c>
      <c r="B2094" s="12">
        <v>132089.30507206128</v>
      </c>
      <c r="C2094" s="12"/>
    </row>
    <row r="2095" spans="1:3">
      <c r="A2095">
        <v>2092</v>
      </c>
      <c r="B2095" s="12">
        <v>134117.81061554747</v>
      </c>
      <c r="C2095" s="12"/>
    </row>
    <row r="2096" spans="1:3">
      <c r="A2096">
        <v>2093</v>
      </c>
      <c r="B2096" s="12">
        <v>96009.450321030847</v>
      </c>
      <c r="C2096" s="12"/>
    </row>
    <row r="2097" spans="1:3">
      <c r="A2097">
        <v>2094</v>
      </c>
      <c r="B2097" s="12">
        <v>107658.43058450597</v>
      </c>
      <c r="C2097" s="12"/>
    </row>
    <row r="2098" spans="1:3">
      <c r="A2098">
        <v>2095</v>
      </c>
      <c r="B2098" s="12">
        <v>257068.24854008292</v>
      </c>
      <c r="C2098" s="12"/>
    </row>
    <row r="2099" spans="1:3">
      <c r="A2099">
        <v>2096</v>
      </c>
      <c r="B2099" s="12">
        <v>76823.074894601988</v>
      </c>
      <c r="C2099" s="12"/>
    </row>
    <row r="2100" spans="1:3">
      <c r="A2100">
        <v>2097</v>
      </c>
      <c r="B2100" s="12">
        <v>83691.004368513211</v>
      </c>
      <c r="C2100" s="12"/>
    </row>
    <row r="2101" spans="1:3">
      <c r="A2101">
        <v>2098</v>
      </c>
      <c r="B2101" s="12">
        <v>78037.089016751124</v>
      </c>
      <c r="C2101" s="12"/>
    </row>
    <row r="2102" spans="1:3">
      <c r="A2102">
        <v>2099</v>
      </c>
      <c r="B2102" s="12">
        <v>94651.088140636843</v>
      </c>
      <c r="C2102" s="12"/>
    </row>
    <row r="2103" spans="1:3">
      <c r="A2103">
        <v>2100</v>
      </c>
      <c r="B2103" s="12">
        <v>114493.41164353325</v>
      </c>
      <c r="C2103" s="12"/>
    </row>
    <row r="2104" spans="1:3">
      <c r="A2104">
        <v>2101</v>
      </c>
      <c r="B2104" s="12">
        <v>117865.46107972361</v>
      </c>
      <c r="C2104" s="12"/>
    </row>
    <row r="2105" spans="1:3">
      <c r="A2105">
        <v>2102</v>
      </c>
      <c r="B2105" s="12">
        <v>109986.28413894992</v>
      </c>
      <c r="C2105" s="12"/>
    </row>
    <row r="2106" spans="1:3">
      <c r="A2106">
        <v>2103</v>
      </c>
      <c r="B2106" s="12">
        <v>121821.112545601</v>
      </c>
      <c r="C2106" s="12"/>
    </row>
    <row r="2107" spans="1:3">
      <c r="A2107">
        <v>2104</v>
      </c>
      <c r="B2107" s="12">
        <v>74252.501536601121</v>
      </c>
      <c r="C2107" s="12"/>
    </row>
    <row r="2108" spans="1:3">
      <c r="A2108">
        <v>2105</v>
      </c>
      <c r="B2108" s="12">
        <v>114015.65927010583</v>
      </c>
      <c r="C2108" s="12"/>
    </row>
    <row r="2109" spans="1:3">
      <c r="A2109">
        <v>2106</v>
      </c>
      <c r="B2109" s="12">
        <v>87249.765068778797</v>
      </c>
      <c r="C2109" s="12"/>
    </row>
    <row r="2110" spans="1:3">
      <c r="A2110">
        <v>2107</v>
      </c>
      <c r="B2110" s="12">
        <v>170005.63305811584</v>
      </c>
      <c r="C2110" s="12"/>
    </row>
    <row r="2111" spans="1:3">
      <c r="A2111">
        <v>2108</v>
      </c>
      <c r="B2111" s="12">
        <v>99701.636465091258</v>
      </c>
      <c r="C2111" s="12"/>
    </row>
    <row r="2112" spans="1:3">
      <c r="A2112">
        <v>2109</v>
      </c>
      <c r="B2112" s="12">
        <v>139081.89594077191</v>
      </c>
      <c r="C2112" s="12"/>
    </row>
    <row r="2113" spans="1:3">
      <c r="A2113">
        <v>2110</v>
      </c>
      <c r="B2113" s="12">
        <v>92055.791909513166</v>
      </c>
      <c r="C2113" s="12"/>
    </row>
    <row r="2114" spans="1:3">
      <c r="A2114">
        <v>2111</v>
      </c>
      <c r="B2114" s="12">
        <v>121167.94982590883</v>
      </c>
      <c r="C2114" s="12"/>
    </row>
    <row r="2115" spans="1:3">
      <c r="A2115">
        <v>2112</v>
      </c>
      <c r="B2115" s="12">
        <v>113642.43251674803</v>
      </c>
      <c r="C2115" s="12"/>
    </row>
    <row r="2116" spans="1:3">
      <c r="A2116">
        <v>2113</v>
      </c>
      <c r="B2116" s="12">
        <v>96298.683091858809</v>
      </c>
      <c r="C2116" s="12"/>
    </row>
    <row r="2117" spans="1:3">
      <c r="A2117">
        <v>2114</v>
      </c>
      <c r="B2117" s="12">
        <v>117462.49502029172</v>
      </c>
      <c r="C2117" s="12"/>
    </row>
    <row r="2118" spans="1:3">
      <c r="A2118">
        <v>2115</v>
      </c>
      <c r="B2118" s="12">
        <v>176525.41494903545</v>
      </c>
      <c r="C2118" s="12"/>
    </row>
    <row r="2119" spans="1:3">
      <c r="A2119">
        <v>2116</v>
      </c>
      <c r="B2119" s="12">
        <v>145217.41024023239</v>
      </c>
      <c r="C2119" s="12"/>
    </row>
    <row r="2120" spans="1:3">
      <c r="A2120">
        <v>2117</v>
      </c>
      <c r="B2120" s="12">
        <v>82383.17008012296</v>
      </c>
      <c r="C2120" s="12"/>
    </row>
    <row r="2121" spans="1:3">
      <c r="A2121">
        <v>2118</v>
      </c>
      <c r="B2121" s="12">
        <v>76367.763184827651</v>
      </c>
      <c r="C2121" s="12"/>
    </row>
    <row r="2122" spans="1:3">
      <c r="A2122">
        <v>2119</v>
      </c>
      <c r="B2122" s="12">
        <v>125322.9825778752</v>
      </c>
      <c r="C2122" s="12"/>
    </row>
    <row r="2123" spans="1:3">
      <c r="A2123">
        <v>2120</v>
      </c>
      <c r="B2123" s="12">
        <v>108545.07685616643</v>
      </c>
      <c r="C2123" s="12"/>
    </row>
    <row r="2124" spans="1:3">
      <c r="A2124">
        <v>2121</v>
      </c>
      <c r="B2124" s="12">
        <v>67100.179770078248</v>
      </c>
      <c r="C2124" s="12"/>
    </row>
    <row r="2125" spans="1:3">
      <c r="A2125">
        <v>2122</v>
      </c>
      <c r="B2125" s="12">
        <v>153221.41773449435</v>
      </c>
      <c r="C2125" s="12"/>
    </row>
    <row r="2126" spans="1:3">
      <c r="A2126">
        <v>2123</v>
      </c>
      <c r="B2126" s="12">
        <v>99601.763843039778</v>
      </c>
      <c r="C2126" s="12"/>
    </row>
    <row r="2127" spans="1:3">
      <c r="A2127">
        <v>2124</v>
      </c>
      <c r="B2127" s="12">
        <v>107591.44340478344</v>
      </c>
      <c r="C2127" s="12"/>
    </row>
    <row r="2128" spans="1:3">
      <c r="A2128">
        <v>2125</v>
      </c>
      <c r="B2128" s="12">
        <v>69239.700371890634</v>
      </c>
      <c r="C2128" s="12"/>
    </row>
    <row r="2129" spans="1:3">
      <c r="A2129">
        <v>2126</v>
      </c>
      <c r="B2129" s="12">
        <v>112302.53988965972</v>
      </c>
      <c r="C2129" s="12"/>
    </row>
    <row r="2130" spans="1:3">
      <c r="A2130">
        <v>2127</v>
      </c>
      <c r="B2130" s="12">
        <v>88140.207441936174</v>
      </c>
      <c r="C2130" s="12"/>
    </row>
    <row r="2131" spans="1:3">
      <c r="A2131">
        <v>2128</v>
      </c>
      <c r="B2131" s="12">
        <v>166604.28629378648</v>
      </c>
      <c r="C2131" s="12"/>
    </row>
    <row r="2132" spans="1:3">
      <c r="A2132">
        <v>2129</v>
      </c>
      <c r="B2132" s="12">
        <v>60395.523638139908</v>
      </c>
      <c r="C2132" s="12"/>
    </row>
    <row r="2133" spans="1:3">
      <c r="A2133">
        <v>2130</v>
      </c>
      <c r="B2133" s="12">
        <v>96323.188476842348</v>
      </c>
      <c r="C2133" s="12"/>
    </row>
    <row r="2134" spans="1:3">
      <c r="A2134">
        <v>2131</v>
      </c>
      <c r="B2134" s="12">
        <v>110974.60795720483</v>
      </c>
      <c r="C2134" s="12"/>
    </row>
    <row r="2135" spans="1:3">
      <c r="A2135">
        <v>2132</v>
      </c>
      <c r="B2135" s="12">
        <v>126191.74703582731</v>
      </c>
      <c r="C2135" s="12"/>
    </row>
    <row r="2136" spans="1:3">
      <c r="A2136">
        <v>2133</v>
      </c>
      <c r="B2136" s="12">
        <v>203876.1647428828</v>
      </c>
      <c r="C2136" s="12"/>
    </row>
    <row r="2137" spans="1:3">
      <c r="A2137">
        <v>2134</v>
      </c>
      <c r="B2137" s="12">
        <v>143860.44596838971</v>
      </c>
      <c r="C2137" s="12"/>
    </row>
    <row r="2138" spans="1:3">
      <c r="A2138">
        <v>2135</v>
      </c>
      <c r="B2138" s="12">
        <v>81891.466030452691</v>
      </c>
      <c r="C2138" s="12"/>
    </row>
    <row r="2139" spans="1:3">
      <c r="A2139">
        <v>2136</v>
      </c>
      <c r="B2139" s="12">
        <v>101036.91740282765</v>
      </c>
      <c r="C2139" s="12"/>
    </row>
    <row r="2140" spans="1:3">
      <c r="A2140">
        <v>2137</v>
      </c>
      <c r="B2140" s="12">
        <v>120665.76412297391</v>
      </c>
      <c r="C2140" s="12"/>
    </row>
    <row r="2141" spans="1:3">
      <c r="A2141">
        <v>2138</v>
      </c>
      <c r="B2141" s="12">
        <v>134282.93144757207</v>
      </c>
      <c r="C2141" s="12"/>
    </row>
    <row r="2142" spans="1:3">
      <c r="A2142">
        <v>2139</v>
      </c>
      <c r="B2142" s="12">
        <v>122453.85483989809</v>
      </c>
      <c r="C2142" s="12"/>
    </row>
    <row r="2143" spans="1:3">
      <c r="A2143">
        <v>2140</v>
      </c>
      <c r="B2143" s="12">
        <v>154617.65302034561</v>
      </c>
      <c r="C2143" s="12"/>
    </row>
    <row r="2144" spans="1:3">
      <c r="A2144">
        <v>2141</v>
      </c>
      <c r="B2144" s="12">
        <v>136583.28172666667</v>
      </c>
      <c r="C2144" s="12"/>
    </row>
    <row r="2145" spans="1:3">
      <c r="A2145">
        <v>2142</v>
      </c>
      <c r="B2145" s="12">
        <v>99597.641766269895</v>
      </c>
      <c r="C2145" s="12"/>
    </row>
    <row r="2146" spans="1:3">
      <c r="A2146">
        <v>2143</v>
      </c>
      <c r="B2146" s="12">
        <v>136092.30362030093</v>
      </c>
      <c r="C2146" s="12"/>
    </row>
    <row r="2147" spans="1:3">
      <c r="A2147">
        <v>2144</v>
      </c>
      <c r="B2147" s="12">
        <v>138200.32859404109</v>
      </c>
      <c r="C2147" s="12"/>
    </row>
    <row r="2148" spans="1:3">
      <c r="A2148">
        <v>2145</v>
      </c>
      <c r="B2148" s="12">
        <v>98426.648617632978</v>
      </c>
      <c r="C2148" s="12"/>
    </row>
    <row r="2149" spans="1:3">
      <c r="A2149">
        <v>2146</v>
      </c>
      <c r="B2149" s="12">
        <v>165339.42247886522</v>
      </c>
      <c r="C2149" s="12"/>
    </row>
    <row r="2150" spans="1:3">
      <c r="A2150">
        <v>2147</v>
      </c>
      <c r="B2150" s="12">
        <v>97692.258809962295</v>
      </c>
      <c r="C2150" s="12"/>
    </row>
    <row r="2151" spans="1:3">
      <c r="A2151">
        <v>2148</v>
      </c>
      <c r="B2151" s="12">
        <v>97118.014940467518</v>
      </c>
      <c r="C2151" s="12"/>
    </row>
    <row r="2152" spans="1:3">
      <c r="A2152">
        <v>2149</v>
      </c>
      <c r="B2152" s="12">
        <v>109470.55817620306</v>
      </c>
      <c r="C2152" s="12"/>
    </row>
    <row r="2153" spans="1:3">
      <c r="A2153">
        <v>2150</v>
      </c>
      <c r="B2153" s="12">
        <v>150218.33397950509</v>
      </c>
      <c r="C2153" s="12"/>
    </row>
    <row r="2154" spans="1:3">
      <c r="A2154">
        <v>2151</v>
      </c>
      <c r="B2154" s="12">
        <v>93412.693941390258</v>
      </c>
      <c r="C2154" s="12"/>
    </row>
    <row r="2155" spans="1:3">
      <c r="A2155">
        <v>2152</v>
      </c>
      <c r="B2155" s="12">
        <v>156098.24658895502</v>
      </c>
      <c r="C2155" s="12"/>
    </row>
    <row r="2156" spans="1:3">
      <c r="A2156">
        <v>2153</v>
      </c>
      <c r="B2156" s="12">
        <v>88175.775218305338</v>
      </c>
      <c r="C2156" s="12"/>
    </row>
    <row r="2157" spans="1:3">
      <c r="A2157">
        <v>2154</v>
      </c>
      <c r="B2157" s="12">
        <v>99863.676619759979</v>
      </c>
      <c r="C2157" s="12"/>
    </row>
    <row r="2158" spans="1:3">
      <c r="A2158">
        <v>2155</v>
      </c>
      <c r="B2158" s="12">
        <v>81365.779474117182</v>
      </c>
      <c r="C2158" s="12"/>
    </row>
    <row r="2159" spans="1:3">
      <c r="A2159">
        <v>2156</v>
      </c>
      <c r="B2159" s="12">
        <v>133309.09795467215</v>
      </c>
      <c r="C2159" s="12"/>
    </row>
    <row r="2160" spans="1:3">
      <c r="A2160">
        <v>2157</v>
      </c>
      <c r="B2160" s="12">
        <v>106628.60782998805</v>
      </c>
      <c r="C2160" s="12"/>
    </row>
    <row r="2161" spans="1:3">
      <c r="A2161">
        <v>2158</v>
      </c>
      <c r="B2161" s="12">
        <v>167944.45785648801</v>
      </c>
      <c r="C2161" s="12"/>
    </row>
    <row r="2162" spans="1:3">
      <c r="A2162">
        <v>2159</v>
      </c>
      <c r="B2162" s="12">
        <v>81636.315115581616</v>
      </c>
      <c r="C2162" s="12"/>
    </row>
    <row r="2163" spans="1:3">
      <c r="A2163">
        <v>2160</v>
      </c>
      <c r="B2163" s="12">
        <v>106678.86905943416</v>
      </c>
      <c r="C2163" s="12"/>
    </row>
    <row r="2164" spans="1:3">
      <c r="A2164">
        <v>2161</v>
      </c>
      <c r="B2164" s="12">
        <v>182472.53282912364</v>
      </c>
      <c r="C2164" s="12"/>
    </row>
    <row r="2165" spans="1:3">
      <c r="A2165">
        <v>2162</v>
      </c>
      <c r="B2165" s="12">
        <v>152358.84498264754</v>
      </c>
      <c r="C2165" s="12"/>
    </row>
    <row r="2166" spans="1:3">
      <c r="A2166">
        <v>2163</v>
      </c>
      <c r="B2166" s="12">
        <v>70663.32002185352</v>
      </c>
      <c r="C2166" s="12"/>
    </row>
    <row r="2167" spans="1:3">
      <c r="A2167">
        <v>2164</v>
      </c>
      <c r="B2167" s="12">
        <v>120735.53080434885</v>
      </c>
      <c r="C2167" s="12"/>
    </row>
    <row r="2168" spans="1:3">
      <c r="A2168">
        <v>2165</v>
      </c>
      <c r="B2168" s="12">
        <v>99105.725349610701</v>
      </c>
      <c r="C2168" s="12"/>
    </row>
    <row r="2169" spans="1:3">
      <c r="A2169">
        <v>2166</v>
      </c>
      <c r="B2169" s="12">
        <v>116853.43069335294</v>
      </c>
      <c r="C2169" s="12"/>
    </row>
    <row r="2170" spans="1:3">
      <c r="A2170">
        <v>2167</v>
      </c>
      <c r="B2170" s="12">
        <v>139180.84536123334</v>
      </c>
      <c r="C2170" s="12"/>
    </row>
    <row r="2171" spans="1:3">
      <c r="A2171">
        <v>2168</v>
      </c>
      <c r="B2171" s="12">
        <v>209691.71822680035</v>
      </c>
      <c r="C2171" s="12"/>
    </row>
    <row r="2172" spans="1:3">
      <c r="A2172">
        <v>2169</v>
      </c>
      <c r="B2172" s="12">
        <v>79344.209529958011</v>
      </c>
      <c r="C2172" s="12"/>
    </row>
    <row r="2173" spans="1:3">
      <c r="A2173">
        <v>2170</v>
      </c>
      <c r="B2173" s="12">
        <v>99488.583311444236</v>
      </c>
      <c r="C2173" s="12"/>
    </row>
    <row r="2174" spans="1:3">
      <c r="A2174">
        <v>2171</v>
      </c>
      <c r="B2174" s="12">
        <v>107461.54406190867</v>
      </c>
      <c r="C2174" s="12"/>
    </row>
    <row r="2175" spans="1:3">
      <c r="A2175">
        <v>2172</v>
      </c>
      <c r="B2175" s="12">
        <v>86747.705608444579</v>
      </c>
      <c r="C2175" s="12"/>
    </row>
    <row r="2176" spans="1:3">
      <c r="A2176">
        <v>2173</v>
      </c>
      <c r="B2176" s="12">
        <v>93775.343335197191</v>
      </c>
      <c r="C2176" s="12"/>
    </row>
    <row r="2177" spans="1:3">
      <c r="A2177">
        <v>2174</v>
      </c>
      <c r="B2177" s="12">
        <v>143437.44185542772</v>
      </c>
      <c r="C2177" s="12"/>
    </row>
    <row r="2178" spans="1:3">
      <c r="A2178">
        <v>2175</v>
      </c>
      <c r="B2178" s="12">
        <v>74531.338354765205</v>
      </c>
      <c r="C2178" s="12"/>
    </row>
    <row r="2179" spans="1:3">
      <c r="A2179">
        <v>2176</v>
      </c>
      <c r="B2179" s="12">
        <v>140862.81886318032</v>
      </c>
      <c r="C2179" s="12"/>
    </row>
    <row r="2180" spans="1:3">
      <c r="A2180">
        <v>2177</v>
      </c>
      <c r="B2180" s="12">
        <v>131711.89871592919</v>
      </c>
      <c r="C2180" s="12"/>
    </row>
    <row r="2181" spans="1:3">
      <c r="A2181">
        <v>2178</v>
      </c>
      <c r="B2181" s="12">
        <v>148716.57031562345</v>
      </c>
      <c r="C2181" s="12"/>
    </row>
    <row r="2182" spans="1:3">
      <c r="A2182">
        <v>2179</v>
      </c>
      <c r="B2182" s="12">
        <v>140696.02563708799</v>
      </c>
      <c r="C2182" s="12"/>
    </row>
    <row r="2183" spans="1:3">
      <c r="A2183">
        <v>2180</v>
      </c>
      <c r="B2183" s="12">
        <v>64165.310628518913</v>
      </c>
      <c r="C2183" s="12"/>
    </row>
    <row r="2184" spans="1:3">
      <c r="A2184">
        <v>2181</v>
      </c>
      <c r="B2184" s="12">
        <v>114433.69716247458</v>
      </c>
      <c r="C2184" s="12"/>
    </row>
    <row r="2185" spans="1:3">
      <c r="A2185">
        <v>2182</v>
      </c>
      <c r="B2185" s="12">
        <v>88948.370275852823</v>
      </c>
      <c r="C2185" s="12"/>
    </row>
    <row r="2186" spans="1:3">
      <c r="A2186">
        <v>2183</v>
      </c>
      <c r="B2186" s="12">
        <v>147658.97264432992</v>
      </c>
      <c r="C2186" s="12"/>
    </row>
    <row r="2187" spans="1:3">
      <c r="A2187">
        <v>2184</v>
      </c>
      <c r="B2187" s="12">
        <v>115301.29851450709</v>
      </c>
      <c r="C2187" s="12"/>
    </row>
    <row r="2188" spans="1:3">
      <c r="A2188">
        <v>2185</v>
      </c>
      <c r="B2188" s="12">
        <v>89628.672629119945</v>
      </c>
      <c r="C2188" s="12"/>
    </row>
    <row r="2189" spans="1:3">
      <c r="A2189">
        <v>2186</v>
      </c>
      <c r="B2189" s="12">
        <v>72339.807659999453</v>
      </c>
      <c r="C2189" s="12"/>
    </row>
    <row r="2190" spans="1:3">
      <c r="A2190">
        <v>2187</v>
      </c>
      <c r="B2190" s="12">
        <v>84618.19545909029</v>
      </c>
      <c r="C2190" s="12"/>
    </row>
    <row r="2191" spans="1:3">
      <c r="A2191">
        <v>2188</v>
      </c>
      <c r="B2191" s="12">
        <v>73152.341725165301</v>
      </c>
      <c r="C2191" s="12"/>
    </row>
    <row r="2192" spans="1:3">
      <c r="A2192">
        <v>2189</v>
      </c>
      <c r="B2192" s="12">
        <v>160298.88714024873</v>
      </c>
      <c r="C2192" s="12"/>
    </row>
    <row r="2193" spans="1:3">
      <c r="A2193">
        <v>2190</v>
      </c>
      <c r="B2193" s="12">
        <v>124757.41423935466</v>
      </c>
      <c r="C2193" s="12"/>
    </row>
    <row r="2194" spans="1:3">
      <c r="A2194">
        <v>2191</v>
      </c>
      <c r="B2194" s="12">
        <v>118964.76394527446</v>
      </c>
      <c r="C2194" s="12"/>
    </row>
    <row r="2195" spans="1:3">
      <c r="A2195">
        <v>2192</v>
      </c>
      <c r="B2195" s="12">
        <v>84515.241025426047</v>
      </c>
      <c r="C2195" s="12"/>
    </row>
    <row r="2196" spans="1:3">
      <c r="A2196">
        <v>2193</v>
      </c>
      <c r="B2196" s="12">
        <v>132242.89205179087</v>
      </c>
      <c r="C2196" s="12"/>
    </row>
    <row r="2197" spans="1:3">
      <c r="A2197">
        <v>2194</v>
      </c>
      <c r="B2197" s="12">
        <v>85033.355086271855</v>
      </c>
      <c r="C2197" s="12"/>
    </row>
    <row r="2198" spans="1:3">
      <c r="A2198">
        <v>2195</v>
      </c>
      <c r="B2198" s="12">
        <v>109805.59644462419</v>
      </c>
      <c r="C2198" s="12"/>
    </row>
    <row r="2199" spans="1:3">
      <c r="A2199">
        <v>2196</v>
      </c>
      <c r="B2199" s="12">
        <v>111535.90498481708</v>
      </c>
      <c r="C2199" s="12"/>
    </row>
    <row r="2200" spans="1:3">
      <c r="A2200">
        <v>2197</v>
      </c>
      <c r="B2200" s="12">
        <v>125396.06494890327</v>
      </c>
      <c r="C2200" s="12"/>
    </row>
    <row r="2201" spans="1:3">
      <c r="A2201">
        <v>2198</v>
      </c>
      <c r="B2201" s="12">
        <v>111561.64890044411</v>
      </c>
      <c r="C2201" s="12"/>
    </row>
    <row r="2202" spans="1:3">
      <c r="A2202">
        <v>2199</v>
      </c>
      <c r="B2202" s="12">
        <v>77194.283907236371</v>
      </c>
      <c r="C2202" s="12"/>
    </row>
    <row r="2203" spans="1:3">
      <c r="A2203">
        <v>2200</v>
      </c>
      <c r="B2203" s="12">
        <v>97748.022447406314</v>
      </c>
      <c r="C2203" s="12"/>
    </row>
    <row r="2204" spans="1:3">
      <c r="A2204">
        <v>2201</v>
      </c>
      <c r="B2204" s="12">
        <v>165948.65970063221</v>
      </c>
      <c r="C2204" s="12"/>
    </row>
    <row r="2205" spans="1:3">
      <c r="A2205">
        <v>2202</v>
      </c>
      <c r="B2205" s="12">
        <v>57849.103074879145</v>
      </c>
      <c r="C2205" s="12"/>
    </row>
    <row r="2206" spans="1:3">
      <c r="A2206">
        <v>2203</v>
      </c>
      <c r="B2206" s="12">
        <v>142149.6744924036</v>
      </c>
      <c r="C2206" s="12"/>
    </row>
    <row r="2207" spans="1:3">
      <c r="A2207">
        <v>2204</v>
      </c>
      <c r="B2207" s="12">
        <v>109129.48846442054</v>
      </c>
      <c r="C2207" s="12"/>
    </row>
    <row r="2208" spans="1:3">
      <c r="A2208">
        <v>2205</v>
      </c>
      <c r="B2208" s="12">
        <v>131426.54693138896</v>
      </c>
      <c r="C2208" s="12"/>
    </row>
    <row r="2209" spans="1:3">
      <c r="A2209">
        <v>2206</v>
      </c>
      <c r="B2209" s="12">
        <v>89114.043364535304</v>
      </c>
      <c r="C2209" s="12"/>
    </row>
    <row r="2210" spans="1:3">
      <c r="A2210">
        <v>2207</v>
      </c>
      <c r="B2210" s="12">
        <v>108701.17400327801</v>
      </c>
      <c r="C2210" s="12"/>
    </row>
    <row r="2211" spans="1:3">
      <c r="A2211">
        <v>2208</v>
      </c>
      <c r="B2211" s="12">
        <v>80516.469845230022</v>
      </c>
      <c r="C2211" s="12"/>
    </row>
    <row r="2212" spans="1:3">
      <c r="A2212">
        <v>2209</v>
      </c>
      <c r="B2212" s="12">
        <v>108279.44072597804</v>
      </c>
      <c r="C2212" s="12"/>
    </row>
    <row r="2213" spans="1:3">
      <c r="A2213">
        <v>2210</v>
      </c>
      <c r="B2213" s="12">
        <v>143985.45999660509</v>
      </c>
      <c r="C2213" s="12"/>
    </row>
    <row r="2214" spans="1:3">
      <c r="A2214">
        <v>2211</v>
      </c>
      <c r="B2214" s="12">
        <v>71978.431196063349</v>
      </c>
      <c r="C2214" s="12"/>
    </row>
    <row r="2215" spans="1:3">
      <c r="A2215">
        <v>2212</v>
      </c>
      <c r="B2215" s="12">
        <v>200647.26448863579</v>
      </c>
      <c r="C2215" s="12"/>
    </row>
    <row r="2216" spans="1:3">
      <c r="A2216">
        <v>2213</v>
      </c>
      <c r="B2216" s="12">
        <v>90910.481298896411</v>
      </c>
      <c r="C2216" s="12"/>
    </row>
    <row r="2217" spans="1:3">
      <c r="A2217">
        <v>2214</v>
      </c>
      <c r="B2217" s="12">
        <v>89949.320947537053</v>
      </c>
      <c r="C2217" s="12"/>
    </row>
    <row r="2218" spans="1:3">
      <c r="A2218">
        <v>2215</v>
      </c>
      <c r="B2218" s="12">
        <v>129972.32749705456</v>
      </c>
      <c r="C2218" s="12"/>
    </row>
    <row r="2219" spans="1:3">
      <c r="A2219">
        <v>2216</v>
      </c>
      <c r="B2219" s="12">
        <v>72956.544155243813</v>
      </c>
      <c r="C2219" s="12"/>
    </row>
    <row r="2220" spans="1:3">
      <c r="A2220">
        <v>2217</v>
      </c>
      <c r="B2220" s="12">
        <v>126170.41638504562</v>
      </c>
      <c r="C2220" s="12"/>
    </row>
    <row r="2221" spans="1:3">
      <c r="A2221">
        <v>2218</v>
      </c>
      <c r="B2221" s="12">
        <v>135190.06992270568</v>
      </c>
      <c r="C2221" s="12"/>
    </row>
    <row r="2222" spans="1:3">
      <c r="A2222">
        <v>2219</v>
      </c>
      <c r="B2222" s="12">
        <v>101944.2191722844</v>
      </c>
      <c r="C2222" s="12"/>
    </row>
    <row r="2223" spans="1:3">
      <c r="A2223">
        <v>2220</v>
      </c>
      <c r="B2223" s="12">
        <v>156060.37014078579</v>
      </c>
      <c r="C2223" s="12"/>
    </row>
    <row r="2224" spans="1:3">
      <c r="A2224">
        <v>2221</v>
      </c>
      <c r="B2224" s="12">
        <v>110637.99511773187</v>
      </c>
      <c r="C2224" s="12"/>
    </row>
    <row r="2225" spans="1:3">
      <c r="A2225">
        <v>2222</v>
      </c>
      <c r="B2225" s="12">
        <v>152562.61644190678</v>
      </c>
      <c r="C2225" s="12"/>
    </row>
    <row r="2226" spans="1:3">
      <c r="A2226">
        <v>2223</v>
      </c>
      <c r="B2226" s="12">
        <v>58515.773278181754</v>
      </c>
      <c r="C2226" s="12"/>
    </row>
    <row r="2227" spans="1:3">
      <c r="A2227">
        <v>2224</v>
      </c>
      <c r="B2227" s="12">
        <v>121304.0854155233</v>
      </c>
      <c r="C2227" s="12"/>
    </row>
    <row r="2228" spans="1:3">
      <c r="A2228">
        <v>2225</v>
      </c>
      <c r="B2228" s="12">
        <v>123341.05514636062</v>
      </c>
      <c r="C2228" s="12"/>
    </row>
    <row r="2229" spans="1:3">
      <c r="A2229">
        <v>2226</v>
      </c>
      <c r="B2229" s="12">
        <v>97199.894053202239</v>
      </c>
      <c r="C2229" s="12"/>
    </row>
    <row r="2230" spans="1:3">
      <c r="A2230">
        <v>2227</v>
      </c>
      <c r="B2230" s="12">
        <v>114645.8372614977</v>
      </c>
      <c r="C2230" s="12"/>
    </row>
    <row r="2231" spans="1:3">
      <c r="A2231">
        <v>2228</v>
      </c>
      <c r="B2231" s="12">
        <v>126963.63874595817</v>
      </c>
      <c r="C2231" s="12"/>
    </row>
    <row r="2232" spans="1:3">
      <c r="A2232">
        <v>2229</v>
      </c>
      <c r="B2232" s="12">
        <v>111645.67966953115</v>
      </c>
      <c r="C2232" s="12"/>
    </row>
    <row r="2233" spans="1:3">
      <c r="A2233">
        <v>2230</v>
      </c>
      <c r="B2233" s="12">
        <v>121907.20598746151</v>
      </c>
      <c r="C2233" s="12"/>
    </row>
    <row r="2234" spans="1:3">
      <c r="A2234">
        <v>2231</v>
      </c>
      <c r="B2234" s="12">
        <v>100669.06424588291</v>
      </c>
      <c r="C2234" s="12"/>
    </row>
    <row r="2235" spans="1:3">
      <c r="A2235">
        <v>2232</v>
      </c>
      <c r="B2235" s="12">
        <v>92620.640203954041</v>
      </c>
      <c r="C2235" s="12"/>
    </row>
    <row r="2236" spans="1:3">
      <c r="A2236">
        <v>2233</v>
      </c>
      <c r="B2236" s="12">
        <v>111686.71068702277</v>
      </c>
      <c r="C2236" s="12"/>
    </row>
    <row r="2237" spans="1:3">
      <c r="A2237">
        <v>2234</v>
      </c>
      <c r="B2237" s="12">
        <v>129029.03583323069</v>
      </c>
      <c r="C2237" s="12"/>
    </row>
    <row r="2238" spans="1:3">
      <c r="A2238">
        <v>2235</v>
      </c>
      <c r="B2238" s="12">
        <v>134451.08080817488</v>
      </c>
      <c r="C2238" s="12"/>
    </row>
    <row r="2239" spans="1:3">
      <c r="A2239">
        <v>2236</v>
      </c>
      <c r="B2239" s="12">
        <v>121001.76818493128</v>
      </c>
      <c r="C2239" s="12"/>
    </row>
    <row r="2240" spans="1:3">
      <c r="A2240">
        <v>2237</v>
      </c>
      <c r="B2240" s="12">
        <v>172118.3325215262</v>
      </c>
      <c r="C2240" s="12"/>
    </row>
    <row r="2241" spans="1:3">
      <c r="A2241">
        <v>2238</v>
      </c>
      <c r="B2241" s="12">
        <v>111079.67596004211</v>
      </c>
      <c r="C2241" s="12"/>
    </row>
    <row r="2242" spans="1:3">
      <c r="A2242">
        <v>2239</v>
      </c>
      <c r="B2242" s="12">
        <v>114460.23885144806</v>
      </c>
      <c r="C2242" s="12"/>
    </row>
    <row r="2243" spans="1:3">
      <c r="A2243">
        <v>2240</v>
      </c>
      <c r="B2243" s="12">
        <v>102953.74511846743</v>
      </c>
      <c r="C2243" s="12"/>
    </row>
    <row r="2244" spans="1:3">
      <c r="A2244">
        <v>2241</v>
      </c>
      <c r="B2244" s="12">
        <v>64246.125373510295</v>
      </c>
      <c r="C2244" s="12"/>
    </row>
    <row r="2245" spans="1:3">
      <c r="A2245">
        <v>2242</v>
      </c>
      <c r="B2245" s="12">
        <v>133929.11853581626</v>
      </c>
      <c r="C2245" s="12"/>
    </row>
    <row r="2246" spans="1:3">
      <c r="A2246">
        <v>2243</v>
      </c>
      <c r="B2246" s="12">
        <v>94267.530643574573</v>
      </c>
      <c r="C2246" s="12"/>
    </row>
    <row r="2247" spans="1:3">
      <c r="A2247">
        <v>2244</v>
      </c>
      <c r="B2247" s="12">
        <v>87195.738159856046</v>
      </c>
      <c r="C2247" s="12"/>
    </row>
    <row r="2248" spans="1:3">
      <c r="A2248">
        <v>2245</v>
      </c>
      <c r="B2248" s="12">
        <v>95575.481393326758</v>
      </c>
      <c r="C2248" s="12"/>
    </row>
    <row r="2249" spans="1:3">
      <c r="A2249">
        <v>2246</v>
      </c>
      <c r="B2249" s="12">
        <v>86734.047205061186</v>
      </c>
      <c r="C2249" s="12"/>
    </row>
    <row r="2250" spans="1:3">
      <c r="A2250">
        <v>2247</v>
      </c>
      <c r="B2250" s="12">
        <v>133205.73088615813</v>
      </c>
      <c r="C2250" s="12"/>
    </row>
    <row r="2251" spans="1:3">
      <c r="A2251">
        <v>2248</v>
      </c>
      <c r="B2251" s="12">
        <v>111855.9856294333</v>
      </c>
      <c r="C2251" s="12"/>
    </row>
    <row r="2252" spans="1:3">
      <c r="A2252">
        <v>2249</v>
      </c>
      <c r="B2252" s="12">
        <v>143876.58415347111</v>
      </c>
      <c r="C2252" s="12"/>
    </row>
    <row r="2253" spans="1:3">
      <c r="A2253">
        <v>2250</v>
      </c>
      <c r="B2253" s="12">
        <v>97768.748205603129</v>
      </c>
      <c r="C2253" s="12"/>
    </row>
    <row r="2254" spans="1:3">
      <c r="A2254">
        <v>2251</v>
      </c>
      <c r="B2254" s="12">
        <v>106955.81167197869</v>
      </c>
      <c r="C2254" s="12"/>
    </row>
    <row r="2255" spans="1:3">
      <c r="A2255">
        <v>2252</v>
      </c>
      <c r="B2255" s="12">
        <v>128773.96531646627</v>
      </c>
      <c r="C2255" s="12"/>
    </row>
    <row r="2256" spans="1:3">
      <c r="A2256">
        <v>2253</v>
      </c>
      <c r="B2256" s="12">
        <v>159229.73890193953</v>
      </c>
      <c r="C2256" s="12"/>
    </row>
    <row r="2257" spans="1:3">
      <c r="A2257">
        <v>2254</v>
      </c>
      <c r="B2257" s="12">
        <v>122819.03961860102</v>
      </c>
      <c r="C2257" s="12"/>
    </row>
    <row r="2258" spans="1:3">
      <c r="A2258">
        <v>2255</v>
      </c>
      <c r="B2258" s="12">
        <v>164820.08129452204</v>
      </c>
      <c r="C2258" s="12"/>
    </row>
    <row r="2259" spans="1:3">
      <c r="A2259">
        <v>2256</v>
      </c>
      <c r="B2259" s="12">
        <v>96591.67879675368</v>
      </c>
      <c r="C2259" s="12"/>
    </row>
    <row r="2260" spans="1:3">
      <c r="A2260">
        <v>2257</v>
      </c>
      <c r="B2260" s="12">
        <v>178746.44413971802</v>
      </c>
      <c r="C2260" s="12"/>
    </row>
    <row r="2261" spans="1:3">
      <c r="A2261">
        <v>2258</v>
      </c>
      <c r="B2261" s="12">
        <v>109062.17893858468</v>
      </c>
      <c r="C2261" s="12"/>
    </row>
    <row r="2262" spans="1:3">
      <c r="A2262">
        <v>2259</v>
      </c>
      <c r="B2262" s="12">
        <v>108516.57133864281</v>
      </c>
      <c r="C2262" s="12"/>
    </row>
    <row r="2263" spans="1:3">
      <c r="A2263">
        <v>2260</v>
      </c>
      <c r="B2263" s="12">
        <v>95943.391060577822</v>
      </c>
      <c r="C2263" s="12"/>
    </row>
    <row r="2264" spans="1:3">
      <c r="A2264">
        <v>2261</v>
      </c>
      <c r="B2264" s="12">
        <v>100786.85008872008</v>
      </c>
      <c r="C2264" s="12"/>
    </row>
    <row r="2265" spans="1:3">
      <c r="A2265">
        <v>2262</v>
      </c>
      <c r="B2265" s="12">
        <v>100129.33664439741</v>
      </c>
      <c r="C2265" s="12"/>
    </row>
    <row r="2266" spans="1:3">
      <c r="A2266">
        <v>2263</v>
      </c>
      <c r="B2266" s="12">
        <v>98568.627184081561</v>
      </c>
      <c r="C2266" s="12"/>
    </row>
    <row r="2267" spans="1:3">
      <c r="A2267">
        <v>2264</v>
      </c>
      <c r="B2267" s="12">
        <v>95819.50651282788</v>
      </c>
      <c r="C2267" s="12"/>
    </row>
    <row r="2268" spans="1:3">
      <c r="A2268">
        <v>2265</v>
      </c>
      <c r="B2268" s="12">
        <v>123388.41240346132</v>
      </c>
      <c r="C2268" s="12"/>
    </row>
    <row r="2269" spans="1:3">
      <c r="A2269">
        <v>2266</v>
      </c>
      <c r="B2269" s="12">
        <v>94189.813457192911</v>
      </c>
      <c r="C2269" s="12"/>
    </row>
    <row r="2270" spans="1:3">
      <c r="A2270">
        <v>2267</v>
      </c>
      <c r="B2270" s="12">
        <v>102399.43017348391</v>
      </c>
      <c r="C2270" s="12"/>
    </row>
    <row r="2271" spans="1:3">
      <c r="A2271">
        <v>2268</v>
      </c>
      <c r="B2271" s="12">
        <v>85003.552900706156</v>
      </c>
      <c r="C2271" s="12"/>
    </row>
    <row r="2272" spans="1:3">
      <c r="A2272">
        <v>2269</v>
      </c>
      <c r="B2272" s="12">
        <v>63739.732921206029</v>
      </c>
      <c r="C2272" s="12"/>
    </row>
    <row r="2273" spans="1:3">
      <c r="A2273">
        <v>2270</v>
      </c>
      <c r="B2273" s="12">
        <v>89977.212901069157</v>
      </c>
      <c r="C2273" s="12"/>
    </row>
    <row r="2274" spans="1:3">
      <c r="A2274">
        <v>2271</v>
      </c>
      <c r="B2274" s="12">
        <v>126976.25197603701</v>
      </c>
      <c r="C2274" s="12"/>
    </row>
    <row r="2275" spans="1:3">
      <c r="A2275">
        <v>2272</v>
      </c>
      <c r="B2275" s="12">
        <v>78863.731825933035</v>
      </c>
      <c r="C2275" s="12"/>
    </row>
    <row r="2276" spans="1:3">
      <c r="A2276">
        <v>2273</v>
      </c>
      <c r="B2276" s="12">
        <v>81973.883046331102</v>
      </c>
      <c r="C2276" s="12"/>
    </row>
    <row r="2277" spans="1:3">
      <c r="A2277">
        <v>2274</v>
      </c>
      <c r="B2277" s="12">
        <v>104149.6012478912</v>
      </c>
      <c r="C2277" s="12"/>
    </row>
    <row r="2278" spans="1:3">
      <c r="A2278">
        <v>2275</v>
      </c>
      <c r="B2278" s="12">
        <v>113286.77890765836</v>
      </c>
      <c r="C2278" s="12"/>
    </row>
    <row r="2279" spans="1:3">
      <c r="A2279">
        <v>2276</v>
      </c>
      <c r="B2279" s="12">
        <v>113167.879558994</v>
      </c>
      <c r="C2279" s="12"/>
    </row>
    <row r="2280" spans="1:3">
      <c r="A2280">
        <v>2277</v>
      </c>
      <c r="B2280" s="12">
        <v>73356.341683995313</v>
      </c>
      <c r="C2280" s="12"/>
    </row>
    <row r="2281" spans="1:3">
      <c r="A2281">
        <v>2278</v>
      </c>
      <c r="B2281" s="12">
        <v>240664.96597462447</v>
      </c>
      <c r="C2281" s="12"/>
    </row>
    <row r="2282" spans="1:3">
      <c r="A2282">
        <v>2279</v>
      </c>
      <c r="B2282" s="12">
        <v>87835.942634624633</v>
      </c>
      <c r="C2282" s="12"/>
    </row>
    <row r="2283" spans="1:3">
      <c r="A2283">
        <v>2280</v>
      </c>
      <c r="B2283" s="12">
        <v>133316.86666100699</v>
      </c>
      <c r="C2283" s="12"/>
    </row>
    <row r="2284" spans="1:3">
      <c r="A2284">
        <v>2281</v>
      </c>
      <c r="B2284" s="12">
        <v>77783.513070973771</v>
      </c>
      <c r="C2284" s="12"/>
    </row>
    <row r="2285" spans="1:3">
      <c r="A2285">
        <v>2282</v>
      </c>
      <c r="B2285" s="12">
        <v>70824.92567133157</v>
      </c>
      <c r="C2285" s="12"/>
    </row>
    <row r="2286" spans="1:3">
      <c r="A2286">
        <v>2283</v>
      </c>
      <c r="B2286" s="12">
        <v>86367.713162646833</v>
      </c>
      <c r="C2286" s="12"/>
    </row>
    <row r="2287" spans="1:3">
      <c r="A2287">
        <v>2284</v>
      </c>
      <c r="B2287" s="12">
        <v>231777.17562573648</v>
      </c>
      <c r="C2287" s="12"/>
    </row>
    <row r="2288" spans="1:3">
      <c r="A2288">
        <v>2285</v>
      </c>
      <c r="B2288" s="12">
        <v>134879.17346800322</v>
      </c>
      <c r="C2288" s="12"/>
    </row>
    <row r="2289" spans="1:3">
      <c r="A2289">
        <v>2286</v>
      </c>
      <c r="B2289" s="12">
        <v>122913.1538599268</v>
      </c>
      <c r="C2289" s="12"/>
    </row>
    <row r="2290" spans="1:3">
      <c r="A2290">
        <v>2287</v>
      </c>
      <c r="B2290" s="12">
        <v>97116.686980056591</v>
      </c>
      <c r="C2290" s="12"/>
    </row>
    <row r="2291" spans="1:3">
      <c r="A2291">
        <v>2288</v>
      </c>
      <c r="B2291" s="12">
        <v>158916.20990435989</v>
      </c>
      <c r="C2291" s="12"/>
    </row>
    <row r="2292" spans="1:3">
      <c r="A2292">
        <v>2289</v>
      </c>
      <c r="B2292" s="12">
        <v>160053.20393278712</v>
      </c>
      <c r="C2292" s="12"/>
    </row>
    <row r="2293" spans="1:3">
      <c r="A2293">
        <v>2290</v>
      </c>
      <c r="B2293" s="12">
        <v>66996.61537080475</v>
      </c>
      <c r="C2293" s="12"/>
    </row>
    <row r="2294" spans="1:3">
      <c r="A2294">
        <v>2291</v>
      </c>
      <c r="B2294" s="12">
        <v>94292.833049908746</v>
      </c>
      <c r="C2294" s="12"/>
    </row>
    <row r="2295" spans="1:3">
      <c r="A2295">
        <v>2292</v>
      </c>
      <c r="B2295" s="12">
        <v>107666.85799185061</v>
      </c>
      <c r="C2295" s="12"/>
    </row>
    <row r="2296" spans="1:3">
      <c r="A2296">
        <v>2293</v>
      </c>
      <c r="B2296" s="12">
        <v>109458.77252738411</v>
      </c>
      <c r="C2296" s="12"/>
    </row>
    <row r="2297" spans="1:3">
      <c r="A2297">
        <v>2294</v>
      </c>
      <c r="B2297" s="12">
        <v>121298.54730089259</v>
      </c>
      <c r="C2297" s="12"/>
    </row>
    <row r="2298" spans="1:3">
      <c r="A2298">
        <v>2295</v>
      </c>
      <c r="B2298" s="12">
        <v>98482.089443738121</v>
      </c>
      <c r="C2298" s="12"/>
    </row>
    <row r="2299" spans="1:3">
      <c r="A2299">
        <v>2296</v>
      </c>
      <c r="B2299" s="12">
        <v>91431.008923973248</v>
      </c>
      <c r="C2299" s="12"/>
    </row>
    <row r="2300" spans="1:3">
      <c r="A2300">
        <v>2297</v>
      </c>
      <c r="B2300" s="12">
        <v>89800.900703847292</v>
      </c>
      <c r="C2300" s="12"/>
    </row>
    <row r="2301" spans="1:3">
      <c r="A2301">
        <v>2298</v>
      </c>
      <c r="B2301" s="12">
        <v>143373.85350285977</v>
      </c>
      <c r="C2301" s="12"/>
    </row>
    <row r="2302" spans="1:3">
      <c r="A2302">
        <v>2299</v>
      </c>
      <c r="B2302" s="12">
        <v>72293.865713219668</v>
      </c>
      <c r="C2302" s="12"/>
    </row>
    <row r="2303" spans="1:3">
      <c r="A2303">
        <v>2300</v>
      </c>
      <c r="B2303" s="12">
        <v>149176.56700188178</v>
      </c>
      <c r="C2303" s="12"/>
    </row>
    <row r="2304" spans="1:3">
      <c r="A2304">
        <v>2301</v>
      </c>
      <c r="B2304" s="12">
        <v>136906.73365845627</v>
      </c>
      <c r="C2304" s="12"/>
    </row>
    <row r="2305" spans="1:3">
      <c r="A2305">
        <v>2302</v>
      </c>
      <c r="B2305" s="12">
        <v>78055.672091207656</v>
      </c>
      <c r="C2305" s="12"/>
    </row>
    <row r="2306" spans="1:3">
      <c r="A2306">
        <v>2303</v>
      </c>
      <c r="B2306" s="12">
        <v>93786.694903513824</v>
      </c>
      <c r="C2306" s="12"/>
    </row>
    <row r="2307" spans="1:3">
      <c r="A2307">
        <v>2304</v>
      </c>
      <c r="B2307" s="12">
        <v>131657.65602974867</v>
      </c>
      <c r="C2307" s="12"/>
    </row>
    <row r="2308" spans="1:3">
      <c r="A2308">
        <v>2305</v>
      </c>
      <c r="B2308" s="12">
        <v>137445.76190014809</v>
      </c>
      <c r="C2308" s="12"/>
    </row>
    <row r="2309" spans="1:3">
      <c r="A2309">
        <v>2306</v>
      </c>
      <c r="B2309" s="12">
        <v>137217.47981295615</v>
      </c>
      <c r="C2309" s="12"/>
    </row>
    <row r="2310" spans="1:3">
      <c r="A2310">
        <v>2307</v>
      </c>
      <c r="B2310" s="12">
        <v>72094.724423862528</v>
      </c>
      <c r="C2310" s="12"/>
    </row>
    <row r="2311" spans="1:3">
      <c r="A2311">
        <v>2308</v>
      </c>
      <c r="B2311" s="12">
        <v>114066.26784401806</v>
      </c>
      <c r="C2311" s="12"/>
    </row>
    <row r="2312" spans="1:3">
      <c r="A2312">
        <v>2309</v>
      </c>
      <c r="B2312" s="12">
        <v>120358.75870984225</v>
      </c>
      <c r="C2312" s="12"/>
    </row>
    <row r="2313" spans="1:3">
      <c r="A2313">
        <v>2310</v>
      </c>
      <c r="B2313" s="12">
        <v>106126.93884861747</v>
      </c>
      <c r="C2313" s="12"/>
    </row>
    <row r="2314" spans="1:3">
      <c r="A2314">
        <v>2311</v>
      </c>
      <c r="B2314" s="12">
        <v>91138.490095910165</v>
      </c>
      <c r="C2314" s="12"/>
    </row>
    <row r="2315" spans="1:3">
      <c r="A2315">
        <v>2312</v>
      </c>
      <c r="B2315" s="12">
        <v>79740.746048389003</v>
      </c>
      <c r="C2315" s="12"/>
    </row>
    <row r="2316" spans="1:3">
      <c r="A2316">
        <v>2313</v>
      </c>
      <c r="B2316" s="12">
        <v>104191.79742349774</v>
      </c>
      <c r="C2316" s="12"/>
    </row>
    <row r="2317" spans="1:3">
      <c r="A2317">
        <v>2314</v>
      </c>
      <c r="B2317" s="12">
        <v>113832.99393865855</v>
      </c>
      <c r="C2317" s="12"/>
    </row>
    <row r="2318" spans="1:3">
      <c r="A2318">
        <v>2315</v>
      </c>
      <c r="B2318" s="12">
        <v>160906.17033641273</v>
      </c>
      <c r="C2318" s="12"/>
    </row>
    <row r="2319" spans="1:3">
      <c r="A2319">
        <v>2316</v>
      </c>
      <c r="B2319" s="12">
        <v>83921.881034046994</v>
      </c>
      <c r="C2319" s="12"/>
    </row>
    <row r="2320" spans="1:3">
      <c r="A2320">
        <v>2317</v>
      </c>
      <c r="B2320" s="12">
        <v>59009.039207916059</v>
      </c>
      <c r="C2320" s="12"/>
    </row>
    <row r="2321" spans="1:3">
      <c r="A2321">
        <v>2318</v>
      </c>
      <c r="B2321" s="12">
        <v>129849.16718036598</v>
      </c>
      <c r="C2321" s="12"/>
    </row>
    <row r="2322" spans="1:3">
      <c r="A2322">
        <v>2319</v>
      </c>
      <c r="B2322" s="12">
        <v>136953.37206520399</v>
      </c>
      <c r="C2322" s="12"/>
    </row>
    <row r="2323" spans="1:3">
      <c r="A2323">
        <v>2320</v>
      </c>
      <c r="B2323" s="12">
        <v>110793.28032858489</v>
      </c>
      <c r="C2323" s="12"/>
    </row>
    <row r="2324" spans="1:3">
      <c r="A2324">
        <v>2321</v>
      </c>
      <c r="B2324" s="12">
        <v>94114.083299542937</v>
      </c>
      <c r="C2324" s="12"/>
    </row>
    <row r="2325" spans="1:3">
      <c r="A2325">
        <v>2322</v>
      </c>
      <c r="B2325" s="12">
        <v>81029.293358103561</v>
      </c>
      <c r="C2325" s="12"/>
    </row>
    <row r="2326" spans="1:3">
      <c r="A2326">
        <v>2323</v>
      </c>
      <c r="B2326" s="12">
        <v>136164.8981708881</v>
      </c>
      <c r="C2326" s="12"/>
    </row>
    <row r="2327" spans="1:3">
      <c r="A2327">
        <v>2324</v>
      </c>
      <c r="B2327" s="12">
        <v>175554.08148383637</v>
      </c>
      <c r="C2327" s="12"/>
    </row>
    <row r="2328" spans="1:3">
      <c r="A2328">
        <v>2325</v>
      </c>
      <c r="B2328" s="12">
        <v>78736.558500572952</v>
      </c>
      <c r="C2328" s="12"/>
    </row>
    <row r="2329" spans="1:3">
      <c r="A2329">
        <v>2326</v>
      </c>
      <c r="B2329" s="12">
        <v>87918.700669890473</v>
      </c>
      <c r="C2329" s="12"/>
    </row>
    <row r="2330" spans="1:3">
      <c r="A2330">
        <v>2327</v>
      </c>
      <c r="B2330" s="12">
        <v>89991.665311139601</v>
      </c>
      <c r="C2330" s="12"/>
    </row>
    <row r="2331" spans="1:3">
      <c r="A2331">
        <v>2328</v>
      </c>
      <c r="B2331" s="12">
        <v>114417.52727767413</v>
      </c>
      <c r="C2331" s="12"/>
    </row>
    <row r="2332" spans="1:3">
      <c r="A2332">
        <v>2329</v>
      </c>
      <c r="B2332" s="12">
        <v>111803.72302092041</v>
      </c>
      <c r="C2332" s="12"/>
    </row>
    <row r="2333" spans="1:3">
      <c r="A2333">
        <v>2330</v>
      </c>
      <c r="B2333" s="12">
        <v>88480.151494724094</v>
      </c>
      <c r="C2333" s="12"/>
    </row>
    <row r="2334" spans="1:3">
      <c r="A2334">
        <v>2331</v>
      </c>
      <c r="B2334" s="12">
        <v>97697.125363511048</v>
      </c>
      <c r="C2334" s="12"/>
    </row>
    <row r="2335" spans="1:3">
      <c r="A2335">
        <v>2332</v>
      </c>
      <c r="B2335" s="12">
        <v>88151.496130440792</v>
      </c>
      <c r="C2335" s="12"/>
    </row>
    <row r="2336" spans="1:3">
      <c r="A2336">
        <v>2333</v>
      </c>
      <c r="B2336" s="12">
        <v>188252.16607469565</v>
      </c>
      <c r="C2336" s="12"/>
    </row>
    <row r="2337" spans="1:3">
      <c r="A2337">
        <v>2334</v>
      </c>
      <c r="B2337" s="12">
        <v>102394.12117446485</v>
      </c>
      <c r="C2337" s="12"/>
    </row>
    <row r="2338" spans="1:3">
      <c r="A2338">
        <v>2335</v>
      </c>
      <c r="B2338" s="12">
        <v>132725.75788586613</v>
      </c>
      <c r="C2338" s="12"/>
    </row>
    <row r="2339" spans="1:3">
      <c r="A2339">
        <v>2336</v>
      </c>
      <c r="B2339" s="12">
        <v>99204.295965766811</v>
      </c>
      <c r="C2339" s="12"/>
    </row>
    <row r="2340" spans="1:3">
      <c r="A2340">
        <v>2337</v>
      </c>
      <c r="B2340" s="12">
        <v>148601.55932820763</v>
      </c>
      <c r="C2340" s="12"/>
    </row>
    <row r="2341" spans="1:3">
      <c r="A2341">
        <v>2338</v>
      </c>
      <c r="B2341" s="12">
        <v>84039.636838164297</v>
      </c>
      <c r="C2341" s="12"/>
    </row>
    <row r="2342" spans="1:3">
      <c r="A2342">
        <v>2339</v>
      </c>
      <c r="B2342" s="12">
        <v>95789.275224360055</v>
      </c>
      <c r="C2342" s="12"/>
    </row>
    <row r="2343" spans="1:3">
      <c r="A2343">
        <v>2340</v>
      </c>
      <c r="B2343" s="12">
        <v>153217.54628784745</v>
      </c>
      <c r="C2343" s="12"/>
    </row>
    <row r="2344" spans="1:3">
      <c r="A2344">
        <v>2341</v>
      </c>
      <c r="B2344" s="12">
        <v>116712.84053017234</v>
      </c>
      <c r="C2344" s="12"/>
    </row>
    <row r="2345" spans="1:3">
      <c r="A2345">
        <v>2342</v>
      </c>
      <c r="B2345" s="12">
        <v>104155.87695411303</v>
      </c>
      <c r="C2345" s="12"/>
    </row>
    <row r="2346" spans="1:3">
      <c r="A2346">
        <v>2343</v>
      </c>
      <c r="B2346" s="12">
        <v>106554.29046968816</v>
      </c>
      <c r="C2346" s="12"/>
    </row>
    <row r="2347" spans="1:3">
      <c r="A2347">
        <v>2344</v>
      </c>
      <c r="B2347" s="12">
        <v>92034.185889455199</v>
      </c>
      <c r="C2347" s="12"/>
    </row>
    <row r="2348" spans="1:3">
      <c r="A2348">
        <v>2345</v>
      </c>
      <c r="B2348" s="12">
        <v>105070.32981761385</v>
      </c>
      <c r="C2348" s="12"/>
    </row>
    <row r="2349" spans="1:3">
      <c r="A2349">
        <v>2346</v>
      </c>
      <c r="B2349" s="12">
        <v>93975.521286243777</v>
      </c>
      <c r="C2349" s="12"/>
    </row>
    <row r="2350" spans="1:3">
      <c r="A2350">
        <v>2347</v>
      </c>
      <c r="B2350" s="12">
        <v>166386.108236428</v>
      </c>
      <c r="C2350" s="12"/>
    </row>
    <row r="2351" spans="1:3">
      <c r="A2351">
        <v>2348</v>
      </c>
      <c r="B2351" s="12">
        <v>115333.79132769648</v>
      </c>
      <c r="C2351" s="12"/>
    </row>
    <row r="2352" spans="1:3">
      <c r="A2352">
        <v>2349</v>
      </c>
      <c r="B2352" s="12">
        <v>154906.87986612573</v>
      </c>
      <c r="C2352" s="12"/>
    </row>
    <row r="2353" spans="1:3">
      <c r="A2353">
        <v>2350</v>
      </c>
      <c r="B2353" s="12">
        <v>102200.17403179186</v>
      </c>
      <c r="C2353" s="12"/>
    </row>
    <row r="2354" spans="1:3">
      <c r="A2354">
        <v>2351</v>
      </c>
      <c r="B2354" s="12">
        <v>149075.74072774849</v>
      </c>
      <c r="C2354" s="12"/>
    </row>
    <row r="2355" spans="1:3">
      <c r="A2355">
        <v>2352</v>
      </c>
      <c r="B2355" s="12">
        <v>78860.898125861699</v>
      </c>
      <c r="C2355" s="12"/>
    </row>
    <row r="2356" spans="1:3">
      <c r="A2356">
        <v>2353</v>
      </c>
      <c r="B2356" s="12">
        <v>133949.27342893108</v>
      </c>
      <c r="C2356" s="12"/>
    </row>
    <row r="2357" spans="1:3">
      <c r="A2357">
        <v>2354</v>
      </c>
      <c r="B2357" s="12">
        <v>92083.245373718426</v>
      </c>
      <c r="C2357" s="12"/>
    </row>
    <row r="2358" spans="1:3">
      <c r="A2358">
        <v>2355</v>
      </c>
      <c r="B2358" s="12">
        <v>125651.28713906102</v>
      </c>
      <c r="C2358" s="12"/>
    </row>
    <row r="2359" spans="1:3">
      <c r="A2359">
        <v>2356</v>
      </c>
      <c r="B2359" s="12">
        <v>64261.613923964564</v>
      </c>
      <c r="C2359" s="12"/>
    </row>
    <row r="2360" spans="1:3">
      <c r="A2360">
        <v>2357</v>
      </c>
      <c r="B2360" s="12">
        <v>78588.193808138749</v>
      </c>
      <c r="C2360" s="12"/>
    </row>
    <row r="2361" spans="1:3">
      <c r="A2361">
        <v>2358</v>
      </c>
      <c r="B2361" s="12">
        <v>71606.574555211293</v>
      </c>
      <c r="C2361" s="12"/>
    </row>
    <row r="2362" spans="1:3">
      <c r="A2362">
        <v>2359</v>
      </c>
      <c r="B2362" s="12">
        <v>148468.18488929252</v>
      </c>
      <c r="C2362" s="12"/>
    </row>
    <row r="2363" spans="1:3">
      <c r="A2363">
        <v>2360</v>
      </c>
      <c r="B2363" s="12">
        <v>61256.46692489554</v>
      </c>
      <c r="C2363" s="12"/>
    </row>
    <row r="2364" spans="1:3">
      <c r="A2364">
        <v>2361</v>
      </c>
      <c r="B2364" s="12">
        <v>121235.94303448347</v>
      </c>
      <c r="C2364" s="12"/>
    </row>
    <row r="2365" spans="1:3">
      <c r="A2365">
        <v>2362</v>
      </c>
      <c r="B2365" s="12">
        <v>74676.446285227998</v>
      </c>
      <c r="C2365" s="12"/>
    </row>
    <row r="2366" spans="1:3">
      <c r="A2366">
        <v>2363</v>
      </c>
      <c r="B2366" s="12">
        <v>141200.68682735853</v>
      </c>
      <c r="C2366" s="12"/>
    </row>
    <row r="2367" spans="1:3">
      <c r="A2367">
        <v>2364</v>
      </c>
      <c r="B2367" s="12">
        <v>64203.508831700587</v>
      </c>
      <c r="C2367" s="12"/>
    </row>
    <row r="2368" spans="1:3">
      <c r="A2368">
        <v>2365</v>
      </c>
      <c r="B2368" s="12">
        <v>93023.834584968805</v>
      </c>
      <c r="C2368" s="12"/>
    </row>
    <row r="2369" spans="1:3">
      <c r="A2369">
        <v>2366</v>
      </c>
      <c r="B2369" s="12">
        <v>158849.22662788746</v>
      </c>
      <c r="C2369" s="12"/>
    </row>
    <row r="2370" spans="1:3">
      <c r="A2370">
        <v>2367</v>
      </c>
      <c r="B2370" s="12">
        <v>105844.57728819008</v>
      </c>
      <c r="C2370" s="12"/>
    </row>
    <row r="2371" spans="1:3">
      <c r="A2371">
        <v>2368</v>
      </c>
      <c r="B2371" s="12">
        <v>197401.99304878779</v>
      </c>
      <c r="C2371" s="12"/>
    </row>
    <row r="2372" spans="1:3">
      <c r="A2372">
        <v>2369</v>
      </c>
      <c r="B2372" s="12">
        <v>94976.726656070605</v>
      </c>
      <c r="C2372" s="12"/>
    </row>
    <row r="2373" spans="1:3">
      <c r="A2373">
        <v>2370</v>
      </c>
      <c r="B2373" s="12">
        <v>123888.74434082127</v>
      </c>
      <c r="C2373" s="12"/>
    </row>
    <row r="2374" spans="1:3">
      <c r="A2374">
        <v>2371</v>
      </c>
      <c r="B2374" s="12">
        <v>196541.58282011451</v>
      </c>
      <c r="C2374" s="12"/>
    </row>
    <row r="2375" spans="1:3">
      <c r="A2375">
        <v>2372</v>
      </c>
      <c r="B2375" s="12">
        <v>105820.10298075422</v>
      </c>
      <c r="C2375" s="12"/>
    </row>
    <row r="2376" spans="1:3">
      <c r="A2376">
        <v>2373</v>
      </c>
      <c r="B2376" s="12">
        <v>164362.876283975</v>
      </c>
      <c r="C2376" s="12"/>
    </row>
    <row r="2377" spans="1:3">
      <c r="A2377">
        <v>2374</v>
      </c>
      <c r="B2377" s="12">
        <v>93455.745956298808</v>
      </c>
      <c r="C2377" s="12"/>
    </row>
    <row r="2378" spans="1:3">
      <c r="A2378">
        <v>2375</v>
      </c>
      <c r="B2378" s="12">
        <v>142373.51552879601</v>
      </c>
      <c r="C2378" s="12"/>
    </row>
    <row r="2379" spans="1:3">
      <c r="A2379">
        <v>2376</v>
      </c>
      <c r="B2379" s="12">
        <v>176752.6384408655</v>
      </c>
      <c r="C2379" s="12"/>
    </row>
    <row r="2380" spans="1:3">
      <c r="A2380">
        <v>2377</v>
      </c>
      <c r="B2380" s="12">
        <v>136303.17725542028</v>
      </c>
      <c r="C2380" s="12"/>
    </row>
    <row r="2381" spans="1:3">
      <c r="A2381">
        <v>2378</v>
      </c>
      <c r="B2381" s="12">
        <v>110747.55894294001</v>
      </c>
      <c r="C2381" s="12"/>
    </row>
    <row r="2382" spans="1:3">
      <c r="A2382">
        <v>2379</v>
      </c>
      <c r="B2382" s="12">
        <v>141454.36496641388</v>
      </c>
      <c r="C2382" s="12"/>
    </row>
    <row r="2383" spans="1:3">
      <c r="A2383">
        <v>2380</v>
      </c>
      <c r="B2383" s="12">
        <v>152951.82742135477</v>
      </c>
      <c r="C2383" s="12"/>
    </row>
    <row r="2384" spans="1:3">
      <c r="A2384">
        <v>2381</v>
      </c>
      <c r="B2384" s="12">
        <v>93241.896924434579</v>
      </c>
      <c r="C2384" s="12"/>
    </row>
    <row r="2385" spans="1:3">
      <c r="A2385">
        <v>2382</v>
      </c>
      <c r="B2385" s="12">
        <v>75748.881064308676</v>
      </c>
      <c r="C2385" s="12"/>
    </row>
    <row r="2386" spans="1:3">
      <c r="A2386">
        <v>2383</v>
      </c>
      <c r="B2386" s="12">
        <v>113755.27426597569</v>
      </c>
      <c r="C2386" s="12"/>
    </row>
    <row r="2387" spans="1:3">
      <c r="A2387">
        <v>2384</v>
      </c>
      <c r="B2387" s="12">
        <v>101637.53841288609</v>
      </c>
      <c r="C2387" s="12"/>
    </row>
    <row r="2388" spans="1:3">
      <c r="A2388">
        <v>2385</v>
      </c>
      <c r="B2388" s="12">
        <v>95829.573618863855</v>
      </c>
      <c r="C2388" s="12"/>
    </row>
    <row r="2389" spans="1:3">
      <c r="A2389">
        <v>2386</v>
      </c>
      <c r="B2389" s="12">
        <v>155755.48935328395</v>
      </c>
      <c r="C2389" s="12"/>
    </row>
    <row r="2390" spans="1:3">
      <c r="A2390">
        <v>2387</v>
      </c>
      <c r="B2390" s="12">
        <v>76241.603671805948</v>
      </c>
      <c r="C2390" s="12"/>
    </row>
    <row r="2391" spans="1:3">
      <c r="A2391">
        <v>2388</v>
      </c>
      <c r="B2391" s="12">
        <v>122595.99628789451</v>
      </c>
      <c r="C2391" s="12"/>
    </row>
    <row r="2392" spans="1:3">
      <c r="A2392">
        <v>2389</v>
      </c>
      <c r="B2392" s="12">
        <v>120555.55383504968</v>
      </c>
      <c r="C2392" s="12"/>
    </row>
    <row r="2393" spans="1:3">
      <c r="A2393">
        <v>2390</v>
      </c>
      <c r="B2393" s="12">
        <v>134162.18755662924</v>
      </c>
      <c r="C2393" s="12"/>
    </row>
    <row r="2394" spans="1:3">
      <c r="A2394">
        <v>2391</v>
      </c>
      <c r="B2394" s="12">
        <v>124104.40355697727</v>
      </c>
      <c r="C2394" s="12"/>
    </row>
    <row r="2395" spans="1:3">
      <c r="A2395">
        <v>2392</v>
      </c>
      <c r="B2395" s="12">
        <v>144855.31363098804</v>
      </c>
      <c r="C2395" s="12"/>
    </row>
    <row r="2396" spans="1:3">
      <c r="A2396">
        <v>2393</v>
      </c>
      <c r="B2396" s="12">
        <v>84398.037780357088</v>
      </c>
      <c r="C2396" s="12"/>
    </row>
    <row r="2397" spans="1:3">
      <c r="A2397">
        <v>2394</v>
      </c>
      <c r="B2397" s="12">
        <v>91735.592942318472</v>
      </c>
      <c r="C2397" s="12"/>
    </row>
    <row r="2398" spans="1:3">
      <c r="A2398">
        <v>2395</v>
      </c>
      <c r="B2398" s="12">
        <v>91557.989964020118</v>
      </c>
      <c r="C2398" s="12"/>
    </row>
    <row r="2399" spans="1:3">
      <c r="A2399">
        <v>2396</v>
      </c>
      <c r="B2399" s="12">
        <v>122962.40395553662</v>
      </c>
      <c r="C2399" s="12"/>
    </row>
    <row r="2400" spans="1:3">
      <c r="A2400">
        <v>2397</v>
      </c>
      <c r="B2400" s="12">
        <v>101803.03183804781</v>
      </c>
      <c r="C2400" s="12"/>
    </row>
    <row r="2401" spans="1:3">
      <c r="A2401">
        <v>2398</v>
      </c>
      <c r="B2401" s="12">
        <v>142293.49075724304</v>
      </c>
      <c r="C2401" s="12"/>
    </row>
    <row r="2402" spans="1:3">
      <c r="A2402">
        <v>2399</v>
      </c>
      <c r="B2402" s="12">
        <v>136612.14912623906</v>
      </c>
      <c r="C2402" s="12"/>
    </row>
    <row r="2403" spans="1:3">
      <c r="A2403">
        <v>2400</v>
      </c>
      <c r="B2403" s="12">
        <v>120334.79812070762</v>
      </c>
      <c r="C2403" s="12"/>
    </row>
    <row r="2404" spans="1:3">
      <c r="A2404">
        <v>2401</v>
      </c>
      <c r="B2404" s="12">
        <v>224201.65796986915</v>
      </c>
      <c r="C2404" s="12"/>
    </row>
    <row r="2405" spans="1:3">
      <c r="A2405">
        <v>2402</v>
      </c>
      <c r="B2405" s="12">
        <v>111584.19978699609</v>
      </c>
      <c r="C2405" s="12"/>
    </row>
    <row r="2406" spans="1:3">
      <c r="A2406">
        <v>2403</v>
      </c>
      <c r="B2406" s="12">
        <v>66622.661145880484</v>
      </c>
      <c r="C2406" s="12"/>
    </row>
    <row r="2407" spans="1:3">
      <c r="A2407">
        <v>2404</v>
      </c>
      <c r="B2407" s="12">
        <v>111362.20097463486</v>
      </c>
      <c r="C2407" s="12"/>
    </row>
    <row r="2408" spans="1:3">
      <c r="A2408">
        <v>2405</v>
      </c>
      <c r="B2408" s="12">
        <v>93698.346536149984</v>
      </c>
      <c r="C2408" s="12"/>
    </row>
    <row r="2409" spans="1:3">
      <c r="A2409">
        <v>2406</v>
      </c>
      <c r="B2409" s="12">
        <v>118443.58252471474</v>
      </c>
      <c r="C2409" s="12"/>
    </row>
    <row r="2410" spans="1:3">
      <c r="A2410">
        <v>2407</v>
      </c>
      <c r="B2410" s="12">
        <v>138386.60268092121</v>
      </c>
      <c r="C2410" s="12"/>
    </row>
    <row r="2411" spans="1:3">
      <c r="A2411">
        <v>2408</v>
      </c>
      <c r="B2411" s="12">
        <v>120686.51519920702</v>
      </c>
      <c r="C2411" s="12"/>
    </row>
    <row r="2412" spans="1:3">
      <c r="A2412">
        <v>2409</v>
      </c>
      <c r="B2412" s="12">
        <v>91233.18720011742</v>
      </c>
      <c r="C2412" s="12"/>
    </row>
    <row r="2413" spans="1:3">
      <c r="A2413">
        <v>2410</v>
      </c>
      <c r="B2413" s="12">
        <v>79053.699495056499</v>
      </c>
      <c r="C2413" s="12"/>
    </row>
    <row r="2414" spans="1:3">
      <c r="A2414">
        <v>2411</v>
      </c>
      <c r="B2414" s="12">
        <v>87204.70941847784</v>
      </c>
      <c r="C2414" s="12"/>
    </row>
    <row r="2415" spans="1:3">
      <c r="A2415">
        <v>2412</v>
      </c>
      <c r="B2415" s="12">
        <v>100560.09652975389</v>
      </c>
      <c r="C2415" s="12"/>
    </row>
    <row r="2416" spans="1:3">
      <c r="A2416">
        <v>2413</v>
      </c>
      <c r="B2416" s="12">
        <v>80728.205082791203</v>
      </c>
      <c r="C2416" s="12"/>
    </row>
    <row r="2417" spans="1:3">
      <c r="A2417">
        <v>2414</v>
      </c>
      <c r="B2417" s="12">
        <v>129389.0214085435</v>
      </c>
      <c r="C2417" s="12"/>
    </row>
    <row r="2418" spans="1:3">
      <c r="A2418">
        <v>2415</v>
      </c>
      <c r="B2418" s="12">
        <v>95082.314760403853</v>
      </c>
      <c r="C2418" s="12"/>
    </row>
    <row r="2419" spans="1:3">
      <c r="A2419">
        <v>2416</v>
      </c>
      <c r="B2419" s="12">
        <v>100229.56144072227</v>
      </c>
      <c r="C2419" s="12"/>
    </row>
    <row r="2420" spans="1:3">
      <c r="A2420">
        <v>2417</v>
      </c>
      <c r="B2420" s="12">
        <v>104405.41578971651</v>
      </c>
      <c r="C2420" s="12"/>
    </row>
    <row r="2421" spans="1:3">
      <c r="A2421">
        <v>2418</v>
      </c>
      <c r="B2421" s="12">
        <v>94542.851552487526</v>
      </c>
      <c r="C2421" s="12"/>
    </row>
    <row r="2422" spans="1:3">
      <c r="A2422">
        <v>2419</v>
      </c>
      <c r="B2422" s="12">
        <v>165264.86211228705</v>
      </c>
      <c r="C2422" s="12"/>
    </row>
    <row r="2423" spans="1:3">
      <c r="A2423">
        <v>2420</v>
      </c>
      <c r="B2423" s="12">
        <v>143246.74971383013</v>
      </c>
      <c r="C2423" s="12"/>
    </row>
    <row r="2424" spans="1:3">
      <c r="A2424">
        <v>2421</v>
      </c>
      <c r="B2424" s="12">
        <v>103843.82165607168</v>
      </c>
      <c r="C2424" s="12"/>
    </row>
    <row r="2425" spans="1:3">
      <c r="A2425">
        <v>2422</v>
      </c>
      <c r="B2425" s="12">
        <v>70087.864818957663</v>
      </c>
      <c r="C2425" s="12"/>
    </row>
    <row r="2426" spans="1:3">
      <c r="A2426">
        <v>2423</v>
      </c>
      <c r="B2426" s="12">
        <v>157945.1119622135</v>
      </c>
      <c r="C2426" s="12"/>
    </row>
    <row r="2427" spans="1:3">
      <c r="A2427">
        <v>2424</v>
      </c>
      <c r="B2427" s="12">
        <v>103828.53669520316</v>
      </c>
      <c r="C2427" s="12"/>
    </row>
    <row r="2428" spans="1:3">
      <c r="A2428">
        <v>2425</v>
      </c>
      <c r="B2428" s="12">
        <v>88818.613448053584</v>
      </c>
      <c r="C2428" s="12"/>
    </row>
    <row r="2429" spans="1:3">
      <c r="A2429">
        <v>2426</v>
      </c>
      <c r="B2429" s="12">
        <v>158213.43259737716</v>
      </c>
      <c r="C2429" s="12"/>
    </row>
    <row r="2430" spans="1:3">
      <c r="A2430">
        <v>2427</v>
      </c>
      <c r="B2430" s="12">
        <v>119703.80483689289</v>
      </c>
      <c r="C2430" s="12"/>
    </row>
    <row r="2431" spans="1:3">
      <c r="A2431">
        <v>2428</v>
      </c>
      <c r="B2431" s="12">
        <v>84951.904696548183</v>
      </c>
      <c r="C2431" s="12"/>
    </row>
    <row r="2432" spans="1:3">
      <c r="A2432">
        <v>2429</v>
      </c>
      <c r="B2432" s="12">
        <v>144034.88384503842</v>
      </c>
      <c r="C2432" s="12"/>
    </row>
    <row r="2433" spans="1:3">
      <c r="A2433">
        <v>2430</v>
      </c>
      <c r="B2433" s="12">
        <v>151029.25059565587</v>
      </c>
      <c r="C2433" s="12"/>
    </row>
    <row r="2434" spans="1:3">
      <c r="A2434">
        <v>2431</v>
      </c>
      <c r="B2434" s="12">
        <v>86791.096438302324</v>
      </c>
      <c r="C2434" s="12"/>
    </row>
    <row r="2435" spans="1:3">
      <c r="A2435">
        <v>2432</v>
      </c>
      <c r="B2435" s="12">
        <v>140449.25028783805</v>
      </c>
      <c r="C2435" s="12"/>
    </row>
    <row r="2436" spans="1:3">
      <c r="A2436">
        <v>2433</v>
      </c>
      <c r="B2436" s="12">
        <v>149411.00142033861</v>
      </c>
      <c r="C2436" s="12"/>
    </row>
    <row r="2437" spans="1:3">
      <c r="A2437">
        <v>2434</v>
      </c>
      <c r="B2437" s="12">
        <v>99800.076493850473</v>
      </c>
      <c r="C2437" s="12"/>
    </row>
    <row r="2438" spans="1:3">
      <c r="A2438">
        <v>2435</v>
      </c>
      <c r="B2438" s="12">
        <v>73726.99397155999</v>
      </c>
      <c r="C2438" s="12"/>
    </row>
    <row r="2439" spans="1:3">
      <c r="A2439">
        <v>2436</v>
      </c>
      <c r="B2439" s="12">
        <v>105265.53506669225</v>
      </c>
      <c r="C2439" s="12"/>
    </row>
    <row r="2440" spans="1:3">
      <c r="A2440">
        <v>2437</v>
      </c>
      <c r="B2440" s="12">
        <v>158027.75836462199</v>
      </c>
      <c r="C2440" s="12"/>
    </row>
    <row r="2441" spans="1:3">
      <c r="A2441">
        <v>2438</v>
      </c>
      <c r="B2441" s="12">
        <v>148794.00741143801</v>
      </c>
      <c r="C2441" s="12"/>
    </row>
    <row r="2442" spans="1:3">
      <c r="A2442">
        <v>2439</v>
      </c>
      <c r="B2442" s="12">
        <v>85529.210963717094</v>
      </c>
      <c r="C2442" s="12"/>
    </row>
    <row r="2443" spans="1:3">
      <c r="A2443">
        <v>2440</v>
      </c>
      <c r="B2443" s="12">
        <v>120165.22723344529</v>
      </c>
      <c r="C2443" s="12"/>
    </row>
    <row r="2444" spans="1:3">
      <c r="A2444">
        <v>2441</v>
      </c>
      <c r="B2444" s="12">
        <v>148182.26147923496</v>
      </c>
      <c r="C2444" s="12"/>
    </row>
    <row r="2445" spans="1:3">
      <c r="A2445">
        <v>2442</v>
      </c>
      <c r="B2445" s="12">
        <v>188593.01157974487</v>
      </c>
      <c r="C2445" s="12"/>
    </row>
    <row r="2446" spans="1:3">
      <c r="A2446">
        <v>2443</v>
      </c>
      <c r="B2446" s="12">
        <v>119139.25136708842</v>
      </c>
      <c r="C2446" s="12"/>
    </row>
    <row r="2447" spans="1:3">
      <c r="A2447">
        <v>2444</v>
      </c>
      <c r="B2447" s="12">
        <v>105398.87342932388</v>
      </c>
      <c r="C2447" s="12"/>
    </row>
    <row r="2448" spans="1:3">
      <c r="A2448">
        <v>2445</v>
      </c>
      <c r="B2448" s="12">
        <v>95388.944995163038</v>
      </c>
      <c r="C2448" s="12"/>
    </row>
    <row r="2449" spans="1:3">
      <c r="A2449">
        <v>2446</v>
      </c>
      <c r="B2449" s="12">
        <v>91022.853576229929</v>
      </c>
      <c r="C2449" s="12"/>
    </row>
    <row r="2450" spans="1:3">
      <c r="A2450">
        <v>2447</v>
      </c>
      <c r="B2450" s="12">
        <v>101421.01384041824</v>
      </c>
      <c r="C2450" s="12"/>
    </row>
    <row r="2451" spans="1:3">
      <c r="A2451">
        <v>2448</v>
      </c>
      <c r="B2451" s="12">
        <v>83191.235117590404</v>
      </c>
      <c r="C2451" s="12"/>
    </row>
    <row r="2452" spans="1:3">
      <c r="A2452">
        <v>2449</v>
      </c>
      <c r="B2452" s="12">
        <v>105977.15893925214</v>
      </c>
      <c r="C2452" s="12"/>
    </row>
    <row r="2453" spans="1:3">
      <c r="A2453">
        <v>2450</v>
      </c>
      <c r="B2453" s="12">
        <v>135578.39929474986</v>
      </c>
      <c r="C2453" s="12"/>
    </row>
    <row r="2454" spans="1:3">
      <c r="A2454">
        <v>2451</v>
      </c>
      <c r="B2454" s="12">
        <v>95062.676896834368</v>
      </c>
      <c r="C2454" s="12"/>
    </row>
    <row r="2455" spans="1:3">
      <c r="A2455">
        <v>2452</v>
      </c>
      <c r="B2455" s="12">
        <v>153219.07175167272</v>
      </c>
      <c r="C2455" s="12"/>
    </row>
    <row r="2456" spans="1:3">
      <c r="A2456">
        <v>2453</v>
      </c>
      <c r="B2456" s="12">
        <v>114181.43175575798</v>
      </c>
      <c r="C2456" s="12"/>
    </row>
    <row r="2457" spans="1:3">
      <c r="A2457">
        <v>2454</v>
      </c>
      <c r="B2457" s="12">
        <v>110336.04981581419</v>
      </c>
      <c r="C2457" s="12"/>
    </row>
    <row r="2458" spans="1:3">
      <c r="A2458">
        <v>2455</v>
      </c>
      <c r="B2458" s="12">
        <v>100645.54063698152</v>
      </c>
      <c r="C2458" s="12"/>
    </row>
    <row r="2459" spans="1:3">
      <c r="A2459">
        <v>2456</v>
      </c>
      <c r="B2459" s="12">
        <v>57276.104317645033</v>
      </c>
      <c r="C2459" s="12"/>
    </row>
    <row r="2460" spans="1:3">
      <c r="A2460">
        <v>2457</v>
      </c>
      <c r="B2460" s="12">
        <v>117963.09543407508</v>
      </c>
      <c r="C2460" s="12"/>
    </row>
    <row r="2461" spans="1:3">
      <c r="A2461">
        <v>2458</v>
      </c>
      <c r="B2461" s="12">
        <v>124867.13043929062</v>
      </c>
      <c r="C2461" s="12"/>
    </row>
    <row r="2462" spans="1:3">
      <c r="A2462">
        <v>2459</v>
      </c>
      <c r="B2462" s="12">
        <v>79190.376503240186</v>
      </c>
      <c r="C2462" s="12"/>
    </row>
    <row r="2463" spans="1:3">
      <c r="A2463">
        <v>2460</v>
      </c>
      <c r="B2463" s="12">
        <v>99438.488709816796</v>
      </c>
      <c r="C2463" s="12"/>
    </row>
    <row r="2464" spans="1:3">
      <c r="A2464">
        <v>2461</v>
      </c>
      <c r="B2464" s="12">
        <v>120916.98789569303</v>
      </c>
      <c r="C2464" s="12"/>
    </row>
    <row r="2465" spans="1:3">
      <c r="A2465">
        <v>2462</v>
      </c>
      <c r="B2465" s="12">
        <v>109197.43864263417</v>
      </c>
      <c r="C2465" s="12"/>
    </row>
    <row r="2466" spans="1:3">
      <c r="A2466">
        <v>2463</v>
      </c>
      <c r="B2466" s="12">
        <v>128148.53537938354</v>
      </c>
      <c r="C2466" s="12"/>
    </row>
    <row r="2467" spans="1:3">
      <c r="A2467">
        <v>2464</v>
      </c>
      <c r="B2467" s="12">
        <v>106988.68555764593</v>
      </c>
      <c r="C2467" s="12"/>
    </row>
    <row r="2468" spans="1:3">
      <c r="A2468">
        <v>2465</v>
      </c>
      <c r="B2468" s="12">
        <v>81208.654912779035</v>
      </c>
      <c r="C2468" s="12"/>
    </row>
    <row r="2469" spans="1:3">
      <c r="A2469">
        <v>2466</v>
      </c>
      <c r="B2469" s="12">
        <v>89624.092791803341</v>
      </c>
      <c r="C2469" s="12"/>
    </row>
    <row r="2470" spans="1:3">
      <c r="A2470">
        <v>2467</v>
      </c>
      <c r="B2470" s="12">
        <v>163115.01960683666</v>
      </c>
      <c r="C2470" s="12"/>
    </row>
    <row r="2471" spans="1:3">
      <c r="A2471">
        <v>2468</v>
      </c>
      <c r="B2471" s="12">
        <v>143226.63403217398</v>
      </c>
      <c r="C2471" s="12"/>
    </row>
    <row r="2472" spans="1:3">
      <c r="A2472">
        <v>2469</v>
      </c>
      <c r="B2472" s="12">
        <v>123147.84666385141</v>
      </c>
      <c r="C2472" s="12"/>
    </row>
    <row r="2473" spans="1:3">
      <c r="A2473">
        <v>2470</v>
      </c>
      <c r="B2473" s="12">
        <v>53222.457469211746</v>
      </c>
      <c r="C2473" s="12"/>
    </row>
    <row r="2474" spans="1:3">
      <c r="A2474">
        <v>2471</v>
      </c>
      <c r="B2474" s="12">
        <v>116856.31488762288</v>
      </c>
      <c r="C2474" s="12"/>
    </row>
    <row r="2475" spans="1:3">
      <c r="A2475">
        <v>2472</v>
      </c>
      <c r="B2475" s="12">
        <v>144102.06711529943</v>
      </c>
      <c r="C2475" s="12"/>
    </row>
    <row r="2476" spans="1:3">
      <c r="A2476">
        <v>2473</v>
      </c>
      <c r="B2476" s="12">
        <v>76753.213456544967</v>
      </c>
      <c r="C2476" s="12"/>
    </row>
    <row r="2477" spans="1:3">
      <c r="A2477">
        <v>2474</v>
      </c>
      <c r="B2477" s="12">
        <v>110363.26899537664</v>
      </c>
      <c r="C2477" s="12"/>
    </row>
    <row r="2478" spans="1:3">
      <c r="A2478">
        <v>2475</v>
      </c>
      <c r="B2478" s="12">
        <v>100770.99117198195</v>
      </c>
      <c r="C2478" s="12"/>
    </row>
    <row r="2479" spans="1:3">
      <c r="A2479">
        <v>2476</v>
      </c>
      <c r="B2479" s="12">
        <v>49384.692578973183</v>
      </c>
      <c r="C2479" s="12"/>
    </row>
    <row r="2480" spans="1:3">
      <c r="A2480">
        <v>2477</v>
      </c>
      <c r="B2480" s="12">
        <v>105606.51704829856</v>
      </c>
      <c r="C2480" s="12"/>
    </row>
    <row r="2481" spans="1:3">
      <c r="A2481">
        <v>2478</v>
      </c>
      <c r="B2481" s="12">
        <v>149759.77816553682</v>
      </c>
      <c r="C2481" s="12"/>
    </row>
    <row r="2482" spans="1:3">
      <c r="A2482">
        <v>2479</v>
      </c>
      <c r="B2482" s="12">
        <v>112535.2237766328</v>
      </c>
      <c r="C2482" s="12"/>
    </row>
    <row r="2483" spans="1:3">
      <c r="A2483">
        <v>2480</v>
      </c>
      <c r="B2483" s="12">
        <v>135098.38117597884</v>
      </c>
      <c r="C2483" s="12"/>
    </row>
    <row r="2484" spans="1:3">
      <c r="A2484">
        <v>2481</v>
      </c>
      <c r="B2484" s="12">
        <v>93001.711558327661</v>
      </c>
      <c r="C2484" s="12"/>
    </row>
    <row r="2485" spans="1:3">
      <c r="A2485">
        <v>2482</v>
      </c>
      <c r="B2485" s="12">
        <v>124146.8308786532</v>
      </c>
      <c r="C2485" s="12"/>
    </row>
    <row r="2486" spans="1:3">
      <c r="A2486">
        <v>2483</v>
      </c>
      <c r="B2486" s="12">
        <v>132051.91714503753</v>
      </c>
      <c r="C2486" s="12"/>
    </row>
    <row r="2487" spans="1:3">
      <c r="A2487">
        <v>2484</v>
      </c>
      <c r="B2487" s="12">
        <v>56590.335909801506</v>
      </c>
      <c r="C2487" s="12"/>
    </row>
    <row r="2488" spans="1:3">
      <c r="A2488">
        <v>2485</v>
      </c>
      <c r="B2488" s="12">
        <v>116588.96842035322</v>
      </c>
      <c r="C2488" s="12"/>
    </row>
    <row r="2489" spans="1:3">
      <c r="A2489">
        <v>2486</v>
      </c>
      <c r="B2489" s="12">
        <v>79952.372437599202</v>
      </c>
      <c r="C2489" s="12"/>
    </row>
    <row r="2490" spans="1:3">
      <c r="A2490">
        <v>2487</v>
      </c>
      <c r="B2490" s="12">
        <v>133845.95254640744</v>
      </c>
      <c r="C2490" s="12"/>
    </row>
    <row r="2491" spans="1:3">
      <c r="A2491">
        <v>2488</v>
      </c>
      <c r="B2491" s="12">
        <v>82319.056836911273</v>
      </c>
      <c r="C2491" s="12"/>
    </row>
    <row r="2492" spans="1:3">
      <c r="A2492">
        <v>2489</v>
      </c>
      <c r="B2492" s="12">
        <v>98132.474520180927</v>
      </c>
      <c r="C2492" s="12"/>
    </row>
    <row r="2493" spans="1:3">
      <c r="A2493">
        <v>2490</v>
      </c>
      <c r="B2493" s="12">
        <v>91561.642794430343</v>
      </c>
      <c r="C2493" s="12"/>
    </row>
    <row r="2494" spans="1:3">
      <c r="A2494">
        <v>2491</v>
      </c>
      <c r="B2494" s="12">
        <v>176146.66674444429</v>
      </c>
      <c r="C2494" s="12"/>
    </row>
    <row r="2495" spans="1:3">
      <c r="A2495">
        <v>2492</v>
      </c>
      <c r="B2495" s="12">
        <v>106721.51664998296</v>
      </c>
      <c r="C2495" s="12"/>
    </row>
    <row r="2496" spans="1:3">
      <c r="A2496">
        <v>2493</v>
      </c>
      <c r="B2496" s="12">
        <v>115585.74735393839</v>
      </c>
      <c r="C2496" s="12"/>
    </row>
    <row r="2497" spans="1:3">
      <c r="A2497">
        <v>2494</v>
      </c>
      <c r="B2497" s="12">
        <v>100140.21554306618</v>
      </c>
      <c r="C2497" s="12"/>
    </row>
    <row r="2498" spans="1:3">
      <c r="A2498">
        <v>2495</v>
      </c>
      <c r="B2498" s="12">
        <v>152413.28101748848</v>
      </c>
      <c r="C2498" s="12"/>
    </row>
    <row r="2499" spans="1:3">
      <c r="A2499">
        <v>2496</v>
      </c>
      <c r="B2499" s="12">
        <v>63148.990863711377</v>
      </c>
      <c r="C2499" s="12"/>
    </row>
    <row r="2500" spans="1:3">
      <c r="A2500">
        <v>2497</v>
      </c>
      <c r="B2500" s="12">
        <v>125517.86092291893</v>
      </c>
      <c r="C2500" s="12"/>
    </row>
    <row r="2501" spans="1:3">
      <c r="A2501">
        <v>2498</v>
      </c>
      <c r="B2501" s="12">
        <v>91331.773143862592</v>
      </c>
      <c r="C2501" s="12"/>
    </row>
    <row r="2502" spans="1:3">
      <c r="A2502">
        <v>2499</v>
      </c>
      <c r="B2502" s="12">
        <v>111645.14610424657</v>
      </c>
      <c r="C2502" s="12"/>
    </row>
    <row r="2503" spans="1:3">
      <c r="A2503">
        <v>2500</v>
      </c>
      <c r="B2503" s="12">
        <v>89399.84918524044</v>
      </c>
      <c r="C2503" s="12"/>
    </row>
    <row r="2504" spans="1:3">
      <c r="A2504">
        <v>2501</v>
      </c>
      <c r="B2504" s="12">
        <v>82209.781370299374</v>
      </c>
      <c r="C2504" s="12"/>
    </row>
    <row r="2505" spans="1:3">
      <c r="A2505">
        <v>2502</v>
      </c>
      <c r="B2505" s="12">
        <v>79560.632518816506</v>
      </c>
      <c r="C2505" s="12"/>
    </row>
    <row r="2506" spans="1:3">
      <c r="A2506">
        <v>2503</v>
      </c>
      <c r="B2506" s="12">
        <v>121002.47993392775</v>
      </c>
      <c r="C2506" s="12"/>
    </row>
    <row r="2507" spans="1:3">
      <c r="A2507">
        <v>2504</v>
      </c>
      <c r="B2507" s="12">
        <v>79596.139792939357</v>
      </c>
      <c r="C2507" s="12"/>
    </row>
    <row r="2508" spans="1:3">
      <c r="A2508">
        <v>2505</v>
      </c>
      <c r="B2508" s="12">
        <v>114312.15740602525</v>
      </c>
      <c r="C2508" s="12"/>
    </row>
    <row r="2509" spans="1:3">
      <c r="A2509">
        <v>2506</v>
      </c>
      <c r="B2509" s="12">
        <v>90609.556680086753</v>
      </c>
      <c r="C2509" s="12"/>
    </row>
    <row r="2510" spans="1:3">
      <c r="A2510">
        <v>2507</v>
      </c>
      <c r="B2510" s="12">
        <v>103920.80231964435</v>
      </c>
      <c r="C2510" s="12"/>
    </row>
    <row r="2511" spans="1:3">
      <c r="A2511">
        <v>2508</v>
      </c>
      <c r="B2511" s="12">
        <v>77178.511317023062</v>
      </c>
      <c r="C2511" s="12"/>
    </row>
    <row r="2512" spans="1:3">
      <c r="A2512">
        <v>2509</v>
      </c>
      <c r="B2512" s="12">
        <v>122343.65488590238</v>
      </c>
      <c r="C2512" s="12"/>
    </row>
    <row r="2513" spans="1:3">
      <c r="A2513">
        <v>2510</v>
      </c>
      <c r="B2513" s="12">
        <v>72365.539423769835</v>
      </c>
      <c r="C2513" s="12"/>
    </row>
    <row r="2514" spans="1:3">
      <c r="A2514">
        <v>2511</v>
      </c>
      <c r="B2514" s="12">
        <v>123879.68339578908</v>
      </c>
      <c r="C2514" s="12"/>
    </row>
    <row r="2515" spans="1:3">
      <c r="A2515">
        <v>2512</v>
      </c>
      <c r="B2515" s="12">
        <v>64931.158724462948</v>
      </c>
      <c r="C2515" s="12"/>
    </row>
    <row r="2516" spans="1:3">
      <c r="A2516">
        <v>2513</v>
      </c>
      <c r="B2516" s="12">
        <v>123964.38077789183</v>
      </c>
      <c r="C2516" s="12"/>
    </row>
    <row r="2517" spans="1:3">
      <c r="A2517">
        <v>2514</v>
      </c>
      <c r="B2517" s="12">
        <v>164173.9850518663</v>
      </c>
      <c r="C2517" s="12"/>
    </row>
    <row r="2518" spans="1:3">
      <c r="A2518">
        <v>2515</v>
      </c>
      <c r="B2518" s="12">
        <v>99820.616556779409</v>
      </c>
      <c r="C2518" s="12"/>
    </row>
    <row r="2519" spans="1:3">
      <c r="A2519">
        <v>2516</v>
      </c>
      <c r="B2519" s="12">
        <v>136358.56575951373</v>
      </c>
      <c r="C2519" s="12"/>
    </row>
    <row r="2520" spans="1:3">
      <c r="A2520">
        <v>2517</v>
      </c>
      <c r="B2520" s="12">
        <v>171428.00260510403</v>
      </c>
      <c r="C2520" s="12"/>
    </row>
    <row r="2521" spans="1:3">
      <c r="A2521">
        <v>2518</v>
      </c>
      <c r="B2521" s="12">
        <v>144548.58544874075</v>
      </c>
      <c r="C2521" s="12"/>
    </row>
    <row r="2522" spans="1:3">
      <c r="A2522">
        <v>2519</v>
      </c>
      <c r="B2522" s="12">
        <v>131170.67191721118</v>
      </c>
      <c r="C2522" s="12"/>
    </row>
    <row r="2523" spans="1:3">
      <c r="A2523">
        <v>2520</v>
      </c>
      <c r="B2523" s="12">
        <v>160154.50381773681</v>
      </c>
      <c r="C2523" s="12"/>
    </row>
    <row r="2524" spans="1:3">
      <c r="A2524">
        <v>2521</v>
      </c>
      <c r="B2524" s="12">
        <v>164244.17329336188</v>
      </c>
      <c r="C2524" s="12"/>
    </row>
    <row r="2525" spans="1:3">
      <c r="A2525">
        <v>2522</v>
      </c>
      <c r="B2525" s="12">
        <v>113110.00548126661</v>
      </c>
      <c r="C2525" s="12"/>
    </row>
    <row r="2526" spans="1:3">
      <c r="A2526">
        <v>2523</v>
      </c>
      <c r="B2526" s="12">
        <v>69203.867407639293</v>
      </c>
      <c r="C2526" s="12"/>
    </row>
    <row r="2527" spans="1:3">
      <c r="A2527">
        <v>2524</v>
      </c>
      <c r="B2527" s="12">
        <v>134007.1193799476</v>
      </c>
      <c r="C2527" s="12"/>
    </row>
    <row r="2528" spans="1:3">
      <c r="A2528">
        <v>2525</v>
      </c>
      <c r="B2528" s="12">
        <v>102065.21254864054</v>
      </c>
      <c r="C2528" s="12"/>
    </row>
    <row r="2529" spans="1:3">
      <c r="A2529">
        <v>2526</v>
      </c>
      <c r="B2529" s="12">
        <v>141768.03455950104</v>
      </c>
      <c r="C2529" s="12"/>
    </row>
    <row r="2530" spans="1:3">
      <c r="A2530">
        <v>2527</v>
      </c>
      <c r="B2530" s="12">
        <v>95927.027703515356</v>
      </c>
      <c r="C2530" s="12"/>
    </row>
    <row r="2531" spans="1:3">
      <c r="A2531">
        <v>2528</v>
      </c>
      <c r="B2531" s="12">
        <v>139679.2359445646</v>
      </c>
      <c r="C2531" s="12"/>
    </row>
    <row r="2532" spans="1:3">
      <c r="A2532">
        <v>2529</v>
      </c>
      <c r="B2532" s="12">
        <v>169364.4223155037</v>
      </c>
      <c r="C2532" s="12"/>
    </row>
    <row r="2533" spans="1:3">
      <c r="A2533">
        <v>2530</v>
      </c>
      <c r="B2533" s="12">
        <v>123554.65486149072</v>
      </c>
      <c r="C2533" s="12"/>
    </row>
    <row r="2534" spans="1:3">
      <c r="A2534">
        <v>2531</v>
      </c>
      <c r="B2534" s="12">
        <v>133925.07624123091</v>
      </c>
      <c r="C2534" s="12"/>
    </row>
    <row r="2535" spans="1:3">
      <c r="A2535">
        <v>2532</v>
      </c>
      <c r="B2535" s="12">
        <v>96099.830919265194</v>
      </c>
      <c r="C2535" s="12"/>
    </row>
    <row r="2536" spans="1:3">
      <c r="A2536">
        <v>2533</v>
      </c>
      <c r="B2536" s="12">
        <v>108990.06399104105</v>
      </c>
      <c r="C2536" s="12"/>
    </row>
    <row r="2537" spans="1:3">
      <c r="A2537">
        <v>2534</v>
      </c>
      <c r="B2537" s="12">
        <v>104530.82312900464</v>
      </c>
      <c r="C2537" s="12"/>
    </row>
    <row r="2538" spans="1:3">
      <c r="A2538">
        <v>2535</v>
      </c>
      <c r="B2538" s="12">
        <v>140863.76382569899</v>
      </c>
      <c r="C2538" s="12"/>
    </row>
    <row r="2539" spans="1:3">
      <c r="A2539">
        <v>2536</v>
      </c>
      <c r="B2539" s="12">
        <v>95532.430989435321</v>
      </c>
      <c r="C2539" s="12"/>
    </row>
    <row r="2540" spans="1:3">
      <c r="A2540">
        <v>2537</v>
      </c>
      <c r="B2540" s="12">
        <v>102575.17603138699</v>
      </c>
      <c r="C2540" s="12"/>
    </row>
    <row r="2541" spans="1:3">
      <c r="A2541">
        <v>2538</v>
      </c>
      <c r="B2541" s="12">
        <v>98261.489438798293</v>
      </c>
      <c r="C2541" s="12"/>
    </row>
    <row r="2542" spans="1:3">
      <c r="A2542">
        <v>2539</v>
      </c>
      <c r="B2542" s="12">
        <v>69274.160478072474</v>
      </c>
      <c r="C2542" s="12"/>
    </row>
    <row r="2543" spans="1:3">
      <c r="A2543">
        <v>2540</v>
      </c>
      <c r="B2543" s="12">
        <v>116209.46051016486</v>
      </c>
      <c r="C2543" s="12"/>
    </row>
    <row r="2544" spans="1:3">
      <c r="A2544">
        <v>2541</v>
      </c>
      <c r="B2544" s="12">
        <v>115563.90154586606</v>
      </c>
      <c r="C2544" s="12"/>
    </row>
    <row r="2545" spans="1:3">
      <c r="A2545">
        <v>2542</v>
      </c>
      <c r="B2545" s="12">
        <v>73484.477924557781</v>
      </c>
      <c r="C2545" s="12"/>
    </row>
    <row r="2546" spans="1:3">
      <c r="A2546">
        <v>2543</v>
      </c>
      <c r="B2546" s="12">
        <v>77185.587865048728</v>
      </c>
      <c r="C2546" s="12"/>
    </row>
    <row r="2547" spans="1:3">
      <c r="A2547">
        <v>2544</v>
      </c>
      <c r="B2547" s="12">
        <v>122835.67369836677</v>
      </c>
      <c r="C2547" s="12"/>
    </row>
    <row r="2548" spans="1:3">
      <c r="A2548">
        <v>2545</v>
      </c>
      <c r="B2548" s="12">
        <v>172667.07710196255</v>
      </c>
      <c r="C2548" s="12"/>
    </row>
    <row r="2549" spans="1:3">
      <c r="A2549">
        <v>2546</v>
      </c>
      <c r="B2549" s="12">
        <v>137994.39436595095</v>
      </c>
      <c r="C2549" s="12"/>
    </row>
    <row r="2550" spans="1:3">
      <c r="A2550">
        <v>2547</v>
      </c>
      <c r="B2550" s="12">
        <v>70448.237326146278</v>
      </c>
      <c r="C2550" s="12"/>
    </row>
    <row r="2551" spans="1:3">
      <c r="A2551">
        <v>2548</v>
      </c>
      <c r="B2551" s="12">
        <v>105279.57377218748</v>
      </c>
      <c r="C2551" s="12"/>
    </row>
    <row r="2552" spans="1:3">
      <c r="A2552">
        <v>2549</v>
      </c>
      <c r="B2552" s="12">
        <v>100518.80553966387</v>
      </c>
      <c r="C2552" s="12"/>
    </row>
    <row r="2553" spans="1:3">
      <c r="A2553">
        <v>2550</v>
      </c>
      <c r="B2553" s="12">
        <v>103638.48777440435</v>
      </c>
      <c r="C2553" s="12"/>
    </row>
    <row r="2554" spans="1:3">
      <c r="A2554">
        <v>2551</v>
      </c>
      <c r="B2554" s="12">
        <v>113583.24223605366</v>
      </c>
      <c r="C2554" s="12"/>
    </row>
    <row r="2555" spans="1:3">
      <c r="A2555">
        <v>2552</v>
      </c>
      <c r="B2555" s="12">
        <v>124643.89023103174</v>
      </c>
      <c r="C2555" s="12"/>
    </row>
    <row r="2556" spans="1:3">
      <c r="A2556">
        <v>2553</v>
      </c>
      <c r="B2556" s="12">
        <v>134265.31491572765</v>
      </c>
      <c r="C2556" s="12"/>
    </row>
    <row r="2557" spans="1:3">
      <c r="A2557">
        <v>2554</v>
      </c>
      <c r="B2557" s="12">
        <v>100877.15396807544</v>
      </c>
      <c r="C2557" s="12"/>
    </row>
    <row r="2558" spans="1:3">
      <c r="A2558">
        <v>2555</v>
      </c>
      <c r="B2558" s="12">
        <v>90726.750885331363</v>
      </c>
      <c r="C2558" s="12"/>
    </row>
    <row r="2559" spans="1:3">
      <c r="A2559">
        <v>2556</v>
      </c>
      <c r="B2559" s="12">
        <v>106117.40217118815</v>
      </c>
      <c r="C2559" s="12"/>
    </row>
    <row r="2560" spans="1:3">
      <c r="A2560">
        <v>2557</v>
      </c>
      <c r="B2560" s="12">
        <v>83903.845120369937</v>
      </c>
      <c r="C2560" s="12"/>
    </row>
    <row r="2561" spans="1:3">
      <c r="A2561">
        <v>2558</v>
      </c>
      <c r="B2561" s="12">
        <v>160397.87648545732</v>
      </c>
      <c r="C2561" s="12"/>
    </row>
    <row r="2562" spans="1:3">
      <c r="A2562">
        <v>2559</v>
      </c>
      <c r="B2562" s="12">
        <v>125512.04302959975</v>
      </c>
      <c r="C2562" s="12"/>
    </row>
    <row r="2563" spans="1:3">
      <c r="A2563">
        <v>2560</v>
      </c>
      <c r="B2563" s="12">
        <v>89368.673274117886</v>
      </c>
      <c r="C2563" s="12"/>
    </row>
    <row r="2564" spans="1:3">
      <c r="A2564">
        <v>2561</v>
      </c>
      <c r="B2564" s="12">
        <v>101572.55543454972</v>
      </c>
      <c r="C2564" s="12"/>
    </row>
    <row r="2565" spans="1:3">
      <c r="A2565">
        <v>2562</v>
      </c>
      <c r="B2565" s="12">
        <v>117459.77649618147</v>
      </c>
      <c r="C2565" s="12"/>
    </row>
    <row r="2566" spans="1:3">
      <c r="A2566">
        <v>2563</v>
      </c>
      <c r="B2566" s="12">
        <v>152854.0183306282</v>
      </c>
      <c r="C2566" s="12"/>
    </row>
    <row r="2567" spans="1:3">
      <c r="A2567">
        <v>2564</v>
      </c>
      <c r="B2567" s="12">
        <v>163472.10810206432</v>
      </c>
      <c r="C2567" s="12"/>
    </row>
    <row r="2568" spans="1:3">
      <c r="A2568">
        <v>2565</v>
      </c>
      <c r="B2568" s="12">
        <v>95789.370605392542</v>
      </c>
      <c r="C2568" s="12"/>
    </row>
    <row r="2569" spans="1:3">
      <c r="A2569">
        <v>2566</v>
      </c>
      <c r="B2569" s="12">
        <v>96993.365033450042</v>
      </c>
      <c r="C2569" s="12"/>
    </row>
    <row r="2570" spans="1:3">
      <c r="A2570">
        <v>2567</v>
      </c>
      <c r="B2570" s="12">
        <v>95689.840432920333</v>
      </c>
      <c r="C2570" s="12"/>
    </row>
    <row r="2571" spans="1:3">
      <c r="A2571">
        <v>2568</v>
      </c>
      <c r="B2571" s="12">
        <v>112325.25631604494</v>
      </c>
      <c r="C2571" s="12"/>
    </row>
    <row r="2572" spans="1:3">
      <c r="A2572">
        <v>2569</v>
      </c>
      <c r="B2572" s="12">
        <v>101139.53534805127</v>
      </c>
      <c r="C2572" s="12"/>
    </row>
    <row r="2573" spans="1:3">
      <c r="A2573">
        <v>2570</v>
      </c>
      <c r="B2573" s="12">
        <v>176138.97862895098</v>
      </c>
      <c r="C2573" s="12"/>
    </row>
    <row r="2574" spans="1:3">
      <c r="A2574">
        <v>2571</v>
      </c>
      <c r="B2574" s="12">
        <v>85134.464624052038</v>
      </c>
      <c r="C2574" s="12"/>
    </row>
    <row r="2575" spans="1:3">
      <c r="A2575">
        <v>2572</v>
      </c>
      <c r="B2575" s="12">
        <v>112444.70631621507</v>
      </c>
      <c r="C2575" s="12"/>
    </row>
    <row r="2576" spans="1:3">
      <c r="A2576">
        <v>2573</v>
      </c>
      <c r="B2576" s="12">
        <v>54520.754179143361</v>
      </c>
      <c r="C2576" s="12"/>
    </row>
    <row r="2577" spans="1:3">
      <c r="A2577">
        <v>2574</v>
      </c>
      <c r="B2577" s="12">
        <v>103622.16407833427</v>
      </c>
      <c r="C2577" s="12"/>
    </row>
    <row r="2578" spans="1:3">
      <c r="A2578">
        <v>2575</v>
      </c>
      <c r="B2578" s="12">
        <v>79957.986116163229</v>
      </c>
      <c r="C2578" s="12"/>
    </row>
    <row r="2579" spans="1:3">
      <c r="A2579">
        <v>2576</v>
      </c>
      <c r="B2579" s="12">
        <v>152734.76597882275</v>
      </c>
      <c r="C2579" s="12"/>
    </row>
    <row r="2580" spans="1:3">
      <c r="A2580">
        <v>2577</v>
      </c>
      <c r="B2580" s="12">
        <v>69714.200697377964</v>
      </c>
      <c r="C2580" s="12"/>
    </row>
    <row r="2581" spans="1:3">
      <c r="A2581">
        <v>2578</v>
      </c>
      <c r="B2581" s="12">
        <v>93678.844939287694</v>
      </c>
      <c r="C2581" s="12"/>
    </row>
    <row r="2582" spans="1:3">
      <c r="A2582">
        <v>2579</v>
      </c>
      <c r="B2582" s="12">
        <v>92541.529171271206</v>
      </c>
      <c r="C2582" s="12"/>
    </row>
    <row r="2583" spans="1:3">
      <c r="A2583">
        <v>2580</v>
      </c>
      <c r="B2583" s="12">
        <v>136105.56117970502</v>
      </c>
      <c r="C2583" s="12"/>
    </row>
    <row r="2584" spans="1:3">
      <c r="A2584">
        <v>2581</v>
      </c>
      <c r="B2584" s="12">
        <v>52849.725572343334</v>
      </c>
      <c r="C2584" s="12"/>
    </row>
    <row r="2585" spans="1:3">
      <c r="A2585">
        <v>2582</v>
      </c>
      <c r="B2585" s="12">
        <v>165784.52743907721</v>
      </c>
      <c r="C2585" s="12"/>
    </row>
    <row r="2586" spans="1:3">
      <c r="A2586">
        <v>2583</v>
      </c>
      <c r="B2586" s="12">
        <v>105374.37843479452</v>
      </c>
      <c r="C2586" s="12"/>
    </row>
    <row r="2587" spans="1:3">
      <c r="A2587">
        <v>2584</v>
      </c>
      <c r="B2587" s="12">
        <v>124006.79690701414</v>
      </c>
      <c r="C2587" s="12"/>
    </row>
    <row r="2588" spans="1:3">
      <c r="A2588">
        <v>2585</v>
      </c>
      <c r="B2588" s="12">
        <v>134176.78263060297</v>
      </c>
      <c r="C2588" s="12"/>
    </row>
    <row r="2589" spans="1:3">
      <c r="A2589">
        <v>2586</v>
      </c>
      <c r="B2589" s="12">
        <v>132339.03847503909</v>
      </c>
      <c r="C2589" s="12"/>
    </row>
    <row r="2590" spans="1:3">
      <c r="A2590">
        <v>2587</v>
      </c>
      <c r="B2590" s="12">
        <v>108584.5246276312</v>
      </c>
      <c r="C2590" s="12"/>
    </row>
    <row r="2591" spans="1:3">
      <c r="A2591">
        <v>2588</v>
      </c>
      <c r="B2591" s="12">
        <v>174067.14770632464</v>
      </c>
      <c r="C2591" s="12"/>
    </row>
    <row r="2592" spans="1:3">
      <c r="A2592">
        <v>2589</v>
      </c>
      <c r="B2592" s="12">
        <v>121654.76768560077</v>
      </c>
      <c r="C2592" s="12"/>
    </row>
    <row r="2593" spans="1:3">
      <c r="A2593">
        <v>2590</v>
      </c>
      <c r="B2593" s="12">
        <v>118784.60283005379</v>
      </c>
      <c r="C2593" s="12"/>
    </row>
    <row r="2594" spans="1:3">
      <c r="A2594">
        <v>2591</v>
      </c>
      <c r="B2594" s="12">
        <v>52009.487209696112</v>
      </c>
      <c r="C2594" s="12"/>
    </row>
    <row r="2595" spans="1:3">
      <c r="A2595">
        <v>2592</v>
      </c>
      <c r="B2595" s="12">
        <v>82873.062912074951</v>
      </c>
      <c r="C2595" s="12"/>
    </row>
    <row r="2596" spans="1:3">
      <c r="A2596">
        <v>2593</v>
      </c>
      <c r="B2596" s="12">
        <v>116226.31661776852</v>
      </c>
      <c r="C2596" s="12"/>
    </row>
    <row r="2597" spans="1:3">
      <c r="A2597">
        <v>2594</v>
      </c>
      <c r="B2597" s="12">
        <v>123040.81402972851</v>
      </c>
      <c r="C2597" s="12"/>
    </row>
    <row r="2598" spans="1:3">
      <c r="A2598">
        <v>2595</v>
      </c>
      <c r="B2598" s="12">
        <v>71263.061838797876</v>
      </c>
      <c r="C2598" s="12"/>
    </row>
    <row r="2599" spans="1:3">
      <c r="A2599">
        <v>2596</v>
      </c>
      <c r="B2599" s="12">
        <v>153704.02103100103</v>
      </c>
      <c r="C2599" s="12"/>
    </row>
    <row r="2600" spans="1:3">
      <c r="A2600">
        <v>2597</v>
      </c>
      <c r="B2600" s="12">
        <v>71924.669379589133</v>
      </c>
      <c r="C2600" s="12"/>
    </row>
    <row r="2601" spans="1:3">
      <c r="A2601">
        <v>2598</v>
      </c>
      <c r="B2601" s="12">
        <v>79549.029820207972</v>
      </c>
      <c r="C2601" s="12"/>
    </row>
    <row r="2602" spans="1:3">
      <c r="A2602">
        <v>2599</v>
      </c>
      <c r="B2602" s="12">
        <v>138252.56520729468</v>
      </c>
      <c r="C2602" s="12"/>
    </row>
    <row r="2603" spans="1:3">
      <c r="A2603">
        <v>2600</v>
      </c>
      <c r="B2603" s="12">
        <v>67605.766165571651</v>
      </c>
      <c r="C2603" s="12"/>
    </row>
    <row r="2604" spans="1:3">
      <c r="A2604">
        <v>2601</v>
      </c>
      <c r="B2604" s="12">
        <v>120084.02188781122</v>
      </c>
      <c r="C2604" s="12"/>
    </row>
    <row r="2605" spans="1:3">
      <c r="A2605">
        <v>2602</v>
      </c>
      <c r="B2605" s="12">
        <v>117674.26617824475</v>
      </c>
      <c r="C2605" s="12"/>
    </row>
    <row r="2606" spans="1:3">
      <c r="A2606">
        <v>2603</v>
      </c>
      <c r="B2606" s="12">
        <v>140350.09837844525</v>
      </c>
      <c r="C2606" s="12"/>
    </row>
    <row r="2607" spans="1:3">
      <c r="A2607">
        <v>2604</v>
      </c>
      <c r="B2607" s="12">
        <v>75893.875568533404</v>
      </c>
      <c r="C2607" s="12"/>
    </row>
    <row r="2608" spans="1:3">
      <c r="A2608">
        <v>2605</v>
      </c>
      <c r="B2608" s="12">
        <v>117601.86552225726</v>
      </c>
      <c r="C2608" s="12"/>
    </row>
    <row r="2609" spans="1:3">
      <c r="A2609">
        <v>2606</v>
      </c>
      <c r="B2609" s="12">
        <v>126066.02781697127</v>
      </c>
      <c r="C2609" s="12"/>
    </row>
    <row r="2610" spans="1:3">
      <c r="A2610">
        <v>2607</v>
      </c>
      <c r="B2610" s="12">
        <v>134840.53316252501</v>
      </c>
      <c r="C2610" s="12"/>
    </row>
    <row r="2611" spans="1:3">
      <c r="A2611">
        <v>2608</v>
      </c>
      <c r="B2611" s="12">
        <v>160007.34125339301</v>
      </c>
      <c r="C2611" s="12"/>
    </row>
    <row r="2612" spans="1:3">
      <c r="A2612">
        <v>2609</v>
      </c>
      <c r="B2612" s="12">
        <v>84942.119274198485</v>
      </c>
      <c r="C2612" s="12"/>
    </row>
    <row r="2613" spans="1:3">
      <c r="A2613">
        <v>2610</v>
      </c>
      <c r="B2613" s="12">
        <v>114791.49641698106</v>
      </c>
      <c r="C2613" s="12"/>
    </row>
    <row r="2614" spans="1:3">
      <c r="A2614">
        <v>2611</v>
      </c>
      <c r="B2614" s="12">
        <v>166002.45502258642</v>
      </c>
      <c r="C2614" s="12"/>
    </row>
    <row r="2615" spans="1:3">
      <c r="A2615">
        <v>2612</v>
      </c>
      <c r="B2615" s="12">
        <v>99766.753662649586</v>
      </c>
      <c r="C2615" s="12"/>
    </row>
    <row r="2616" spans="1:3">
      <c r="A2616">
        <v>2613</v>
      </c>
      <c r="B2616" s="12">
        <v>120287.78880490379</v>
      </c>
      <c r="C2616" s="12"/>
    </row>
    <row r="2617" spans="1:3">
      <c r="A2617">
        <v>2614</v>
      </c>
      <c r="B2617" s="12">
        <v>86407.401796907128</v>
      </c>
      <c r="C2617" s="12"/>
    </row>
    <row r="2618" spans="1:3">
      <c r="A2618">
        <v>2615</v>
      </c>
      <c r="B2618" s="12">
        <v>123193.04189903582</v>
      </c>
      <c r="C2618" s="12"/>
    </row>
    <row r="2619" spans="1:3">
      <c r="A2619">
        <v>2616</v>
      </c>
      <c r="B2619" s="12">
        <v>183626.17056025108</v>
      </c>
      <c r="C2619" s="12"/>
    </row>
    <row r="2620" spans="1:3">
      <c r="A2620">
        <v>2617</v>
      </c>
      <c r="B2620" s="12">
        <v>114960.96265247317</v>
      </c>
      <c r="C2620" s="12"/>
    </row>
    <row r="2621" spans="1:3">
      <c r="A2621">
        <v>2618</v>
      </c>
      <c r="B2621" s="12">
        <v>104159.69024570509</v>
      </c>
      <c r="C2621" s="12"/>
    </row>
    <row r="2622" spans="1:3">
      <c r="A2622">
        <v>2619</v>
      </c>
      <c r="B2622" s="12">
        <v>122832.75675572531</v>
      </c>
      <c r="C2622" s="12"/>
    </row>
    <row r="2623" spans="1:3">
      <c r="A2623">
        <v>2620</v>
      </c>
      <c r="B2623" s="12">
        <v>87876.573386971999</v>
      </c>
      <c r="C2623" s="12"/>
    </row>
    <row r="2624" spans="1:3">
      <c r="A2624">
        <v>2621</v>
      </c>
      <c r="B2624" s="12">
        <v>72091.744102786426</v>
      </c>
      <c r="C2624" s="12"/>
    </row>
    <row r="2625" spans="1:3">
      <c r="A2625">
        <v>2622</v>
      </c>
      <c r="B2625" s="12">
        <v>133615.71004085348</v>
      </c>
      <c r="C2625" s="12"/>
    </row>
    <row r="2626" spans="1:3">
      <c r="A2626">
        <v>2623</v>
      </c>
      <c r="B2626" s="12">
        <v>69458.818090807938</v>
      </c>
      <c r="C2626" s="12"/>
    </row>
    <row r="2627" spans="1:3">
      <c r="A2627">
        <v>2624</v>
      </c>
      <c r="B2627" s="12">
        <v>115962.67112970898</v>
      </c>
      <c r="C2627" s="12"/>
    </row>
    <row r="2628" spans="1:3">
      <c r="A2628">
        <v>2625</v>
      </c>
      <c r="B2628" s="12">
        <v>124980.80774022767</v>
      </c>
      <c r="C2628" s="12"/>
    </row>
    <row r="2629" spans="1:3">
      <c r="A2629">
        <v>2626</v>
      </c>
      <c r="B2629" s="12">
        <v>137844.14237422933</v>
      </c>
      <c r="C2629" s="12"/>
    </row>
    <row r="2630" spans="1:3">
      <c r="A2630">
        <v>2627</v>
      </c>
      <c r="B2630" s="12">
        <v>122839.39000556366</v>
      </c>
      <c r="C2630" s="12"/>
    </row>
    <row r="2631" spans="1:3">
      <c r="A2631">
        <v>2628</v>
      </c>
      <c r="B2631" s="12">
        <v>95150.979098540425</v>
      </c>
      <c r="C2631" s="12"/>
    </row>
    <row r="2632" spans="1:3">
      <c r="A2632">
        <v>2629</v>
      </c>
      <c r="B2632" s="12">
        <v>97709.719266882312</v>
      </c>
      <c r="C2632" s="12"/>
    </row>
    <row r="2633" spans="1:3">
      <c r="A2633">
        <v>2630</v>
      </c>
      <c r="B2633" s="12">
        <v>127412.02772765345</v>
      </c>
      <c r="C2633" s="12"/>
    </row>
    <row r="2634" spans="1:3">
      <c r="A2634">
        <v>2631</v>
      </c>
      <c r="B2634" s="12">
        <v>119386.51731238869</v>
      </c>
      <c r="C2634" s="12"/>
    </row>
    <row r="2635" spans="1:3">
      <c r="A2635">
        <v>2632</v>
      </c>
      <c r="B2635" s="12">
        <v>118858.75332726691</v>
      </c>
      <c r="C2635" s="12"/>
    </row>
    <row r="2636" spans="1:3">
      <c r="A2636">
        <v>2633</v>
      </c>
      <c r="B2636" s="12">
        <v>105516.77124229931</v>
      </c>
      <c r="C2636" s="12"/>
    </row>
    <row r="2637" spans="1:3">
      <c r="A2637">
        <v>2634</v>
      </c>
      <c r="B2637" s="12">
        <v>83621.604493402585</v>
      </c>
      <c r="C2637" s="12"/>
    </row>
    <row r="2638" spans="1:3">
      <c r="A2638">
        <v>2635</v>
      </c>
      <c r="B2638" s="12">
        <v>75352.144717018949</v>
      </c>
      <c r="C2638" s="12"/>
    </row>
    <row r="2639" spans="1:3">
      <c r="A2639">
        <v>2636</v>
      </c>
      <c r="B2639" s="12">
        <v>77320.715496554505</v>
      </c>
      <c r="C2639" s="12"/>
    </row>
    <row r="2640" spans="1:3">
      <c r="A2640">
        <v>2637</v>
      </c>
      <c r="B2640" s="12">
        <v>132663.48117584546</v>
      </c>
      <c r="C2640" s="12"/>
    </row>
    <row r="2641" spans="1:3">
      <c r="A2641">
        <v>2638</v>
      </c>
      <c r="B2641" s="12">
        <v>135884.27136686671</v>
      </c>
      <c r="C2641" s="12"/>
    </row>
    <row r="2642" spans="1:3">
      <c r="A2642">
        <v>2639</v>
      </c>
      <c r="B2642" s="12">
        <v>126463.55259947853</v>
      </c>
      <c r="C2642" s="12"/>
    </row>
    <row r="2643" spans="1:3">
      <c r="A2643">
        <v>2640</v>
      </c>
      <c r="B2643" s="12">
        <v>75139.844523396794</v>
      </c>
      <c r="C2643" s="12"/>
    </row>
    <row r="2644" spans="1:3">
      <c r="A2644">
        <v>2641</v>
      </c>
      <c r="B2644" s="12">
        <v>142555.86613655544</v>
      </c>
      <c r="C2644" s="12"/>
    </row>
    <row r="2645" spans="1:3">
      <c r="A2645">
        <v>2642</v>
      </c>
      <c r="B2645" s="12">
        <v>83692.331945720434</v>
      </c>
      <c r="C2645" s="12"/>
    </row>
    <row r="2646" spans="1:3">
      <c r="A2646">
        <v>2643</v>
      </c>
      <c r="B2646" s="12">
        <v>120323.73307402573</v>
      </c>
      <c r="C2646" s="12"/>
    </row>
    <row r="2647" spans="1:3">
      <c r="A2647">
        <v>2644</v>
      </c>
      <c r="B2647" s="12">
        <v>130272.40859546009</v>
      </c>
      <c r="C2647" s="12"/>
    </row>
    <row r="2648" spans="1:3">
      <c r="A2648">
        <v>2645</v>
      </c>
      <c r="B2648" s="12">
        <v>74724.488915144451</v>
      </c>
      <c r="C2648" s="12"/>
    </row>
    <row r="2649" spans="1:3">
      <c r="A2649">
        <v>2646</v>
      </c>
      <c r="B2649" s="12">
        <v>87419.790885344599</v>
      </c>
      <c r="C2649" s="12"/>
    </row>
    <row r="2650" spans="1:3">
      <c r="A2650">
        <v>2647</v>
      </c>
      <c r="B2650" s="12">
        <v>106624.0235119178</v>
      </c>
      <c r="C2650" s="12"/>
    </row>
    <row r="2651" spans="1:3">
      <c r="A2651">
        <v>2648</v>
      </c>
      <c r="B2651" s="12">
        <v>125061.23479754874</v>
      </c>
      <c r="C2651" s="12"/>
    </row>
    <row r="2652" spans="1:3">
      <c r="A2652">
        <v>2649</v>
      </c>
      <c r="B2652" s="12">
        <v>86942.326328682582</v>
      </c>
      <c r="C2652" s="12"/>
    </row>
    <row r="2653" spans="1:3">
      <c r="A2653">
        <v>2650</v>
      </c>
      <c r="B2653" s="12">
        <v>89094.748179800954</v>
      </c>
      <c r="C2653" s="12"/>
    </row>
    <row r="2654" spans="1:3">
      <c r="A2654">
        <v>2651</v>
      </c>
      <c r="B2654" s="12">
        <v>125453.84247231239</v>
      </c>
      <c r="C2654" s="12"/>
    </row>
    <row r="2655" spans="1:3">
      <c r="A2655">
        <v>2652</v>
      </c>
      <c r="B2655" s="12">
        <v>88926.636351201523</v>
      </c>
      <c r="C2655" s="12"/>
    </row>
    <row r="2656" spans="1:3">
      <c r="A2656">
        <v>2653</v>
      </c>
      <c r="B2656" s="12">
        <v>76038.450441757392</v>
      </c>
      <c r="C2656" s="12"/>
    </row>
    <row r="2657" spans="1:3">
      <c r="A2657">
        <v>2654</v>
      </c>
      <c r="B2657" s="12">
        <v>122307.98999451796</v>
      </c>
      <c r="C2657" s="12"/>
    </row>
    <row r="2658" spans="1:3">
      <c r="A2658">
        <v>2655</v>
      </c>
      <c r="B2658" s="12">
        <v>112242.48471320931</v>
      </c>
      <c r="C2658" s="12"/>
    </row>
    <row r="2659" spans="1:3">
      <c r="A2659">
        <v>2656</v>
      </c>
      <c r="B2659" s="12">
        <v>99534.76252495579</v>
      </c>
      <c r="C2659" s="12"/>
    </row>
    <row r="2660" spans="1:3">
      <c r="A2660">
        <v>2657</v>
      </c>
      <c r="B2660" s="12">
        <v>126119.95981291946</v>
      </c>
      <c r="C2660" s="12"/>
    </row>
    <row r="2661" spans="1:3">
      <c r="A2661">
        <v>2658</v>
      </c>
      <c r="B2661" s="12">
        <v>72505.049840144493</v>
      </c>
      <c r="C2661" s="12"/>
    </row>
    <row r="2662" spans="1:3">
      <c r="A2662">
        <v>2659</v>
      </c>
      <c r="B2662" s="12">
        <v>162741.56186095756</v>
      </c>
      <c r="C2662" s="12"/>
    </row>
    <row r="2663" spans="1:3">
      <c r="A2663">
        <v>2660</v>
      </c>
      <c r="B2663" s="12">
        <v>72087.026964210847</v>
      </c>
      <c r="C2663" s="12"/>
    </row>
    <row r="2664" spans="1:3">
      <c r="A2664">
        <v>2661</v>
      </c>
      <c r="B2664" s="12">
        <v>100864.29570588807</v>
      </c>
      <c r="C2664" s="12"/>
    </row>
    <row r="2665" spans="1:3">
      <c r="A2665">
        <v>2662</v>
      </c>
      <c r="B2665" s="12">
        <v>76963.319588143422</v>
      </c>
      <c r="C2665" s="12"/>
    </row>
    <row r="2666" spans="1:3">
      <c r="A2666">
        <v>2663</v>
      </c>
      <c r="B2666" s="12">
        <v>163651.29276644689</v>
      </c>
      <c r="C2666" s="12"/>
    </row>
    <row r="2667" spans="1:3">
      <c r="A2667">
        <v>2664</v>
      </c>
      <c r="B2667" s="12">
        <v>154335.63914897913</v>
      </c>
      <c r="C2667" s="12"/>
    </row>
    <row r="2668" spans="1:3">
      <c r="A2668">
        <v>2665</v>
      </c>
      <c r="B2668" s="12">
        <v>86057.828725962318</v>
      </c>
      <c r="C2668" s="12"/>
    </row>
    <row r="2669" spans="1:3">
      <c r="A2669">
        <v>2666</v>
      </c>
      <c r="B2669" s="12">
        <v>160924.07989232452</v>
      </c>
      <c r="C2669" s="12"/>
    </row>
    <row r="2670" spans="1:3">
      <c r="A2670">
        <v>2667</v>
      </c>
      <c r="B2670" s="12">
        <v>112287.61952703707</v>
      </c>
      <c r="C2670" s="12"/>
    </row>
    <row r="2671" spans="1:3">
      <c r="A2671">
        <v>2668</v>
      </c>
      <c r="B2671" s="12">
        <v>147029.73045019025</v>
      </c>
      <c r="C2671" s="12"/>
    </row>
    <row r="2672" spans="1:3">
      <c r="A2672">
        <v>2669</v>
      </c>
      <c r="B2672" s="12">
        <v>114466.49912146459</v>
      </c>
      <c r="C2672" s="12"/>
    </row>
    <row r="2673" spans="1:3">
      <c r="A2673">
        <v>2670</v>
      </c>
      <c r="B2673" s="12">
        <v>137043.58801181399</v>
      </c>
      <c r="C2673" s="12"/>
    </row>
    <row r="2674" spans="1:3">
      <c r="A2674">
        <v>2671</v>
      </c>
      <c r="B2674" s="12">
        <v>57813.029180672733</v>
      </c>
      <c r="C2674" s="12"/>
    </row>
    <row r="2675" spans="1:3">
      <c r="A2675">
        <v>2672</v>
      </c>
      <c r="B2675" s="12">
        <v>117723.58935416762</v>
      </c>
      <c r="C2675" s="12"/>
    </row>
    <row r="2676" spans="1:3">
      <c r="A2676">
        <v>2673</v>
      </c>
      <c r="B2676" s="12">
        <v>107730.21630453646</v>
      </c>
      <c r="C2676" s="12"/>
    </row>
    <row r="2677" spans="1:3">
      <c r="A2677">
        <v>2674</v>
      </c>
      <c r="B2677" s="12">
        <v>103467.75135522234</v>
      </c>
      <c r="C2677" s="12"/>
    </row>
    <row r="2678" spans="1:3">
      <c r="A2678">
        <v>2675</v>
      </c>
      <c r="B2678" s="12">
        <v>131175.66998679415</v>
      </c>
      <c r="C2678" s="12"/>
    </row>
    <row r="2679" spans="1:3">
      <c r="A2679">
        <v>2676</v>
      </c>
      <c r="B2679" s="12">
        <v>115235.65867685761</v>
      </c>
      <c r="C2679" s="12"/>
    </row>
    <row r="2680" spans="1:3">
      <c r="A2680">
        <v>2677</v>
      </c>
      <c r="B2680" s="12">
        <v>147122.14735012696</v>
      </c>
      <c r="C2680" s="12"/>
    </row>
    <row r="2681" spans="1:3">
      <c r="A2681">
        <v>2678</v>
      </c>
      <c r="B2681" s="12">
        <v>118035.30562189184</v>
      </c>
      <c r="C2681" s="12"/>
    </row>
    <row r="2682" spans="1:3">
      <c r="A2682">
        <v>2679</v>
      </c>
      <c r="B2682" s="12">
        <v>71854.948151549557</v>
      </c>
      <c r="C2682" s="12"/>
    </row>
    <row r="2683" spans="1:3">
      <c r="A2683">
        <v>2680</v>
      </c>
      <c r="B2683" s="12">
        <v>89901.252974407311</v>
      </c>
      <c r="C2683" s="12"/>
    </row>
    <row r="2684" spans="1:3">
      <c r="A2684">
        <v>2681</v>
      </c>
      <c r="B2684" s="12">
        <v>118786.35158851597</v>
      </c>
      <c r="C2684" s="12"/>
    </row>
    <row r="2685" spans="1:3">
      <c r="A2685">
        <v>2682</v>
      </c>
      <c r="B2685" s="12">
        <v>128609.65299563413</v>
      </c>
      <c r="C2685" s="12"/>
    </row>
    <row r="2686" spans="1:3">
      <c r="A2686">
        <v>2683</v>
      </c>
      <c r="B2686" s="12">
        <v>145539.65987646996</v>
      </c>
      <c r="C2686" s="12"/>
    </row>
    <row r="2687" spans="1:3">
      <c r="A2687">
        <v>2684</v>
      </c>
      <c r="B2687" s="12">
        <v>128408.78607605092</v>
      </c>
      <c r="C2687" s="12"/>
    </row>
    <row r="2688" spans="1:3">
      <c r="A2688">
        <v>2685</v>
      </c>
      <c r="B2688" s="12">
        <v>165808.62312420606</v>
      </c>
      <c r="C2688" s="12"/>
    </row>
    <row r="2689" spans="1:3">
      <c r="A2689">
        <v>2686</v>
      </c>
      <c r="B2689" s="12">
        <v>96673.649737941581</v>
      </c>
      <c r="C2689" s="12"/>
    </row>
    <row r="2690" spans="1:3">
      <c r="A2690">
        <v>2687</v>
      </c>
      <c r="B2690" s="12">
        <v>112340.74790790809</v>
      </c>
      <c r="C2690" s="12"/>
    </row>
    <row r="2691" spans="1:3">
      <c r="A2691">
        <v>2688</v>
      </c>
      <c r="B2691" s="12">
        <v>87003.983213912594</v>
      </c>
      <c r="C2691" s="12"/>
    </row>
    <row r="2692" spans="1:3">
      <c r="A2692">
        <v>2689</v>
      </c>
      <c r="B2692" s="12">
        <v>68809.473669288986</v>
      </c>
      <c r="C2692" s="12"/>
    </row>
    <row r="2693" spans="1:3">
      <c r="A2693">
        <v>2690</v>
      </c>
      <c r="B2693" s="12">
        <v>114693.97293869991</v>
      </c>
      <c r="C2693" s="12"/>
    </row>
    <row r="2694" spans="1:3">
      <c r="A2694">
        <v>2691</v>
      </c>
      <c r="B2694" s="12">
        <v>104400.18176883858</v>
      </c>
      <c r="C2694" s="12"/>
    </row>
    <row r="2695" spans="1:3">
      <c r="A2695">
        <v>2692</v>
      </c>
      <c r="B2695" s="12">
        <v>123322.79840418242</v>
      </c>
      <c r="C2695" s="12"/>
    </row>
    <row r="2696" spans="1:3">
      <c r="A2696">
        <v>2693</v>
      </c>
      <c r="B2696" s="12">
        <v>87822.369099205098</v>
      </c>
      <c r="C2696" s="12"/>
    </row>
    <row r="2697" spans="1:3">
      <c r="A2697">
        <v>2694</v>
      </c>
      <c r="B2697" s="12">
        <v>114689.75110745571</v>
      </c>
      <c r="C2697" s="12"/>
    </row>
    <row r="2698" spans="1:3">
      <c r="A2698">
        <v>2695</v>
      </c>
      <c r="B2698" s="12">
        <v>104066.70206766597</v>
      </c>
      <c r="C2698" s="12"/>
    </row>
    <row r="2699" spans="1:3">
      <c r="A2699">
        <v>2696</v>
      </c>
      <c r="B2699" s="12">
        <v>103281.6432260383</v>
      </c>
      <c r="C2699" s="12"/>
    </row>
    <row r="2700" spans="1:3">
      <c r="A2700">
        <v>2697</v>
      </c>
      <c r="B2700" s="12">
        <v>69723.838957937565</v>
      </c>
      <c r="C2700" s="12"/>
    </row>
    <row r="2701" spans="1:3">
      <c r="A2701">
        <v>2698</v>
      </c>
      <c r="B2701" s="12">
        <v>122673.00768910964</v>
      </c>
      <c r="C2701" s="12"/>
    </row>
    <row r="2702" spans="1:3">
      <c r="A2702">
        <v>2699</v>
      </c>
      <c r="B2702" s="12">
        <v>149441.86124695168</v>
      </c>
      <c r="C2702" s="12"/>
    </row>
    <row r="2703" spans="1:3">
      <c r="A2703">
        <v>2700</v>
      </c>
      <c r="B2703" s="12">
        <v>103364.6825159975</v>
      </c>
      <c r="C2703" s="12"/>
    </row>
    <row r="2704" spans="1:3">
      <c r="A2704">
        <v>2701</v>
      </c>
      <c r="B2704" s="12">
        <v>91354.887840092299</v>
      </c>
      <c r="C2704" s="12"/>
    </row>
    <row r="2705" spans="1:3">
      <c r="A2705">
        <v>2702</v>
      </c>
      <c r="B2705" s="12">
        <v>144526.26350805556</v>
      </c>
      <c r="C2705" s="12"/>
    </row>
    <row r="2706" spans="1:3">
      <c r="A2706">
        <v>2703</v>
      </c>
      <c r="B2706" s="12">
        <v>115536.46474909676</v>
      </c>
      <c r="C2706" s="12"/>
    </row>
    <row r="2707" spans="1:3">
      <c r="A2707">
        <v>2704</v>
      </c>
      <c r="B2707" s="12">
        <v>139607.23419294585</v>
      </c>
      <c r="C2707" s="12"/>
    </row>
    <row r="2708" spans="1:3">
      <c r="A2708">
        <v>2705</v>
      </c>
      <c r="B2708" s="12">
        <v>77213.018663114141</v>
      </c>
      <c r="C2708" s="12"/>
    </row>
    <row r="2709" spans="1:3">
      <c r="A2709">
        <v>2706</v>
      </c>
      <c r="B2709" s="12">
        <v>80401.2892434104</v>
      </c>
      <c r="C2709" s="12"/>
    </row>
    <row r="2710" spans="1:3">
      <c r="A2710">
        <v>2707</v>
      </c>
      <c r="B2710" s="12">
        <v>131284.33738881495</v>
      </c>
      <c r="C2710" s="12"/>
    </row>
    <row r="2711" spans="1:3">
      <c r="A2711">
        <v>2708</v>
      </c>
      <c r="B2711" s="12">
        <v>162865.64762052489</v>
      </c>
      <c r="C2711" s="12"/>
    </row>
    <row r="2712" spans="1:3">
      <c r="A2712">
        <v>2709</v>
      </c>
      <c r="B2712" s="12">
        <v>65359.519768064194</v>
      </c>
      <c r="C2712" s="12"/>
    </row>
    <row r="2713" spans="1:3">
      <c r="A2713">
        <v>2710</v>
      </c>
      <c r="B2713" s="12">
        <v>62650.129607468582</v>
      </c>
      <c r="C2713" s="12"/>
    </row>
    <row r="2714" spans="1:3">
      <c r="A2714">
        <v>2711</v>
      </c>
      <c r="B2714" s="12">
        <v>153559.37896573232</v>
      </c>
      <c r="C2714" s="12"/>
    </row>
    <row r="2715" spans="1:3">
      <c r="A2715">
        <v>2712</v>
      </c>
      <c r="B2715" s="12">
        <v>136363.92592856288</v>
      </c>
      <c r="C2715" s="12"/>
    </row>
    <row r="2716" spans="1:3">
      <c r="A2716">
        <v>2713</v>
      </c>
      <c r="B2716" s="12">
        <v>72480.922784268449</v>
      </c>
      <c r="C2716" s="12"/>
    </row>
    <row r="2717" spans="1:3">
      <c r="A2717">
        <v>2714</v>
      </c>
      <c r="B2717" s="12">
        <v>171375.44527141107</v>
      </c>
      <c r="C2717" s="12"/>
    </row>
    <row r="2718" spans="1:3">
      <c r="A2718">
        <v>2715</v>
      </c>
      <c r="B2718" s="12">
        <v>126989.29378841037</v>
      </c>
      <c r="C2718" s="12"/>
    </row>
    <row r="2719" spans="1:3">
      <c r="A2719">
        <v>2716</v>
      </c>
      <c r="B2719" s="12">
        <v>133581.75232125091</v>
      </c>
      <c r="C2719" s="12"/>
    </row>
    <row r="2720" spans="1:3">
      <c r="A2720">
        <v>2717</v>
      </c>
      <c r="B2720" s="12">
        <v>109006.34553803128</v>
      </c>
      <c r="C2720" s="12"/>
    </row>
    <row r="2721" spans="1:3">
      <c r="A2721">
        <v>2718</v>
      </c>
      <c r="B2721" s="12">
        <v>139774.4197656195</v>
      </c>
      <c r="C2721" s="12"/>
    </row>
    <row r="2722" spans="1:3">
      <c r="A2722">
        <v>2719</v>
      </c>
      <c r="B2722" s="12">
        <v>98004.319450766372</v>
      </c>
      <c r="C2722" s="12"/>
    </row>
    <row r="2723" spans="1:3">
      <c r="A2723">
        <v>2720</v>
      </c>
      <c r="B2723" s="12">
        <v>133134.83747881593</v>
      </c>
      <c r="C2723" s="12"/>
    </row>
    <row r="2724" spans="1:3">
      <c r="A2724">
        <v>2721</v>
      </c>
      <c r="B2724" s="12">
        <v>69632.692524262806</v>
      </c>
      <c r="C2724" s="12"/>
    </row>
    <row r="2725" spans="1:3">
      <c r="A2725">
        <v>2722</v>
      </c>
      <c r="B2725" s="12">
        <v>108745.70284570642</v>
      </c>
      <c r="C2725" s="12"/>
    </row>
    <row r="2726" spans="1:3">
      <c r="A2726">
        <v>2723</v>
      </c>
      <c r="B2726" s="12">
        <v>128081.83339646093</v>
      </c>
      <c r="C2726" s="12"/>
    </row>
    <row r="2727" spans="1:3">
      <c r="A2727">
        <v>2724</v>
      </c>
      <c r="B2727" s="12">
        <v>101865.4464569663</v>
      </c>
      <c r="C2727" s="12"/>
    </row>
    <row r="2728" spans="1:3">
      <c r="A2728">
        <v>2725</v>
      </c>
      <c r="B2728" s="12">
        <v>89269.854775245811</v>
      </c>
      <c r="C2728" s="12"/>
    </row>
    <row r="2729" spans="1:3">
      <c r="A2729">
        <v>2726</v>
      </c>
      <c r="B2729" s="12">
        <v>199782.84665789024</v>
      </c>
      <c r="C2729" s="12"/>
    </row>
    <row r="2730" spans="1:3">
      <c r="A2730">
        <v>2727</v>
      </c>
      <c r="B2730" s="12">
        <v>81480.190467689288</v>
      </c>
      <c r="C2730" s="12"/>
    </row>
    <row r="2731" spans="1:3">
      <c r="A2731">
        <v>2728</v>
      </c>
      <c r="B2731" s="12">
        <v>109848.7475518023</v>
      </c>
      <c r="C2731" s="12"/>
    </row>
    <row r="2732" spans="1:3">
      <c r="A2732">
        <v>2729</v>
      </c>
      <c r="B2732" s="12">
        <v>67621.016341252733</v>
      </c>
      <c r="C2732" s="12"/>
    </row>
    <row r="2733" spans="1:3">
      <c r="A2733">
        <v>2730</v>
      </c>
      <c r="B2733" s="12">
        <v>76009.625615290701</v>
      </c>
      <c r="C2733" s="12"/>
    </row>
    <row r="2734" spans="1:3">
      <c r="A2734">
        <v>2731</v>
      </c>
      <c r="B2734" s="12">
        <v>98571.296119640261</v>
      </c>
      <c r="C2734" s="12"/>
    </row>
    <row r="2735" spans="1:3">
      <c r="A2735">
        <v>2732</v>
      </c>
      <c r="B2735" s="12">
        <v>204824.77046265022</v>
      </c>
      <c r="C2735" s="12"/>
    </row>
    <row r="2736" spans="1:3">
      <c r="A2736">
        <v>2733</v>
      </c>
      <c r="B2736" s="12">
        <v>154738.29058675206</v>
      </c>
      <c r="C2736" s="12"/>
    </row>
    <row r="2737" spans="1:3">
      <c r="A2737">
        <v>2734</v>
      </c>
      <c r="B2737" s="12">
        <v>106868.26701925548</v>
      </c>
      <c r="C2737" s="12"/>
    </row>
    <row r="2738" spans="1:3">
      <c r="A2738">
        <v>2735</v>
      </c>
      <c r="B2738" s="12">
        <v>86021.797732070001</v>
      </c>
      <c r="C2738" s="12"/>
    </row>
    <row r="2739" spans="1:3">
      <c r="A2739">
        <v>2736</v>
      </c>
      <c r="B2739" s="12">
        <v>160486.71743505844</v>
      </c>
      <c r="C2739" s="12"/>
    </row>
    <row r="2740" spans="1:3">
      <c r="A2740">
        <v>2737</v>
      </c>
      <c r="B2740" s="12">
        <v>121376.79151109334</v>
      </c>
      <c r="C2740" s="12"/>
    </row>
    <row r="2741" spans="1:3">
      <c r="A2741">
        <v>2738</v>
      </c>
      <c r="B2741" s="12">
        <v>106482.26173573759</v>
      </c>
      <c r="C2741" s="12"/>
    </row>
    <row r="2742" spans="1:3">
      <c r="A2742">
        <v>2739</v>
      </c>
      <c r="B2742" s="12">
        <v>68049.205009233905</v>
      </c>
      <c r="C2742" s="12"/>
    </row>
    <row r="2743" spans="1:3">
      <c r="A2743">
        <v>2740</v>
      </c>
      <c r="B2743" s="12">
        <v>97955.174835580721</v>
      </c>
      <c r="C2743" s="12"/>
    </row>
    <row r="2744" spans="1:3">
      <c r="A2744">
        <v>2741</v>
      </c>
      <c r="B2744" s="12">
        <v>121795.68495683995</v>
      </c>
      <c r="C2744" s="12"/>
    </row>
    <row r="2745" spans="1:3">
      <c r="A2745">
        <v>2742</v>
      </c>
      <c r="B2745" s="12">
        <v>148167.26844777769</v>
      </c>
      <c r="C2745" s="12"/>
    </row>
    <row r="2746" spans="1:3">
      <c r="A2746">
        <v>2743</v>
      </c>
      <c r="B2746" s="12">
        <v>76517.91983921529</v>
      </c>
      <c r="C2746" s="12"/>
    </row>
    <row r="2747" spans="1:3">
      <c r="A2747">
        <v>2744</v>
      </c>
      <c r="B2747" s="12">
        <v>104945.53442356421</v>
      </c>
      <c r="C2747" s="12"/>
    </row>
    <row r="2748" spans="1:3">
      <c r="A2748">
        <v>2745</v>
      </c>
      <c r="B2748" s="12">
        <v>101147.57244233658</v>
      </c>
      <c r="C2748" s="12"/>
    </row>
    <row r="2749" spans="1:3">
      <c r="A2749">
        <v>2746</v>
      </c>
      <c r="B2749" s="12">
        <v>169846.28471722981</v>
      </c>
      <c r="C2749" s="12"/>
    </row>
    <row r="2750" spans="1:3">
      <c r="A2750">
        <v>2747</v>
      </c>
      <c r="B2750" s="12">
        <v>90342.095066918133</v>
      </c>
      <c r="C2750" s="12"/>
    </row>
    <row r="2751" spans="1:3">
      <c r="A2751">
        <v>2748</v>
      </c>
      <c r="B2751" s="12">
        <v>129403.75877474711</v>
      </c>
      <c r="C2751" s="12"/>
    </row>
    <row r="2752" spans="1:3">
      <c r="A2752">
        <v>2749</v>
      </c>
      <c r="B2752" s="12">
        <v>120992.31776960842</v>
      </c>
      <c r="C2752" s="12"/>
    </row>
    <row r="2753" spans="1:3">
      <c r="A2753">
        <v>2750</v>
      </c>
      <c r="B2753" s="12">
        <v>44551.653909824614</v>
      </c>
      <c r="C2753" s="12"/>
    </row>
    <row r="2754" spans="1:3">
      <c r="A2754">
        <v>2751</v>
      </c>
      <c r="B2754" s="12">
        <v>118290.64433027952</v>
      </c>
      <c r="C2754" s="12"/>
    </row>
    <row r="2755" spans="1:3">
      <c r="A2755">
        <v>2752</v>
      </c>
      <c r="B2755" s="12">
        <v>85924.994553182332</v>
      </c>
      <c r="C2755" s="12"/>
    </row>
    <row r="2756" spans="1:3">
      <c r="A2756">
        <v>2753</v>
      </c>
      <c r="B2756" s="12">
        <v>110875.28696744431</v>
      </c>
      <c r="C2756" s="12"/>
    </row>
    <row r="2757" spans="1:3">
      <c r="A2757">
        <v>2754</v>
      </c>
      <c r="B2757" s="12">
        <v>112480.09768582995</v>
      </c>
      <c r="C2757" s="12"/>
    </row>
    <row r="2758" spans="1:3">
      <c r="A2758">
        <v>2755</v>
      </c>
      <c r="B2758" s="12">
        <v>78508.229491785678</v>
      </c>
      <c r="C2758" s="12"/>
    </row>
    <row r="2759" spans="1:3">
      <c r="A2759">
        <v>2756</v>
      </c>
      <c r="B2759" s="12">
        <v>137369.26003854684</v>
      </c>
      <c r="C2759" s="12"/>
    </row>
    <row r="2760" spans="1:3">
      <c r="A2760">
        <v>2757</v>
      </c>
      <c r="B2760" s="12">
        <v>125126.48270631373</v>
      </c>
      <c r="C2760" s="12"/>
    </row>
    <row r="2761" spans="1:3">
      <c r="A2761">
        <v>2758</v>
      </c>
      <c r="B2761" s="12">
        <v>118703.41900976333</v>
      </c>
      <c r="C2761" s="12"/>
    </row>
    <row r="2762" spans="1:3">
      <c r="A2762">
        <v>2759</v>
      </c>
      <c r="B2762" s="12">
        <v>165173.11917115725</v>
      </c>
      <c r="C2762" s="12"/>
    </row>
    <row r="2763" spans="1:3">
      <c r="A2763">
        <v>2760</v>
      </c>
      <c r="B2763" s="12">
        <v>183196.16734686162</v>
      </c>
      <c r="C2763" s="12"/>
    </row>
    <row r="2764" spans="1:3">
      <c r="A2764">
        <v>2761</v>
      </c>
      <c r="B2764" s="12">
        <v>159738.5282372713</v>
      </c>
      <c r="C2764" s="12"/>
    </row>
    <row r="2765" spans="1:3">
      <c r="A2765">
        <v>2762</v>
      </c>
      <c r="B2765" s="12">
        <v>107327.13839909868</v>
      </c>
      <c r="C2765" s="12"/>
    </row>
    <row r="2766" spans="1:3">
      <c r="A2766">
        <v>2763</v>
      </c>
      <c r="B2766" s="12">
        <v>113891.46441788008</v>
      </c>
      <c r="C2766" s="12"/>
    </row>
    <row r="2767" spans="1:3">
      <c r="A2767">
        <v>2764</v>
      </c>
      <c r="B2767" s="12">
        <v>127032.96844715907</v>
      </c>
      <c r="C2767" s="12"/>
    </row>
    <row r="2768" spans="1:3">
      <c r="A2768">
        <v>2765</v>
      </c>
      <c r="B2768" s="12">
        <v>113963.35291432605</v>
      </c>
      <c r="C2768" s="12"/>
    </row>
    <row r="2769" spans="1:3">
      <c r="A2769">
        <v>2766</v>
      </c>
      <c r="B2769" s="12">
        <v>110542.00430916893</v>
      </c>
      <c r="C2769" s="12"/>
    </row>
    <row r="2770" spans="1:3">
      <c r="A2770">
        <v>2767</v>
      </c>
      <c r="B2770" s="12">
        <v>89466.811622384746</v>
      </c>
      <c r="C2770" s="12"/>
    </row>
    <row r="2771" spans="1:3">
      <c r="A2771">
        <v>2768</v>
      </c>
      <c r="B2771" s="12">
        <v>117349.88740714935</v>
      </c>
      <c r="C2771" s="12"/>
    </row>
    <row r="2772" spans="1:3">
      <c r="A2772">
        <v>2769</v>
      </c>
      <c r="B2772" s="12">
        <v>157398.10626710663</v>
      </c>
      <c r="C2772" s="12"/>
    </row>
    <row r="2773" spans="1:3">
      <c r="A2773">
        <v>2770</v>
      </c>
      <c r="B2773" s="12">
        <v>116189.39742186986</v>
      </c>
      <c r="C2773" s="12"/>
    </row>
    <row r="2774" spans="1:3">
      <c r="A2774">
        <v>2771</v>
      </c>
      <c r="B2774" s="12">
        <v>167904.24858350464</v>
      </c>
      <c r="C2774" s="12"/>
    </row>
    <row r="2775" spans="1:3">
      <c r="A2775">
        <v>2772</v>
      </c>
      <c r="B2775" s="12">
        <v>71091.76083373811</v>
      </c>
      <c r="C2775" s="12"/>
    </row>
    <row r="2776" spans="1:3">
      <c r="A2776">
        <v>2773</v>
      </c>
      <c r="B2776" s="12">
        <v>143388.2782504686</v>
      </c>
      <c r="C2776" s="12"/>
    </row>
    <row r="2777" spans="1:3">
      <c r="A2777">
        <v>2774</v>
      </c>
      <c r="B2777" s="12">
        <v>149291.89148780337</v>
      </c>
      <c r="C2777" s="12"/>
    </row>
    <row r="2778" spans="1:3">
      <c r="A2778">
        <v>2775</v>
      </c>
      <c r="B2778" s="12">
        <v>122051.12925007362</v>
      </c>
      <c r="C2778" s="12"/>
    </row>
    <row r="2779" spans="1:3">
      <c r="A2779">
        <v>2776</v>
      </c>
      <c r="B2779" s="12">
        <v>94673.250083209379</v>
      </c>
      <c r="C2779" s="12"/>
    </row>
    <row r="2780" spans="1:3">
      <c r="A2780">
        <v>2777</v>
      </c>
      <c r="B2780" s="12">
        <v>97323.82839289101</v>
      </c>
      <c r="C2780" s="12"/>
    </row>
    <row r="2781" spans="1:3">
      <c r="A2781">
        <v>2778</v>
      </c>
      <c r="B2781" s="12">
        <v>79665.410477390891</v>
      </c>
      <c r="C2781" s="12"/>
    </row>
    <row r="2782" spans="1:3">
      <c r="A2782">
        <v>2779</v>
      </c>
      <c r="B2782" s="12">
        <v>107271.23267888556</v>
      </c>
      <c r="C2782" s="12"/>
    </row>
    <row r="2783" spans="1:3">
      <c r="A2783">
        <v>2780</v>
      </c>
      <c r="B2783" s="12">
        <v>88731.30795735291</v>
      </c>
      <c r="C2783" s="12"/>
    </row>
    <row r="2784" spans="1:3">
      <c r="A2784">
        <v>2781</v>
      </c>
      <c r="B2784" s="12">
        <v>228978.22456090714</v>
      </c>
      <c r="C2784" s="12"/>
    </row>
    <row r="2785" spans="1:3">
      <c r="A2785">
        <v>2782</v>
      </c>
      <c r="B2785" s="12">
        <v>98073.51488901992</v>
      </c>
      <c r="C2785" s="12"/>
    </row>
    <row r="2786" spans="1:3">
      <c r="A2786">
        <v>2783</v>
      </c>
      <c r="B2786" s="12">
        <v>127820.54644453006</v>
      </c>
      <c r="C2786" s="12"/>
    </row>
    <row r="2787" spans="1:3">
      <c r="A2787">
        <v>2784</v>
      </c>
      <c r="B2787" s="12">
        <v>112237.0288431115</v>
      </c>
      <c r="C2787" s="12"/>
    </row>
    <row r="2788" spans="1:3">
      <c r="A2788">
        <v>2785</v>
      </c>
      <c r="B2788" s="12">
        <v>128875.85966717685</v>
      </c>
      <c r="C2788" s="12"/>
    </row>
    <row r="2789" spans="1:3">
      <c r="A2789">
        <v>2786</v>
      </c>
      <c r="B2789" s="12">
        <v>88027.471432453211</v>
      </c>
      <c r="C2789" s="12"/>
    </row>
    <row r="2790" spans="1:3">
      <c r="A2790">
        <v>2787</v>
      </c>
      <c r="B2790" s="12">
        <v>104504.49061136226</v>
      </c>
      <c r="C2790" s="12"/>
    </row>
    <row r="2791" spans="1:3">
      <c r="A2791">
        <v>2788</v>
      </c>
      <c r="B2791" s="12">
        <v>134051.20544126007</v>
      </c>
      <c r="C2791" s="12"/>
    </row>
    <row r="2792" spans="1:3">
      <c r="A2792">
        <v>2789</v>
      </c>
      <c r="B2792" s="12">
        <v>111876.61023012488</v>
      </c>
      <c r="C2792" s="12"/>
    </row>
    <row r="2793" spans="1:3">
      <c r="A2793">
        <v>2790</v>
      </c>
      <c r="B2793" s="12">
        <v>95657.245837251874</v>
      </c>
      <c r="C2793" s="12"/>
    </row>
    <row r="2794" spans="1:3">
      <c r="A2794">
        <v>2791</v>
      </c>
      <c r="B2794" s="12">
        <v>104826.53988296937</v>
      </c>
      <c r="C2794" s="12"/>
    </row>
    <row r="2795" spans="1:3">
      <c r="A2795">
        <v>2792</v>
      </c>
      <c r="B2795" s="12">
        <v>104659.19446985974</v>
      </c>
      <c r="C2795" s="12"/>
    </row>
    <row r="2796" spans="1:3">
      <c r="A2796">
        <v>2793</v>
      </c>
      <c r="B2796" s="12">
        <v>89621.664731046534</v>
      </c>
      <c r="C2796" s="12"/>
    </row>
    <row r="2797" spans="1:3">
      <c r="A2797">
        <v>2794</v>
      </c>
      <c r="B2797" s="12">
        <v>100425.94911416221</v>
      </c>
      <c r="C2797" s="12"/>
    </row>
    <row r="2798" spans="1:3">
      <c r="A2798">
        <v>2795</v>
      </c>
      <c r="B2798" s="12">
        <v>162433.32082208988</v>
      </c>
      <c r="C2798" s="12"/>
    </row>
    <row r="2799" spans="1:3">
      <c r="A2799">
        <v>2796</v>
      </c>
      <c r="B2799" s="12">
        <v>107544.2353835252</v>
      </c>
      <c r="C2799" s="12"/>
    </row>
    <row r="2800" spans="1:3">
      <c r="A2800">
        <v>2797</v>
      </c>
      <c r="B2800" s="12">
        <v>144291.81212628979</v>
      </c>
      <c r="C2800" s="12"/>
    </row>
    <row r="2801" spans="1:3">
      <c r="A2801">
        <v>2798</v>
      </c>
      <c r="B2801" s="12">
        <v>92600.621277221711</v>
      </c>
      <c r="C2801" s="12"/>
    </row>
    <row r="2802" spans="1:3">
      <c r="A2802">
        <v>2799</v>
      </c>
      <c r="B2802" s="12">
        <v>167168.64556684962</v>
      </c>
      <c r="C2802" s="12"/>
    </row>
    <row r="2803" spans="1:3">
      <c r="A2803">
        <v>2800</v>
      </c>
      <c r="B2803" s="12">
        <v>84528.419527104372</v>
      </c>
      <c r="C2803" s="12"/>
    </row>
    <row r="2804" spans="1:3">
      <c r="A2804">
        <v>2801</v>
      </c>
      <c r="B2804" s="12">
        <v>101989.52017835149</v>
      </c>
      <c r="C2804" s="12"/>
    </row>
    <row r="2805" spans="1:3">
      <c r="A2805">
        <v>2802</v>
      </c>
      <c r="B2805" s="12">
        <v>114111.40212464068</v>
      </c>
      <c r="C2805" s="12"/>
    </row>
    <row r="2806" spans="1:3">
      <c r="A2806">
        <v>2803</v>
      </c>
      <c r="B2806" s="12">
        <v>119793.86030721667</v>
      </c>
      <c r="C2806" s="12"/>
    </row>
    <row r="2807" spans="1:3">
      <c r="A2807">
        <v>2804</v>
      </c>
      <c r="B2807" s="12">
        <v>155818.87676882697</v>
      </c>
      <c r="C2807" s="12"/>
    </row>
    <row r="2808" spans="1:3">
      <c r="A2808">
        <v>2805</v>
      </c>
      <c r="B2808" s="12">
        <v>130444.50396353693</v>
      </c>
      <c r="C2808" s="12"/>
    </row>
    <row r="2809" spans="1:3">
      <c r="A2809">
        <v>2806</v>
      </c>
      <c r="B2809" s="12">
        <v>89927.123628934642</v>
      </c>
      <c r="C2809" s="12"/>
    </row>
    <row r="2810" spans="1:3">
      <c r="A2810">
        <v>2807</v>
      </c>
      <c r="B2810" s="12">
        <v>142077.49711256204</v>
      </c>
      <c r="C2810" s="12"/>
    </row>
    <row r="2811" spans="1:3">
      <c r="A2811">
        <v>2808</v>
      </c>
      <c r="B2811" s="12">
        <v>124160.99054588615</v>
      </c>
      <c r="C2811" s="12"/>
    </row>
    <row r="2812" spans="1:3">
      <c r="A2812">
        <v>2809</v>
      </c>
      <c r="B2812" s="12">
        <v>102002.72846616269</v>
      </c>
      <c r="C2812" s="12"/>
    </row>
    <row r="2813" spans="1:3">
      <c r="A2813">
        <v>2810</v>
      </c>
      <c r="B2813" s="12">
        <v>174639.00533478655</v>
      </c>
      <c r="C2813" s="12"/>
    </row>
    <row r="2814" spans="1:3">
      <c r="A2814">
        <v>2811</v>
      </c>
      <c r="B2814" s="12">
        <v>99735.915350730007</v>
      </c>
      <c r="C2814" s="12"/>
    </row>
    <row r="2815" spans="1:3">
      <c r="A2815">
        <v>2812</v>
      </c>
      <c r="B2815" s="12">
        <v>93525.193956519812</v>
      </c>
      <c r="C2815" s="12"/>
    </row>
    <row r="2816" spans="1:3">
      <c r="A2816">
        <v>2813</v>
      </c>
      <c r="B2816" s="12">
        <v>146305.22134842546</v>
      </c>
      <c r="C2816" s="12"/>
    </row>
    <row r="2817" spans="1:3">
      <c r="A2817">
        <v>2814</v>
      </c>
      <c r="B2817" s="12">
        <v>133541.15405461905</v>
      </c>
      <c r="C2817" s="12"/>
    </row>
    <row r="2818" spans="1:3">
      <c r="A2818">
        <v>2815</v>
      </c>
      <c r="B2818" s="12">
        <v>76812.787028336024</v>
      </c>
      <c r="C2818" s="12"/>
    </row>
    <row r="2819" spans="1:3">
      <c r="A2819">
        <v>2816</v>
      </c>
      <c r="B2819" s="12">
        <v>129586.09862119393</v>
      </c>
      <c r="C2819" s="12"/>
    </row>
    <row r="2820" spans="1:3">
      <c r="A2820">
        <v>2817</v>
      </c>
      <c r="B2820" s="12">
        <v>101677.99617761183</v>
      </c>
      <c r="C2820" s="12"/>
    </row>
    <row r="2821" spans="1:3">
      <c r="A2821">
        <v>2818</v>
      </c>
      <c r="B2821" s="12">
        <v>84670.369684504738</v>
      </c>
      <c r="C2821" s="12"/>
    </row>
    <row r="2822" spans="1:3">
      <c r="A2822">
        <v>2819</v>
      </c>
      <c r="B2822" s="12">
        <v>122877.04993503819</v>
      </c>
      <c r="C2822" s="12"/>
    </row>
    <row r="2823" spans="1:3">
      <c r="A2823">
        <v>2820</v>
      </c>
      <c r="B2823" s="12">
        <v>136375.95584628914</v>
      </c>
      <c r="C2823" s="12"/>
    </row>
    <row r="2824" spans="1:3">
      <c r="A2824">
        <v>2821</v>
      </c>
      <c r="B2824" s="12">
        <v>95315.059197449431</v>
      </c>
      <c r="C2824" s="12"/>
    </row>
    <row r="2825" spans="1:3">
      <c r="A2825">
        <v>2822</v>
      </c>
      <c r="B2825" s="12">
        <v>131930.30005596316</v>
      </c>
      <c r="C2825" s="12"/>
    </row>
    <row r="2826" spans="1:3">
      <c r="A2826">
        <v>2823</v>
      </c>
      <c r="B2826" s="12">
        <v>88722.803846228489</v>
      </c>
      <c r="C2826" s="12"/>
    </row>
    <row r="2827" spans="1:3">
      <c r="A2827">
        <v>2824</v>
      </c>
      <c r="B2827" s="12">
        <v>92502.881645207846</v>
      </c>
      <c r="C2827" s="12"/>
    </row>
    <row r="2828" spans="1:3">
      <c r="A2828">
        <v>2825</v>
      </c>
      <c r="B2828" s="12">
        <v>130851.62398335377</v>
      </c>
      <c r="C2828" s="12"/>
    </row>
    <row r="2829" spans="1:3">
      <c r="A2829">
        <v>2826</v>
      </c>
      <c r="B2829" s="12">
        <v>124660.64612175086</v>
      </c>
      <c r="C2829" s="12"/>
    </row>
    <row r="2830" spans="1:3">
      <c r="A2830">
        <v>2827</v>
      </c>
      <c r="B2830" s="12">
        <v>147604.31129421096</v>
      </c>
      <c r="C2830" s="12"/>
    </row>
    <row r="2831" spans="1:3">
      <c r="A2831">
        <v>2828</v>
      </c>
      <c r="B2831" s="12">
        <v>164782.48163423315</v>
      </c>
      <c r="C2831" s="12"/>
    </row>
    <row r="2832" spans="1:3">
      <c r="A2832">
        <v>2829</v>
      </c>
      <c r="B2832" s="12">
        <v>116218.17273840627</v>
      </c>
      <c r="C2832" s="12"/>
    </row>
    <row r="2833" spans="1:3">
      <c r="A2833">
        <v>2830</v>
      </c>
      <c r="B2833" s="12">
        <v>100718.76697177091</v>
      </c>
      <c r="C2833" s="12"/>
    </row>
    <row r="2834" spans="1:3">
      <c r="A2834">
        <v>2831</v>
      </c>
      <c r="B2834" s="12">
        <v>126695.56452584216</v>
      </c>
      <c r="C2834" s="12"/>
    </row>
    <row r="2835" spans="1:3">
      <c r="A2835">
        <v>2832</v>
      </c>
      <c r="B2835" s="12">
        <v>121146.20973190777</v>
      </c>
      <c r="C2835" s="12"/>
    </row>
    <row r="2836" spans="1:3">
      <c r="A2836">
        <v>2833</v>
      </c>
      <c r="B2836" s="12">
        <v>82119.238001457241</v>
      </c>
      <c r="C2836" s="12"/>
    </row>
    <row r="2837" spans="1:3">
      <c r="A2837">
        <v>2834</v>
      </c>
      <c r="B2837" s="12">
        <v>155580.79896136976</v>
      </c>
      <c r="C2837" s="12"/>
    </row>
    <row r="2838" spans="1:3">
      <c r="A2838">
        <v>2835</v>
      </c>
      <c r="B2838" s="12">
        <v>78580.11534794388</v>
      </c>
      <c r="C2838" s="12"/>
    </row>
    <row r="2839" spans="1:3">
      <c r="A2839">
        <v>2836</v>
      </c>
      <c r="B2839" s="12">
        <v>93561.658457929123</v>
      </c>
      <c r="C2839" s="12"/>
    </row>
    <row r="2840" spans="1:3">
      <c r="A2840">
        <v>2837</v>
      </c>
      <c r="B2840" s="12">
        <v>117141.64854093066</v>
      </c>
      <c r="C2840" s="12"/>
    </row>
    <row r="2841" spans="1:3">
      <c r="A2841">
        <v>2838</v>
      </c>
      <c r="B2841" s="12">
        <v>114552.34751605164</v>
      </c>
      <c r="C2841" s="12"/>
    </row>
    <row r="2842" spans="1:3">
      <c r="A2842">
        <v>2839</v>
      </c>
      <c r="B2842" s="12">
        <v>155149.97481468544</v>
      </c>
      <c r="C2842" s="12"/>
    </row>
    <row r="2843" spans="1:3">
      <c r="A2843">
        <v>2840</v>
      </c>
      <c r="B2843" s="12">
        <v>133463.90311610245</v>
      </c>
      <c r="C2843" s="12"/>
    </row>
    <row r="2844" spans="1:3">
      <c r="A2844">
        <v>2841</v>
      </c>
      <c r="B2844" s="12">
        <v>81771.595467125691</v>
      </c>
      <c r="C2844" s="12"/>
    </row>
    <row r="2845" spans="1:3">
      <c r="A2845">
        <v>2842</v>
      </c>
      <c r="B2845" s="12">
        <v>99765.279382884022</v>
      </c>
      <c r="C2845" s="12"/>
    </row>
    <row r="2846" spans="1:3">
      <c r="A2846">
        <v>2843</v>
      </c>
      <c r="B2846" s="12">
        <v>89644.841207191886</v>
      </c>
      <c r="C2846" s="12"/>
    </row>
    <row r="2847" spans="1:3">
      <c r="A2847">
        <v>2844</v>
      </c>
      <c r="B2847" s="12">
        <v>94988.86410086992</v>
      </c>
      <c r="C2847" s="12"/>
    </row>
    <row r="2848" spans="1:3">
      <c r="A2848">
        <v>2845</v>
      </c>
      <c r="B2848" s="12">
        <v>110538.008011325</v>
      </c>
      <c r="C2848" s="12"/>
    </row>
    <row r="2849" spans="1:3">
      <c r="A2849">
        <v>2846</v>
      </c>
      <c r="B2849" s="12">
        <v>147335.56700175558</v>
      </c>
      <c r="C2849" s="12"/>
    </row>
    <row r="2850" spans="1:3">
      <c r="A2850">
        <v>2847</v>
      </c>
      <c r="B2850" s="12">
        <v>166018.24753071149</v>
      </c>
      <c r="C2850" s="12"/>
    </row>
    <row r="2851" spans="1:3">
      <c r="A2851">
        <v>2848</v>
      </c>
      <c r="B2851" s="12">
        <v>142562.00159650011</v>
      </c>
      <c r="C2851" s="12"/>
    </row>
    <row r="2852" spans="1:3">
      <c r="A2852">
        <v>2849</v>
      </c>
      <c r="B2852" s="12">
        <v>195398.49804961105</v>
      </c>
      <c r="C2852" s="12"/>
    </row>
    <row r="2853" spans="1:3">
      <c r="A2853">
        <v>2850</v>
      </c>
      <c r="B2853" s="12">
        <v>116861.16031784432</v>
      </c>
      <c r="C2853" s="12"/>
    </row>
    <row r="2854" spans="1:3">
      <c r="A2854">
        <v>2851</v>
      </c>
      <c r="B2854" s="12">
        <v>84136.912435651757</v>
      </c>
      <c r="C2854" s="12"/>
    </row>
    <row r="2855" spans="1:3">
      <c r="A2855">
        <v>2852</v>
      </c>
      <c r="B2855" s="12">
        <v>136988.40509206563</v>
      </c>
      <c r="C2855" s="12"/>
    </row>
    <row r="2856" spans="1:3">
      <c r="A2856">
        <v>2853</v>
      </c>
      <c r="B2856" s="12">
        <v>94138.546081107546</v>
      </c>
      <c r="C2856" s="12"/>
    </row>
    <row r="2857" spans="1:3">
      <c r="A2857">
        <v>2854</v>
      </c>
      <c r="B2857" s="12">
        <v>116811.79053878637</v>
      </c>
      <c r="C2857" s="12"/>
    </row>
    <row r="2858" spans="1:3">
      <c r="A2858">
        <v>2855</v>
      </c>
      <c r="B2858" s="12">
        <v>143613.15824336989</v>
      </c>
      <c r="C2858" s="12"/>
    </row>
    <row r="2859" spans="1:3">
      <c r="A2859">
        <v>2856</v>
      </c>
      <c r="B2859" s="12">
        <v>158506.36626014579</v>
      </c>
      <c r="C2859" s="12"/>
    </row>
    <row r="2860" spans="1:3">
      <c r="A2860">
        <v>2857</v>
      </c>
      <c r="B2860" s="12">
        <v>107648.29304566946</v>
      </c>
      <c r="C2860" s="12"/>
    </row>
    <row r="2861" spans="1:3">
      <c r="A2861">
        <v>2858</v>
      </c>
      <c r="B2861" s="12">
        <v>110005.92405541701</v>
      </c>
      <c r="C2861" s="12"/>
    </row>
    <row r="2862" spans="1:3">
      <c r="A2862">
        <v>2859</v>
      </c>
      <c r="B2862" s="12">
        <v>115598.64009303812</v>
      </c>
      <c r="C2862" s="12"/>
    </row>
    <row r="2863" spans="1:3">
      <c r="A2863">
        <v>2860</v>
      </c>
      <c r="B2863" s="12">
        <v>59639.409087628475</v>
      </c>
      <c r="C2863" s="12"/>
    </row>
    <row r="2864" spans="1:3">
      <c r="A2864">
        <v>2861</v>
      </c>
      <c r="B2864" s="12">
        <v>91244.306169453455</v>
      </c>
      <c r="C2864" s="12"/>
    </row>
    <row r="2865" spans="1:3">
      <c r="A2865">
        <v>2862</v>
      </c>
      <c r="B2865" s="12">
        <v>134917.85531525945</v>
      </c>
      <c r="C2865" s="12"/>
    </row>
    <row r="2866" spans="1:3">
      <c r="A2866">
        <v>2863</v>
      </c>
      <c r="B2866" s="12">
        <v>117537.45695115722</v>
      </c>
      <c r="C2866" s="12"/>
    </row>
    <row r="2867" spans="1:3">
      <c r="A2867">
        <v>2864</v>
      </c>
      <c r="B2867" s="12">
        <v>119858.46952508464</v>
      </c>
      <c r="C2867" s="12"/>
    </row>
    <row r="2868" spans="1:3">
      <c r="A2868">
        <v>2865</v>
      </c>
      <c r="B2868" s="12">
        <v>108333.94387287219</v>
      </c>
      <c r="C2868" s="12"/>
    </row>
    <row r="2869" spans="1:3">
      <c r="A2869">
        <v>2866</v>
      </c>
      <c r="B2869" s="12">
        <v>145393.29307358837</v>
      </c>
      <c r="C2869" s="12"/>
    </row>
    <row r="2870" spans="1:3">
      <c r="A2870">
        <v>2867</v>
      </c>
      <c r="B2870" s="12">
        <v>113624.60906731097</v>
      </c>
      <c r="C2870" s="12"/>
    </row>
    <row r="2871" spans="1:3">
      <c r="A2871">
        <v>2868</v>
      </c>
      <c r="B2871" s="12">
        <v>85487.35095878366</v>
      </c>
      <c r="C2871" s="12"/>
    </row>
    <row r="2872" spans="1:3">
      <c r="A2872">
        <v>2869</v>
      </c>
      <c r="B2872" s="12">
        <v>79692.856098568111</v>
      </c>
      <c r="C2872" s="12"/>
    </row>
    <row r="2873" spans="1:3">
      <c r="A2873">
        <v>2870</v>
      </c>
      <c r="B2873" s="12">
        <v>106722.15789287964</v>
      </c>
      <c r="C2873" s="12"/>
    </row>
    <row r="2874" spans="1:3">
      <c r="A2874">
        <v>2871</v>
      </c>
      <c r="B2874" s="12">
        <v>108703.5694841053</v>
      </c>
      <c r="C2874" s="12"/>
    </row>
    <row r="2875" spans="1:3">
      <c r="A2875">
        <v>2872</v>
      </c>
      <c r="B2875" s="12">
        <v>126243.81344706561</v>
      </c>
      <c r="C2875" s="12"/>
    </row>
    <row r="2876" spans="1:3">
      <c r="A2876">
        <v>2873</v>
      </c>
      <c r="B2876" s="12">
        <v>91236.823334275163</v>
      </c>
      <c r="C2876" s="12"/>
    </row>
    <row r="2877" spans="1:3">
      <c r="A2877">
        <v>2874</v>
      </c>
      <c r="B2877" s="12">
        <v>76008.190977370105</v>
      </c>
      <c r="C2877" s="12"/>
    </row>
    <row r="2878" spans="1:3">
      <c r="A2878">
        <v>2875</v>
      </c>
      <c r="B2878" s="12">
        <v>92142.891523379483</v>
      </c>
      <c r="C2878" s="12"/>
    </row>
    <row r="2879" spans="1:3">
      <c r="A2879">
        <v>2876</v>
      </c>
      <c r="B2879" s="12">
        <v>200560.36071570648</v>
      </c>
      <c r="C2879" s="12"/>
    </row>
    <row r="2880" spans="1:3">
      <c r="A2880">
        <v>2877</v>
      </c>
      <c r="B2880" s="12">
        <v>90210.364646322152</v>
      </c>
      <c r="C2880" s="12"/>
    </row>
    <row r="2881" spans="1:3">
      <c r="A2881">
        <v>2878</v>
      </c>
      <c r="B2881" s="12">
        <v>118168.23342602076</v>
      </c>
      <c r="C2881" s="12"/>
    </row>
    <row r="2882" spans="1:3">
      <c r="A2882">
        <v>2879</v>
      </c>
      <c r="B2882" s="12">
        <v>118066.65338022524</v>
      </c>
      <c r="C2882" s="12"/>
    </row>
    <row r="2883" spans="1:3">
      <c r="A2883">
        <v>2880</v>
      </c>
      <c r="B2883" s="12">
        <v>172357.43016916784</v>
      </c>
      <c r="C2883" s="12"/>
    </row>
    <row r="2884" spans="1:3">
      <c r="A2884">
        <v>2881</v>
      </c>
      <c r="B2884" s="12">
        <v>197400.56064000362</v>
      </c>
      <c r="C2884" s="12"/>
    </row>
    <row r="2885" spans="1:3">
      <c r="A2885">
        <v>2882</v>
      </c>
      <c r="B2885" s="12">
        <v>103854.12794770414</v>
      </c>
      <c r="C2885" s="12"/>
    </row>
    <row r="2886" spans="1:3">
      <c r="A2886">
        <v>2883</v>
      </c>
      <c r="B2886" s="12">
        <v>101164.87480361314</v>
      </c>
      <c r="C2886" s="12"/>
    </row>
    <row r="2887" spans="1:3">
      <c r="A2887">
        <v>2884</v>
      </c>
      <c r="B2887" s="12">
        <v>118707.07217581676</v>
      </c>
      <c r="C2887" s="12"/>
    </row>
    <row r="2888" spans="1:3">
      <c r="A2888">
        <v>2885</v>
      </c>
      <c r="B2888" s="12">
        <v>133005.14401490978</v>
      </c>
      <c r="C2888" s="12"/>
    </row>
    <row r="2889" spans="1:3">
      <c r="A2889">
        <v>2886</v>
      </c>
      <c r="B2889" s="12">
        <v>136948.60989805989</v>
      </c>
      <c r="C2889" s="12"/>
    </row>
    <row r="2890" spans="1:3">
      <c r="A2890">
        <v>2887</v>
      </c>
      <c r="B2890" s="12">
        <v>115564.39750679427</v>
      </c>
      <c r="C2890" s="12"/>
    </row>
    <row r="2891" spans="1:3">
      <c r="A2891">
        <v>2888</v>
      </c>
      <c r="B2891" s="12">
        <v>114394.27486585404</v>
      </c>
      <c r="C2891" s="12"/>
    </row>
    <row r="2892" spans="1:3">
      <c r="A2892">
        <v>2889</v>
      </c>
      <c r="B2892" s="12">
        <v>161690.52228356028</v>
      </c>
      <c r="C2892" s="12"/>
    </row>
    <row r="2893" spans="1:3">
      <c r="A2893">
        <v>2890</v>
      </c>
      <c r="B2893" s="12">
        <v>173158.65833636312</v>
      </c>
      <c r="C2893" s="12"/>
    </row>
    <row r="2894" spans="1:3">
      <c r="A2894">
        <v>2891</v>
      </c>
      <c r="B2894" s="12">
        <v>115286.67478611381</v>
      </c>
      <c r="C2894" s="12"/>
    </row>
    <row r="2895" spans="1:3">
      <c r="A2895">
        <v>2892</v>
      </c>
      <c r="B2895" s="12">
        <v>135545.59754041737</v>
      </c>
      <c r="C2895" s="12"/>
    </row>
    <row r="2896" spans="1:3">
      <c r="A2896">
        <v>2893</v>
      </c>
      <c r="B2896" s="12">
        <v>111291.62447745106</v>
      </c>
      <c r="C2896" s="12"/>
    </row>
    <row r="2897" spans="1:3">
      <c r="A2897">
        <v>2894</v>
      </c>
      <c r="B2897" s="12">
        <v>121393.84542859401</v>
      </c>
      <c r="C2897" s="12"/>
    </row>
    <row r="2898" spans="1:3">
      <c r="A2898">
        <v>2895</v>
      </c>
      <c r="B2898" s="12">
        <v>98173.107732674252</v>
      </c>
      <c r="C2898" s="12"/>
    </row>
    <row r="2899" spans="1:3">
      <c r="A2899">
        <v>2896</v>
      </c>
      <c r="B2899" s="12">
        <v>100282.86193058155</v>
      </c>
      <c r="C2899" s="12"/>
    </row>
    <row r="2900" spans="1:3">
      <c r="A2900">
        <v>2897</v>
      </c>
      <c r="B2900" s="12">
        <v>113613.78678420036</v>
      </c>
      <c r="C2900" s="12"/>
    </row>
    <row r="2901" spans="1:3">
      <c r="A2901">
        <v>2898</v>
      </c>
      <c r="B2901" s="12">
        <v>111975.89171956804</v>
      </c>
      <c r="C2901" s="12"/>
    </row>
    <row r="2902" spans="1:3">
      <c r="A2902">
        <v>2899</v>
      </c>
      <c r="B2902" s="12">
        <v>92562.627521694623</v>
      </c>
      <c r="C2902" s="12"/>
    </row>
    <row r="2903" spans="1:3">
      <c r="A2903">
        <v>2900</v>
      </c>
      <c r="B2903" s="12">
        <v>128791.92947531976</v>
      </c>
      <c r="C2903" s="12"/>
    </row>
    <row r="2904" spans="1:3">
      <c r="A2904">
        <v>2901</v>
      </c>
      <c r="B2904" s="12">
        <v>93967.048338417444</v>
      </c>
      <c r="C2904" s="12"/>
    </row>
    <row r="2905" spans="1:3">
      <c r="A2905">
        <v>2902</v>
      </c>
      <c r="B2905" s="12">
        <v>100018.84870362657</v>
      </c>
      <c r="C2905" s="12"/>
    </row>
    <row r="2906" spans="1:3">
      <c r="A2906">
        <v>2903</v>
      </c>
      <c r="B2906" s="12">
        <v>109396.74216332549</v>
      </c>
      <c r="C2906" s="12"/>
    </row>
    <row r="2907" spans="1:3">
      <c r="A2907">
        <v>2904</v>
      </c>
      <c r="B2907" s="12">
        <v>56505.762629504447</v>
      </c>
      <c r="C2907" s="12"/>
    </row>
    <row r="2908" spans="1:3">
      <c r="A2908">
        <v>2905</v>
      </c>
      <c r="B2908" s="12">
        <v>111778.26020104239</v>
      </c>
      <c r="C2908" s="12"/>
    </row>
    <row r="2909" spans="1:3">
      <c r="A2909">
        <v>2906</v>
      </c>
      <c r="B2909" s="12">
        <v>124833.5154393235</v>
      </c>
      <c r="C2909" s="12"/>
    </row>
    <row r="2910" spans="1:3">
      <c r="A2910">
        <v>2907</v>
      </c>
      <c r="B2910" s="12">
        <v>105623.6543302136</v>
      </c>
      <c r="C2910" s="12"/>
    </row>
    <row r="2911" spans="1:3">
      <c r="A2911">
        <v>2908</v>
      </c>
      <c r="B2911" s="12">
        <v>91391.119673858659</v>
      </c>
      <c r="C2911" s="12"/>
    </row>
    <row r="2912" spans="1:3">
      <c r="A2912">
        <v>2909</v>
      </c>
      <c r="B2912" s="12">
        <v>111977.72680023758</v>
      </c>
      <c r="C2912" s="12"/>
    </row>
    <row r="2913" spans="1:3">
      <c r="A2913">
        <v>2910</v>
      </c>
      <c r="B2913" s="12">
        <v>126354.67989879286</v>
      </c>
      <c r="C2913" s="12"/>
    </row>
    <row r="2914" spans="1:3">
      <c r="A2914">
        <v>2911</v>
      </c>
      <c r="B2914" s="12">
        <v>88744.209436063073</v>
      </c>
      <c r="C2914" s="12"/>
    </row>
    <row r="2915" spans="1:3">
      <c r="A2915">
        <v>2912</v>
      </c>
      <c r="B2915" s="12">
        <v>132446.125912391</v>
      </c>
      <c r="C2915" s="12"/>
    </row>
    <row r="2916" spans="1:3">
      <c r="A2916">
        <v>2913</v>
      </c>
      <c r="B2916" s="12">
        <v>189197.91016920304</v>
      </c>
      <c r="C2916" s="12"/>
    </row>
    <row r="2917" spans="1:3">
      <c r="A2917">
        <v>2914</v>
      </c>
      <c r="B2917" s="12">
        <v>126509.34168865674</v>
      </c>
      <c r="C2917" s="12"/>
    </row>
    <row r="2918" spans="1:3">
      <c r="A2918">
        <v>2915</v>
      </c>
      <c r="B2918" s="12">
        <v>143315.15088717296</v>
      </c>
      <c r="C2918" s="12"/>
    </row>
    <row r="2919" spans="1:3">
      <c r="A2919">
        <v>2916</v>
      </c>
      <c r="B2919" s="12">
        <v>113988.26180687732</v>
      </c>
      <c r="C2919" s="12"/>
    </row>
    <row r="2920" spans="1:3">
      <c r="A2920">
        <v>2917</v>
      </c>
      <c r="B2920" s="12">
        <v>137027.15532912014</v>
      </c>
      <c r="C2920" s="12"/>
    </row>
    <row r="2921" spans="1:3">
      <c r="A2921">
        <v>2918</v>
      </c>
      <c r="B2921" s="12">
        <v>118694.22392605606</v>
      </c>
      <c r="C2921" s="12"/>
    </row>
    <row r="2922" spans="1:3">
      <c r="A2922">
        <v>2919</v>
      </c>
      <c r="B2922" s="12">
        <v>107240.90184380503</v>
      </c>
      <c r="C2922" s="12"/>
    </row>
    <row r="2923" spans="1:3">
      <c r="A2923">
        <v>2920</v>
      </c>
      <c r="B2923" s="12">
        <v>122245.89626278877</v>
      </c>
      <c r="C2923" s="12"/>
    </row>
    <row r="2924" spans="1:3">
      <c r="A2924">
        <v>2921</v>
      </c>
      <c r="B2924" s="12">
        <v>115637.15964269069</v>
      </c>
      <c r="C2924" s="12"/>
    </row>
    <row r="2925" spans="1:3">
      <c r="A2925">
        <v>2922</v>
      </c>
      <c r="B2925" s="12">
        <v>144794.78151905799</v>
      </c>
      <c r="C2925" s="12"/>
    </row>
    <row r="2926" spans="1:3">
      <c r="A2926">
        <v>2923</v>
      </c>
      <c r="B2926" s="12">
        <v>136667.67472650582</v>
      </c>
      <c r="C2926" s="12"/>
    </row>
    <row r="2927" spans="1:3">
      <c r="A2927">
        <v>2924</v>
      </c>
      <c r="B2927" s="12">
        <v>137123.92633950163</v>
      </c>
      <c r="C2927" s="12"/>
    </row>
    <row r="2928" spans="1:3">
      <c r="A2928">
        <v>2925</v>
      </c>
      <c r="B2928" s="12">
        <v>109433.14055902624</v>
      </c>
      <c r="C2928" s="12"/>
    </row>
    <row r="2929" spans="1:3">
      <c r="A2929">
        <v>2926</v>
      </c>
      <c r="B2929" s="12">
        <v>109970.91915032068</v>
      </c>
      <c r="C2929" s="12"/>
    </row>
    <row r="2930" spans="1:3">
      <c r="A2930">
        <v>2927</v>
      </c>
      <c r="B2930" s="12">
        <v>120120.04773992616</v>
      </c>
      <c r="C2930" s="12"/>
    </row>
    <row r="2931" spans="1:3">
      <c r="A2931">
        <v>2928</v>
      </c>
      <c r="B2931" s="12">
        <v>79904.064454345295</v>
      </c>
      <c r="C2931" s="12"/>
    </row>
    <row r="2932" spans="1:3">
      <c r="A2932">
        <v>2929</v>
      </c>
      <c r="B2932" s="12">
        <v>86643.158177787845</v>
      </c>
      <c r="C2932" s="12"/>
    </row>
    <row r="2933" spans="1:3">
      <c r="A2933">
        <v>2930</v>
      </c>
      <c r="B2933" s="12">
        <v>80058.888364808663</v>
      </c>
      <c r="C2933" s="12"/>
    </row>
    <row r="2934" spans="1:3">
      <c r="A2934">
        <v>2931</v>
      </c>
      <c r="B2934" s="12">
        <v>97059.751275754446</v>
      </c>
      <c r="C2934" s="12"/>
    </row>
    <row r="2935" spans="1:3">
      <c r="A2935">
        <v>2932</v>
      </c>
      <c r="B2935" s="12">
        <v>116567.68707942468</v>
      </c>
      <c r="C2935" s="12"/>
    </row>
    <row r="2936" spans="1:3">
      <c r="A2936">
        <v>2933</v>
      </c>
      <c r="B2936" s="12">
        <v>111639.39646335697</v>
      </c>
      <c r="C2936" s="12"/>
    </row>
    <row r="2937" spans="1:3">
      <c r="A2937">
        <v>2934</v>
      </c>
      <c r="B2937" s="12">
        <v>112653.08305749283</v>
      </c>
      <c r="C2937" s="12"/>
    </row>
    <row r="2938" spans="1:3">
      <c r="A2938">
        <v>2935</v>
      </c>
      <c r="B2938" s="12">
        <v>125004.79564884842</v>
      </c>
      <c r="C2938" s="12"/>
    </row>
    <row r="2939" spans="1:3">
      <c r="A2939">
        <v>2936</v>
      </c>
      <c r="B2939" s="12">
        <v>76183.137499334931</v>
      </c>
      <c r="C2939" s="12"/>
    </row>
    <row r="2940" spans="1:3">
      <c r="A2940">
        <v>2937</v>
      </c>
      <c r="B2940" s="12">
        <v>117737.9385104039</v>
      </c>
      <c r="C2940" s="12"/>
    </row>
    <row r="2941" spans="1:3">
      <c r="A2941">
        <v>2938</v>
      </c>
      <c r="B2941" s="12">
        <v>89529.556953125313</v>
      </c>
      <c r="C2941" s="12"/>
    </row>
    <row r="2942" spans="1:3">
      <c r="A2942">
        <v>2939</v>
      </c>
      <c r="B2942" s="12">
        <v>175713.18900977061</v>
      </c>
      <c r="C2942" s="12"/>
    </row>
    <row r="2943" spans="1:3">
      <c r="A2943">
        <v>2940</v>
      </c>
      <c r="B2943" s="12">
        <v>102129.08007564527</v>
      </c>
      <c r="C2943" s="12"/>
    </row>
    <row r="2944" spans="1:3">
      <c r="A2944">
        <v>2941</v>
      </c>
      <c r="B2944" s="12">
        <v>141799.22282174317</v>
      </c>
      <c r="C2944" s="12"/>
    </row>
    <row r="2945" spans="1:3">
      <c r="A2945">
        <v>2942</v>
      </c>
      <c r="B2945" s="12">
        <v>94064.318251893594</v>
      </c>
      <c r="C2945" s="12"/>
    </row>
    <row r="2946" spans="1:3">
      <c r="A2946">
        <v>2943</v>
      </c>
      <c r="B2946" s="12">
        <v>124530.81414091281</v>
      </c>
      <c r="C2946" s="12"/>
    </row>
    <row r="2947" spans="1:3">
      <c r="A2947">
        <v>2944</v>
      </c>
      <c r="B2947" s="12">
        <v>83561.399575825955</v>
      </c>
      <c r="C2947" s="12"/>
    </row>
    <row r="2948" spans="1:3">
      <c r="A2948">
        <v>2945</v>
      </c>
      <c r="B2948" s="12">
        <v>162643.12028832897</v>
      </c>
      <c r="C2948" s="12"/>
    </row>
    <row r="2949" spans="1:3">
      <c r="A2949">
        <v>2946</v>
      </c>
      <c r="B2949" s="12">
        <v>96236.970622200781</v>
      </c>
      <c r="C2949" s="12"/>
    </row>
    <row r="2950" spans="1:3">
      <c r="A2950">
        <v>2947</v>
      </c>
      <c r="B2950" s="12">
        <v>134166.36768155498</v>
      </c>
      <c r="C2950" s="12"/>
    </row>
    <row r="2951" spans="1:3">
      <c r="A2951">
        <v>2948</v>
      </c>
      <c r="B2951" s="12">
        <v>61231.162242898099</v>
      </c>
      <c r="C2951" s="12"/>
    </row>
    <row r="2952" spans="1:3">
      <c r="A2952">
        <v>2949</v>
      </c>
      <c r="B2952" s="12">
        <v>58217.370467821784</v>
      </c>
      <c r="C2952" s="12"/>
    </row>
    <row r="2953" spans="1:3">
      <c r="A2953">
        <v>2950</v>
      </c>
      <c r="B2953" s="12">
        <v>74950.598953359309</v>
      </c>
      <c r="C2953" s="12"/>
    </row>
    <row r="2954" spans="1:3">
      <c r="A2954">
        <v>2951</v>
      </c>
      <c r="B2954" s="12">
        <v>67288.978571405969</v>
      </c>
      <c r="C2954" s="12"/>
    </row>
    <row r="2955" spans="1:3">
      <c r="A2955">
        <v>2952</v>
      </c>
      <c r="B2955" s="12">
        <v>99320.453990960625</v>
      </c>
      <c r="C2955" s="12"/>
    </row>
    <row r="2956" spans="1:3">
      <c r="A2956">
        <v>2953</v>
      </c>
      <c r="B2956" s="12">
        <v>112197.24010026579</v>
      </c>
      <c r="C2956" s="12"/>
    </row>
    <row r="2957" spans="1:3">
      <c r="A2957">
        <v>2954</v>
      </c>
      <c r="B2957" s="12">
        <v>82179.780924671024</v>
      </c>
      <c r="C2957" s="12"/>
    </row>
    <row r="2958" spans="1:3">
      <c r="A2958">
        <v>2955</v>
      </c>
      <c r="B2958" s="12">
        <v>154343.52962310836</v>
      </c>
      <c r="C2958" s="12"/>
    </row>
    <row r="2959" spans="1:3">
      <c r="A2959">
        <v>2956</v>
      </c>
      <c r="B2959" s="12">
        <v>80495.361495318182</v>
      </c>
      <c r="C2959" s="12"/>
    </row>
    <row r="2960" spans="1:3">
      <c r="A2960">
        <v>2957</v>
      </c>
      <c r="B2960" s="12">
        <v>130491.49671308622</v>
      </c>
      <c r="C2960" s="12"/>
    </row>
    <row r="2961" spans="1:3">
      <c r="A2961">
        <v>2958</v>
      </c>
      <c r="B2961" s="12">
        <v>97645.500429673033</v>
      </c>
      <c r="C2961" s="12"/>
    </row>
    <row r="2962" spans="1:3">
      <c r="A2962">
        <v>2959</v>
      </c>
      <c r="B2962" s="12">
        <v>113868.15705841515</v>
      </c>
      <c r="C2962" s="12"/>
    </row>
    <row r="2963" spans="1:3">
      <c r="A2963">
        <v>2960</v>
      </c>
      <c r="B2963" s="12">
        <v>79681.031365389732</v>
      </c>
      <c r="C2963" s="12"/>
    </row>
    <row r="2964" spans="1:3">
      <c r="A2964">
        <v>2961</v>
      </c>
      <c r="B2964" s="12">
        <v>115451.7782888558</v>
      </c>
      <c r="C2964" s="12"/>
    </row>
    <row r="2965" spans="1:3">
      <c r="A2965">
        <v>2962</v>
      </c>
      <c r="B2965" s="12">
        <v>83931.184487929713</v>
      </c>
      <c r="C2965" s="12"/>
    </row>
    <row r="2966" spans="1:3">
      <c r="A2966">
        <v>2963</v>
      </c>
      <c r="B2966" s="12">
        <v>113284.49632348791</v>
      </c>
      <c r="C2966" s="12"/>
    </row>
    <row r="2967" spans="1:3">
      <c r="A2967">
        <v>2964</v>
      </c>
      <c r="B2967" s="12">
        <v>128639.76769057903</v>
      </c>
      <c r="C2967" s="12"/>
    </row>
    <row r="2968" spans="1:3">
      <c r="A2968">
        <v>2965</v>
      </c>
      <c r="B2968" s="12">
        <v>95751.47376432523</v>
      </c>
      <c r="C2968" s="12"/>
    </row>
    <row r="2969" spans="1:3">
      <c r="A2969">
        <v>2966</v>
      </c>
      <c r="B2969" s="12">
        <v>149666.37978726393</v>
      </c>
      <c r="C2969" s="12"/>
    </row>
    <row r="2970" spans="1:3">
      <c r="A2970">
        <v>2967</v>
      </c>
      <c r="B2970" s="12">
        <v>84719.4005236948</v>
      </c>
      <c r="C2970" s="12"/>
    </row>
    <row r="2971" spans="1:3">
      <c r="A2971">
        <v>2968</v>
      </c>
      <c r="B2971" s="12">
        <v>105240.46546659376</v>
      </c>
      <c r="C2971" s="12"/>
    </row>
    <row r="2972" spans="1:3">
      <c r="A2972">
        <v>2969</v>
      </c>
      <c r="B2972" s="12">
        <v>126560.16132664817</v>
      </c>
      <c r="C2972" s="12"/>
    </row>
    <row r="2973" spans="1:3">
      <c r="A2973">
        <v>2970</v>
      </c>
      <c r="B2973" s="12">
        <v>137092.66873197269</v>
      </c>
      <c r="C2973" s="12"/>
    </row>
    <row r="2974" spans="1:3">
      <c r="A2974">
        <v>2971</v>
      </c>
      <c r="B2974" s="12">
        <v>125016.65628786806</v>
      </c>
      <c r="C2974" s="12"/>
    </row>
    <row r="2975" spans="1:3">
      <c r="A2975">
        <v>2972</v>
      </c>
      <c r="B2975" s="12">
        <v>160143.48978259362</v>
      </c>
      <c r="C2975" s="12"/>
    </row>
    <row r="2976" spans="1:3">
      <c r="A2976">
        <v>2973</v>
      </c>
      <c r="B2976" s="12">
        <v>140312.90778942266</v>
      </c>
      <c r="C2976" s="12"/>
    </row>
    <row r="2977" spans="1:3">
      <c r="A2977">
        <v>2974</v>
      </c>
      <c r="B2977" s="12">
        <v>102186.99379180858</v>
      </c>
      <c r="C2977" s="12"/>
    </row>
    <row r="2978" spans="1:3">
      <c r="A2978">
        <v>2975</v>
      </c>
      <c r="B2978" s="12">
        <v>68799.013144010169</v>
      </c>
      <c r="C2978" s="12"/>
    </row>
    <row r="2979" spans="1:3">
      <c r="A2979">
        <v>2976</v>
      </c>
      <c r="B2979" s="12">
        <v>142642.46596658361</v>
      </c>
      <c r="C2979" s="12"/>
    </row>
    <row r="2980" spans="1:3">
      <c r="A2980">
        <v>2977</v>
      </c>
      <c r="B2980" s="12">
        <v>83727.675730519142</v>
      </c>
      <c r="C2980" s="12"/>
    </row>
    <row r="2981" spans="1:3">
      <c r="A2981">
        <v>2978</v>
      </c>
      <c r="B2981" s="12">
        <v>171333.52769656028</v>
      </c>
      <c r="C2981" s="12"/>
    </row>
    <row r="2982" spans="1:3">
      <c r="A2982">
        <v>2979</v>
      </c>
      <c r="B2982" s="12">
        <v>101355.84290201933</v>
      </c>
      <c r="C2982" s="12"/>
    </row>
    <row r="2983" spans="1:3">
      <c r="A2983">
        <v>2980</v>
      </c>
      <c r="B2983" s="12">
        <v>99288.939942158235</v>
      </c>
      <c r="C2983" s="12"/>
    </row>
    <row r="2984" spans="1:3">
      <c r="A2984">
        <v>2981</v>
      </c>
      <c r="B2984" s="12">
        <v>112336.69398572897</v>
      </c>
      <c r="C2984" s="12"/>
    </row>
    <row r="2985" spans="1:3">
      <c r="A2985">
        <v>2982</v>
      </c>
      <c r="B2985" s="12">
        <v>154174.62996475532</v>
      </c>
      <c r="C2985" s="12"/>
    </row>
    <row r="2986" spans="1:3">
      <c r="A2986">
        <v>2983</v>
      </c>
      <c r="B2986" s="12">
        <v>96712.923064426941</v>
      </c>
      <c r="C2986" s="12"/>
    </row>
    <row r="2987" spans="1:3">
      <c r="A2987">
        <v>2984</v>
      </c>
      <c r="B2987" s="12">
        <v>165947.51320239922</v>
      </c>
      <c r="C2987" s="12"/>
    </row>
    <row r="2988" spans="1:3">
      <c r="A2988">
        <v>2985</v>
      </c>
      <c r="B2988" s="12">
        <v>91573.2826603594</v>
      </c>
      <c r="C2988" s="12"/>
    </row>
    <row r="2989" spans="1:3">
      <c r="A2989">
        <v>2986</v>
      </c>
      <c r="B2989" s="12">
        <v>102954.81282272324</v>
      </c>
      <c r="C2989" s="12"/>
    </row>
    <row r="2990" spans="1:3">
      <c r="A2990">
        <v>2987</v>
      </c>
      <c r="B2990" s="12">
        <v>83651.462211858918</v>
      </c>
      <c r="C2990" s="12"/>
    </row>
    <row r="2991" spans="1:3">
      <c r="A2991">
        <v>2988</v>
      </c>
      <c r="B2991" s="12">
        <v>138372.42308704948</v>
      </c>
      <c r="C2991" s="12"/>
    </row>
    <row r="2992" spans="1:3">
      <c r="A2992">
        <v>2989</v>
      </c>
      <c r="B2992" s="12">
        <v>109085.27571288428</v>
      </c>
      <c r="C2992" s="12"/>
    </row>
    <row r="2993" spans="1:3">
      <c r="A2993">
        <v>2990</v>
      </c>
      <c r="B2993" s="12">
        <v>81835.915990631969</v>
      </c>
      <c r="C2993" s="12"/>
    </row>
    <row r="2994" spans="1:3">
      <c r="A2994">
        <v>2991</v>
      </c>
      <c r="B2994" s="12">
        <v>79189.059360536165</v>
      </c>
      <c r="C2994" s="12"/>
    </row>
    <row r="2995" spans="1:3">
      <c r="A2995">
        <v>2992</v>
      </c>
      <c r="B2995" s="12">
        <v>109235.24237768981</v>
      </c>
      <c r="C2995" s="12"/>
    </row>
    <row r="2996" spans="1:3">
      <c r="A2996">
        <v>2993</v>
      </c>
      <c r="B2996" s="12">
        <v>193423.16308355008</v>
      </c>
      <c r="C2996" s="12"/>
    </row>
    <row r="2997" spans="1:3">
      <c r="A2997">
        <v>2994</v>
      </c>
      <c r="B2997" s="12">
        <v>156443.93674735122</v>
      </c>
      <c r="C2997" s="12"/>
    </row>
    <row r="2998" spans="1:3">
      <c r="A2998">
        <v>2995</v>
      </c>
      <c r="B2998" s="12">
        <v>69356.313375466445</v>
      </c>
      <c r="C2998" s="12"/>
    </row>
    <row r="2999" spans="1:3">
      <c r="A2999">
        <v>2996</v>
      </c>
      <c r="B2999" s="12">
        <v>127283.02167952915</v>
      </c>
      <c r="C2999" s="12"/>
    </row>
    <row r="3000" spans="1:3">
      <c r="A3000">
        <v>2997</v>
      </c>
      <c r="B3000" s="12">
        <v>101741.75519833215</v>
      </c>
      <c r="C3000" s="12"/>
    </row>
    <row r="3001" spans="1:3">
      <c r="A3001">
        <v>2998</v>
      </c>
      <c r="B3001" s="12">
        <v>128988.7922466052</v>
      </c>
      <c r="C3001" s="12"/>
    </row>
    <row r="3002" spans="1:3">
      <c r="A3002">
        <v>2999</v>
      </c>
      <c r="B3002" s="12">
        <v>124865.04802301357</v>
      </c>
      <c r="C3002" s="12"/>
    </row>
    <row r="3003" spans="1:3">
      <c r="A3003">
        <v>3000</v>
      </c>
      <c r="B3003" s="12">
        <v>145322.37526600496</v>
      </c>
      <c r="C3003" s="12"/>
    </row>
    <row r="3004" spans="1:3">
      <c r="A3004">
        <v>3001</v>
      </c>
      <c r="B3004" s="12">
        <v>101118.62134628628</v>
      </c>
      <c r="C3004" s="12"/>
    </row>
    <row r="3005" spans="1:3">
      <c r="A3005">
        <v>3002</v>
      </c>
      <c r="B3005" s="12">
        <v>116746.82790003056</v>
      </c>
      <c r="C3005" s="12"/>
    </row>
    <row r="3006" spans="1:3">
      <c r="A3006">
        <v>3003</v>
      </c>
      <c r="B3006" s="12">
        <v>99506.512002976597</v>
      </c>
      <c r="C3006" s="12"/>
    </row>
    <row r="3007" spans="1:3">
      <c r="A3007">
        <v>3004</v>
      </c>
      <c r="B3007" s="12">
        <v>103708.23811368251</v>
      </c>
      <c r="C3007" s="12"/>
    </row>
    <row r="3008" spans="1:3">
      <c r="A3008">
        <v>3005</v>
      </c>
      <c r="B3008" s="12">
        <v>110370.57894998926</v>
      </c>
      <c r="C3008" s="12"/>
    </row>
    <row r="3009" spans="1:3">
      <c r="A3009">
        <v>3006</v>
      </c>
      <c r="B3009" s="12">
        <v>175911.02552326169</v>
      </c>
      <c r="C3009" s="12"/>
    </row>
    <row r="3010" spans="1:3">
      <c r="A3010">
        <v>3007</v>
      </c>
      <c r="B3010" s="12">
        <v>110144.57731019681</v>
      </c>
      <c r="C3010" s="12"/>
    </row>
    <row r="3011" spans="1:3">
      <c r="A3011">
        <v>3008</v>
      </c>
      <c r="B3011" s="12">
        <v>110443.32711719224</v>
      </c>
      <c r="C3011" s="12"/>
    </row>
    <row r="3012" spans="1:3">
      <c r="A3012">
        <v>3009</v>
      </c>
      <c r="B3012" s="12">
        <v>92903.56299880291</v>
      </c>
      <c r="C3012" s="12"/>
    </row>
    <row r="3013" spans="1:3">
      <c r="A3013">
        <v>3010</v>
      </c>
      <c r="B3013" s="12">
        <v>119734.86795717</v>
      </c>
      <c r="C3013" s="12"/>
    </row>
    <row r="3014" spans="1:3">
      <c r="A3014">
        <v>3011</v>
      </c>
      <c r="B3014" s="12">
        <v>183785.40490436243</v>
      </c>
      <c r="C3014" s="12"/>
    </row>
    <row r="3015" spans="1:3">
      <c r="A3015">
        <v>3012</v>
      </c>
      <c r="B3015" s="12">
        <v>149407.91061709452</v>
      </c>
      <c r="C3015" s="12"/>
    </row>
    <row r="3016" spans="1:3">
      <c r="A3016">
        <v>3013</v>
      </c>
      <c r="B3016" s="12">
        <v>84814.247326538942</v>
      </c>
      <c r="C3016" s="12"/>
    </row>
    <row r="3017" spans="1:3">
      <c r="A3017">
        <v>3014</v>
      </c>
      <c r="B3017" s="12">
        <v>79816.603356582782</v>
      </c>
      <c r="C3017" s="12"/>
    </row>
    <row r="3018" spans="1:3">
      <c r="A3018">
        <v>3015</v>
      </c>
      <c r="B3018" s="12">
        <v>128103.98463832148</v>
      </c>
      <c r="C3018" s="12"/>
    </row>
    <row r="3019" spans="1:3">
      <c r="A3019">
        <v>3016</v>
      </c>
      <c r="B3019" s="12">
        <v>137782.75000692037</v>
      </c>
      <c r="C3019" s="12"/>
    </row>
    <row r="3020" spans="1:3">
      <c r="A3020">
        <v>3017</v>
      </c>
      <c r="B3020" s="12">
        <v>92168.813599120534</v>
      </c>
      <c r="C3020" s="12"/>
    </row>
    <row r="3021" spans="1:3">
      <c r="A3021">
        <v>3018</v>
      </c>
      <c r="B3021" s="12">
        <v>74823.260830517072</v>
      </c>
      <c r="C3021" s="12"/>
    </row>
    <row r="3022" spans="1:3">
      <c r="A3022">
        <v>3019</v>
      </c>
      <c r="B3022" s="12">
        <v>87561.162159483894</v>
      </c>
      <c r="C3022" s="12"/>
    </row>
    <row r="3023" spans="1:3">
      <c r="A3023">
        <v>3020</v>
      </c>
      <c r="B3023" s="12">
        <v>80679.944885044053</v>
      </c>
      <c r="C3023" s="12"/>
    </row>
    <row r="3024" spans="1:3">
      <c r="A3024">
        <v>3021</v>
      </c>
      <c r="B3024" s="12">
        <v>165230.15834637944</v>
      </c>
      <c r="C3024" s="12"/>
    </row>
    <row r="3025" spans="1:3">
      <c r="A3025">
        <v>3022</v>
      </c>
      <c r="B3025" s="12">
        <v>120576.67455556123</v>
      </c>
      <c r="C3025" s="12"/>
    </row>
    <row r="3026" spans="1:3">
      <c r="A3026">
        <v>3023</v>
      </c>
      <c r="B3026" s="12">
        <v>121720.90792943849</v>
      </c>
      <c r="C3026" s="12"/>
    </row>
    <row r="3027" spans="1:3">
      <c r="A3027">
        <v>3024</v>
      </c>
      <c r="B3027" s="12">
        <v>88771.526680633455</v>
      </c>
      <c r="C3027" s="12"/>
    </row>
    <row r="3028" spans="1:3">
      <c r="A3028">
        <v>3025</v>
      </c>
      <c r="B3028" s="12">
        <v>135189.39870388753</v>
      </c>
      <c r="C3028" s="12"/>
    </row>
    <row r="3029" spans="1:3">
      <c r="A3029">
        <v>3026</v>
      </c>
      <c r="B3029" s="12">
        <v>87459.56192266116</v>
      </c>
      <c r="C3029" s="12"/>
    </row>
    <row r="3030" spans="1:3">
      <c r="A3030">
        <v>3027</v>
      </c>
      <c r="B3030" s="12">
        <v>113437.58343685628</v>
      </c>
      <c r="C3030" s="12"/>
    </row>
    <row r="3031" spans="1:3">
      <c r="A3031">
        <v>3028</v>
      </c>
      <c r="B3031" s="12">
        <v>116970.93111957426</v>
      </c>
      <c r="C3031" s="12"/>
    </row>
    <row r="3032" spans="1:3">
      <c r="A3032">
        <v>3029</v>
      </c>
      <c r="B3032" s="12">
        <v>127650.27301136701</v>
      </c>
      <c r="C3032" s="12"/>
    </row>
    <row r="3033" spans="1:3">
      <c r="A3033">
        <v>3030</v>
      </c>
      <c r="B3033" s="12">
        <v>114461.3265104231</v>
      </c>
      <c r="C3033" s="12"/>
    </row>
    <row r="3034" spans="1:3">
      <c r="A3034">
        <v>3031</v>
      </c>
      <c r="B3034" s="12">
        <v>79897.874030439038</v>
      </c>
      <c r="C3034" s="12"/>
    </row>
    <row r="3035" spans="1:3">
      <c r="A3035">
        <v>3032</v>
      </c>
      <c r="B3035" s="12">
        <v>99988.452701230621</v>
      </c>
      <c r="C3035" s="12"/>
    </row>
    <row r="3036" spans="1:3">
      <c r="A3036">
        <v>3033</v>
      </c>
      <c r="B3036" s="12">
        <v>185996.16124567913</v>
      </c>
      <c r="C3036" s="12"/>
    </row>
    <row r="3037" spans="1:3">
      <c r="A3037">
        <v>3034</v>
      </c>
      <c r="B3037" s="12">
        <v>65388.132222771746</v>
      </c>
      <c r="C3037" s="12"/>
    </row>
    <row r="3038" spans="1:3">
      <c r="A3038">
        <v>3035</v>
      </c>
      <c r="B3038" s="12">
        <v>146543.77879330583</v>
      </c>
      <c r="C3038" s="12"/>
    </row>
    <row r="3039" spans="1:3">
      <c r="A3039">
        <v>3036</v>
      </c>
      <c r="B3039" s="12">
        <v>112293.43064489987</v>
      </c>
      <c r="C3039" s="12"/>
    </row>
    <row r="3040" spans="1:3">
      <c r="A3040">
        <v>3037</v>
      </c>
      <c r="B3040" s="12">
        <v>135792.87057976102</v>
      </c>
      <c r="C3040" s="12"/>
    </row>
    <row r="3041" spans="1:3">
      <c r="A3041">
        <v>3038</v>
      </c>
      <c r="B3041" s="12">
        <v>92061.862692624796</v>
      </c>
      <c r="C3041" s="12"/>
    </row>
    <row r="3042" spans="1:3">
      <c r="A3042">
        <v>3039</v>
      </c>
      <c r="B3042" s="12">
        <v>111120.20636904761</v>
      </c>
      <c r="C3042" s="12"/>
    </row>
    <row r="3043" spans="1:3">
      <c r="A3043">
        <v>3040</v>
      </c>
      <c r="B3043" s="12">
        <v>83074.933242829546</v>
      </c>
      <c r="C3043" s="12"/>
    </row>
    <row r="3044" spans="1:3">
      <c r="A3044">
        <v>3041</v>
      </c>
      <c r="B3044" s="12">
        <v>110511.17680897201</v>
      </c>
      <c r="C3044" s="12"/>
    </row>
    <row r="3045" spans="1:3">
      <c r="A3045">
        <v>3042</v>
      </c>
      <c r="B3045" s="12">
        <v>141781.96973217675</v>
      </c>
      <c r="C3045" s="12"/>
    </row>
    <row r="3046" spans="1:3">
      <c r="A3046">
        <v>3043</v>
      </c>
      <c r="B3046" s="12">
        <v>74429.15192166905</v>
      </c>
      <c r="C3046" s="12"/>
    </row>
    <row r="3047" spans="1:3">
      <c r="A3047">
        <v>3044</v>
      </c>
      <c r="B3047" s="12">
        <v>219322.48025130451</v>
      </c>
      <c r="C3047" s="12"/>
    </row>
    <row r="3048" spans="1:3">
      <c r="A3048">
        <v>3045</v>
      </c>
      <c r="B3048" s="12">
        <v>95006.395430576551</v>
      </c>
      <c r="C3048" s="12"/>
    </row>
    <row r="3049" spans="1:3">
      <c r="A3049">
        <v>3046</v>
      </c>
      <c r="B3049" s="12">
        <v>91914.171023806673</v>
      </c>
      <c r="C3049" s="12"/>
    </row>
    <row r="3050" spans="1:3">
      <c r="A3050">
        <v>3047</v>
      </c>
      <c r="B3050" s="12">
        <v>133732.35933332701</v>
      </c>
      <c r="C3050" s="12"/>
    </row>
    <row r="3051" spans="1:3">
      <c r="A3051">
        <v>3048</v>
      </c>
      <c r="B3051" s="12">
        <v>76065.336659158129</v>
      </c>
      <c r="C3051" s="12"/>
    </row>
    <row r="3052" spans="1:3">
      <c r="A3052">
        <v>3049</v>
      </c>
      <c r="B3052" s="12">
        <v>128877.54540383381</v>
      </c>
      <c r="C3052" s="12"/>
    </row>
    <row r="3053" spans="1:3">
      <c r="A3053">
        <v>3050</v>
      </c>
      <c r="B3053" s="12">
        <v>138436.94623288128</v>
      </c>
      <c r="C3053" s="12"/>
    </row>
    <row r="3054" spans="1:3">
      <c r="A3054">
        <v>3051</v>
      </c>
      <c r="B3054" s="12">
        <v>106380.97557782129</v>
      </c>
      <c r="C3054" s="12"/>
    </row>
    <row r="3055" spans="1:3">
      <c r="A3055">
        <v>3052</v>
      </c>
      <c r="B3055" s="12">
        <v>80687.250429759471</v>
      </c>
      <c r="C3055" s="12"/>
    </row>
    <row r="3056" spans="1:3">
      <c r="A3056">
        <v>3053</v>
      </c>
      <c r="B3056" s="12">
        <v>130536.71016020593</v>
      </c>
      <c r="C3056" s="12"/>
    </row>
    <row r="3057" spans="1:3">
      <c r="A3057">
        <v>3054</v>
      </c>
      <c r="B3057" s="12">
        <v>122807.74600905945</v>
      </c>
      <c r="C3057" s="12"/>
    </row>
    <row r="3058" spans="1:3">
      <c r="A3058">
        <v>3055</v>
      </c>
      <c r="B3058" s="12">
        <v>151764.58872797972</v>
      </c>
      <c r="C3058" s="12"/>
    </row>
    <row r="3059" spans="1:3">
      <c r="A3059">
        <v>3056</v>
      </c>
      <c r="B3059" s="12">
        <v>171160.27655891931</v>
      </c>
      <c r="C3059" s="12"/>
    </row>
    <row r="3060" spans="1:3">
      <c r="A3060">
        <v>3057</v>
      </c>
      <c r="B3060" s="12">
        <v>89037.229543090347</v>
      </c>
      <c r="C3060" s="12"/>
    </row>
    <row r="3061" spans="1:3">
      <c r="A3061">
        <v>3058</v>
      </c>
      <c r="B3061" s="12">
        <v>116044.12294052586</v>
      </c>
      <c r="C3061" s="12"/>
    </row>
    <row r="3062" spans="1:3">
      <c r="A3062">
        <v>3059</v>
      </c>
      <c r="B3062" s="12">
        <v>152273.83127927402</v>
      </c>
      <c r="C3062" s="12"/>
    </row>
    <row r="3063" spans="1:3">
      <c r="A3063">
        <v>3060</v>
      </c>
      <c r="B3063" s="12">
        <v>132688.47168045261</v>
      </c>
      <c r="C3063" s="12"/>
    </row>
    <row r="3064" spans="1:3">
      <c r="A3064">
        <v>3061</v>
      </c>
      <c r="B3064" s="12">
        <v>102277.33167146301</v>
      </c>
      <c r="C3064" s="12"/>
    </row>
    <row r="3065" spans="1:3">
      <c r="A3065">
        <v>3062</v>
      </c>
      <c r="B3065" s="12">
        <v>115666.67536694842</v>
      </c>
      <c r="C3065" s="12"/>
    </row>
    <row r="3066" spans="1:3">
      <c r="A3066">
        <v>3063</v>
      </c>
      <c r="B3066" s="12">
        <v>135546.73646396952</v>
      </c>
      <c r="C3066" s="12"/>
    </row>
    <row r="3067" spans="1:3">
      <c r="A3067">
        <v>3064</v>
      </c>
      <c r="B3067" s="12">
        <v>218159.02398673535</v>
      </c>
      <c r="C3067" s="12"/>
    </row>
    <row r="3068" spans="1:3">
      <c r="A3068">
        <v>3065</v>
      </c>
      <c r="B3068" s="12">
        <v>82034.950746994902</v>
      </c>
      <c r="C3068" s="12"/>
    </row>
    <row r="3069" spans="1:3">
      <c r="A3069">
        <v>3066</v>
      </c>
      <c r="B3069" s="12">
        <v>101991.82364836513</v>
      </c>
      <c r="C3069" s="12"/>
    </row>
    <row r="3070" spans="1:3">
      <c r="A3070">
        <v>3067</v>
      </c>
      <c r="B3070" s="12">
        <v>104196.92574493331</v>
      </c>
      <c r="C3070" s="12"/>
    </row>
    <row r="3071" spans="1:3">
      <c r="A3071">
        <v>3068</v>
      </c>
      <c r="B3071" s="12">
        <v>90740.659566808434</v>
      </c>
      <c r="C3071" s="12"/>
    </row>
    <row r="3072" spans="1:3">
      <c r="A3072">
        <v>3069</v>
      </c>
      <c r="B3072" s="12">
        <v>96463.701658121528</v>
      </c>
      <c r="C3072" s="12"/>
    </row>
    <row r="3073" spans="1:3">
      <c r="A3073">
        <v>3070</v>
      </c>
      <c r="B3073" s="12">
        <v>159527.21931258807</v>
      </c>
      <c r="C3073" s="12"/>
    </row>
    <row r="3074" spans="1:3">
      <c r="A3074">
        <v>3071</v>
      </c>
      <c r="B3074" s="12">
        <v>120034.96058823768</v>
      </c>
      <c r="C3074" s="12"/>
    </row>
    <row r="3075" spans="1:3">
      <c r="A3075">
        <v>3072</v>
      </c>
      <c r="B3075" s="12">
        <v>105313.16970912454</v>
      </c>
      <c r="C3075" s="12"/>
    </row>
    <row r="3076" spans="1:3">
      <c r="A3076">
        <v>3073</v>
      </c>
      <c r="B3076" s="12">
        <v>66685.86621237277</v>
      </c>
      <c r="C3076" s="12"/>
    </row>
    <row r="3077" spans="1:3">
      <c r="A3077">
        <v>3074</v>
      </c>
      <c r="B3077" s="12">
        <v>137924.2015927842</v>
      </c>
      <c r="C3077" s="12"/>
    </row>
    <row r="3078" spans="1:3">
      <c r="A3078">
        <v>3075</v>
      </c>
      <c r="B3078" s="12">
        <v>96841.815278514652</v>
      </c>
      <c r="C3078" s="12"/>
    </row>
    <row r="3079" spans="1:3">
      <c r="A3079">
        <v>3076</v>
      </c>
      <c r="B3079" s="12">
        <v>89282.541204035544</v>
      </c>
      <c r="C3079" s="12"/>
    </row>
    <row r="3080" spans="1:3">
      <c r="A3080">
        <v>3077</v>
      </c>
      <c r="B3080" s="12">
        <v>97760.34094666969</v>
      </c>
      <c r="C3080" s="12"/>
    </row>
    <row r="3081" spans="1:3">
      <c r="A3081">
        <v>3078</v>
      </c>
      <c r="B3081" s="12">
        <v>84186.776279097146</v>
      </c>
      <c r="C3081" s="12"/>
    </row>
    <row r="3082" spans="1:3">
      <c r="A3082">
        <v>3079</v>
      </c>
      <c r="B3082" s="12">
        <v>136898.09435455524</v>
      </c>
      <c r="C3082" s="12"/>
    </row>
    <row r="3083" spans="1:3">
      <c r="A3083">
        <v>3080</v>
      </c>
      <c r="B3083" s="12">
        <v>115505.09483863084</v>
      </c>
      <c r="C3083" s="12"/>
    </row>
    <row r="3084" spans="1:3">
      <c r="A3084">
        <v>3081</v>
      </c>
      <c r="B3084" s="12">
        <v>72053.0241793639</v>
      </c>
      <c r="C3084" s="12"/>
    </row>
    <row r="3085" spans="1:3">
      <c r="A3085">
        <v>3082</v>
      </c>
      <c r="B3085" s="12">
        <v>99886.039134959748</v>
      </c>
      <c r="C3085" s="12"/>
    </row>
    <row r="3086" spans="1:3">
      <c r="A3086">
        <v>3083</v>
      </c>
      <c r="B3086" s="12">
        <v>110317.71282829891</v>
      </c>
      <c r="C3086" s="12"/>
    </row>
    <row r="3087" spans="1:3">
      <c r="A3087">
        <v>3084</v>
      </c>
      <c r="B3087" s="12">
        <v>93922.800485827669</v>
      </c>
      <c r="C3087" s="12"/>
    </row>
    <row r="3088" spans="1:3">
      <c r="A3088">
        <v>3085</v>
      </c>
      <c r="B3088" s="12">
        <v>154040.30047787819</v>
      </c>
      <c r="C3088" s="12"/>
    </row>
    <row r="3089" spans="1:3">
      <c r="A3089">
        <v>3086</v>
      </c>
      <c r="B3089" s="12">
        <v>127786.60035893189</v>
      </c>
      <c r="C3089" s="12"/>
    </row>
    <row r="3090" spans="1:3">
      <c r="A3090">
        <v>3087</v>
      </c>
      <c r="B3090" s="12">
        <v>162290.95820716282</v>
      </c>
      <c r="C3090" s="12"/>
    </row>
    <row r="3091" spans="1:3">
      <c r="A3091">
        <v>3088</v>
      </c>
      <c r="B3091" s="12">
        <v>99961.113166629628</v>
      </c>
      <c r="C3091" s="12"/>
    </row>
    <row r="3092" spans="1:3">
      <c r="A3092">
        <v>3089</v>
      </c>
      <c r="B3092" s="12">
        <v>185807.53282995973</v>
      </c>
      <c r="C3092" s="12"/>
    </row>
    <row r="3093" spans="1:3">
      <c r="A3093">
        <v>3090</v>
      </c>
      <c r="B3093" s="12">
        <v>111572.51430585097</v>
      </c>
      <c r="C3093" s="12"/>
    </row>
    <row r="3094" spans="1:3">
      <c r="A3094">
        <v>3091</v>
      </c>
      <c r="B3094" s="12">
        <v>55932.642356856668</v>
      </c>
      <c r="C3094" s="12"/>
    </row>
    <row r="3095" spans="1:3">
      <c r="A3095">
        <v>3092</v>
      </c>
      <c r="B3095" s="12">
        <v>98581.114677336664</v>
      </c>
      <c r="C3095" s="12"/>
    </row>
    <row r="3096" spans="1:3">
      <c r="A3096">
        <v>3093</v>
      </c>
      <c r="B3096" s="12">
        <v>105558.74480198525</v>
      </c>
      <c r="C3096" s="12"/>
    </row>
    <row r="3097" spans="1:3">
      <c r="A3097">
        <v>3094</v>
      </c>
      <c r="B3097" s="12">
        <v>102960.45096505465</v>
      </c>
      <c r="C3097" s="12"/>
    </row>
    <row r="3098" spans="1:3">
      <c r="A3098">
        <v>3095</v>
      </c>
      <c r="B3098" s="12">
        <v>101160.02582612794</v>
      </c>
      <c r="C3098" s="12"/>
    </row>
    <row r="3099" spans="1:3">
      <c r="A3099">
        <v>3096</v>
      </c>
      <c r="B3099" s="12">
        <v>98598.663161680161</v>
      </c>
      <c r="C3099" s="12"/>
    </row>
    <row r="3100" spans="1:3">
      <c r="A3100">
        <v>3097</v>
      </c>
      <c r="B3100" s="12">
        <v>126491.85828157961</v>
      </c>
      <c r="C3100" s="12"/>
    </row>
    <row r="3101" spans="1:3">
      <c r="A3101">
        <v>3098</v>
      </c>
      <c r="B3101" s="12">
        <v>92513.819281182557</v>
      </c>
      <c r="C3101" s="12"/>
    </row>
    <row r="3102" spans="1:3">
      <c r="A3102">
        <v>3099</v>
      </c>
      <c r="B3102" s="12">
        <v>109281.77871350729</v>
      </c>
      <c r="C3102" s="12"/>
    </row>
    <row r="3103" spans="1:3">
      <c r="A3103">
        <v>3100</v>
      </c>
      <c r="B3103" s="12">
        <v>87399.387622997951</v>
      </c>
      <c r="C3103" s="12"/>
    </row>
    <row r="3104" spans="1:3">
      <c r="A3104">
        <v>3101</v>
      </c>
      <c r="B3104" s="12">
        <v>66111.981493981235</v>
      </c>
      <c r="C3104" s="12"/>
    </row>
    <row r="3105" spans="1:3">
      <c r="A3105">
        <v>3102</v>
      </c>
      <c r="B3105" s="12">
        <v>92946.343644679218</v>
      </c>
      <c r="C3105" s="12"/>
    </row>
    <row r="3106" spans="1:3">
      <c r="A3106">
        <v>3103</v>
      </c>
      <c r="B3106" s="12">
        <v>130133.1571990044</v>
      </c>
      <c r="C3106" s="12"/>
    </row>
    <row r="3107" spans="1:3">
      <c r="A3107">
        <v>3104</v>
      </c>
      <c r="B3107" s="12">
        <v>81948.532626863627</v>
      </c>
      <c r="C3107" s="12"/>
    </row>
    <row r="3108" spans="1:3">
      <c r="A3108">
        <v>3105</v>
      </c>
      <c r="B3108" s="12">
        <v>139154.49368163673</v>
      </c>
      <c r="C3108" s="12"/>
    </row>
    <row r="3109" spans="1:3">
      <c r="A3109">
        <v>3106</v>
      </c>
      <c r="B3109" s="12">
        <v>84287.867089602194</v>
      </c>
      <c r="C3109" s="12"/>
    </row>
    <row r="3110" spans="1:3">
      <c r="A3110">
        <v>3107</v>
      </c>
      <c r="B3110" s="12">
        <v>140426.56333039564</v>
      </c>
      <c r="C3110" s="12"/>
    </row>
    <row r="3111" spans="1:3">
      <c r="A3111">
        <v>3108</v>
      </c>
      <c r="B3111" s="12">
        <v>98621.804095010972</v>
      </c>
      <c r="C3111" s="12"/>
    </row>
    <row r="3112" spans="1:3">
      <c r="A3112">
        <v>3109</v>
      </c>
      <c r="B3112" s="12">
        <v>121084.88400791897</v>
      </c>
      <c r="C3112" s="12"/>
    </row>
    <row r="3113" spans="1:3">
      <c r="A3113">
        <v>3110</v>
      </c>
      <c r="B3113" s="12">
        <v>94218.981100040488</v>
      </c>
      <c r="C3113" s="12"/>
    </row>
    <row r="3114" spans="1:3">
      <c r="A3114">
        <v>3111</v>
      </c>
      <c r="B3114" s="12">
        <v>163066.7188828045</v>
      </c>
      <c r="C3114" s="12"/>
    </row>
    <row r="3115" spans="1:3">
      <c r="A3115">
        <v>3112</v>
      </c>
      <c r="B3115" s="12">
        <v>177860.3680633319</v>
      </c>
      <c r="C3115" s="12"/>
    </row>
    <row r="3116" spans="1:3">
      <c r="A3116">
        <v>3113</v>
      </c>
      <c r="B3116" s="12">
        <v>102531.25004845735</v>
      </c>
      <c r="C3116" s="12"/>
    </row>
    <row r="3117" spans="1:3">
      <c r="A3117">
        <v>3114</v>
      </c>
      <c r="B3117" s="12">
        <v>183336.82771273231</v>
      </c>
      <c r="C3117" s="12"/>
    </row>
    <row r="3118" spans="1:3">
      <c r="A3118">
        <v>3115</v>
      </c>
      <c r="B3118" s="12">
        <v>91614.575160885433</v>
      </c>
      <c r="C3118" s="12"/>
    </row>
    <row r="3119" spans="1:3">
      <c r="A3119">
        <v>3116</v>
      </c>
      <c r="B3119" s="12">
        <v>161967.23420445403</v>
      </c>
      <c r="C3119" s="12"/>
    </row>
    <row r="3120" spans="1:3">
      <c r="A3120">
        <v>3117</v>
      </c>
      <c r="B3120" s="12">
        <v>115737.29970281494</v>
      </c>
      <c r="C3120" s="12"/>
    </row>
    <row r="3121" spans="1:3">
      <c r="A3121">
        <v>3118</v>
      </c>
      <c r="B3121" s="12">
        <v>156489.74180543935</v>
      </c>
      <c r="C3121" s="12"/>
    </row>
    <row r="3122" spans="1:3">
      <c r="A3122">
        <v>3119</v>
      </c>
      <c r="B3122" s="12">
        <v>62878.87651984876</v>
      </c>
      <c r="C3122" s="12"/>
    </row>
    <row r="3123" spans="1:3">
      <c r="A3123">
        <v>3120</v>
      </c>
      <c r="B3123" s="12">
        <v>123885.55141660143</v>
      </c>
      <c r="C3123" s="12"/>
    </row>
    <row r="3124" spans="1:3">
      <c r="A3124">
        <v>3121</v>
      </c>
      <c r="B3124" s="12">
        <v>125799.05941596844</v>
      </c>
      <c r="C3124" s="12"/>
    </row>
    <row r="3125" spans="1:3">
      <c r="A3125">
        <v>3122</v>
      </c>
      <c r="B3125" s="12">
        <v>99156.002094073992</v>
      </c>
      <c r="C3125" s="12"/>
    </row>
    <row r="3126" spans="1:3">
      <c r="A3126">
        <v>3123</v>
      </c>
      <c r="B3126" s="12">
        <v>117215.31290887053</v>
      </c>
      <c r="C3126" s="12"/>
    </row>
    <row r="3127" spans="1:3">
      <c r="A3127">
        <v>3124</v>
      </c>
      <c r="B3127" s="12">
        <v>129789.5136341763</v>
      </c>
      <c r="C3127" s="12"/>
    </row>
    <row r="3128" spans="1:3">
      <c r="A3128">
        <v>3125</v>
      </c>
      <c r="B3128" s="12">
        <v>92049.385035512954</v>
      </c>
      <c r="C3128" s="12"/>
    </row>
    <row r="3129" spans="1:3">
      <c r="A3129">
        <v>3126</v>
      </c>
      <c r="B3129" s="12">
        <v>129123.21092966077</v>
      </c>
      <c r="C3129" s="12"/>
    </row>
    <row r="3130" spans="1:3">
      <c r="A3130">
        <v>3127</v>
      </c>
      <c r="B3130" s="12">
        <v>100612.3568388471</v>
      </c>
      <c r="C3130" s="12"/>
    </row>
    <row r="3131" spans="1:3">
      <c r="A3131">
        <v>3128</v>
      </c>
      <c r="B3131" s="12">
        <v>96253.407595791025</v>
      </c>
      <c r="C3131" s="12"/>
    </row>
    <row r="3132" spans="1:3">
      <c r="A3132">
        <v>3129</v>
      </c>
      <c r="B3132" s="12">
        <v>92592.755970674727</v>
      </c>
      <c r="C3132" s="12"/>
    </row>
    <row r="3133" spans="1:3">
      <c r="A3133">
        <v>3130</v>
      </c>
      <c r="B3133" s="12">
        <v>150835.3444717224</v>
      </c>
      <c r="C3133" s="12"/>
    </row>
    <row r="3134" spans="1:3">
      <c r="A3134">
        <v>3131</v>
      </c>
      <c r="B3134" s="12">
        <v>74263.771837916865</v>
      </c>
      <c r="C3134" s="12"/>
    </row>
    <row r="3135" spans="1:3">
      <c r="A3135">
        <v>3132</v>
      </c>
      <c r="B3135" s="12">
        <v>152888.60778046379</v>
      </c>
      <c r="C3135" s="12"/>
    </row>
    <row r="3136" spans="1:3">
      <c r="A3136">
        <v>3133</v>
      </c>
      <c r="B3136" s="12">
        <v>140318.45264129207</v>
      </c>
      <c r="C3136" s="12"/>
    </row>
    <row r="3137" spans="1:3">
      <c r="A3137">
        <v>3134</v>
      </c>
      <c r="B3137" s="12">
        <v>75918.207629913231</v>
      </c>
      <c r="C3137" s="12"/>
    </row>
    <row r="3138" spans="1:3">
      <c r="A3138">
        <v>3135</v>
      </c>
      <c r="B3138" s="12">
        <v>96535.28178258652</v>
      </c>
      <c r="C3138" s="12"/>
    </row>
    <row r="3139" spans="1:3">
      <c r="A3139">
        <v>3136</v>
      </c>
      <c r="B3139" s="12">
        <v>134833.89132774205</v>
      </c>
      <c r="C3139" s="12"/>
    </row>
    <row r="3140" spans="1:3">
      <c r="A3140">
        <v>3137</v>
      </c>
      <c r="B3140" s="12">
        <v>140560.0543830035</v>
      </c>
      <c r="C3140" s="12"/>
    </row>
    <row r="3141" spans="1:3">
      <c r="A3141">
        <v>3138</v>
      </c>
      <c r="B3141" s="12">
        <v>140452.70779537424</v>
      </c>
      <c r="C3141" s="12"/>
    </row>
    <row r="3142" spans="1:3">
      <c r="A3142">
        <v>3139</v>
      </c>
      <c r="B3142" s="12">
        <v>75734.713038347443</v>
      </c>
      <c r="C3142" s="12"/>
    </row>
    <row r="3143" spans="1:3">
      <c r="A3143">
        <v>3140</v>
      </c>
      <c r="B3143" s="12">
        <v>118602.22768068932</v>
      </c>
      <c r="C3143" s="12"/>
    </row>
    <row r="3144" spans="1:3">
      <c r="A3144">
        <v>3141</v>
      </c>
      <c r="B3144" s="12">
        <v>116426.23359519349</v>
      </c>
      <c r="C3144" s="12"/>
    </row>
    <row r="3145" spans="1:3">
      <c r="A3145">
        <v>3142</v>
      </c>
      <c r="B3145" s="12">
        <v>108855.28175896969</v>
      </c>
      <c r="C3145" s="12"/>
    </row>
    <row r="3146" spans="1:3">
      <c r="A3146">
        <v>3143</v>
      </c>
      <c r="B3146" s="12">
        <v>95597.838386728385</v>
      </c>
      <c r="C3146" s="12"/>
    </row>
    <row r="3147" spans="1:3">
      <c r="A3147">
        <v>3144</v>
      </c>
      <c r="B3147" s="12">
        <v>83010.326791612591</v>
      </c>
      <c r="C3147" s="12"/>
    </row>
    <row r="3148" spans="1:3">
      <c r="A3148">
        <v>3145</v>
      </c>
      <c r="B3148" s="12">
        <v>106626.92790133881</v>
      </c>
      <c r="C3148" s="12"/>
    </row>
    <row r="3149" spans="1:3">
      <c r="A3149">
        <v>3146</v>
      </c>
      <c r="B3149" s="12">
        <v>117437.36207550694</v>
      </c>
      <c r="C3149" s="12"/>
    </row>
    <row r="3150" spans="1:3">
      <c r="A3150">
        <v>3147</v>
      </c>
      <c r="B3150" s="12">
        <v>78159.318491422251</v>
      </c>
      <c r="C3150" s="12"/>
    </row>
    <row r="3151" spans="1:3">
      <c r="A3151">
        <v>3148</v>
      </c>
      <c r="B3151" s="12">
        <v>86154.881402765532</v>
      </c>
      <c r="C3151" s="12"/>
    </row>
    <row r="3152" spans="1:3">
      <c r="A3152">
        <v>3149</v>
      </c>
      <c r="B3152" s="12">
        <v>61446.075540454476</v>
      </c>
      <c r="C3152" s="12"/>
    </row>
    <row r="3153" spans="1:3">
      <c r="A3153">
        <v>3150</v>
      </c>
      <c r="B3153" s="12">
        <v>133703.92096050549</v>
      </c>
      <c r="C3153" s="12"/>
    </row>
    <row r="3154" spans="1:3">
      <c r="A3154">
        <v>3151</v>
      </c>
      <c r="B3154" s="12">
        <v>141568.98011510601</v>
      </c>
      <c r="C3154" s="12"/>
    </row>
    <row r="3155" spans="1:3">
      <c r="A3155">
        <v>3152</v>
      </c>
      <c r="B3155" s="12">
        <v>109722.94310460893</v>
      </c>
      <c r="C3155" s="12"/>
    </row>
    <row r="3156" spans="1:3">
      <c r="A3156">
        <v>3153</v>
      </c>
      <c r="B3156" s="12">
        <v>96094.27936307597</v>
      </c>
      <c r="C3156" s="12"/>
    </row>
    <row r="3157" spans="1:3">
      <c r="A3157">
        <v>3154</v>
      </c>
      <c r="B3157" s="12">
        <v>87285.274931057793</v>
      </c>
      <c r="C3157" s="12"/>
    </row>
    <row r="3158" spans="1:3">
      <c r="A3158">
        <v>3155</v>
      </c>
      <c r="B3158" s="12">
        <v>131499.28464561937</v>
      </c>
      <c r="C3158" s="12"/>
    </row>
    <row r="3159" spans="1:3">
      <c r="A3159">
        <v>3156</v>
      </c>
      <c r="B3159" s="12">
        <v>179964.39197923234</v>
      </c>
      <c r="C3159" s="12"/>
    </row>
    <row r="3160" spans="1:3">
      <c r="A3160">
        <v>3157</v>
      </c>
      <c r="B3160" s="12">
        <v>80807.796982045562</v>
      </c>
      <c r="C3160" s="12"/>
    </row>
    <row r="3161" spans="1:3">
      <c r="A3161">
        <v>3158</v>
      </c>
      <c r="B3161" s="12">
        <v>78754.4334081782</v>
      </c>
      <c r="C3161" s="12"/>
    </row>
    <row r="3162" spans="1:3">
      <c r="A3162">
        <v>3159</v>
      </c>
      <c r="B3162" s="12">
        <v>113990.78867975084</v>
      </c>
      <c r="C3162" s="12"/>
    </row>
    <row r="3163" spans="1:3">
      <c r="A3163">
        <v>3160</v>
      </c>
      <c r="B3163" s="12">
        <v>139602.21266535291</v>
      </c>
      <c r="C3163" s="12"/>
    </row>
    <row r="3164" spans="1:3">
      <c r="A3164">
        <v>3161</v>
      </c>
      <c r="B3164" s="12">
        <v>102426.31211017819</v>
      </c>
      <c r="C3164" s="12"/>
    </row>
    <row r="3165" spans="1:3">
      <c r="A3165">
        <v>3162</v>
      </c>
      <c r="B3165" s="12">
        <v>196927.72862980986</v>
      </c>
      <c r="C3165" s="12"/>
    </row>
    <row r="3166" spans="1:3">
      <c r="A3166">
        <v>3163</v>
      </c>
      <c r="B3166" s="12">
        <v>128662.65461405483</v>
      </c>
      <c r="C3166" s="12"/>
    </row>
    <row r="3167" spans="1:3">
      <c r="A3167">
        <v>3164</v>
      </c>
      <c r="B3167" s="12">
        <v>56642.907538442669</v>
      </c>
      <c r="C3167" s="12"/>
    </row>
    <row r="3168" spans="1:3">
      <c r="A3168">
        <v>3165</v>
      </c>
      <c r="B3168" s="12">
        <v>87010.35682545109</v>
      </c>
      <c r="C3168" s="12"/>
    </row>
    <row r="3169" spans="1:3">
      <c r="A3169">
        <v>3166</v>
      </c>
      <c r="B3169" s="12">
        <v>132505.9241176121</v>
      </c>
      <c r="C3169" s="12"/>
    </row>
    <row r="3170" spans="1:3">
      <c r="A3170">
        <v>3167</v>
      </c>
      <c r="B3170" s="12">
        <v>87991.916664837554</v>
      </c>
      <c r="C3170" s="12"/>
    </row>
    <row r="3171" spans="1:3">
      <c r="A3171">
        <v>3168</v>
      </c>
      <c r="B3171" s="12">
        <v>122801.65684391434</v>
      </c>
      <c r="C3171" s="12"/>
    </row>
    <row r="3172" spans="1:3">
      <c r="A3172">
        <v>3169</v>
      </c>
      <c r="B3172" s="12">
        <v>79996.436419047939</v>
      </c>
      <c r="C3172" s="12"/>
    </row>
    <row r="3173" spans="1:3">
      <c r="A3173">
        <v>3170</v>
      </c>
      <c r="B3173" s="12">
        <v>107745.59415001422</v>
      </c>
      <c r="C3173" s="12"/>
    </row>
    <row r="3174" spans="1:3">
      <c r="A3174">
        <v>3171</v>
      </c>
      <c r="B3174" s="12">
        <v>116305.98239142218</v>
      </c>
      <c r="C3174" s="12"/>
    </row>
    <row r="3175" spans="1:3">
      <c r="A3175">
        <v>3172</v>
      </c>
      <c r="B3175" s="12">
        <v>115749.49455137622</v>
      </c>
      <c r="C3175" s="12"/>
    </row>
    <row r="3176" spans="1:3">
      <c r="A3176">
        <v>3173</v>
      </c>
      <c r="B3176" s="12">
        <v>76864.886251004806</v>
      </c>
      <c r="C3176" s="12"/>
    </row>
    <row r="3177" spans="1:3">
      <c r="A3177">
        <v>3174</v>
      </c>
      <c r="B3177" s="12">
        <v>257341.45171642309</v>
      </c>
      <c r="C3177" s="12"/>
    </row>
    <row r="3178" spans="1:3">
      <c r="A3178">
        <v>3175</v>
      </c>
      <c r="B3178" s="12">
        <v>84964.383131796989</v>
      </c>
      <c r="C3178" s="12"/>
    </row>
    <row r="3179" spans="1:3">
      <c r="A3179">
        <v>3176</v>
      </c>
      <c r="B3179" s="12">
        <v>137567.37125300785</v>
      </c>
      <c r="C3179" s="12"/>
    </row>
    <row r="3180" spans="1:3">
      <c r="A3180">
        <v>3177</v>
      </c>
      <c r="B3180" s="12">
        <v>83715.821587472805</v>
      </c>
      <c r="C3180" s="12"/>
    </row>
    <row r="3181" spans="1:3">
      <c r="A3181">
        <v>3178</v>
      </c>
      <c r="B3181" s="12">
        <v>73545.14453684607</v>
      </c>
      <c r="C3181" s="12"/>
    </row>
    <row r="3182" spans="1:3">
      <c r="A3182">
        <v>3179</v>
      </c>
      <c r="B3182" s="12">
        <v>120383.9657533656</v>
      </c>
      <c r="C3182" s="12"/>
    </row>
    <row r="3183" spans="1:3">
      <c r="A3183">
        <v>3180</v>
      </c>
      <c r="B3183" s="12">
        <v>117819.33649482191</v>
      </c>
      <c r="C3183" s="12"/>
    </row>
    <row r="3184" spans="1:3">
      <c r="A3184">
        <v>3181</v>
      </c>
      <c r="B3184" s="12">
        <v>158373.03052837754</v>
      </c>
      <c r="C3184" s="12"/>
    </row>
    <row r="3185" spans="1:3">
      <c r="A3185">
        <v>3182</v>
      </c>
      <c r="B3185" s="12">
        <v>104565.95932616699</v>
      </c>
      <c r="C3185" s="12"/>
    </row>
    <row r="3186" spans="1:3">
      <c r="A3186">
        <v>3183</v>
      </c>
      <c r="B3186" s="12">
        <v>153186.91317758089</v>
      </c>
      <c r="C3186" s="12"/>
    </row>
    <row r="3187" spans="1:3">
      <c r="A3187">
        <v>3184</v>
      </c>
      <c r="B3187" s="12">
        <v>82326.809034575446</v>
      </c>
      <c r="C3187" s="12"/>
    </row>
    <row r="3188" spans="1:3">
      <c r="A3188">
        <v>3185</v>
      </c>
      <c r="B3188" s="12">
        <v>138194.48397301257</v>
      </c>
      <c r="C3188" s="12"/>
    </row>
    <row r="3189" spans="1:3">
      <c r="A3189">
        <v>3186</v>
      </c>
      <c r="B3189" s="12">
        <v>98725.949857575702</v>
      </c>
      <c r="C3189" s="12"/>
    </row>
    <row r="3190" spans="1:3">
      <c r="A3190">
        <v>3187</v>
      </c>
      <c r="B3190" s="12">
        <v>129673.1114239681</v>
      </c>
      <c r="C3190" s="12"/>
    </row>
    <row r="3191" spans="1:3">
      <c r="A3191">
        <v>3188</v>
      </c>
      <c r="B3191" s="12">
        <v>62306.572659084384</v>
      </c>
      <c r="C3191" s="12"/>
    </row>
    <row r="3192" spans="1:3">
      <c r="A3192">
        <v>3189</v>
      </c>
      <c r="B3192" s="12">
        <v>81303.019970554917</v>
      </c>
      <c r="C3192" s="12"/>
    </row>
    <row r="3193" spans="1:3">
      <c r="A3193">
        <v>3190</v>
      </c>
      <c r="B3193" s="12">
        <v>69501.905890564143</v>
      </c>
      <c r="C3193" s="12"/>
    </row>
    <row r="3194" spans="1:3">
      <c r="A3194">
        <v>3191</v>
      </c>
      <c r="B3194" s="12">
        <v>158682.34057567155</v>
      </c>
      <c r="C3194" s="12"/>
    </row>
    <row r="3195" spans="1:3">
      <c r="A3195">
        <v>3192</v>
      </c>
      <c r="B3195" s="12">
        <v>64117.855332189371</v>
      </c>
      <c r="C3195" s="12"/>
    </row>
    <row r="3196" spans="1:3">
      <c r="A3196">
        <v>3193</v>
      </c>
      <c r="B3196" s="12">
        <v>124258.03645356443</v>
      </c>
      <c r="C3196" s="12"/>
    </row>
    <row r="3197" spans="1:3">
      <c r="A3197">
        <v>3194</v>
      </c>
      <c r="B3197" s="12">
        <v>77340.740925092818</v>
      </c>
      <c r="C3197" s="12"/>
    </row>
    <row r="3198" spans="1:3">
      <c r="A3198">
        <v>3195</v>
      </c>
      <c r="B3198" s="12">
        <v>144364.89583959006</v>
      </c>
      <c r="C3198" s="12"/>
    </row>
    <row r="3199" spans="1:3">
      <c r="A3199">
        <v>3196</v>
      </c>
      <c r="B3199" s="12">
        <v>67888.524847796216</v>
      </c>
      <c r="C3199" s="12"/>
    </row>
    <row r="3200" spans="1:3">
      <c r="A3200">
        <v>3197</v>
      </c>
      <c r="B3200" s="12">
        <v>95296.123454166343</v>
      </c>
      <c r="C3200" s="12"/>
    </row>
    <row r="3201" spans="1:3">
      <c r="A3201">
        <v>3198</v>
      </c>
      <c r="B3201" s="12">
        <v>73111.839869212956</v>
      </c>
      <c r="C3201" s="12"/>
    </row>
    <row r="3202" spans="1:3">
      <c r="A3202">
        <v>3199</v>
      </c>
      <c r="B3202" s="12">
        <v>108439.83996528349</v>
      </c>
      <c r="C3202" s="12"/>
    </row>
    <row r="3203" spans="1:3">
      <c r="A3203">
        <v>3200</v>
      </c>
      <c r="B3203" s="12">
        <v>87993.183124478121</v>
      </c>
      <c r="C3203" s="12"/>
    </row>
    <row r="3204" spans="1:3">
      <c r="A3204">
        <v>3201</v>
      </c>
      <c r="B3204" s="12">
        <v>98071.203167773056</v>
      </c>
      <c r="C3204" s="12"/>
    </row>
    <row r="3205" spans="1:3">
      <c r="A3205">
        <v>3202</v>
      </c>
      <c r="B3205" s="12">
        <v>93659.983006297014</v>
      </c>
      <c r="C3205" s="12"/>
    </row>
    <row r="3206" spans="1:3">
      <c r="A3206">
        <v>3203</v>
      </c>
      <c r="B3206" s="12">
        <v>97996.100596648525</v>
      </c>
      <c r="C3206" s="12"/>
    </row>
    <row r="3207" spans="1:3">
      <c r="A3207">
        <v>3204</v>
      </c>
      <c r="B3207" s="12">
        <v>109211.28976038218</v>
      </c>
      <c r="C3207" s="12"/>
    </row>
    <row r="3208" spans="1:3">
      <c r="A3208">
        <v>3205</v>
      </c>
      <c r="B3208" s="12">
        <v>170623.9146271176</v>
      </c>
      <c r="C3208" s="12"/>
    </row>
    <row r="3209" spans="1:3">
      <c r="A3209">
        <v>3206</v>
      </c>
      <c r="B3209" s="12">
        <v>97328.366308449054</v>
      </c>
      <c r="C3209" s="12"/>
    </row>
    <row r="3210" spans="1:3">
      <c r="A3210">
        <v>3207</v>
      </c>
      <c r="B3210" s="12">
        <v>147817.68679655786</v>
      </c>
      <c r="C3210" s="12"/>
    </row>
    <row r="3211" spans="1:3">
      <c r="A3211">
        <v>3208</v>
      </c>
      <c r="B3211" s="12">
        <v>182575.81617620005</v>
      </c>
      <c r="C3211" s="12"/>
    </row>
    <row r="3212" spans="1:3">
      <c r="A3212">
        <v>3209</v>
      </c>
      <c r="B3212" s="12">
        <v>140636.42106560807</v>
      </c>
      <c r="C3212" s="12"/>
    </row>
    <row r="3213" spans="1:3">
      <c r="A3213">
        <v>3210</v>
      </c>
      <c r="B3213" s="12">
        <v>113639.56036892494</v>
      </c>
      <c r="C3213" s="12"/>
    </row>
    <row r="3214" spans="1:3">
      <c r="A3214">
        <v>3211</v>
      </c>
      <c r="B3214" s="12">
        <v>127522.51510581897</v>
      </c>
      <c r="C3214" s="12"/>
    </row>
    <row r="3215" spans="1:3">
      <c r="A3215">
        <v>3212</v>
      </c>
      <c r="B3215" s="12">
        <v>114835.7101764073</v>
      </c>
      <c r="C3215" s="12"/>
    </row>
    <row r="3216" spans="1:3">
      <c r="A3216">
        <v>3213</v>
      </c>
      <c r="B3216" s="12">
        <v>87822.768171756354</v>
      </c>
      <c r="C3216" s="12"/>
    </row>
    <row r="3217" spans="1:3">
      <c r="A3217">
        <v>3214</v>
      </c>
      <c r="B3217" s="12">
        <v>79887.798654468454</v>
      </c>
      <c r="C3217" s="12"/>
    </row>
    <row r="3218" spans="1:3">
      <c r="A3218">
        <v>3215</v>
      </c>
      <c r="B3218" s="12">
        <v>82541.414037322233</v>
      </c>
      <c r="C3218" s="12"/>
    </row>
    <row r="3219" spans="1:3">
      <c r="A3219">
        <v>3216</v>
      </c>
      <c r="B3219" s="12">
        <v>95495.056992643411</v>
      </c>
      <c r="C3219" s="12"/>
    </row>
    <row r="3220" spans="1:3">
      <c r="A3220">
        <v>3217</v>
      </c>
      <c r="B3220" s="12">
        <v>181277.60320796279</v>
      </c>
      <c r="C3220" s="12"/>
    </row>
    <row r="3221" spans="1:3">
      <c r="A3221">
        <v>3218</v>
      </c>
      <c r="B3221" s="12">
        <v>125935.90869637641</v>
      </c>
      <c r="C3221" s="12"/>
    </row>
    <row r="3222" spans="1:3">
      <c r="A3222">
        <v>3219</v>
      </c>
      <c r="B3222" s="12">
        <v>160370.0941772502</v>
      </c>
      <c r="C3222" s="12"/>
    </row>
    <row r="3223" spans="1:3">
      <c r="A3223">
        <v>3220</v>
      </c>
      <c r="B3223" s="12">
        <v>91934.110561731315</v>
      </c>
      <c r="C3223" s="12"/>
    </row>
    <row r="3224" spans="1:3">
      <c r="A3224">
        <v>3221</v>
      </c>
      <c r="B3224" s="12">
        <v>149333.50354540659</v>
      </c>
      <c r="C3224" s="12"/>
    </row>
    <row r="3225" spans="1:3">
      <c r="A3225">
        <v>3222</v>
      </c>
      <c r="B3225" s="12">
        <v>165303.83514345402</v>
      </c>
      <c r="C3225" s="12"/>
    </row>
    <row r="3226" spans="1:3">
      <c r="A3226">
        <v>3223</v>
      </c>
      <c r="B3226" s="12">
        <v>92767.615053438451</v>
      </c>
      <c r="C3226" s="12"/>
    </row>
    <row r="3227" spans="1:3">
      <c r="A3227">
        <v>3224</v>
      </c>
      <c r="B3227" s="12">
        <v>116781.98057487806</v>
      </c>
      <c r="C3227" s="12"/>
    </row>
    <row r="3228" spans="1:3">
      <c r="A3228">
        <v>3225</v>
      </c>
      <c r="B3228" s="12">
        <v>108384.39985761003</v>
      </c>
      <c r="C3228" s="12"/>
    </row>
    <row r="3229" spans="1:3">
      <c r="A3229">
        <v>3226</v>
      </c>
      <c r="B3229" s="12">
        <v>91029.822288218231</v>
      </c>
      <c r="C3229" s="12"/>
    </row>
    <row r="3230" spans="1:3">
      <c r="A3230">
        <v>3227</v>
      </c>
      <c r="B3230" s="12">
        <v>102143.6415109722</v>
      </c>
      <c r="C3230" s="12"/>
    </row>
    <row r="3231" spans="1:3">
      <c r="A3231">
        <v>3228</v>
      </c>
      <c r="B3231" s="12">
        <v>91766.812638802628</v>
      </c>
      <c r="C3231" s="12"/>
    </row>
    <row r="3232" spans="1:3">
      <c r="A3232">
        <v>3229</v>
      </c>
      <c r="B3232" s="12">
        <v>202248.96847063367</v>
      </c>
      <c r="C3232" s="12"/>
    </row>
    <row r="3233" spans="1:3">
      <c r="A3233">
        <v>3230</v>
      </c>
      <c r="B3233" s="12">
        <v>104902.42395966852</v>
      </c>
      <c r="C3233" s="12"/>
    </row>
    <row r="3234" spans="1:3">
      <c r="A3234">
        <v>3231</v>
      </c>
      <c r="B3234" s="12">
        <v>136158.01707517251</v>
      </c>
      <c r="C3234" s="12"/>
    </row>
    <row r="3235" spans="1:3">
      <c r="A3235">
        <v>3232</v>
      </c>
      <c r="B3235" s="12">
        <v>101245.46317452446</v>
      </c>
      <c r="C3235" s="12"/>
    </row>
    <row r="3236" spans="1:3">
      <c r="A3236">
        <v>3233</v>
      </c>
      <c r="B3236" s="12">
        <v>174976.30899268843</v>
      </c>
      <c r="C3236" s="12"/>
    </row>
    <row r="3237" spans="1:3">
      <c r="A3237">
        <v>3234</v>
      </c>
      <c r="B3237" s="12">
        <v>114317.77638153742</v>
      </c>
      <c r="C3237" s="12"/>
    </row>
    <row r="3238" spans="1:3">
      <c r="A3238">
        <v>3235</v>
      </c>
      <c r="B3238" s="12">
        <v>70132.121566575443</v>
      </c>
      <c r="C3238" s="12"/>
    </row>
    <row r="3239" spans="1:3">
      <c r="A3239">
        <v>3236</v>
      </c>
      <c r="B3239" s="12">
        <v>56180.709954656799</v>
      </c>
      <c r="C3239" s="12"/>
    </row>
    <row r="3240" spans="1:3">
      <c r="A3240">
        <v>3237</v>
      </c>
      <c r="B3240" s="12">
        <v>96404.286214970489</v>
      </c>
      <c r="C3240" s="12"/>
    </row>
    <row r="3241" spans="1:3">
      <c r="A3241">
        <v>3238</v>
      </c>
      <c r="B3241" s="12">
        <v>121342.79493266542</v>
      </c>
      <c r="C3241" s="12"/>
    </row>
    <row r="3242" spans="1:3">
      <c r="A3242">
        <v>3239</v>
      </c>
      <c r="B3242" s="12">
        <v>143829.38049178745</v>
      </c>
      <c r="C3242" s="12"/>
    </row>
    <row r="3243" spans="1:3">
      <c r="A3243">
        <v>3240</v>
      </c>
      <c r="B3243" s="12">
        <v>125354.93399859838</v>
      </c>
      <c r="C3243" s="12"/>
    </row>
    <row r="3244" spans="1:3">
      <c r="A3244">
        <v>3241</v>
      </c>
      <c r="B3244" s="12">
        <v>96898.71682016374</v>
      </c>
      <c r="C3244" s="12"/>
    </row>
    <row r="3245" spans="1:3">
      <c r="A3245">
        <v>3242</v>
      </c>
      <c r="B3245" s="12">
        <v>84348.428587316914</v>
      </c>
      <c r="C3245" s="12"/>
    </row>
    <row r="3246" spans="1:3">
      <c r="A3246">
        <v>3243</v>
      </c>
      <c r="B3246" s="12">
        <v>94051.091773950204</v>
      </c>
      <c r="C3246" s="12"/>
    </row>
    <row r="3247" spans="1:3">
      <c r="A3247">
        <v>3244</v>
      </c>
      <c r="B3247" s="12">
        <v>103794.99588763426</v>
      </c>
      <c r="C3247" s="12"/>
    </row>
    <row r="3248" spans="1:3">
      <c r="A3248">
        <v>3245</v>
      </c>
      <c r="B3248" s="12">
        <v>82808.179849322201</v>
      </c>
      <c r="C3248" s="12"/>
    </row>
    <row r="3249" spans="1:3">
      <c r="A3249">
        <v>3246</v>
      </c>
      <c r="B3249" s="12">
        <v>132901.44478410523</v>
      </c>
      <c r="C3249" s="12"/>
    </row>
    <row r="3250" spans="1:3">
      <c r="A3250">
        <v>3247</v>
      </c>
      <c r="B3250" s="12">
        <v>98183.351171217219</v>
      </c>
      <c r="C3250" s="12"/>
    </row>
    <row r="3251" spans="1:3">
      <c r="A3251">
        <v>3248</v>
      </c>
      <c r="B3251" s="12">
        <v>103922.19957793651</v>
      </c>
      <c r="C3251" s="12"/>
    </row>
    <row r="3252" spans="1:3">
      <c r="A3252">
        <v>3249</v>
      </c>
      <c r="B3252" s="12">
        <v>107433.36866104457</v>
      </c>
      <c r="C3252" s="12"/>
    </row>
    <row r="3253" spans="1:3">
      <c r="A3253">
        <v>3250</v>
      </c>
      <c r="B3253" s="12">
        <v>97143.788782864081</v>
      </c>
      <c r="C3253" s="12"/>
    </row>
    <row r="3254" spans="1:3">
      <c r="A3254">
        <v>3251</v>
      </c>
      <c r="B3254" s="12">
        <v>170244.54663638331</v>
      </c>
      <c r="C3254" s="12"/>
    </row>
    <row r="3255" spans="1:3">
      <c r="A3255">
        <v>3252</v>
      </c>
      <c r="B3255" s="12">
        <v>146971.30070133333</v>
      </c>
      <c r="C3255" s="12"/>
    </row>
    <row r="3256" spans="1:3">
      <c r="A3256">
        <v>3253</v>
      </c>
      <c r="B3256" s="12">
        <v>108240.22910755209</v>
      </c>
      <c r="C3256" s="12"/>
    </row>
    <row r="3257" spans="1:3">
      <c r="A3257">
        <v>3254</v>
      </c>
      <c r="B3257" s="12">
        <v>73861.889240400385</v>
      </c>
      <c r="C3257" s="12"/>
    </row>
    <row r="3258" spans="1:3">
      <c r="A3258">
        <v>3255</v>
      </c>
      <c r="B3258" s="12">
        <v>69624.304670612139</v>
      </c>
      <c r="C3258" s="12"/>
    </row>
    <row r="3259" spans="1:3">
      <c r="A3259">
        <v>3256</v>
      </c>
      <c r="B3259" s="12">
        <v>106273.96058777795</v>
      </c>
      <c r="C3259" s="12"/>
    </row>
    <row r="3260" spans="1:3">
      <c r="A3260">
        <v>3257</v>
      </c>
      <c r="B3260" s="12">
        <v>92208.918683545009</v>
      </c>
      <c r="C3260" s="12"/>
    </row>
    <row r="3261" spans="1:3">
      <c r="A3261">
        <v>3258</v>
      </c>
      <c r="B3261" s="12">
        <v>153799.51088929054</v>
      </c>
      <c r="C3261" s="12"/>
    </row>
    <row r="3262" spans="1:3">
      <c r="A3262">
        <v>3259</v>
      </c>
      <c r="B3262" s="12">
        <v>123331.46061366193</v>
      </c>
      <c r="C3262" s="12"/>
    </row>
    <row r="3263" spans="1:3">
      <c r="A3263">
        <v>3260</v>
      </c>
      <c r="B3263" s="12">
        <v>87564.927293276123</v>
      </c>
      <c r="C3263" s="12"/>
    </row>
    <row r="3264" spans="1:3">
      <c r="A3264">
        <v>3261</v>
      </c>
      <c r="B3264" s="12">
        <v>75502.73964352523</v>
      </c>
      <c r="C3264" s="12"/>
    </row>
    <row r="3265" spans="1:3">
      <c r="A3265">
        <v>3262</v>
      </c>
      <c r="B3265" s="12">
        <v>153963.85332290668</v>
      </c>
      <c r="C3265" s="12"/>
    </row>
    <row r="3266" spans="1:3">
      <c r="A3266">
        <v>3263</v>
      </c>
      <c r="B3266" s="12">
        <v>85190.124964918956</v>
      </c>
      <c r="C3266" s="12"/>
    </row>
    <row r="3267" spans="1:3">
      <c r="A3267">
        <v>3264</v>
      </c>
      <c r="B3267" s="12">
        <v>126867.62821327358</v>
      </c>
      <c r="C3267" s="12"/>
    </row>
    <row r="3268" spans="1:3">
      <c r="A3268">
        <v>3265</v>
      </c>
      <c r="B3268" s="12">
        <v>84609.093849897472</v>
      </c>
      <c r="C3268" s="12"/>
    </row>
    <row r="3269" spans="1:3">
      <c r="A3269">
        <v>3266</v>
      </c>
      <c r="B3269" s="12">
        <v>81993.042837479778</v>
      </c>
      <c r="C3269" s="12"/>
    </row>
    <row r="3270" spans="1:3">
      <c r="A3270">
        <v>3267</v>
      </c>
      <c r="B3270" s="12">
        <v>134375.31184345402</v>
      </c>
      <c r="C3270" s="12"/>
    </row>
    <row r="3271" spans="1:3">
      <c r="A3271">
        <v>3268</v>
      </c>
      <c r="B3271" s="12">
        <v>123393.49193295228</v>
      </c>
      <c r="C3271" s="12"/>
    </row>
    <row r="3272" spans="1:3">
      <c r="A3272">
        <v>3269</v>
      </c>
      <c r="B3272" s="12">
        <v>137826.14229155844</v>
      </c>
      <c r="C3272" s="12"/>
    </row>
    <row r="3273" spans="1:3">
      <c r="A3273">
        <v>3270</v>
      </c>
      <c r="B3273" s="12">
        <v>122590.615762334</v>
      </c>
      <c r="C3273" s="12"/>
    </row>
    <row r="3274" spans="1:3">
      <c r="A3274">
        <v>3271</v>
      </c>
      <c r="B3274" s="12">
        <v>60710.225063626327</v>
      </c>
      <c r="C3274" s="12"/>
    </row>
    <row r="3275" spans="1:3">
      <c r="A3275">
        <v>3272</v>
      </c>
      <c r="B3275" s="12">
        <v>94466.864762877522</v>
      </c>
      <c r="C3275" s="12"/>
    </row>
    <row r="3276" spans="1:3">
      <c r="A3276">
        <v>3273</v>
      </c>
      <c r="B3276" s="12">
        <v>122364.57744797098</v>
      </c>
      <c r="C3276" s="12"/>
    </row>
    <row r="3277" spans="1:3">
      <c r="A3277">
        <v>3274</v>
      </c>
      <c r="B3277" s="12">
        <v>137001.17300835485</v>
      </c>
      <c r="C3277" s="12"/>
    </row>
    <row r="3278" spans="1:3">
      <c r="A3278">
        <v>3275</v>
      </c>
      <c r="B3278" s="12">
        <v>159409.75917576026</v>
      </c>
      <c r="C3278" s="12"/>
    </row>
    <row r="3279" spans="1:3">
      <c r="A3279">
        <v>3276</v>
      </c>
      <c r="B3279" s="12">
        <v>146814.04351618991</v>
      </c>
      <c r="C3279" s="12"/>
    </row>
    <row r="3280" spans="1:3">
      <c r="A3280">
        <v>3277</v>
      </c>
      <c r="B3280" s="12">
        <v>101526.69517795031</v>
      </c>
      <c r="C3280" s="12"/>
    </row>
    <row r="3281" spans="1:3">
      <c r="A3281">
        <v>3278</v>
      </c>
      <c r="B3281" s="12">
        <v>73416.550497350167</v>
      </c>
      <c r="C3281" s="12"/>
    </row>
    <row r="3282" spans="1:3">
      <c r="A3282">
        <v>3279</v>
      </c>
      <c r="B3282" s="12">
        <v>121102.61029792555</v>
      </c>
      <c r="C3282" s="12"/>
    </row>
    <row r="3283" spans="1:3">
      <c r="A3283">
        <v>3280</v>
      </c>
      <c r="B3283" s="12">
        <v>104452.51691890389</v>
      </c>
      <c r="C3283" s="12"/>
    </row>
    <row r="3284" spans="1:3">
      <c r="A3284">
        <v>3281</v>
      </c>
      <c r="B3284" s="12">
        <v>73483.900405284105</v>
      </c>
      <c r="C3284" s="12"/>
    </row>
    <row r="3285" spans="1:3">
      <c r="A3285">
        <v>3282</v>
      </c>
      <c r="B3285" s="12">
        <v>160170.98821681255</v>
      </c>
      <c r="C3285" s="12"/>
    </row>
    <row r="3286" spans="1:3">
      <c r="A3286">
        <v>3283</v>
      </c>
      <c r="B3286" s="12">
        <v>78823.727057606928</v>
      </c>
      <c r="C3286" s="12"/>
    </row>
    <row r="3287" spans="1:3">
      <c r="A3287">
        <v>3284</v>
      </c>
      <c r="B3287" s="12">
        <v>125184.41578452944</v>
      </c>
      <c r="C3287" s="12"/>
    </row>
    <row r="3288" spans="1:3">
      <c r="A3288">
        <v>3285</v>
      </c>
      <c r="B3288" s="12">
        <v>124198.55316378638</v>
      </c>
      <c r="C3288" s="12"/>
    </row>
    <row r="3289" spans="1:3">
      <c r="A3289">
        <v>3286</v>
      </c>
      <c r="B3289" s="12">
        <v>137746.1209605546</v>
      </c>
      <c r="C3289" s="12"/>
    </row>
    <row r="3290" spans="1:3">
      <c r="A3290">
        <v>3287</v>
      </c>
      <c r="B3290" s="12">
        <v>91771.699614723213</v>
      </c>
      <c r="C3290" s="12"/>
    </row>
    <row r="3291" spans="1:3">
      <c r="A3291">
        <v>3288</v>
      </c>
      <c r="B3291" s="12">
        <v>64897.966293161306</v>
      </c>
      <c r="C3291" s="12"/>
    </row>
    <row r="3292" spans="1:3">
      <c r="A3292">
        <v>3289</v>
      </c>
      <c r="B3292" s="12">
        <v>120588.2872065785</v>
      </c>
      <c r="C3292" s="12"/>
    </row>
    <row r="3293" spans="1:3">
      <c r="A3293">
        <v>3290</v>
      </c>
      <c r="B3293" s="12">
        <v>129345.55288070151</v>
      </c>
      <c r="C3293" s="12"/>
    </row>
    <row r="3294" spans="1:3">
      <c r="A3294">
        <v>3291</v>
      </c>
      <c r="B3294" s="12">
        <v>84300.61089799054</v>
      </c>
      <c r="C3294" s="12"/>
    </row>
    <row r="3295" spans="1:3">
      <c r="A3295">
        <v>3292</v>
      </c>
      <c r="B3295" s="12">
        <v>102032.42621926303</v>
      </c>
      <c r="C3295" s="12"/>
    </row>
    <row r="3296" spans="1:3">
      <c r="A3296">
        <v>3293</v>
      </c>
      <c r="B3296" s="12">
        <v>123230.8522850919</v>
      </c>
      <c r="C3296" s="12"/>
    </row>
    <row r="3297" spans="1:3">
      <c r="A3297">
        <v>3294</v>
      </c>
      <c r="B3297" s="12">
        <v>113410.01833114045</v>
      </c>
      <c r="C3297" s="12"/>
    </row>
    <row r="3298" spans="1:3">
      <c r="A3298">
        <v>3295</v>
      </c>
      <c r="B3298" s="12">
        <v>139147.28871123141</v>
      </c>
      <c r="C3298" s="12"/>
    </row>
    <row r="3299" spans="1:3">
      <c r="A3299">
        <v>3296</v>
      </c>
      <c r="B3299" s="12">
        <v>112064.73794843536</v>
      </c>
      <c r="C3299" s="12"/>
    </row>
    <row r="3300" spans="1:3">
      <c r="A3300">
        <v>3297</v>
      </c>
      <c r="B3300" s="12">
        <v>83299.076540687558</v>
      </c>
      <c r="C3300" s="12"/>
    </row>
    <row r="3301" spans="1:3">
      <c r="A3301">
        <v>3298</v>
      </c>
      <c r="B3301" s="12">
        <v>93159.65500190141</v>
      </c>
      <c r="C3301" s="12"/>
    </row>
    <row r="3302" spans="1:3">
      <c r="A3302">
        <v>3299</v>
      </c>
      <c r="B3302" s="12">
        <v>170889.32048650482</v>
      </c>
      <c r="C3302" s="12"/>
    </row>
    <row r="3303" spans="1:3">
      <c r="A3303">
        <v>3300</v>
      </c>
      <c r="B3303" s="12">
        <v>137769.81289725049</v>
      </c>
      <c r="C3303" s="12"/>
    </row>
    <row r="3304" spans="1:3">
      <c r="A3304">
        <v>3301</v>
      </c>
      <c r="B3304" s="12">
        <v>127341.25089270521</v>
      </c>
      <c r="C3304" s="12"/>
    </row>
    <row r="3305" spans="1:3">
      <c r="A3305">
        <v>3302</v>
      </c>
      <c r="B3305" s="12">
        <v>56403.490754170904</v>
      </c>
      <c r="C3305" s="12"/>
    </row>
    <row r="3306" spans="1:3">
      <c r="A3306">
        <v>3303</v>
      </c>
      <c r="B3306" s="12">
        <v>119584.09172466057</v>
      </c>
      <c r="C3306" s="12"/>
    </row>
    <row r="3307" spans="1:3">
      <c r="A3307">
        <v>3304</v>
      </c>
      <c r="B3307" s="12">
        <v>148479.97871129916</v>
      </c>
      <c r="C3307" s="12"/>
    </row>
    <row r="3308" spans="1:3">
      <c r="A3308">
        <v>3305</v>
      </c>
      <c r="B3308" s="12">
        <v>79014.773903474095</v>
      </c>
      <c r="C3308" s="12"/>
    </row>
    <row r="3309" spans="1:3">
      <c r="A3309">
        <v>3306</v>
      </c>
      <c r="B3309" s="12">
        <v>112814.02820663908</v>
      </c>
      <c r="C3309" s="12"/>
    </row>
    <row r="3310" spans="1:3">
      <c r="A3310">
        <v>3307</v>
      </c>
      <c r="B3310" s="12">
        <v>102834.37149899571</v>
      </c>
      <c r="C3310" s="12"/>
    </row>
    <row r="3311" spans="1:3">
      <c r="A3311">
        <v>3308</v>
      </c>
      <c r="B3311" s="12">
        <v>52546.307779650124</v>
      </c>
      <c r="C3311" s="12"/>
    </row>
    <row r="3312" spans="1:3">
      <c r="A3312">
        <v>3309</v>
      </c>
      <c r="B3312" s="12">
        <v>103234.12683031747</v>
      </c>
      <c r="C3312" s="12"/>
    </row>
    <row r="3313" spans="1:3">
      <c r="A3313">
        <v>3310</v>
      </c>
      <c r="B3313" s="12">
        <v>122453.40215499973</v>
      </c>
      <c r="C3313" s="12"/>
    </row>
    <row r="3314" spans="1:3">
      <c r="A3314">
        <v>3311</v>
      </c>
      <c r="B3314" s="12">
        <v>114687.59610332779</v>
      </c>
      <c r="C3314" s="12"/>
    </row>
    <row r="3315" spans="1:3">
      <c r="A3315">
        <v>3312</v>
      </c>
      <c r="B3315" s="12">
        <v>139061.58834385619</v>
      </c>
      <c r="C3315" s="12"/>
    </row>
    <row r="3316" spans="1:3">
      <c r="A3316">
        <v>3313</v>
      </c>
      <c r="B3316" s="12">
        <v>95951.468223798001</v>
      </c>
      <c r="C3316" s="12"/>
    </row>
    <row r="3317" spans="1:3">
      <c r="A3317">
        <v>3314</v>
      </c>
      <c r="B3317" s="12">
        <v>128320.85776131986</v>
      </c>
      <c r="C3317" s="12"/>
    </row>
    <row r="3318" spans="1:3">
      <c r="A3318">
        <v>3315</v>
      </c>
      <c r="B3318" s="12">
        <v>134867.75247304622</v>
      </c>
      <c r="C3318" s="12"/>
    </row>
    <row r="3319" spans="1:3">
      <c r="A3319">
        <v>3316</v>
      </c>
      <c r="B3319" s="12">
        <v>59333.006751729314</v>
      </c>
      <c r="C3319" s="12"/>
    </row>
    <row r="3320" spans="1:3">
      <c r="A3320">
        <v>3317</v>
      </c>
      <c r="B3320" s="12">
        <v>97804.339462670847</v>
      </c>
      <c r="C3320" s="12"/>
    </row>
    <row r="3321" spans="1:3">
      <c r="A3321">
        <v>3318</v>
      </c>
      <c r="B3321" s="12">
        <v>78073.827467783893</v>
      </c>
      <c r="C3321" s="12"/>
    </row>
    <row r="3322" spans="1:3">
      <c r="A3322">
        <v>3319</v>
      </c>
      <c r="B3322" s="12">
        <v>116842.95456165986</v>
      </c>
      <c r="C3322" s="12"/>
    </row>
    <row r="3323" spans="1:3">
      <c r="A3323">
        <v>3320</v>
      </c>
      <c r="B3323" s="12">
        <v>132613.1311144256</v>
      </c>
      <c r="C3323" s="12"/>
    </row>
    <row r="3324" spans="1:3">
      <c r="A3324">
        <v>3321</v>
      </c>
      <c r="B3324" s="12">
        <v>78447.684327697934</v>
      </c>
      <c r="C3324" s="12"/>
    </row>
    <row r="3325" spans="1:3">
      <c r="A3325">
        <v>3322</v>
      </c>
      <c r="B3325" s="12">
        <v>71093.192558042429</v>
      </c>
      <c r="C3325" s="12"/>
    </row>
    <row r="3326" spans="1:3">
      <c r="A3326">
        <v>3323</v>
      </c>
      <c r="B3326" s="12">
        <v>105236.91114737232</v>
      </c>
      <c r="C3326" s="12"/>
    </row>
    <row r="3327" spans="1:3">
      <c r="A3327">
        <v>3324</v>
      </c>
      <c r="B3327" s="12">
        <v>186340.73820667213</v>
      </c>
      <c r="C3327" s="12"/>
    </row>
    <row r="3328" spans="1:3">
      <c r="A3328">
        <v>3325</v>
      </c>
      <c r="B3328" s="12">
        <v>98298.437645828482</v>
      </c>
      <c r="C3328" s="12"/>
    </row>
    <row r="3329" spans="1:3">
      <c r="A3329">
        <v>3326</v>
      </c>
      <c r="B3329" s="12">
        <v>101204.72046074907</v>
      </c>
      <c r="C3329" s="12"/>
    </row>
    <row r="3330" spans="1:3">
      <c r="A3330">
        <v>3327</v>
      </c>
      <c r="B3330" s="12">
        <v>112805.73839679107</v>
      </c>
      <c r="C3330" s="12"/>
    </row>
    <row r="3331" spans="1:3">
      <c r="A3331">
        <v>3328</v>
      </c>
      <c r="B3331" s="12">
        <v>182081.05295374693</v>
      </c>
      <c r="C3331" s="12"/>
    </row>
    <row r="3332" spans="1:3">
      <c r="A3332">
        <v>3329</v>
      </c>
      <c r="B3332" s="12">
        <v>157039.51268306375</v>
      </c>
      <c r="C3332" s="12"/>
    </row>
    <row r="3333" spans="1:3">
      <c r="A3333">
        <v>3330</v>
      </c>
      <c r="B3333" s="12">
        <v>103124.10879207854</v>
      </c>
      <c r="C3333" s="12"/>
    </row>
    <row r="3334" spans="1:3">
      <c r="A3334">
        <v>3331</v>
      </c>
      <c r="B3334" s="12">
        <v>77604.177275746522</v>
      </c>
      <c r="C3334" s="12"/>
    </row>
    <row r="3335" spans="1:3">
      <c r="A3335">
        <v>3332</v>
      </c>
      <c r="B3335" s="12">
        <v>108822.9712776896</v>
      </c>
      <c r="C3335" s="12"/>
    </row>
    <row r="3336" spans="1:3">
      <c r="A3336">
        <v>3333</v>
      </c>
      <c r="B3336" s="12">
        <v>162329.36936241607</v>
      </c>
      <c r="C3336" s="12"/>
    </row>
    <row r="3337" spans="1:3">
      <c r="A3337">
        <v>3334</v>
      </c>
      <c r="B3337" s="12">
        <v>152426.45386764867</v>
      </c>
      <c r="C3337" s="12"/>
    </row>
    <row r="3338" spans="1:3">
      <c r="A3338">
        <v>3335</v>
      </c>
      <c r="B3338" s="12">
        <v>88231.400992439754</v>
      </c>
      <c r="C3338" s="12"/>
    </row>
    <row r="3339" spans="1:3">
      <c r="A3339">
        <v>3336</v>
      </c>
      <c r="B3339" s="12">
        <v>122598.0494181721</v>
      </c>
      <c r="C3339" s="12"/>
    </row>
    <row r="3340" spans="1:3">
      <c r="A3340">
        <v>3337</v>
      </c>
      <c r="B3340" s="12">
        <v>152750.30322815085</v>
      </c>
      <c r="C3340" s="12"/>
    </row>
    <row r="3341" spans="1:3">
      <c r="A3341">
        <v>3338</v>
      </c>
      <c r="B3341" s="12">
        <v>209125.23841468518</v>
      </c>
      <c r="C3341" s="12"/>
    </row>
    <row r="3342" spans="1:3">
      <c r="A3342">
        <v>3339</v>
      </c>
      <c r="B3342" s="12">
        <v>122467.54926602279</v>
      </c>
      <c r="C3342" s="12"/>
    </row>
    <row r="3343" spans="1:3">
      <c r="A3343">
        <v>3340</v>
      </c>
      <c r="B3343" s="12">
        <v>108425.11093300016</v>
      </c>
      <c r="C3343" s="12"/>
    </row>
    <row r="3344" spans="1:3">
      <c r="A3344">
        <v>3341</v>
      </c>
      <c r="B3344" s="12">
        <v>133093.96358277756</v>
      </c>
      <c r="C3344" s="12"/>
    </row>
    <row r="3345" spans="1:3">
      <c r="A3345">
        <v>3342</v>
      </c>
      <c r="B3345" s="12">
        <v>75697.009190535944</v>
      </c>
      <c r="C3345" s="12"/>
    </row>
    <row r="3346" spans="1:3">
      <c r="A3346">
        <v>3343</v>
      </c>
      <c r="B3346" s="12">
        <v>126626.21291959399</v>
      </c>
      <c r="C3346" s="12"/>
    </row>
    <row r="3347" spans="1:3">
      <c r="A3347">
        <v>3344</v>
      </c>
      <c r="B3347" s="12">
        <v>69345.797662497804</v>
      </c>
      <c r="C3347" s="12"/>
    </row>
    <row r="3348" spans="1:3">
      <c r="A3348">
        <v>3345</v>
      </c>
      <c r="B3348" s="12">
        <v>127995.43315364281</v>
      </c>
      <c r="C3348" s="12"/>
    </row>
    <row r="3349" spans="1:3">
      <c r="A3349">
        <v>3346</v>
      </c>
      <c r="B3349" s="12">
        <v>74381.843190844418</v>
      </c>
      <c r="C3349" s="12"/>
    </row>
    <row r="3350" spans="1:3">
      <c r="A3350">
        <v>3347</v>
      </c>
      <c r="B3350" s="12">
        <v>104820.2601916335</v>
      </c>
      <c r="C3350" s="12"/>
    </row>
    <row r="3351" spans="1:3">
      <c r="A3351">
        <v>3348</v>
      </c>
      <c r="B3351" s="12">
        <v>143575.00770365793</v>
      </c>
      <c r="C3351" s="12"/>
    </row>
    <row r="3352" spans="1:3">
      <c r="A3352">
        <v>3349</v>
      </c>
      <c r="B3352" s="12">
        <v>178441.06060251305</v>
      </c>
      <c r="C3352" s="12"/>
    </row>
    <row r="3353" spans="1:3">
      <c r="A3353">
        <v>3350</v>
      </c>
      <c r="B3353" s="12">
        <v>150308.96233888823</v>
      </c>
      <c r="C3353" s="12"/>
    </row>
    <row r="3354" spans="1:3">
      <c r="A3354">
        <v>3351</v>
      </c>
      <c r="B3354" s="12">
        <v>134871.56471667855</v>
      </c>
      <c r="C3354" s="12"/>
    </row>
    <row r="3355" spans="1:3">
      <c r="A3355">
        <v>3352</v>
      </c>
      <c r="B3355" s="12">
        <v>164649.99691171368</v>
      </c>
      <c r="C3355" s="12"/>
    </row>
    <row r="3356" spans="1:3">
      <c r="A3356">
        <v>3353</v>
      </c>
      <c r="B3356" s="12">
        <v>173209.96700432536</v>
      </c>
      <c r="C3356" s="12"/>
    </row>
    <row r="3357" spans="1:3">
      <c r="A3357">
        <v>3354</v>
      </c>
      <c r="B3357" s="12">
        <v>116219.85711700142</v>
      </c>
      <c r="C3357" s="12"/>
    </row>
    <row r="3358" spans="1:3">
      <c r="A3358">
        <v>3355</v>
      </c>
      <c r="B3358" s="12">
        <v>73404.912966707838</v>
      </c>
      <c r="C3358" s="12"/>
    </row>
    <row r="3359" spans="1:3">
      <c r="A3359">
        <v>3356</v>
      </c>
      <c r="B3359" s="12">
        <v>137490.19132368016</v>
      </c>
      <c r="C3359" s="12"/>
    </row>
    <row r="3360" spans="1:3">
      <c r="A3360">
        <v>3357</v>
      </c>
      <c r="B3360" s="12">
        <v>106707.83536513621</v>
      </c>
      <c r="C3360" s="12"/>
    </row>
    <row r="3361" spans="1:3">
      <c r="A3361">
        <v>3358</v>
      </c>
      <c r="B3361" s="12">
        <v>145080.77912415867</v>
      </c>
      <c r="C3361" s="12"/>
    </row>
    <row r="3362" spans="1:3">
      <c r="A3362">
        <v>3359</v>
      </c>
      <c r="B3362" s="12">
        <v>99116.326553008766</v>
      </c>
      <c r="C3362" s="12"/>
    </row>
    <row r="3363" spans="1:3">
      <c r="A3363">
        <v>3360</v>
      </c>
      <c r="B3363" s="12">
        <v>143886.37014895104</v>
      </c>
      <c r="C3363" s="12"/>
    </row>
    <row r="3364" spans="1:3">
      <c r="A3364">
        <v>3361</v>
      </c>
      <c r="B3364" s="12">
        <v>178446.2767206358</v>
      </c>
      <c r="C3364" s="12"/>
    </row>
    <row r="3365" spans="1:3">
      <c r="A3365">
        <v>3362</v>
      </c>
      <c r="B3365" s="12">
        <v>126436.85994376641</v>
      </c>
      <c r="C3365" s="12"/>
    </row>
    <row r="3366" spans="1:3">
      <c r="A3366">
        <v>3363</v>
      </c>
      <c r="B3366" s="12">
        <v>136781.67591552369</v>
      </c>
      <c r="C3366" s="12"/>
    </row>
    <row r="3367" spans="1:3">
      <c r="A3367">
        <v>3364</v>
      </c>
      <c r="B3367" s="12">
        <v>99227.859370384598</v>
      </c>
      <c r="C3367" s="12"/>
    </row>
    <row r="3368" spans="1:3">
      <c r="A3368">
        <v>3365</v>
      </c>
      <c r="B3368" s="12">
        <v>114143.84427754693</v>
      </c>
      <c r="C3368" s="12"/>
    </row>
    <row r="3369" spans="1:3">
      <c r="A3369">
        <v>3366</v>
      </c>
      <c r="B3369" s="12">
        <v>107533.81500915483</v>
      </c>
      <c r="C3369" s="12"/>
    </row>
    <row r="3370" spans="1:3">
      <c r="A3370">
        <v>3367</v>
      </c>
      <c r="B3370" s="12">
        <v>143930.76910373592</v>
      </c>
      <c r="C3370" s="12"/>
    </row>
    <row r="3371" spans="1:3">
      <c r="A3371">
        <v>3368</v>
      </c>
      <c r="B3371" s="12">
        <v>98208.89862888091</v>
      </c>
      <c r="C3371" s="12"/>
    </row>
    <row r="3372" spans="1:3">
      <c r="A3372">
        <v>3369</v>
      </c>
      <c r="B3372" s="12">
        <v>105264.4138325228</v>
      </c>
      <c r="C3372" s="12"/>
    </row>
    <row r="3373" spans="1:3">
      <c r="A3373">
        <v>3370</v>
      </c>
      <c r="B3373" s="12">
        <v>116893.23266499769</v>
      </c>
      <c r="C3373" s="12"/>
    </row>
    <row r="3374" spans="1:3">
      <c r="A3374">
        <v>3371</v>
      </c>
      <c r="B3374" s="12">
        <v>126104.96690627822</v>
      </c>
      <c r="C3374" s="12"/>
    </row>
    <row r="3375" spans="1:3">
      <c r="A3375">
        <v>3372</v>
      </c>
      <c r="B3375" s="12">
        <v>116127.36490922629</v>
      </c>
      <c r="C3375" s="12"/>
    </row>
    <row r="3376" spans="1:3">
      <c r="A3376">
        <v>3373</v>
      </c>
      <c r="B3376" s="12">
        <v>129567.73047464318</v>
      </c>
      <c r="C3376" s="12"/>
    </row>
    <row r="3377" spans="1:3">
      <c r="A3377">
        <v>3374</v>
      </c>
      <c r="B3377" s="12">
        <v>105305.76421409295</v>
      </c>
      <c r="C3377" s="12"/>
    </row>
    <row r="3378" spans="1:3">
      <c r="A3378">
        <v>3375</v>
      </c>
      <c r="B3378" s="12">
        <v>134415.02244822422</v>
      </c>
      <c r="C3378" s="12"/>
    </row>
    <row r="3379" spans="1:3">
      <c r="A3379">
        <v>3376</v>
      </c>
      <c r="B3379" s="12">
        <v>97676.488816390571</v>
      </c>
      <c r="C3379" s="12"/>
    </row>
    <row r="3380" spans="1:3">
      <c r="A3380">
        <v>3377</v>
      </c>
      <c r="B3380" s="12">
        <v>72464.789753294608</v>
      </c>
      <c r="C3380" s="12"/>
    </row>
    <row r="3381" spans="1:3">
      <c r="A3381">
        <v>3378</v>
      </c>
      <c r="B3381" s="12">
        <v>73997.051431421874</v>
      </c>
      <c r="C3381" s="12"/>
    </row>
    <row r="3382" spans="1:3">
      <c r="A3382">
        <v>3379</v>
      </c>
      <c r="B3382" s="12">
        <v>88292.177552628767</v>
      </c>
      <c r="C3382" s="12"/>
    </row>
    <row r="3383" spans="1:3">
      <c r="A3383">
        <v>3380</v>
      </c>
      <c r="B3383" s="12">
        <v>86493.308307372776</v>
      </c>
      <c r="C3383" s="12"/>
    </row>
    <row r="3384" spans="1:3">
      <c r="A3384">
        <v>3381</v>
      </c>
      <c r="B3384" s="12">
        <v>119512.91021440997</v>
      </c>
      <c r="C3384" s="12"/>
    </row>
    <row r="3385" spans="1:3">
      <c r="A3385">
        <v>3382</v>
      </c>
      <c r="B3385" s="12">
        <v>82096.76482881479</v>
      </c>
      <c r="C3385" s="12"/>
    </row>
    <row r="3386" spans="1:3">
      <c r="A3386">
        <v>3383</v>
      </c>
      <c r="B3386" s="12">
        <v>138787.54596076204</v>
      </c>
      <c r="C3386" s="12"/>
    </row>
    <row r="3387" spans="1:3">
      <c r="A3387">
        <v>3384</v>
      </c>
      <c r="B3387" s="12">
        <v>80538.811227704689</v>
      </c>
      <c r="C3387" s="12"/>
    </row>
    <row r="3388" spans="1:3">
      <c r="A3388">
        <v>3385</v>
      </c>
      <c r="B3388" s="12">
        <v>101526.50036878635</v>
      </c>
      <c r="C3388" s="12"/>
    </row>
    <row r="3389" spans="1:3">
      <c r="A3389">
        <v>3386</v>
      </c>
      <c r="B3389" s="12">
        <v>93565.755890356362</v>
      </c>
      <c r="C3389" s="12"/>
    </row>
    <row r="3390" spans="1:3">
      <c r="A3390">
        <v>3387</v>
      </c>
      <c r="B3390" s="12">
        <v>174105.28781520433</v>
      </c>
      <c r="C3390" s="12"/>
    </row>
    <row r="3391" spans="1:3">
      <c r="A3391">
        <v>3388</v>
      </c>
      <c r="B3391" s="12">
        <v>109729.70850899667</v>
      </c>
      <c r="C3391" s="12"/>
    </row>
    <row r="3392" spans="1:3">
      <c r="A3392">
        <v>3389</v>
      </c>
      <c r="B3392" s="12">
        <v>118426.73528716642</v>
      </c>
      <c r="C3392" s="12"/>
    </row>
    <row r="3393" spans="1:3">
      <c r="A3393">
        <v>3390</v>
      </c>
      <c r="B3393" s="12">
        <v>97297.858579855092</v>
      </c>
      <c r="C3393" s="12"/>
    </row>
    <row r="3394" spans="1:3">
      <c r="A3394">
        <v>3391</v>
      </c>
      <c r="B3394" s="12">
        <v>155955.91075267203</v>
      </c>
      <c r="C3394" s="12"/>
    </row>
    <row r="3395" spans="1:3">
      <c r="A3395">
        <v>3392</v>
      </c>
      <c r="B3395" s="12">
        <v>69369.218257350134</v>
      </c>
      <c r="C3395" s="12"/>
    </row>
    <row r="3396" spans="1:3">
      <c r="A3396">
        <v>3393</v>
      </c>
      <c r="B3396" s="12">
        <v>129622.13562306383</v>
      </c>
      <c r="C3396" s="12"/>
    </row>
    <row r="3397" spans="1:3">
      <c r="A3397">
        <v>3394</v>
      </c>
      <c r="B3397" s="12">
        <v>93688.737880075583</v>
      </c>
      <c r="C3397" s="12"/>
    </row>
    <row r="3398" spans="1:3">
      <c r="A3398">
        <v>3395</v>
      </c>
      <c r="B3398" s="12">
        <v>116086.65299846887</v>
      </c>
      <c r="C3398" s="12"/>
    </row>
    <row r="3399" spans="1:3">
      <c r="A3399">
        <v>3396</v>
      </c>
      <c r="B3399" s="12">
        <v>167187.43571240696</v>
      </c>
      <c r="C3399" s="12"/>
    </row>
    <row r="3400" spans="1:3">
      <c r="A3400">
        <v>3397</v>
      </c>
      <c r="B3400" s="12">
        <v>98294.302612630287</v>
      </c>
      <c r="C3400" s="12"/>
    </row>
    <row r="3401" spans="1:3">
      <c r="A3401">
        <v>3398</v>
      </c>
      <c r="B3401" s="12">
        <v>99623.332570541446</v>
      </c>
      <c r="C3401" s="12"/>
    </row>
    <row r="3402" spans="1:3">
      <c r="A3402">
        <v>3399</v>
      </c>
      <c r="B3402" s="12">
        <v>98190.930638195015</v>
      </c>
      <c r="C3402" s="12"/>
    </row>
    <row r="3403" spans="1:3">
      <c r="A3403">
        <v>3400</v>
      </c>
      <c r="B3403" s="12">
        <v>107354.6274132174</v>
      </c>
      <c r="C3403" s="12"/>
    </row>
    <row r="3404" spans="1:3">
      <c r="A3404">
        <v>3401</v>
      </c>
      <c r="B3404" s="12">
        <v>98770.33880055818</v>
      </c>
      <c r="C3404" s="12"/>
    </row>
    <row r="3405" spans="1:3">
      <c r="A3405">
        <v>3402</v>
      </c>
      <c r="B3405" s="12">
        <v>180837.34813844418</v>
      </c>
      <c r="C3405" s="12"/>
    </row>
    <row r="3406" spans="1:3">
      <c r="A3406">
        <v>3403</v>
      </c>
      <c r="B3406" s="12">
        <v>87883.481558136264</v>
      </c>
      <c r="C3406" s="12"/>
    </row>
    <row r="3407" spans="1:3">
      <c r="A3407">
        <v>3404</v>
      </c>
      <c r="B3407" s="12">
        <v>117234.79459521211</v>
      </c>
      <c r="C3407" s="12"/>
    </row>
    <row r="3408" spans="1:3">
      <c r="A3408">
        <v>3405</v>
      </c>
      <c r="B3408" s="12">
        <v>57702.38176998245</v>
      </c>
      <c r="C3408" s="12"/>
    </row>
    <row r="3409" spans="1:3">
      <c r="A3409">
        <v>3406</v>
      </c>
      <c r="B3409" s="12">
        <v>105957.62752411238</v>
      </c>
      <c r="C3409" s="12"/>
    </row>
    <row r="3410" spans="1:3">
      <c r="A3410">
        <v>3407</v>
      </c>
      <c r="B3410" s="12">
        <v>83335.799682912999</v>
      </c>
      <c r="C3410" s="12"/>
    </row>
    <row r="3411" spans="1:3">
      <c r="A3411">
        <v>3408</v>
      </c>
      <c r="B3411" s="12">
        <v>156702.02130133862</v>
      </c>
      <c r="C3411" s="12"/>
    </row>
    <row r="3412" spans="1:3">
      <c r="A3412">
        <v>3409</v>
      </c>
      <c r="B3412" s="12">
        <v>72511.427288194624</v>
      </c>
      <c r="C3412" s="12"/>
    </row>
    <row r="3413" spans="1:3">
      <c r="A3413">
        <v>3410</v>
      </c>
      <c r="B3413" s="12">
        <v>97893.719898255586</v>
      </c>
      <c r="C3413" s="12"/>
    </row>
    <row r="3414" spans="1:3">
      <c r="A3414">
        <v>3411</v>
      </c>
      <c r="B3414" s="12">
        <v>91239.842415860781</v>
      </c>
      <c r="C3414" s="12"/>
    </row>
    <row r="3415" spans="1:3">
      <c r="A3415">
        <v>3412</v>
      </c>
      <c r="B3415" s="12">
        <v>139207.89851026263</v>
      </c>
      <c r="C3415" s="12"/>
    </row>
    <row r="3416" spans="1:3">
      <c r="A3416">
        <v>3413</v>
      </c>
      <c r="B3416" s="12">
        <v>61410.630038911033</v>
      </c>
      <c r="C3416" s="12"/>
    </row>
    <row r="3417" spans="1:3">
      <c r="A3417">
        <v>3414</v>
      </c>
      <c r="B3417" s="12">
        <v>164353.75193822032</v>
      </c>
      <c r="C3417" s="12"/>
    </row>
    <row r="3418" spans="1:3">
      <c r="A3418">
        <v>3415</v>
      </c>
      <c r="B3418" s="12">
        <v>108243.37494938351</v>
      </c>
      <c r="C3418" s="12"/>
    </row>
    <row r="3419" spans="1:3">
      <c r="A3419">
        <v>3416</v>
      </c>
      <c r="B3419" s="12">
        <v>127162.86579557099</v>
      </c>
      <c r="C3419" s="12"/>
    </row>
    <row r="3420" spans="1:3">
      <c r="A3420">
        <v>3417</v>
      </c>
      <c r="B3420" s="12">
        <v>140321.34154851804</v>
      </c>
      <c r="C3420" s="12"/>
    </row>
    <row r="3421" spans="1:3">
      <c r="A3421">
        <v>3418</v>
      </c>
      <c r="B3421" s="12">
        <v>135163.57556571192</v>
      </c>
      <c r="C3421" s="12"/>
    </row>
    <row r="3422" spans="1:3">
      <c r="A3422">
        <v>3419</v>
      </c>
      <c r="B3422" s="12">
        <v>110748.7334425541</v>
      </c>
      <c r="C3422" s="12"/>
    </row>
    <row r="3423" spans="1:3">
      <c r="A3423">
        <v>3420</v>
      </c>
      <c r="B3423" s="12">
        <v>179510.07491746065</v>
      </c>
      <c r="C3423" s="12"/>
    </row>
    <row r="3424" spans="1:3">
      <c r="A3424">
        <v>3421</v>
      </c>
      <c r="B3424" s="12">
        <v>125245.15216022535</v>
      </c>
      <c r="C3424" s="12"/>
    </row>
    <row r="3425" spans="1:3">
      <c r="A3425">
        <v>3422</v>
      </c>
      <c r="B3425" s="12">
        <v>121610.19199015549</v>
      </c>
      <c r="C3425" s="12"/>
    </row>
    <row r="3426" spans="1:3">
      <c r="A3426">
        <v>3423</v>
      </c>
      <c r="B3426" s="12">
        <v>72222.359346101264</v>
      </c>
      <c r="C3426" s="12"/>
    </row>
    <row r="3427" spans="1:3">
      <c r="A3427">
        <v>3424</v>
      </c>
      <c r="B3427" s="12">
        <v>154259.69174255023</v>
      </c>
      <c r="C3427" s="12"/>
    </row>
    <row r="3428" spans="1:3">
      <c r="A3428">
        <v>3425</v>
      </c>
      <c r="B3428" s="12">
        <v>91031.622601245443</v>
      </c>
      <c r="C3428" s="12"/>
    </row>
    <row r="3429" spans="1:3">
      <c r="A3429">
        <v>3426</v>
      </c>
      <c r="B3429" s="12">
        <v>145808.31802421404</v>
      </c>
      <c r="C3429" s="12"/>
    </row>
    <row r="3430" spans="1:3">
      <c r="A3430">
        <v>3427</v>
      </c>
      <c r="B3430" s="12">
        <v>94810.507884338469</v>
      </c>
      <c r="C3430" s="12"/>
    </row>
    <row r="3431" spans="1:3">
      <c r="A3431">
        <v>3428</v>
      </c>
      <c r="B3431" s="12">
        <v>86663.869818184859</v>
      </c>
      <c r="C3431" s="12"/>
    </row>
    <row r="3432" spans="1:3">
      <c r="A3432">
        <v>3429</v>
      </c>
      <c r="B3432" s="12">
        <v>103917.32454703341</v>
      </c>
      <c r="C3432" s="12"/>
    </row>
    <row r="3433" spans="1:3">
      <c r="A3433">
        <v>3430</v>
      </c>
      <c r="B3433" s="12">
        <v>135767.64034512563</v>
      </c>
      <c r="C3433" s="12"/>
    </row>
    <row r="3434" spans="1:3">
      <c r="A3434">
        <v>3431</v>
      </c>
      <c r="B3434" s="12">
        <v>127493.942235989</v>
      </c>
      <c r="C3434" s="12"/>
    </row>
    <row r="3435" spans="1:3">
      <c r="A3435">
        <v>3432</v>
      </c>
      <c r="B3435" s="12">
        <v>167858.31295759871</v>
      </c>
      <c r="C3435" s="12"/>
    </row>
    <row r="3436" spans="1:3">
      <c r="A3436">
        <v>3433</v>
      </c>
      <c r="B3436" s="12">
        <v>83635.346033875991</v>
      </c>
      <c r="C3436" s="12"/>
    </row>
    <row r="3437" spans="1:3">
      <c r="A3437">
        <v>3434</v>
      </c>
      <c r="B3437" s="12">
        <v>92234.973182621019</v>
      </c>
      <c r="C3437" s="12"/>
    </row>
    <row r="3438" spans="1:3">
      <c r="A3438">
        <v>3435</v>
      </c>
      <c r="B3438" s="12">
        <v>67547.21303407909</v>
      </c>
      <c r="C3438" s="12"/>
    </row>
    <row r="3439" spans="1:3">
      <c r="A3439">
        <v>3436</v>
      </c>
      <c r="B3439" s="12">
        <v>116453.55019266839</v>
      </c>
      <c r="C3439" s="12"/>
    </row>
    <row r="3440" spans="1:3">
      <c r="A3440">
        <v>3437</v>
      </c>
      <c r="B3440" s="12">
        <v>118070.6758460666</v>
      </c>
      <c r="C3440" s="12"/>
    </row>
    <row r="3441" spans="1:3">
      <c r="A3441">
        <v>3438</v>
      </c>
      <c r="B3441" s="12">
        <v>81167.337559960637</v>
      </c>
      <c r="C3441" s="12"/>
    </row>
    <row r="3442" spans="1:3">
      <c r="A3442">
        <v>3439</v>
      </c>
      <c r="B3442" s="12">
        <v>80068.494693045621</v>
      </c>
      <c r="C3442" s="12"/>
    </row>
    <row r="3443" spans="1:3">
      <c r="A3443">
        <v>3440</v>
      </c>
      <c r="B3443" s="12">
        <v>125642.10762563683</v>
      </c>
      <c r="C3443" s="12"/>
    </row>
    <row r="3444" spans="1:3">
      <c r="A3444">
        <v>3441</v>
      </c>
      <c r="B3444" s="12">
        <v>195814.87521778024</v>
      </c>
      <c r="C3444" s="12"/>
    </row>
    <row r="3445" spans="1:3">
      <c r="A3445">
        <v>3442</v>
      </c>
      <c r="B3445" s="12">
        <v>140764.33439736135</v>
      </c>
      <c r="C3445" s="12"/>
    </row>
    <row r="3446" spans="1:3">
      <c r="A3446">
        <v>3443</v>
      </c>
      <c r="B3446" s="12">
        <v>74300.375032780546</v>
      </c>
      <c r="C3446" s="12"/>
    </row>
    <row r="3447" spans="1:3">
      <c r="A3447">
        <v>3444</v>
      </c>
      <c r="B3447" s="12">
        <v>104133.38383933685</v>
      </c>
      <c r="C3447" s="12"/>
    </row>
    <row r="3448" spans="1:3">
      <c r="A3448">
        <v>3445</v>
      </c>
      <c r="B3448" s="12">
        <v>103929.7192800411</v>
      </c>
      <c r="C3448" s="12"/>
    </row>
    <row r="3449" spans="1:3">
      <c r="A3449">
        <v>3446</v>
      </c>
      <c r="B3449" s="12">
        <v>106028.33892373857</v>
      </c>
      <c r="C3449" s="12"/>
    </row>
    <row r="3450" spans="1:3">
      <c r="A3450">
        <v>3447</v>
      </c>
      <c r="B3450" s="12">
        <v>53493.974921254681</v>
      </c>
      <c r="C3450" s="12"/>
    </row>
    <row r="3451" spans="1:3">
      <c r="A3451">
        <v>3448</v>
      </c>
      <c r="B3451" s="12">
        <v>127572.82794739182</v>
      </c>
      <c r="C3451" s="12"/>
    </row>
    <row r="3452" spans="1:3">
      <c r="A3452">
        <v>3449</v>
      </c>
      <c r="B3452" s="12">
        <v>137933.01246684269</v>
      </c>
      <c r="C3452" s="12"/>
    </row>
    <row r="3453" spans="1:3">
      <c r="A3453">
        <v>3450</v>
      </c>
      <c r="B3453" s="12">
        <v>75593.451556240339</v>
      </c>
      <c r="C3453" s="12"/>
    </row>
    <row r="3454" spans="1:3">
      <c r="A3454">
        <v>3451</v>
      </c>
      <c r="B3454" s="12">
        <v>107245.39151857077</v>
      </c>
      <c r="C3454" s="12"/>
    </row>
    <row r="3455" spans="1:3">
      <c r="A3455">
        <v>3452</v>
      </c>
      <c r="B3455" s="12">
        <v>127981.05553131516</v>
      </c>
      <c r="C3455" s="12"/>
    </row>
    <row r="3456" spans="1:3">
      <c r="A3456">
        <v>3453</v>
      </c>
      <c r="B3456" s="12">
        <v>53855.810069906329</v>
      </c>
      <c r="C3456" s="12"/>
    </row>
    <row r="3457" spans="1:3">
      <c r="A3457">
        <v>3454</v>
      </c>
      <c r="B3457" s="12">
        <v>102994.16112125476</v>
      </c>
      <c r="C3457" s="12"/>
    </row>
    <row r="3458" spans="1:3">
      <c r="A3458">
        <v>3455</v>
      </c>
      <c r="B3458" s="12">
        <v>124865.13517929256</v>
      </c>
      <c r="C3458" s="12"/>
    </row>
    <row r="3459" spans="1:3">
      <c r="A3459">
        <v>3456</v>
      </c>
      <c r="B3459" s="12">
        <v>106785.60245413631</v>
      </c>
      <c r="C3459" s="12"/>
    </row>
    <row r="3460" spans="1:3">
      <c r="A3460">
        <v>3457</v>
      </c>
      <c r="B3460" s="12">
        <v>106411.92775322206</v>
      </c>
      <c r="C3460" s="12"/>
    </row>
    <row r="3461" spans="1:3">
      <c r="A3461">
        <v>3458</v>
      </c>
      <c r="B3461" s="12">
        <v>133248.68822031995</v>
      </c>
      <c r="C3461" s="12"/>
    </row>
    <row r="3462" spans="1:3">
      <c r="A3462">
        <v>3459</v>
      </c>
      <c r="B3462" s="12">
        <v>114508.47806910989</v>
      </c>
      <c r="C3462" s="12"/>
    </row>
    <row r="3463" spans="1:3">
      <c r="A3463">
        <v>3460</v>
      </c>
      <c r="B3463" s="12">
        <v>147428.24729718419</v>
      </c>
      <c r="C3463" s="12"/>
    </row>
    <row r="3464" spans="1:3">
      <c r="A3464">
        <v>3461</v>
      </c>
      <c r="B3464" s="12">
        <v>74453.646232051527</v>
      </c>
      <c r="C3464" s="12"/>
    </row>
    <row r="3465" spans="1:3">
      <c r="A3465">
        <v>3462</v>
      </c>
      <c r="B3465" s="12">
        <v>192746.97970647007</v>
      </c>
      <c r="C3465" s="12"/>
    </row>
    <row r="3466" spans="1:3">
      <c r="A3466">
        <v>3463</v>
      </c>
      <c r="B3466" s="12">
        <v>112025.86167275914</v>
      </c>
      <c r="C3466" s="12"/>
    </row>
    <row r="3467" spans="1:3">
      <c r="A3467">
        <v>3464</v>
      </c>
      <c r="B3467" s="12">
        <v>123945.63076550839</v>
      </c>
      <c r="C3467" s="12"/>
    </row>
    <row r="3468" spans="1:3">
      <c r="A3468">
        <v>3465</v>
      </c>
      <c r="B3468" s="12">
        <v>105933.00461212281</v>
      </c>
      <c r="C3468" s="12"/>
    </row>
    <row r="3469" spans="1:3">
      <c r="A3469">
        <v>3466</v>
      </c>
      <c r="B3469" s="12">
        <v>64273.168258860307</v>
      </c>
      <c r="C3469" s="12"/>
    </row>
    <row r="3470" spans="1:3">
      <c r="A3470">
        <v>3467</v>
      </c>
      <c r="B3470" s="12">
        <v>114123.37698234542</v>
      </c>
      <c r="C3470" s="12"/>
    </row>
    <row r="3471" spans="1:3">
      <c r="A3471">
        <v>3468</v>
      </c>
      <c r="B3471" s="12">
        <v>136318.26826744576</v>
      </c>
      <c r="C3471" s="12"/>
    </row>
    <row r="3472" spans="1:3">
      <c r="A3472">
        <v>3469</v>
      </c>
      <c r="B3472" s="12">
        <v>120990.75329996902</v>
      </c>
      <c r="C3472" s="12"/>
    </row>
    <row r="3473" spans="1:3">
      <c r="A3473">
        <v>3470</v>
      </c>
      <c r="B3473" s="12">
        <v>121155.60839393048</v>
      </c>
      <c r="C3473" s="12"/>
    </row>
    <row r="3474" spans="1:3">
      <c r="A3474">
        <v>3471</v>
      </c>
      <c r="B3474" s="12">
        <v>107683.35440494074</v>
      </c>
      <c r="C3474" s="12"/>
    </row>
    <row r="3475" spans="1:3">
      <c r="A3475">
        <v>3472</v>
      </c>
      <c r="B3475" s="12">
        <v>116893.80965032864</v>
      </c>
      <c r="C3475" s="12"/>
    </row>
    <row r="3476" spans="1:3">
      <c r="A3476">
        <v>3473</v>
      </c>
      <c r="B3476" s="12">
        <v>129837.15210654176</v>
      </c>
      <c r="C3476" s="12"/>
    </row>
    <row r="3477" spans="1:3">
      <c r="A3477">
        <v>3474</v>
      </c>
      <c r="B3477" s="12">
        <v>66812.150891964367</v>
      </c>
      <c r="C3477" s="12"/>
    </row>
    <row r="3478" spans="1:3">
      <c r="A3478">
        <v>3475</v>
      </c>
      <c r="B3478" s="12">
        <v>108408.31878253768</v>
      </c>
      <c r="C3478" s="12"/>
    </row>
    <row r="3479" spans="1:3">
      <c r="A3479">
        <v>3476</v>
      </c>
      <c r="B3479" s="12">
        <v>103673.42651942979</v>
      </c>
      <c r="C3479" s="12"/>
    </row>
    <row r="3480" spans="1:3">
      <c r="A3480">
        <v>3477</v>
      </c>
      <c r="B3480" s="12">
        <v>86441.59448890129</v>
      </c>
      <c r="C3480" s="12"/>
    </row>
    <row r="3481" spans="1:3">
      <c r="A3481">
        <v>3478</v>
      </c>
      <c r="B3481" s="12">
        <v>119463.11211515318</v>
      </c>
      <c r="C3481" s="12"/>
    </row>
    <row r="3482" spans="1:3">
      <c r="A3482">
        <v>3479</v>
      </c>
      <c r="B3482" s="12">
        <v>142378.48978731679</v>
      </c>
      <c r="C3482" s="12"/>
    </row>
    <row r="3483" spans="1:3">
      <c r="A3483">
        <v>3480</v>
      </c>
      <c r="B3483" s="12">
        <v>74250.700846441556</v>
      </c>
      <c r="C3483" s="12"/>
    </row>
    <row r="3484" spans="1:3">
      <c r="A3484">
        <v>3481</v>
      </c>
      <c r="B3484" s="12">
        <v>142642.13262829452</v>
      </c>
      <c r="C3484" s="12"/>
    </row>
    <row r="3485" spans="1:3">
      <c r="A3485">
        <v>3482</v>
      </c>
      <c r="B3485" s="12">
        <v>136631.84116450968</v>
      </c>
      <c r="C3485" s="12"/>
    </row>
    <row r="3486" spans="1:3">
      <c r="A3486">
        <v>3483</v>
      </c>
      <c r="B3486" s="12">
        <v>120830.1305807856</v>
      </c>
      <c r="C3486" s="12"/>
    </row>
    <row r="3487" spans="1:3">
      <c r="A3487">
        <v>3484</v>
      </c>
      <c r="B3487" s="12">
        <v>134262.75214978552</v>
      </c>
      <c r="C3487" s="12"/>
    </row>
    <row r="3488" spans="1:3">
      <c r="A3488">
        <v>3485</v>
      </c>
      <c r="B3488" s="12">
        <v>128273.95317785685</v>
      </c>
      <c r="C3488" s="12"/>
    </row>
    <row r="3489" spans="1:3">
      <c r="A3489">
        <v>3486</v>
      </c>
      <c r="B3489" s="12">
        <v>85221.832589705504</v>
      </c>
      <c r="C3489" s="12"/>
    </row>
    <row r="3490" spans="1:3">
      <c r="A3490">
        <v>3487</v>
      </c>
      <c r="B3490" s="12">
        <v>92030.906824301012</v>
      </c>
      <c r="C3490" s="12"/>
    </row>
    <row r="3491" spans="1:3">
      <c r="A3491">
        <v>3488</v>
      </c>
      <c r="B3491" s="12">
        <v>69374.541582447477</v>
      </c>
      <c r="C3491" s="12"/>
    </row>
    <row r="3492" spans="1:3">
      <c r="A3492">
        <v>3489</v>
      </c>
      <c r="B3492" s="12">
        <v>104898.8090885128</v>
      </c>
      <c r="C3492" s="12"/>
    </row>
    <row r="3493" spans="1:3">
      <c r="A3493">
        <v>3490</v>
      </c>
      <c r="B3493" s="12">
        <v>100011.46285091716</v>
      </c>
      <c r="C3493" s="12"/>
    </row>
    <row r="3494" spans="1:3">
      <c r="A3494">
        <v>3491</v>
      </c>
      <c r="B3494" s="12">
        <v>58645.564122578675</v>
      </c>
      <c r="C3494" s="12"/>
    </row>
    <row r="3495" spans="1:3">
      <c r="A3495">
        <v>3492</v>
      </c>
      <c r="B3495" s="12">
        <v>157522.20936795633</v>
      </c>
      <c r="C3495" s="12"/>
    </row>
    <row r="3496" spans="1:3">
      <c r="A3496">
        <v>3493</v>
      </c>
      <c r="B3496" s="12">
        <v>119638.99133790877</v>
      </c>
      <c r="C3496" s="12"/>
    </row>
    <row r="3497" spans="1:3">
      <c r="A3497">
        <v>3494</v>
      </c>
      <c r="B3497" s="12">
        <v>65680.558697693166</v>
      </c>
      <c r="C3497" s="12"/>
    </row>
    <row r="3498" spans="1:3">
      <c r="A3498">
        <v>3495</v>
      </c>
      <c r="B3498" s="12">
        <v>122932.59095446701</v>
      </c>
      <c r="C3498" s="12"/>
    </row>
    <row r="3499" spans="1:3">
      <c r="A3499">
        <v>3496</v>
      </c>
      <c r="B3499" s="12">
        <v>91793.136590527531</v>
      </c>
      <c r="C3499" s="12"/>
    </row>
    <row r="3500" spans="1:3">
      <c r="A3500">
        <v>3497</v>
      </c>
      <c r="B3500" s="12">
        <v>102617.34120845095</v>
      </c>
      <c r="C3500" s="12"/>
    </row>
    <row r="3501" spans="1:3">
      <c r="A3501">
        <v>3498</v>
      </c>
      <c r="B3501" s="12">
        <v>105257.34928063025</v>
      </c>
      <c r="C3501" s="12"/>
    </row>
    <row r="3502" spans="1:3">
      <c r="A3502">
        <v>3499</v>
      </c>
      <c r="B3502" s="12">
        <v>123497.84602942332</v>
      </c>
      <c r="C3502" s="12"/>
    </row>
    <row r="3503" spans="1:3">
      <c r="A3503">
        <v>3500</v>
      </c>
      <c r="B3503" s="12">
        <v>62889.904499461598</v>
      </c>
      <c r="C3503" s="12"/>
    </row>
    <row r="3504" spans="1:3">
      <c r="A3504">
        <v>3501</v>
      </c>
      <c r="B3504" s="12">
        <v>112701.57912752211</v>
      </c>
      <c r="C3504" s="12"/>
    </row>
    <row r="3505" spans="1:3">
      <c r="A3505">
        <v>3502</v>
      </c>
      <c r="B3505" s="12">
        <v>100291.5190979317</v>
      </c>
      <c r="C3505" s="12"/>
    </row>
    <row r="3506" spans="1:3">
      <c r="A3506">
        <v>3503</v>
      </c>
      <c r="B3506" s="12">
        <v>111645.52542456455</v>
      </c>
      <c r="C3506" s="12"/>
    </row>
    <row r="3507" spans="1:3">
      <c r="A3507">
        <v>3504</v>
      </c>
      <c r="B3507" s="12">
        <v>111899.12691235103</v>
      </c>
      <c r="C3507" s="12"/>
    </row>
    <row r="3508" spans="1:3">
      <c r="A3508">
        <v>3505</v>
      </c>
      <c r="B3508" s="12">
        <v>90201.291585836691</v>
      </c>
      <c r="C3508" s="12"/>
    </row>
    <row r="3509" spans="1:3">
      <c r="A3509">
        <v>3506</v>
      </c>
      <c r="B3509" s="12">
        <v>89025.938622186412</v>
      </c>
      <c r="C3509" s="12"/>
    </row>
    <row r="3510" spans="1:3">
      <c r="A3510">
        <v>3507</v>
      </c>
      <c r="B3510" s="12">
        <v>117122.38560191402</v>
      </c>
      <c r="C3510" s="12"/>
    </row>
    <row r="3511" spans="1:3">
      <c r="A3511">
        <v>3508</v>
      </c>
      <c r="B3511" s="12">
        <v>112765.88368727756</v>
      </c>
      <c r="C3511" s="12"/>
    </row>
    <row r="3512" spans="1:3">
      <c r="A3512">
        <v>3509</v>
      </c>
      <c r="B3512" s="12">
        <v>125486.2827732404</v>
      </c>
      <c r="C3512" s="12"/>
    </row>
    <row r="3513" spans="1:3">
      <c r="A3513">
        <v>3510</v>
      </c>
      <c r="B3513" s="12">
        <v>105209.94190370572</v>
      </c>
      <c r="C3513" s="12"/>
    </row>
    <row r="3514" spans="1:3">
      <c r="A3514">
        <v>3511</v>
      </c>
      <c r="B3514" s="12">
        <v>112034.30232956111</v>
      </c>
      <c r="C3514" s="12"/>
    </row>
    <row r="3515" spans="1:3">
      <c r="A3515">
        <v>3512</v>
      </c>
      <c r="B3515" s="12">
        <v>86398.169537735943</v>
      </c>
      <c r="C3515" s="12"/>
    </row>
    <row r="3516" spans="1:3">
      <c r="A3516">
        <v>3513</v>
      </c>
      <c r="B3516" s="12">
        <v>101279.91379906794</v>
      </c>
      <c r="C3516" s="12"/>
    </row>
    <row r="3517" spans="1:3">
      <c r="A3517">
        <v>3514</v>
      </c>
      <c r="B3517" s="12">
        <v>112992.82112495587</v>
      </c>
      <c r="C3517" s="12"/>
    </row>
    <row r="3518" spans="1:3">
      <c r="A3518">
        <v>3515</v>
      </c>
      <c r="B3518" s="12">
        <v>128432.93551000977</v>
      </c>
      <c r="C3518" s="12"/>
    </row>
    <row r="3519" spans="1:3">
      <c r="A3519">
        <v>3516</v>
      </c>
      <c r="B3519" s="12">
        <v>113655.42716435646</v>
      </c>
      <c r="C3519" s="12"/>
    </row>
    <row r="3520" spans="1:3">
      <c r="A3520">
        <v>3517</v>
      </c>
      <c r="B3520" s="12">
        <v>131391.0038000441</v>
      </c>
      <c r="C3520" s="12"/>
    </row>
    <row r="3521" spans="1:3">
      <c r="A3521">
        <v>3518</v>
      </c>
      <c r="B3521" s="12">
        <v>86795.709916639971</v>
      </c>
      <c r="C3521" s="12"/>
    </row>
    <row r="3522" spans="1:3">
      <c r="A3522">
        <v>3519</v>
      </c>
      <c r="B3522" s="12">
        <v>163485.1585439351</v>
      </c>
      <c r="C3522" s="12"/>
    </row>
    <row r="3523" spans="1:3">
      <c r="A3523">
        <v>3520</v>
      </c>
      <c r="B3523" s="12">
        <v>96918.473235284066</v>
      </c>
      <c r="C3523" s="12"/>
    </row>
    <row r="3524" spans="1:3">
      <c r="A3524">
        <v>3521</v>
      </c>
      <c r="B3524" s="12">
        <v>89456.64806623786</v>
      </c>
      <c r="C3524" s="12"/>
    </row>
    <row r="3525" spans="1:3">
      <c r="A3525">
        <v>3522</v>
      </c>
      <c r="B3525" s="12">
        <v>94931.673597098546</v>
      </c>
      <c r="C3525" s="12"/>
    </row>
    <row r="3526" spans="1:3">
      <c r="A3526">
        <v>3523</v>
      </c>
      <c r="B3526" s="12">
        <v>87191.590938943205</v>
      </c>
      <c r="C3526" s="12"/>
    </row>
    <row r="3527" spans="1:3">
      <c r="A3527">
        <v>3524</v>
      </c>
      <c r="B3527" s="12">
        <v>108568.31427596592</v>
      </c>
      <c r="C3527" s="12"/>
    </row>
    <row r="3528" spans="1:3">
      <c r="A3528">
        <v>3525</v>
      </c>
      <c r="B3528" s="12">
        <v>82488.163575876228</v>
      </c>
      <c r="C3528" s="12"/>
    </row>
    <row r="3529" spans="1:3">
      <c r="A3529">
        <v>3526</v>
      </c>
      <c r="B3529" s="12">
        <v>103487.0363828936</v>
      </c>
      <c r="C3529" s="12"/>
    </row>
    <row r="3530" spans="1:3">
      <c r="A3530">
        <v>3527</v>
      </c>
      <c r="B3530" s="12">
        <v>85095.32593560814</v>
      </c>
      <c r="C3530" s="12"/>
    </row>
    <row r="3531" spans="1:3">
      <c r="A3531">
        <v>3528</v>
      </c>
      <c r="B3531" s="12">
        <v>87849.007312434318</v>
      </c>
      <c r="C3531" s="12"/>
    </row>
    <row r="3532" spans="1:3">
      <c r="A3532">
        <v>3529</v>
      </c>
      <c r="B3532" s="12">
        <v>127429.80099489451</v>
      </c>
      <c r="C3532" s="12"/>
    </row>
    <row r="3533" spans="1:3">
      <c r="A3533">
        <v>3530</v>
      </c>
      <c r="B3533" s="12">
        <v>79963.176340206366</v>
      </c>
      <c r="C3533" s="12"/>
    </row>
    <row r="3534" spans="1:3">
      <c r="A3534">
        <v>3531</v>
      </c>
      <c r="B3534" s="12">
        <v>85514.051874027122</v>
      </c>
      <c r="C3534" s="12"/>
    </row>
    <row r="3535" spans="1:3">
      <c r="A3535">
        <v>3532</v>
      </c>
      <c r="B3535" s="12">
        <v>100778.78811382892</v>
      </c>
      <c r="C3535" s="12"/>
    </row>
    <row r="3536" spans="1:3">
      <c r="A3536">
        <v>3533</v>
      </c>
      <c r="B3536" s="12">
        <v>147011.17252823411</v>
      </c>
      <c r="C3536" s="12"/>
    </row>
    <row r="3537" spans="1:3">
      <c r="A3537">
        <v>3534</v>
      </c>
      <c r="B3537" s="12">
        <v>101469.79932129671</v>
      </c>
      <c r="C3537" s="12"/>
    </row>
    <row r="3538" spans="1:3">
      <c r="A3538">
        <v>3535</v>
      </c>
      <c r="B3538" s="12">
        <v>110610.73098377092</v>
      </c>
      <c r="C3538" s="12"/>
    </row>
    <row r="3539" spans="1:3">
      <c r="A3539">
        <v>3536</v>
      </c>
      <c r="B3539" s="12">
        <v>90198.660007242128</v>
      </c>
      <c r="C3539" s="12"/>
    </row>
    <row r="3540" spans="1:3">
      <c r="A3540">
        <v>3537</v>
      </c>
      <c r="B3540" s="12">
        <v>173550.45856252545</v>
      </c>
      <c r="C3540" s="12"/>
    </row>
    <row r="3541" spans="1:3">
      <c r="A3541">
        <v>3538</v>
      </c>
      <c r="B3541" s="12">
        <v>96646.412252738592</v>
      </c>
      <c r="C3541" s="12"/>
    </row>
    <row r="3542" spans="1:3">
      <c r="A3542">
        <v>3539</v>
      </c>
      <c r="B3542" s="12">
        <v>151620.66188887632</v>
      </c>
      <c r="C3542" s="12"/>
    </row>
    <row r="3543" spans="1:3">
      <c r="A3543">
        <v>3540</v>
      </c>
      <c r="B3543" s="12">
        <v>93172.143895969071</v>
      </c>
      <c r="C3543" s="12"/>
    </row>
    <row r="3544" spans="1:3">
      <c r="A3544">
        <v>3541</v>
      </c>
      <c r="B3544" s="12">
        <v>103229.89141040843</v>
      </c>
      <c r="C3544" s="12"/>
    </row>
    <row r="3545" spans="1:3">
      <c r="A3545">
        <v>3542</v>
      </c>
      <c r="B3545" s="12">
        <v>71712.900810195541</v>
      </c>
      <c r="C3545" s="12"/>
    </row>
    <row r="3546" spans="1:3">
      <c r="A3546">
        <v>3543</v>
      </c>
      <c r="B3546" s="12">
        <v>95581.216913484139</v>
      </c>
      <c r="C3546" s="12"/>
    </row>
    <row r="3547" spans="1:3">
      <c r="A3547">
        <v>3544</v>
      </c>
      <c r="B3547" s="12">
        <v>102240.50342081768</v>
      </c>
      <c r="C3547" s="12"/>
    </row>
    <row r="3548" spans="1:3">
      <c r="A3548">
        <v>3545</v>
      </c>
      <c r="B3548" s="12">
        <v>100019.44681087903</v>
      </c>
      <c r="C3548" s="12"/>
    </row>
    <row r="3549" spans="1:3">
      <c r="A3549">
        <v>3546</v>
      </c>
      <c r="B3549" s="12">
        <v>71647.387788570617</v>
      </c>
      <c r="C3549" s="12"/>
    </row>
    <row r="3550" spans="1:3">
      <c r="A3550">
        <v>3547</v>
      </c>
      <c r="B3550" s="12">
        <v>107472.17566166195</v>
      </c>
      <c r="C3550" s="12"/>
    </row>
    <row r="3551" spans="1:3">
      <c r="A3551">
        <v>3548</v>
      </c>
      <c r="B3551" s="12">
        <v>63742.779863457203</v>
      </c>
      <c r="C3551" s="12"/>
    </row>
    <row r="3552" spans="1:3">
      <c r="A3552">
        <v>3549</v>
      </c>
      <c r="B3552" s="12">
        <v>61374.732909107574</v>
      </c>
      <c r="C3552" s="12"/>
    </row>
    <row r="3553" spans="1:3">
      <c r="A3553">
        <v>3550</v>
      </c>
      <c r="B3553" s="12">
        <v>190345.54909279861</v>
      </c>
      <c r="C3553" s="12"/>
    </row>
    <row r="3554" spans="1:3">
      <c r="A3554">
        <v>3551</v>
      </c>
      <c r="B3554" s="12">
        <v>102831.98843577899</v>
      </c>
      <c r="C3554" s="12"/>
    </row>
    <row r="3555" spans="1:3">
      <c r="A3555">
        <v>3552</v>
      </c>
      <c r="B3555" s="12">
        <v>149505.6983033428</v>
      </c>
      <c r="C3555" s="12"/>
    </row>
    <row r="3556" spans="1:3">
      <c r="A3556">
        <v>3553</v>
      </c>
      <c r="B3556" s="12">
        <v>102430.78624172589</v>
      </c>
      <c r="C3556" s="12"/>
    </row>
    <row r="3557" spans="1:3">
      <c r="A3557">
        <v>3554</v>
      </c>
      <c r="B3557" s="12">
        <v>144671.71588378469</v>
      </c>
      <c r="C3557" s="12"/>
    </row>
    <row r="3558" spans="1:3">
      <c r="A3558">
        <v>3555</v>
      </c>
      <c r="B3558" s="12">
        <v>138145.77204520322</v>
      </c>
      <c r="C3558" s="12"/>
    </row>
    <row r="3559" spans="1:3">
      <c r="A3559">
        <v>3556</v>
      </c>
      <c r="B3559" s="12">
        <v>113274.48638881015</v>
      </c>
      <c r="C3559" s="12"/>
    </row>
    <row r="3560" spans="1:3">
      <c r="A3560">
        <v>3557</v>
      </c>
      <c r="B3560" s="12">
        <v>160592.23020033038</v>
      </c>
      <c r="C3560" s="12"/>
    </row>
    <row r="3561" spans="1:3">
      <c r="A3561">
        <v>3558</v>
      </c>
      <c r="B3561" s="12">
        <v>105822.55914835885</v>
      </c>
      <c r="C3561" s="12"/>
    </row>
    <row r="3562" spans="1:3">
      <c r="A3562">
        <v>3559</v>
      </c>
      <c r="B3562" s="12">
        <v>64195.674542990862</v>
      </c>
      <c r="C3562" s="12"/>
    </row>
    <row r="3563" spans="1:3">
      <c r="A3563">
        <v>3560</v>
      </c>
      <c r="B3563" s="12">
        <v>100138.84269850051</v>
      </c>
      <c r="C3563" s="12"/>
    </row>
    <row r="3564" spans="1:3">
      <c r="A3564">
        <v>3561</v>
      </c>
      <c r="B3564" s="12">
        <v>115965.03690566926</v>
      </c>
      <c r="C3564" s="12"/>
    </row>
    <row r="3565" spans="1:3">
      <c r="A3565">
        <v>3562</v>
      </c>
      <c r="B3565" s="12">
        <v>137969.3539495758</v>
      </c>
      <c r="C3565" s="12"/>
    </row>
    <row r="3566" spans="1:3">
      <c r="A3566">
        <v>3563</v>
      </c>
      <c r="B3566" s="12">
        <v>87261.491933535755</v>
      </c>
      <c r="C3566" s="12"/>
    </row>
    <row r="3567" spans="1:3">
      <c r="A3567">
        <v>3564</v>
      </c>
      <c r="B3567" s="12">
        <v>159552.71991084222</v>
      </c>
      <c r="C3567" s="12"/>
    </row>
    <row r="3568" spans="1:3">
      <c r="A3568">
        <v>3565</v>
      </c>
      <c r="B3568" s="12">
        <v>126931.56696454303</v>
      </c>
      <c r="C3568" s="12"/>
    </row>
    <row r="3569" spans="1:3">
      <c r="A3569">
        <v>3566</v>
      </c>
      <c r="B3569" s="12">
        <v>92086.498057859571</v>
      </c>
      <c r="C3569" s="12"/>
    </row>
    <row r="3570" spans="1:3">
      <c r="A3570">
        <v>3567</v>
      </c>
      <c r="B3570" s="12">
        <v>75953.480871208289</v>
      </c>
      <c r="C3570" s="12"/>
    </row>
    <row r="3571" spans="1:3">
      <c r="A3571">
        <v>3568</v>
      </c>
      <c r="B3571" s="12">
        <v>134384.04684727357</v>
      </c>
      <c r="C3571" s="12"/>
    </row>
    <row r="3572" spans="1:3">
      <c r="A3572">
        <v>3569</v>
      </c>
      <c r="B3572" s="12">
        <v>120053.56135597796</v>
      </c>
      <c r="C3572" s="12"/>
    </row>
    <row r="3573" spans="1:3">
      <c r="A3573">
        <v>3570</v>
      </c>
      <c r="B3573" s="12">
        <v>168231.23384806165</v>
      </c>
      <c r="C3573" s="12"/>
    </row>
    <row r="3574" spans="1:3">
      <c r="A3574">
        <v>3571</v>
      </c>
      <c r="B3574" s="12">
        <v>76506.011483851937</v>
      </c>
      <c r="C3574" s="12"/>
    </row>
    <row r="3575" spans="1:3">
      <c r="A3575">
        <v>3572</v>
      </c>
      <c r="B3575" s="12">
        <v>148768.08420274741</v>
      </c>
      <c r="C3575" s="12"/>
    </row>
    <row r="3576" spans="1:3">
      <c r="A3576">
        <v>3573</v>
      </c>
      <c r="B3576" s="12">
        <v>101503.4225189523</v>
      </c>
      <c r="C3576" s="12"/>
    </row>
    <row r="3577" spans="1:3">
      <c r="A3577">
        <v>3574</v>
      </c>
      <c r="B3577" s="12">
        <v>126698.15541897148</v>
      </c>
      <c r="C3577" s="12"/>
    </row>
    <row r="3578" spans="1:3">
      <c r="A3578">
        <v>3575</v>
      </c>
      <c r="B3578" s="12">
        <v>62964.826609837532</v>
      </c>
      <c r="C3578" s="12"/>
    </row>
    <row r="3579" spans="1:3">
      <c r="A3579">
        <v>3576</v>
      </c>
      <c r="B3579" s="12">
        <v>156123.16989103268</v>
      </c>
      <c r="C3579" s="12"/>
    </row>
    <row r="3580" spans="1:3">
      <c r="A3580">
        <v>3577</v>
      </c>
      <c r="B3580" s="12">
        <v>75059.473502393783</v>
      </c>
      <c r="C3580" s="12"/>
    </row>
    <row r="3581" spans="1:3">
      <c r="A3581">
        <v>3578</v>
      </c>
      <c r="B3581" s="12">
        <v>143822.56021412037</v>
      </c>
      <c r="C3581" s="12"/>
    </row>
    <row r="3582" spans="1:3">
      <c r="A3582">
        <v>3579</v>
      </c>
      <c r="B3582" s="12">
        <v>74075.924925625382</v>
      </c>
      <c r="C3582" s="12"/>
    </row>
    <row r="3583" spans="1:3">
      <c r="A3583">
        <v>3580</v>
      </c>
      <c r="B3583" s="12">
        <v>133498.38179791498</v>
      </c>
      <c r="C3583" s="12"/>
    </row>
    <row r="3584" spans="1:3">
      <c r="A3584">
        <v>3581</v>
      </c>
      <c r="B3584" s="12">
        <v>111300.16253246776</v>
      </c>
      <c r="C3584" s="12"/>
    </row>
    <row r="3585" spans="1:3">
      <c r="A3585">
        <v>3582</v>
      </c>
      <c r="B3585" s="12">
        <v>188644.55105509382</v>
      </c>
      <c r="C3585" s="12"/>
    </row>
    <row r="3586" spans="1:3">
      <c r="A3586">
        <v>3583</v>
      </c>
      <c r="B3586" s="12">
        <v>79953.271394067939</v>
      </c>
      <c r="C3586" s="12"/>
    </row>
    <row r="3587" spans="1:3">
      <c r="A3587">
        <v>3584</v>
      </c>
      <c r="B3587" s="12">
        <v>99320.129419349047</v>
      </c>
      <c r="C3587" s="12"/>
    </row>
    <row r="3588" spans="1:3">
      <c r="A3588">
        <v>3585</v>
      </c>
      <c r="B3588" s="12">
        <v>122034.66018562349</v>
      </c>
      <c r="C3588" s="12"/>
    </row>
    <row r="3589" spans="1:3">
      <c r="A3589">
        <v>3586</v>
      </c>
      <c r="B3589" s="12">
        <v>130015.89393889597</v>
      </c>
      <c r="C3589" s="12"/>
    </row>
    <row r="3590" spans="1:3">
      <c r="A3590">
        <v>3587</v>
      </c>
      <c r="B3590" s="12">
        <v>120337.54089491547</v>
      </c>
      <c r="C3590" s="12"/>
    </row>
    <row r="3591" spans="1:3">
      <c r="A3591">
        <v>3588</v>
      </c>
      <c r="B3591" s="12">
        <v>207511.21862049313</v>
      </c>
      <c r="C3591" s="12"/>
    </row>
    <row r="3592" spans="1:3">
      <c r="A3592">
        <v>3589</v>
      </c>
      <c r="B3592" s="12">
        <v>109208.28523806199</v>
      </c>
      <c r="C3592" s="12"/>
    </row>
    <row r="3593" spans="1:3">
      <c r="A3593">
        <v>3590</v>
      </c>
      <c r="B3593" s="12">
        <v>125555.22991651155</v>
      </c>
      <c r="C3593" s="12"/>
    </row>
    <row r="3594" spans="1:3">
      <c r="A3594">
        <v>3591</v>
      </c>
      <c r="B3594" s="12">
        <v>125491.1969484919</v>
      </c>
      <c r="C3594" s="12"/>
    </row>
    <row r="3595" spans="1:3">
      <c r="A3595">
        <v>3592</v>
      </c>
      <c r="B3595" s="12">
        <v>132364.61934983064</v>
      </c>
      <c r="C3595" s="12"/>
    </row>
    <row r="3596" spans="1:3">
      <c r="A3596">
        <v>3593</v>
      </c>
      <c r="B3596" s="12">
        <v>105264.32432622422</v>
      </c>
      <c r="C3596" s="12"/>
    </row>
    <row r="3597" spans="1:3">
      <c r="A3597">
        <v>3594</v>
      </c>
      <c r="B3597" s="12">
        <v>194255.59036004959</v>
      </c>
      <c r="C3597" s="12"/>
    </row>
    <row r="3598" spans="1:3">
      <c r="A3598">
        <v>3595</v>
      </c>
      <c r="B3598" s="12">
        <v>118711.84330045877</v>
      </c>
      <c r="C3598" s="12"/>
    </row>
    <row r="3599" spans="1:3">
      <c r="A3599">
        <v>3596</v>
      </c>
      <c r="B3599" s="12">
        <v>87885.977352443806</v>
      </c>
      <c r="C3599" s="12"/>
    </row>
    <row r="3600" spans="1:3">
      <c r="A3600">
        <v>3597</v>
      </c>
      <c r="B3600" s="12">
        <v>76186.242430117942</v>
      </c>
      <c r="C3600" s="12"/>
    </row>
    <row r="3601" spans="1:3">
      <c r="A3601">
        <v>3598</v>
      </c>
      <c r="B3601" s="12">
        <v>129314.78058290994</v>
      </c>
      <c r="C3601" s="12"/>
    </row>
    <row r="3602" spans="1:3">
      <c r="A3602">
        <v>3599</v>
      </c>
      <c r="B3602" s="12">
        <v>101024.26789365018</v>
      </c>
      <c r="C3602" s="12"/>
    </row>
    <row r="3603" spans="1:3">
      <c r="A3603">
        <v>3600</v>
      </c>
      <c r="B3603" s="12">
        <v>108776.52202055075</v>
      </c>
      <c r="C3603" s="12"/>
    </row>
    <row r="3604" spans="1:3">
      <c r="A3604">
        <v>3601</v>
      </c>
      <c r="B3604" s="12">
        <v>66296.475299056299</v>
      </c>
      <c r="C3604" s="12"/>
    </row>
    <row r="3605" spans="1:3">
      <c r="A3605">
        <v>3602</v>
      </c>
      <c r="B3605" s="12">
        <v>131034.69288530327</v>
      </c>
      <c r="C3605" s="12"/>
    </row>
    <row r="3606" spans="1:3">
      <c r="A3606">
        <v>3603</v>
      </c>
      <c r="B3606" s="12">
        <v>120259.72178187186</v>
      </c>
      <c r="C3606" s="12"/>
    </row>
    <row r="3607" spans="1:3">
      <c r="A3607">
        <v>3604</v>
      </c>
      <c r="B3607" s="12">
        <v>139795.57852246318</v>
      </c>
      <c r="C3607" s="12"/>
    </row>
    <row r="3608" spans="1:3">
      <c r="A3608">
        <v>3605</v>
      </c>
      <c r="B3608" s="12">
        <v>56644.484059873226</v>
      </c>
      <c r="C3608" s="12"/>
    </row>
    <row r="3609" spans="1:3">
      <c r="A3609">
        <v>3606</v>
      </c>
      <c r="B3609" s="12">
        <v>69985.433371881794</v>
      </c>
      <c r="C3609" s="12"/>
    </row>
    <row r="3610" spans="1:3">
      <c r="A3610">
        <v>3607</v>
      </c>
      <c r="B3610" s="12">
        <v>131149.81451049578</v>
      </c>
      <c r="C3610" s="12"/>
    </row>
    <row r="3611" spans="1:3">
      <c r="A3611">
        <v>3608</v>
      </c>
      <c r="B3611" s="12">
        <v>112848.88863593516</v>
      </c>
      <c r="C3611" s="12"/>
    </row>
    <row r="3612" spans="1:3">
      <c r="A3612">
        <v>3609</v>
      </c>
      <c r="B3612" s="12">
        <v>58788.609175627505</v>
      </c>
      <c r="C3612" s="12"/>
    </row>
    <row r="3613" spans="1:3">
      <c r="A3613">
        <v>3610</v>
      </c>
      <c r="B3613" s="12">
        <v>149084.31811071158</v>
      </c>
      <c r="C3613" s="12"/>
    </row>
    <row r="3614" spans="1:3">
      <c r="A3614">
        <v>3611</v>
      </c>
      <c r="B3614" s="12">
        <v>108198.21998953754</v>
      </c>
      <c r="C3614" s="12"/>
    </row>
    <row r="3615" spans="1:3">
      <c r="A3615">
        <v>3612</v>
      </c>
      <c r="B3615" s="12">
        <v>95497.365213833444</v>
      </c>
      <c r="C3615" s="12"/>
    </row>
    <row r="3616" spans="1:3">
      <c r="A3616">
        <v>3613</v>
      </c>
      <c r="B3616" s="12">
        <v>180309.89635236122</v>
      </c>
      <c r="C3616" s="12"/>
    </row>
    <row r="3617" spans="1:3">
      <c r="A3617">
        <v>3614</v>
      </c>
      <c r="B3617" s="12">
        <v>84845.625532540405</v>
      </c>
      <c r="C3617" s="12"/>
    </row>
    <row r="3618" spans="1:3">
      <c r="A3618">
        <v>3615</v>
      </c>
      <c r="B3618" s="12">
        <v>108722.89645178124</v>
      </c>
      <c r="C3618" s="12"/>
    </row>
    <row r="3619" spans="1:3">
      <c r="A3619">
        <v>3616</v>
      </c>
      <c r="B3619" s="12">
        <v>105583.70044910324</v>
      </c>
      <c r="C3619" s="12"/>
    </row>
    <row r="3620" spans="1:3">
      <c r="A3620">
        <v>3617</v>
      </c>
      <c r="B3620" s="12">
        <v>122502.78888857106</v>
      </c>
      <c r="C3620" s="12"/>
    </row>
    <row r="3621" spans="1:3">
      <c r="A3621">
        <v>3618</v>
      </c>
      <c r="B3621" s="12">
        <v>74731.887398742329</v>
      </c>
      <c r="C3621" s="12"/>
    </row>
    <row r="3622" spans="1:3">
      <c r="A3622">
        <v>3619</v>
      </c>
      <c r="B3622" s="12">
        <v>96802.667880815206</v>
      </c>
      <c r="C3622" s="12"/>
    </row>
    <row r="3623" spans="1:3">
      <c r="A3623">
        <v>3620</v>
      </c>
      <c r="B3623" s="12">
        <v>115640.06371477254</v>
      </c>
      <c r="C3623" s="12"/>
    </row>
    <row r="3624" spans="1:3">
      <c r="A3624">
        <v>3621</v>
      </c>
      <c r="B3624" s="12">
        <v>99933.662611906781</v>
      </c>
      <c r="C3624" s="12"/>
    </row>
    <row r="3625" spans="1:3">
      <c r="A3625">
        <v>3622</v>
      </c>
      <c r="B3625" s="12">
        <v>81561.016756011231</v>
      </c>
      <c r="C3625" s="12"/>
    </row>
    <row r="3626" spans="1:3">
      <c r="A3626">
        <v>3623</v>
      </c>
      <c r="B3626" s="12">
        <v>86926.384866563516</v>
      </c>
      <c r="C3626" s="12"/>
    </row>
    <row r="3627" spans="1:3">
      <c r="A3627">
        <v>3624</v>
      </c>
      <c r="B3627" s="12">
        <v>88934.336490356742</v>
      </c>
      <c r="C3627" s="12"/>
    </row>
    <row r="3628" spans="1:3">
      <c r="A3628">
        <v>3625</v>
      </c>
      <c r="B3628" s="12">
        <v>144941.88616973112</v>
      </c>
      <c r="C3628" s="12"/>
    </row>
    <row r="3629" spans="1:3">
      <c r="A3629">
        <v>3626</v>
      </c>
      <c r="B3629" s="12">
        <v>147639.35480158249</v>
      </c>
      <c r="C3629" s="12"/>
    </row>
    <row r="3630" spans="1:3">
      <c r="A3630">
        <v>3627</v>
      </c>
      <c r="B3630" s="12">
        <v>142868.04552700094</v>
      </c>
      <c r="C3630" s="12"/>
    </row>
    <row r="3631" spans="1:3">
      <c r="A3631">
        <v>3628</v>
      </c>
      <c r="B3631" s="12">
        <v>92927.734450134856</v>
      </c>
      <c r="C3631" s="12"/>
    </row>
    <row r="3632" spans="1:3">
      <c r="A3632">
        <v>3629</v>
      </c>
      <c r="B3632" s="12">
        <v>135686.90806779076</v>
      </c>
      <c r="C3632" s="12"/>
    </row>
    <row r="3633" spans="1:3">
      <c r="A3633">
        <v>3630</v>
      </c>
      <c r="B3633" s="12">
        <v>78630.877745018384</v>
      </c>
      <c r="C3633" s="12"/>
    </row>
    <row r="3634" spans="1:3">
      <c r="A3634">
        <v>3631</v>
      </c>
      <c r="B3634" s="12">
        <v>143699.40938077841</v>
      </c>
      <c r="C3634" s="12"/>
    </row>
    <row r="3635" spans="1:3">
      <c r="A3635">
        <v>3632</v>
      </c>
      <c r="B3635" s="12">
        <v>68210.71123564578</v>
      </c>
      <c r="C3635" s="12"/>
    </row>
    <row r="3636" spans="1:3">
      <c r="A3636">
        <v>3633</v>
      </c>
      <c r="B3636" s="12">
        <v>88665.852776821412</v>
      </c>
      <c r="C3636" s="12"/>
    </row>
    <row r="3637" spans="1:3">
      <c r="A3637">
        <v>3634</v>
      </c>
      <c r="B3637" s="12">
        <v>86206.730961334179</v>
      </c>
      <c r="C3637" s="12"/>
    </row>
    <row r="3638" spans="1:3">
      <c r="A3638">
        <v>3635</v>
      </c>
      <c r="B3638" s="12">
        <v>81999.929029847466</v>
      </c>
      <c r="C3638" s="12"/>
    </row>
    <row r="3639" spans="1:3">
      <c r="A3639">
        <v>3636</v>
      </c>
      <c r="B3639" s="12">
        <v>65530.729772019804</v>
      </c>
      <c r="C3639" s="12"/>
    </row>
    <row r="3640" spans="1:3">
      <c r="A3640">
        <v>3637</v>
      </c>
      <c r="B3640" s="12">
        <v>151586.22944761877</v>
      </c>
      <c r="C3640" s="12"/>
    </row>
    <row r="3641" spans="1:3">
      <c r="A3641">
        <v>3638</v>
      </c>
      <c r="B3641" s="12">
        <v>119035.88963160107</v>
      </c>
      <c r="C3641" s="12"/>
    </row>
    <row r="3642" spans="1:3">
      <c r="A3642">
        <v>3639</v>
      </c>
      <c r="B3642" s="12">
        <v>131844.13544857511</v>
      </c>
      <c r="C3642" s="12"/>
    </row>
    <row r="3643" spans="1:3">
      <c r="A3643">
        <v>3640</v>
      </c>
      <c r="B3643" s="12">
        <v>140885.58101320622</v>
      </c>
      <c r="C3643" s="12"/>
    </row>
    <row r="3644" spans="1:3">
      <c r="A3644">
        <v>3641</v>
      </c>
      <c r="B3644" s="12">
        <v>116162.76820415053</v>
      </c>
      <c r="C3644" s="12"/>
    </row>
    <row r="3645" spans="1:3">
      <c r="A3645">
        <v>3642</v>
      </c>
      <c r="B3645" s="12">
        <v>133837.55111223162</v>
      </c>
      <c r="C3645" s="12"/>
    </row>
    <row r="3646" spans="1:3">
      <c r="A3646">
        <v>3643</v>
      </c>
      <c r="B3646" s="12">
        <v>149508.282566118</v>
      </c>
      <c r="C3646" s="12"/>
    </row>
    <row r="3647" spans="1:3">
      <c r="A3647">
        <v>3644</v>
      </c>
      <c r="B3647" s="12">
        <v>97827.854203694122</v>
      </c>
      <c r="C3647" s="12"/>
    </row>
    <row r="3648" spans="1:3">
      <c r="A3648">
        <v>3645</v>
      </c>
      <c r="B3648" s="12">
        <v>90698.756355710415</v>
      </c>
      <c r="C3648" s="12"/>
    </row>
    <row r="3649" spans="1:3">
      <c r="A3649">
        <v>3646</v>
      </c>
      <c r="B3649" s="12">
        <v>94640.496135918453</v>
      </c>
      <c r="C3649" s="12"/>
    </row>
    <row r="3650" spans="1:3">
      <c r="A3650">
        <v>3647</v>
      </c>
      <c r="B3650" s="12">
        <v>103487.33730277576</v>
      </c>
      <c r="C3650" s="12"/>
    </row>
    <row r="3651" spans="1:3">
      <c r="A3651">
        <v>3648</v>
      </c>
      <c r="B3651" s="12">
        <v>146523.85642095312</v>
      </c>
      <c r="C3651" s="12"/>
    </row>
    <row r="3652" spans="1:3">
      <c r="A3652">
        <v>3649</v>
      </c>
      <c r="B3652" s="12">
        <v>87155.057232375329</v>
      </c>
      <c r="C3652" s="12"/>
    </row>
    <row r="3653" spans="1:3">
      <c r="A3653">
        <v>3650</v>
      </c>
      <c r="B3653" s="12">
        <v>83232.034111079513</v>
      </c>
      <c r="C3653" s="12"/>
    </row>
    <row r="3654" spans="1:3">
      <c r="A3654">
        <v>3651</v>
      </c>
      <c r="B3654" s="12">
        <v>126645.40224772398</v>
      </c>
      <c r="C3654" s="12"/>
    </row>
    <row r="3655" spans="1:3">
      <c r="A3655">
        <v>3652</v>
      </c>
      <c r="B3655" s="12">
        <v>116961.58629716987</v>
      </c>
      <c r="C3655" s="12"/>
    </row>
    <row r="3656" spans="1:3">
      <c r="A3656">
        <v>3653</v>
      </c>
      <c r="B3656" s="12">
        <v>130038.40998341038</v>
      </c>
      <c r="C3656" s="12"/>
    </row>
    <row r="3657" spans="1:3">
      <c r="A3657">
        <v>3654</v>
      </c>
      <c r="B3657" s="12">
        <v>91113.947950921647</v>
      </c>
      <c r="C3657" s="12"/>
    </row>
    <row r="3658" spans="1:3">
      <c r="A3658">
        <v>3655</v>
      </c>
      <c r="B3658" s="12">
        <v>151651.69326848903</v>
      </c>
      <c r="C3658" s="12"/>
    </row>
    <row r="3659" spans="1:3">
      <c r="A3659">
        <v>3656</v>
      </c>
      <c r="B3659" s="12">
        <v>152755.89948497422</v>
      </c>
      <c r="C3659" s="12"/>
    </row>
    <row r="3660" spans="1:3">
      <c r="A3660">
        <v>3657</v>
      </c>
      <c r="B3660" s="12">
        <v>133713.20382060396</v>
      </c>
      <c r="C3660" s="12"/>
    </row>
    <row r="3661" spans="1:3">
      <c r="A3661">
        <v>3658</v>
      </c>
      <c r="B3661" s="12">
        <v>90054.742341811725</v>
      </c>
      <c r="C3661" s="12"/>
    </row>
    <row r="3662" spans="1:3">
      <c r="A3662">
        <v>3659</v>
      </c>
      <c r="B3662" s="12">
        <v>96764.96128024935</v>
      </c>
      <c r="C3662" s="12"/>
    </row>
    <row r="3663" spans="1:3">
      <c r="A3663">
        <v>3660</v>
      </c>
      <c r="B3663" s="12">
        <v>112320.05351656246</v>
      </c>
      <c r="C3663" s="12"/>
    </row>
    <row r="3664" spans="1:3">
      <c r="A3664">
        <v>3661</v>
      </c>
      <c r="B3664" s="12">
        <v>97958.609784676228</v>
      </c>
      <c r="C3664" s="12"/>
    </row>
    <row r="3665" spans="1:3">
      <c r="A3665">
        <v>3662</v>
      </c>
      <c r="B3665" s="12">
        <v>170815.13624545588</v>
      </c>
      <c r="C3665" s="12"/>
    </row>
    <row r="3666" spans="1:3">
      <c r="A3666">
        <v>3663</v>
      </c>
      <c r="B3666" s="12">
        <v>133264.23645884523</v>
      </c>
      <c r="C3666" s="12"/>
    </row>
    <row r="3667" spans="1:3">
      <c r="A3667">
        <v>3664</v>
      </c>
      <c r="B3667" s="12">
        <v>97016.511249724688</v>
      </c>
      <c r="C3667" s="12"/>
    </row>
    <row r="3668" spans="1:3">
      <c r="A3668">
        <v>3665</v>
      </c>
      <c r="B3668" s="12">
        <v>137148.52697206184</v>
      </c>
      <c r="C3668" s="12"/>
    </row>
    <row r="3669" spans="1:3">
      <c r="A3669">
        <v>3666</v>
      </c>
      <c r="B3669" s="12">
        <v>109584.33089515413</v>
      </c>
      <c r="C3669" s="12"/>
    </row>
    <row r="3670" spans="1:3">
      <c r="A3670">
        <v>3667</v>
      </c>
      <c r="B3670" s="12">
        <v>80169.32691014091</v>
      </c>
      <c r="C3670" s="12"/>
    </row>
    <row r="3671" spans="1:3">
      <c r="A3671">
        <v>3668</v>
      </c>
      <c r="B3671" s="12">
        <v>78540.629913852841</v>
      </c>
      <c r="C3671" s="12"/>
    </row>
    <row r="3672" spans="1:3">
      <c r="A3672">
        <v>3669</v>
      </c>
      <c r="B3672" s="12">
        <v>98174.239318853128</v>
      </c>
      <c r="C3672" s="12"/>
    </row>
    <row r="3673" spans="1:3">
      <c r="A3673">
        <v>3670</v>
      </c>
      <c r="B3673" s="12">
        <v>101051.15777189338</v>
      </c>
      <c r="C3673" s="12"/>
    </row>
    <row r="3674" spans="1:3">
      <c r="A3674">
        <v>3671</v>
      </c>
      <c r="B3674" s="12">
        <v>136726.89602439408</v>
      </c>
      <c r="C3674" s="12"/>
    </row>
    <row r="3675" spans="1:3">
      <c r="A3675">
        <v>3672</v>
      </c>
      <c r="B3675" s="12">
        <v>112763.77135107286</v>
      </c>
      <c r="C3675" s="12"/>
    </row>
    <row r="3676" spans="1:3">
      <c r="A3676">
        <v>3673</v>
      </c>
      <c r="B3676" s="12">
        <v>124141.42101305164</v>
      </c>
      <c r="C3676" s="12"/>
    </row>
    <row r="3677" spans="1:3">
      <c r="A3677">
        <v>3674</v>
      </c>
      <c r="B3677" s="12">
        <v>89690.863229413197</v>
      </c>
      <c r="C3677" s="12"/>
    </row>
    <row r="3678" spans="1:3">
      <c r="A3678">
        <v>3675</v>
      </c>
      <c r="B3678" s="12">
        <v>76889.134941146767</v>
      </c>
      <c r="C3678" s="12"/>
    </row>
    <row r="3679" spans="1:3">
      <c r="A3679">
        <v>3676</v>
      </c>
      <c r="B3679" s="12">
        <v>115882.94605138013</v>
      </c>
      <c r="C3679" s="12"/>
    </row>
    <row r="3680" spans="1:3">
      <c r="A3680">
        <v>3677</v>
      </c>
      <c r="B3680" s="12">
        <v>98267.196617819354</v>
      </c>
      <c r="C3680" s="12"/>
    </row>
    <row r="3681" spans="1:3">
      <c r="A3681">
        <v>3678</v>
      </c>
      <c r="B3681" s="12">
        <v>117086.01850840666</v>
      </c>
      <c r="C3681" s="12"/>
    </row>
    <row r="3682" spans="1:3">
      <c r="A3682">
        <v>3679</v>
      </c>
      <c r="B3682" s="12">
        <v>149726.84174439166</v>
      </c>
      <c r="C3682" s="12"/>
    </row>
    <row r="3683" spans="1:3">
      <c r="A3683">
        <v>3680</v>
      </c>
      <c r="B3683" s="12">
        <v>123377.04835240876</v>
      </c>
      <c r="C3683" s="12"/>
    </row>
    <row r="3684" spans="1:3">
      <c r="A3684">
        <v>3681</v>
      </c>
      <c r="B3684" s="12">
        <v>157875.90144598161</v>
      </c>
      <c r="C3684" s="12"/>
    </row>
    <row r="3685" spans="1:3">
      <c r="A3685">
        <v>3682</v>
      </c>
      <c r="B3685" s="12">
        <v>99271.503745517213</v>
      </c>
      <c r="C3685" s="12"/>
    </row>
    <row r="3686" spans="1:3">
      <c r="A3686">
        <v>3683</v>
      </c>
      <c r="B3686" s="12">
        <v>98454.137840011099</v>
      </c>
      <c r="C3686" s="12"/>
    </row>
    <row r="3687" spans="1:3">
      <c r="A3687">
        <v>3684</v>
      </c>
      <c r="B3687" s="12">
        <v>103045.56391411167</v>
      </c>
      <c r="C3687" s="12"/>
    </row>
    <row r="3688" spans="1:3">
      <c r="A3688">
        <v>3685</v>
      </c>
      <c r="B3688" s="12">
        <v>69864.860474244415</v>
      </c>
      <c r="C3688" s="12"/>
    </row>
    <row r="3689" spans="1:3">
      <c r="A3689">
        <v>3686</v>
      </c>
      <c r="B3689" s="12">
        <v>102036.54348261973</v>
      </c>
      <c r="C3689" s="12"/>
    </row>
    <row r="3690" spans="1:3">
      <c r="A3690">
        <v>3687</v>
      </c>
      <c r="B3690" s="12">
        <v>112230.38122535819</v>
      </c>
      <c r="C3690" s="12"/>
    </row>
    <row r="3691" spans="1:3">
      <c r="A3691">
        <v>3688</v>
      </c>
      <c r="B3691" s="12">
        <v>83049.814371561763</v>
      </c>
      <c r="C3691" s="12"/>
    </row>
    <row r="3692" spans="1:3">
      <c r="A3692">
        <v>3689</v>
      </c>
      <c r="B3692" s="12">
        <v>111935.69861035538</v>
      </c>
      <c r="C3692" s="12"/>
    </row>
    <row r="3693" spans="1:3">
      <c r="A3693">
        <v>3690</v>
      </c>
      <c r="B3693" s="12">
        <v>115811.65938661346</v>
      </c>
      <c r="C3693" s="12"/>
    </row>
    <row r="3694" spans="1:3">
      <c r="A3694">
        <v>3691</v>
      </c>
      <c r="B3694" s="12">
        <v>125140.66609505049</v>
      </c>
      <c r="C3694" s="12"/>
    </row>
    <row r="3695" spans="1:3">
      <c r="A3695">
        <v>3692</v>
      </c>
      <c r="B3695" s="12">
        <v>97073.651337635456</v>
      </c>
      <c r="C3695" s="12"/>
    </row>
    <row r="3696" spans="1:3">
      <c r="A3696">
        <v>3693</v>
      </c>
      <c r="B3696" s="12">
        <v>72817.186652163437</v>
      </c>
      <c r="C3696" s="12"/>
    </row>
    <row r="3697" spans="1:3">
      <c r="A3697">
        <v>3694</v>
      </c>
      <c r="B3697" s="12">
        <v>75520.206446003518</v>
      </c>
      <c r="C3697" s="12"/>
    </row>
    <row r="3698" spans="1:3">
      <c r="A3698">
        <v>3695</v>
      </c>
      <c r="B3698" s="12">
        <v>78987.479257662606</v>
      </c>
      <c r="C3698" s="12"/>
    </row>
    <row r="3699" spans="1:3">
      <c r="A3699">
        <v>3696</v>
      </c>
      <c r="B3699" s="12">
        <v>129604.48585398558</v>
      </c>
      <c r="C3699" s="12"/>
    </row>
    <row r="3700" spans="1:3">
      <c r="A3700">
        <v>3697</v>
      </c>
      <c r="B3700" s="12">
        <v>110498.75198955811</v>
      </c>
      <c r="C3700" s="12"/>
    </row>
    <row r="3701" spans="1:3">
      <c r="A3701">
        <v>3698</v>
      </c>
      <c r="B3701" s="12">
        <v>120684.10445066012</v>
      </c>
      <c r="C3701" s="12"/>
    </row>
    <row r="3702" spans="1:3">
      <c r="A3702">
        <v>3699</v>
      </c>
      <c r="B3702" s="12">
        <v>126057.14490524499</v>
      </c>
      <c r="C3702" s="12"/>
    </row>
    <row r="3703" spans="1:3">
      <c r="A3703">
        <v>3700</v>
      </c>
      <c r="B3703" s="12">
        <v>150491.06836956271</v>
      </c>
      <c r="C3703" s="12"/>
    </row>
    <row r="3704" spans="1:3">
      <c r="A3704">
        <v>3701</v>
      </c>
      <c r="B3704" s="12">
        <v>188623.56757890811</v>
      </c>
      <c r="C3704" s="12"/>
    </row>
    <row r="3705" spans="1:3">
      <c r="A3705">
        <v>3702</v>
      </c>
      <c r="B3705" s="12">
        <v>141778.63068020725</v>
      </c>
      <c r="C3705" s="12"/>
    </row>
    <row r="3706" spans="1:3">
      <c r="A3706">
        <v>3703</v>
      </c>
      <c r="B3706" s="12">
        <v>105565.87763393711</v>
      </c>
      <c r="C3706" s="12"/>
    </row>
    <row r="3707" spans="1:3">
      <c r="A3707">
        <v>3704</v>
      </c>
      <c r="B3707" s="12">
        <v>117621.0746548012</v>
      </c>
      <c r="C3707" s="12"/>
    </row>
    <row r="3708" spans="1:3">
      <c r="A3708">
        <v>3705</v>
      </c>
      <c r="B3708" s="12">
        <v>159405.93037150486</v>
      </c>
      <c r="C3708" s="12"/>
    </row>
    <row r="3709" spans="1:3">
      <c r="A3709">
        <v>3706</v>
      </c>
      <c r="B3709" s="12">
        <v>151928.74012915042</v>
      </c>
      <c r="C3709" s="12"/>
    </row>
    <row r="3710" spans="1:3">
      <c r="A3710">
        <v>3707</v>
      </c>
      <c r="B3710" s="12">
        <v>75309.385386749345</v>
      </c>
      <c r="C3710" s="12"/>
    </row>
    <row r="3711" spans="1:3">
      <c r="A3711">
        <v>3708</v>
      </c>
      <c r="B3711" s="12">
        <v>139473.32071599501</v>
      </c>
      <c r="C3711" s="12"/>
    </row>
    <row r="3712" spans="1:3">
      <c r="A3712">
        <v>3709</v>
      </c>
      <c r="B3712" s="12">
        <v>110004.40341942346</v>
      </c>
      <c r="C3712" s="12"/>
    </row>
    <row r="3713" spans="1:3">
      <c r="A3713">
        <v>3710</v>
      </c>
      <c r="B3713" s="12">
        <v>121329.98087171403</v>
      </c>
      <c r="C3713" s="12"/>
    </row>
    <row r="3714" spans="1:3">
      <c r="A3714">
        <v>3711</v>
      </c>
      <c r="B3714" s="12">
        <v>89273.677586574122</v>
      </c>
      <c r="C3714" s="12"/>
    </row>
    <row r="3715" spans="1:3">
      <c r="A3715">
        <v>3712</v>
      </c>
      <c r="B3715" s="12">
        <v>111861.92611136106</v>
      </c>
      <c r="C3715" s="12"/>
    </row>
    <row r="3716" spans="1:3">
      <c r="A3716">
        <v>3713</v>
      </c>
      <c r="B3716" s="12">
        <v>86783.981089032866</v>
      </c>
      <c r="C3716" s="12"/>
    </row>
    <row r="3717" spans="1:3">
      <c r="A3717">
        <v>3714</v>
      </c>
      <c r="B3717" s="12">
        <v>58977.584528391773</v>
      </c>
      <c r="C3717" s="12"/>
    </row>
    <row r="3718" spans="1:3">
      <c r="A3718">
        <v>3715</v>
      </c>
      <c r="B3718" s="12">
        <v>104964.30812634247</v>
      </c>
      <c r="C3718" s="12"/>
    </row>
    <row r="3719" spans="1:3">
      <c r="A3719">
        <v>3716</v>
      </c>
      <c r="B3719" s="12">
        <v>114304.91327448821</v>
      </c>
      <c r="C3719" s="12"/>
    </row>
    <row r="3720" spans="1:3">
      <c r="A3720">
        <v>3717</v>
      </c>
      <c r="B3720" s="12">
        <v>112901.49855251936</v>
      </c>
      <c r="C3720" s="12"/>
    </row>
    <row r="3721" spans="1:3">
      <c r="A3721">
        <v>3718</v>
      </c>
      <c r="B3721" s="12">
        <v>111675.02130538959</v>
      </c>
      <c r="C3721" s="12"/>
    </row>
    <row r="3722" spans="1:3">
      <c r="A3722">
        <v>3719</v>
      </c>
      <c r="B3722" s="12">
        <v>129914.88241670541</v>
      </c>
      <c r="C3722" s="12"/>
    </row>
    <row r="3723" spans="1:3">
      <c r="A3723">
        <v>3720</v>
      </c>
      <c r="B3723" s="12">
        <v>76293.614795137648</v>
      </c>
      <c r="C3723" s="12"/>
    </row>
    <row r="3724" spans="1:3">
      <c r="A3724">
        <v>3721</v>
      </c>
      <c r="B3724" s="12">
        <v>98954.920346919578</v>
      </c>
      <c r="C3724" s="12"/>
    </row>
    <row r="3725" spans="1:3">
      <c r="A3725">
        <v>3722</v>
      </c>
      <c r="B3725" s="12">
        <v>129252.068179807</v>
      </c>
      <c r="C3725" s="12"/>
    </row>
    <row r="3726" spans="1:3">
      <c r="A3726">
        <v>3723</v>
      </c>
      <c r="B3726" s="12">
        <v>95204.756412321934</v>
      </c>
      <c r="C3726" s="12"/>
    </row>
    <row r="3727" spans="1:3">
      <c r="A3727">
        <v>3724</v>
      </c>
      <c r="B3727" s="12">
        <v>130048.16045917635</v>
      </c>
      <c r="C3727" s="12"/>
    </row>
    <row r="3728" spans="1:3">
      <c r="A3728">
        <v>3725</v>
      </c>
      <c r="B3728" s="12">
        <v>95936.509706350334</v>
      </c>
      <c r="C3728" s="12"/>
    </row>
    <row r="3729" spans="1:3">
      <c r="A3729">
        <v>3726</v>
      </c>
      <c r="B3729" s="12">
        <v>182866.70896220009</v>
      </c>
      <c r="C3729" s="12"/>
    </row>
    <row r="3730" spans="1:3">
      <c r="A3730">
        <v>3727</v>
      </c>
      <c r="B3730" s="12">
        <v>82438.657648996843</v>
      </c>
      <c r="C3730" s="12"/>
    </row>
    <row r="3731" spans="1:3">
      <c r="A3731">
        <v>3728</v>
      </c>
      <c r="B3731" s="12">
        <v>154734.40745307418</v>
      </c>
      <c r="C3731" s="12"/>
    </row>
    <row r="3732" spans="1:3">
      <c r="A3732">
        <v>3729</v>
      </c>
      <c r="B3732" s="12">
        <v>103635.52635367634</v>
      </c>
      <c r="C3732" s="12"/>
    </row>
    <row r="3733" spans="1:3">
      <c r="A3733">
        <v>3730</v>
      </c>
      <c r="B3733" s="12">
        <v>91647.319595798355</v>
      </c>
      <c r="C3733" s="12"/>
    </row>
    <row r="3734" spans="1:3">
      <c r="A3734">
        <v>3731</v>
      </c>
      <c r="B3734" s="12">
        <v>76534.081107277831</v>
      </c>
      <c r="C3734" s="12"/>
    </row>
    <row r="3735" spans="1:3">
      <c r="A3735">
        <v>3732</v>
      </c>
      <c r="B3735" s="12">
        <v>92471.486327677601</v>
      </c>
      <c r="C3735" s="12"/>
    </row>
    <row r="3736" spans="1:3">
      <c r="A3736">
        <v>3733</v>
      </c>
      <c r="B3736" s="12">
        <v>83613.518317240349</v>
      </c>
      <c r="C3736" s="12"/>
    </row>
    <row r="3737" spans="1:3">
      <c r="A3737">
        <v>3734</v>
      </c>
      <c r="B3737" s="12">
        <v>88060.413665683387</v>
      </c>
      <c r="C3737" s="12"/>
    </row>
    <row r="3738" spans="1:3">
      <c r="A3738">
        <v>3735</v>
      </c>
      <c r="B3738" s="12">
        <v>158885.50403111178</v>
      </c>
      <c r="C3738" s="12"/>
    </row>
    <row r="3739" spans="1:3">
      <c r="A3739">
        <v>3736</v>
      </c>
      <c r="B3739" s="12">
        <v>153608.49817366892</v>
      </c>
      <c r="C3739" s="12"/>
    </row>
    <row r="3740" spans="1:3">
      <c r="A3740">
        <v>3737</v>
      </c>
      <c r="B3740" s="12">
        <v>100277.49396825452</v>
      </c>
      <c r="C3740" s="12"/>
    </row>
    <row r="3741" spans="1:3">
      <c r="A3741">
        <v>3738</v>
      </c>
      <c r="B3741" s="12">
        <v>97998.033650027632</v>
      </c>
      <c r="C3741" s="12"/>
    </row>
    <row r="3742" spans="1:3">
      <c r="A3742">
        <v>3739</v>
      </c>
      <c r="B3742" s="12">
        <v>156745.86230839015</v>
      </c>
      <c r="C3742" s="12"/>
    </row>
    <row r="3743" spans="1:3">
      <c r="A3743">
        <v>3740</v>
      </c>
      <c r="B3743" s="12">
        <v>74809.373678526739</v>
      </c>
      <c r="C3743" s="12"/>
    </row>
    <row r="3744" spans="1:3">
      <c r="A3744">
        <v>3741</v>
      </c>
      <c r="B3744" s="12">
        <v>104710.01566499208</v>
      </c>
      <c r="C3744" s="12"/>
    </row>
    <row r="3745" spans="1:3">
      <c r="A3745">
        <v>3742</v>
      </c>
      <c r="B3745" s="12">
        <v>90732.071961127906</v>
      </c>
      <c r="C3745" s="12"/>
    </row>
    <row r="3746" spans="1:3">
      <c r="A3746">
        <v>3743</v>
      </c>
      <c r="B3746" s="12">
        <v>122700.91357673598</v>
      </c>
      <c r="C3746" s="12"/>
    </row>
    <row r="3747" spans="1:3">
      <c r="A3747">
        <v>3744</v>
      </c>
      <c r="B3747" s="12">
        <v>82044.989919046726</v>
      </c>
      <c r="C3747" s="12"/>
    </row>
    <row r="3748" spans="1:3">
      <c r="A3748">
        <v>3745</v>
      </c>
      <c r="B3748" s="12">
        <v>86616.761022448525</v>
      </c>
      <c r="C3748" s="12"/>
    </row>
    <row r="3749" spans="1:3">
      <c r="A3749">
        <v>3746</v>
      </c>
      <c r="B3749" s="12">
        <v>137731.64465297808</v>
      </c>
      <c r="C3749" s="12"/>
    </row>
    <row r="3750" spans="1:3">
      <c r="A3750">
        <v>3747</v>
      </c>
      <c r="B3750" s="12">
        <v>160461.24367738521</v>
      </c>
      <c r="C3750" s="12"/>
    </row>
    <row r="3751" spans="1:3">
      <c r="A3751">
        <v>3748</v>
      </c>
      <c r="B3751" s="12">
        <v>120780.0698671258</v>
      </c>
      <c r="C3751" s="12"/>
    </row>
    <row r="3752" spans="1:3">
      <c r="A3752">
        <v>3749</v>
      </c>
      <c r="B3752" s="12">
        <v>93604.916629064785</v>
      </c>
      <c r="C3752" s="12"/>
    </row>
    <row r="3753" spans="1:3">
      <c r="A3753">
        <v>3750</v>
      </c>
      <c r="B3753" s="12">
        <v>79491.348165006508</v>
      </c>
      <c r="C3753" s="12"/>
    </row>
    <row r="3754" spans="1:3">
      <c r="A3754">
        <v>3751</v>
      </c>
      <c r="B3754" s="12">
        <v>104674.80326257815</v>
      </c>
      <c r="C3754" s="12"/>
    </row>
    <row r="3755" spans="1:3">
      <c r="A3755">
        <v>3752</v>
      </c>
      <c r="B3755" s="12">
        <v>121103.01684630528</v>
      </c>
      <c r="C3755" s="12"/>
    </row>
    <row r="3756" spans="1:3">
      <c r="A3756">
        <v>3753</v>
      </c>
      <c r="B3756" s="12">
        <v>95033.592135073486</v>
      </c>
      <c r="C3756" s="12"/>
    </row>
    <row r="3757" spans="1:3">
      <c r="A3757">
        <v>3754</v>
      </c>
      <c r="B3757" s="12">
        <v>103229.91577801846</v>
      </c>
      <c r="C3757" s="12"/>
    </row>
    <row r="3758" spans="1:3">
      <c r="A3758">
        <v>3755</v>
      </c>
      <c r="B3758" s="12">
        <v>104586.79953033596</v>
      </c>
      <c r="C3758" s="12"/>
    </row>
    <row r="3759" spans="1:3">
      <c r="A3759">
        <v>3756</v>
      </c>
      <c r="B3759" s="12">
        <v>87396.618818943141</v>
      </c>
      <c r="C3759" s="12"/>
    </row>
    <row r="3760" spans="1:3">
      <c r="A3760">
        <v>3757</v>
      </c>
      <c r="B3760" s="12">
        <v>75893.458762028706</v>
      </c>
      <c r="C3760" s="12"/>
    </row>
    <row r="3761" spans="1:3">
      <c r="A3761">
        <v>3758</v>
      </c>
      <c r="B3761" s="12">
        <v>121245.83746147713</v>
      </c>
      <c r="C3761" s="12"/>
    </row>
    <row r="3762" spans="1:3">
      <c r="A3762">
        <v>3759</v>
      </c>
      <c r="B3762" s="12">
        <v>106766.34913804814</v>
      </c>
      <c r="C3762" s="12"/>
    </row>
    <row r="3763" spans="1:3">
      <c r="A3763">
        <v>3760</v>
      </c>
      <c r="B3763" s="12">
        <v>96464.444608354068</v>
      </c>
      <c r="C3763" s="12"/>
    </row>
    <row r="3764" spans="1:3">
      <c r="A3764">
        <v>3761</v>
      </c>
      <c r="B3764" s="12">
        <v>87155.904746235858</v>
      </c>
      <c r="C3764" s="12"/>
    </row>
    <row r="3765" spans="1:3">
      <c r="A3765">
        <v>3762</v>
      </c>
      <c r="B3765" s="12">
        <v>142521.64532675059</v>
      </c>
      <c r="C3765" s="12"/>
    </row>
    <row r="3766" spans="1:3">
      <c r="A3766">
        <v>3763</v>
      </c>
      <c r="B3766" s="12">
        <v>106326.47701862569</v>
      </c>
      <c r="C3766" s="12"/>
    </row>
    <row r="3767" spans="1:3">
      <c r="A3767">
        <v>3764</v>
      </c>
      <c r="B3767" s="12">
        <v>130161.92615143137</v>
      </c>
      <c r="C3767" s="12"/>
    </row>
    <row r="3768" spans="1:3">
      <c r="A3768">
        <v>3765</v>
      </c>
      <c r="B3768" s="12">
        <v>137334.87633079189</v>
      </c>
      <c r="C3768" s="12"/>
    </row>
    <row r="3769" spans="1:3">
      <c r="A3769">
        <v>3766</v>
      </c>
      <c r="B3769" s="12">
        <v>175680.98918161227</v>
      </c>
      <c r="C3769" s="12"/>
    </row>
    <row r="3770" spans="1:3">
      <c r="A3770">
        <v>3767</v>
      </c>
      <c r="B3770" s="12">
        <v>94022.149124281132</v>
      </c>
      <c r="C3770" s="12"/>
    </row>
    <row r="3771" spans="1:3">
      <c r="A3771">
        <v>3768</v>
      </c>
      <c r="B3771" s="12">
        <v>133676.44911505558</v>
      </c>
      <c r="C3771" s="12"/>
    </row>
    <row r="3772" spans="1:3">
      <c r="A3772">
        <v>3769</v>
      </c>
      <c r="B3772" s="12">
        <v>130480.82758267206</v>
      </c>
      <c r="C3772" s="12"/>
    </row>
    <row r="3773" spans="1:3">
      <c r="A3773">
        <v>3770</v>
      </c>
      <c r="B3773" s="12">
        <v>61136.363793281002</v>
      </c>
      <c r="C3773" s="12"/>
    </row>
    <row r="3774" spans="1:3">
      <c r="A3774">
        <v>3771</v>
      </c>
      <c r="B3774" s="12">
        <v>79135.493463684659</v>
      </c>
      <c r="C3774" s="12"/>
    </row>
    <row r="3775" spans="1:3">
      <c r="A3775">
        <v>3772</v>
      </c>
      <c r="B3775" s="12">
        <v>163632.86760346332</v>
      </c>
      <c r="C3775" s="12"/>
    </row>
    <row r="3776" spans="1:3">
      <c r="A3776">
        <v>3773</v>
      </c>
      <c r="B3776" s="12">
        <v>157615.35610008944</v>
      </c>
      <c r="C3776" s="12"/>
    </row>
    <row r="3777" spans="1:3">
      <c r="A3777">
        <v>3774</v>
      </c>
      <c r="B3777" s="12">
        <v>98290.98538807148</v>
      </c>
      <c r="C3777" s="12"/>
    </row>
    <row r="3778" spans="1:3">
      <c r="A3778">
        <v>3775</v>
      </c>
      <c r="B3778" s="12">
        <v>109214.26484256127</v>
      </c>
      <c r="C3778" s="12"/>
    </row>
    <row r="3779" spans="1:3">
      <c r="A3779">
        <v>3776</v>
      </c>
      <c r="B3779" s="12">
        <v>71429.771957772246</v>
      </c>
      <c r="C3779" s="12"/>
    </row>
    <row r="3780" spans="1:3">
      <c r="A3780">
        <v>3777</v>
      </c>
      <c r="B3780" s="12">
        <v>144184.3750976001</v>
      </c>
      <c r="C3780" s="12"/>
    </row>
    <row r="3781" spans="1:3">
      <c r="A3781">
        <v>3778</v>
      </c>
      <c r="B3781" s="12">
        <v>78431.607116555911</v>
      </c>
      <c r="C3781" s="12"/>
    </row>
    <row r="3782" spans="1:3">
      <c r="A3782">
        <v>3779</v>
      </c>
      <c r="B3782" s="12">
        <v>111753.3899613161</v>
      </c>
      <c r="C3782" s="12"/>
    </row>
    <row r="3783" spans="1:3">
      <c r="A3783">
        <v>3780</v>
      </c>
      <c r="B3783" s="12">
        <v>88112.989694988311</v>
      </c>
      <c r="C3783" s="12"/>
    </row>
    <row r="3784" spans="1:3">
      <c r="A3784">
        <v>3781</v>
      </c>
      <c r="B3784" s="12">
        <v>71141.143587705883</v>
      </c>
      <c r="C3784" s="12"/>
    </row>
    <row r="3785" spans="1:3">
      <c r="A3785">
        <v>3782</v>
      </c>
      <c r="B3785" s="12">
        <v>58700.869488720477</v>
      </c>
      <c r="C3785" s="12"/>
    </row>
    <row r="3786" spans="1:3">
      <c r="A3786">
        <v>3783</v>
      </c>
      <c r="B3786" s="12">
        <v>216952.75992530814</v>
      </c>
      <c r="C3786" s="12"/>
    </row>
    <row r="3787" spans="1:3">
      <c r="A3787">
        <v>3784</v>
      </c>
      <c r="B3787" s="12">
        <v>67373.024195944905</v>
      </c>
      <c r="C3787" s="12"/>
    </row>
    <row r="3788" spans="1:3">
      <c r="A3788">
        <v>3785</v>
      </c>
      <c r="B3788" s="12">
        <v>120852.61372814346</v>
      </c>
      <c r="C3788" s="12"/>
    </row>
    <row r="3789" spans="1:3">
      <c r="A3789">
        <v>3786</v>
      </c>
      <c r="B3789" s="12">
        <v>119939.19985990755</v>
      </c>
      <c r="C3789" s="12"/>
    </row>
    <row r="3790" spans="1:3">
      <c r="A3790">
        <v>3787</v>
      </c>
      <c r="B3790" s="12">
        <v>135519.57230669097</v>
      </c>
      <c r="C3790" s="12"/>
    </row>
    <row r="3791" spans="1:3">
      <c r="A3791">
        <v>3788</v>
      </c>
      <c r="B3791" s="12">
        <v>116263.94984122665</v>
      </c>
      <c r="C3791" s="12"/>
    </row>
    <row r="3792" spans="1:3">
      <c r="A3792">
        <v>3789</v>
      </c>
      <c r="B3792" s="12">
        <v>116539.41216449527</v>
      </c>
      <c r="C3792" s="12"/>
    </row>
    <row r="3793" spans="1:3">
      <c r="A3793">
        <v>3790</v>
      </c>
      <c r="B3793" s="12">
        <v>145392.21628276311</v>
      </c>
      <c r="C3793" s="12"/>
    </row>
    <row r="3794" spans="1:3">
      <c r="A3794">
        <v>3791</v>
      </c>
      <c r="B3794" s="12">
        <v>94957.067010756509</v>
      </c>
      <c r="C3794" s="12"/>
    </row>
    <row r="3795" spans="1:3">
      <c r="A3795">
        <v>3792</v>
      </c>
      <c r="B3795" s="12">
        <v>122014.08060846296</v>
      </c>
      <c r="C3795" s="12"/>
    </row>
    <row r="3796" spans="1:3">
      <c r="A3796">
        <v>3793</v>
      </c>
      <c r="B3796" s="12">
        <v>95759.203410986796</v>
      </c>
      <c r="C3796" s="12"/>
    </row>
    <row r="3797" spans="1:3">
      <c r="A3797">
        <v>3794</v>
      </c>
      <c r="B3797" s="12">
        <v>137186.20334212872</v>
      </c>
      <c r="C3797" s="12"/>
    </row>
    <row r="3798" spans="1:3">
      <c r="A3798">
        <v>3795</v>
      </c>
      <c r="B3798" s="12">
        <v>174062.72311944529</v>
      </c>
      <c r="C3798" s="12"/>
    </row>
    <row r="3799" spans="1:3">
      <c r="A3799">
        <v>3796</v>
      </c>
      <c r="B3799" s="12">
        <v>94814.928673375747</v>
      </c>
      <c r="C3799" s="12"/>
    </row>
    <row r="3800" spans="1:3">
      <c r="A3800">
        <v>3797</v>
      </c>
      <c r="B3800" s="12">
        <v>167549.44993941678</v>
      </c>
      <c r="C3800" s="12"/>
    </row>
    <row r="3801" spans="1:3">
      <c r="A3801">
        <v>3798</v>
      </c>
      <c r="B3801" s="12">
        <v>104984.36068757158</v>
      </c>
      <c r="C3801" s="12"/>
    </row>
    <row r="3802" spans="1:3">
      <c r="A3802">
        <v>3799</v>
      </c>
      <c r="B3802" s="12">
        <v>112322.86091761757</v>
      </c>
      <c r="C3802" s="12"/>
    </row>
    <row r="3803" spans="1:3">
      <c r="A3803">
        <v>3800</v>
      </c>
      <c r="B3803" s="12">
        <v>118923.68847553976</v>
      </c>
      <c r="C3803" s="12"/>
    </row>
    <row r="3804" spans="1:3">
      <c r="A3804">
        <v>3801</v>
      </c>
      <c r="B3804" s="12">
        <v>122520.68056737729</v>
      </c>
      <c r="C3804" s="12"/>
    </row>
    <row r="3805" spans="1:3">
      <c r="A3805">
        <v>3802</v>
      </c>
      <c r="B3805" s="12">
        <v>100243.71456307385</v>
      </c>
      <c r="C3805" s="12"/>
    </row>
    <row r="3806" spans="1:3">
      <c r="A3806">
        <v>3803</v>
      </c>
      <c r="B3806" s="12">
        <v>137362.60887195455</v>
      </c>
      <c r="C3806" s="12"/>
    </row>
    <row r="3807" spans="1:3">
      <c r="A3807">
        <v>3804</v>
      </c>
      <c r="B3807" s="12">
        <v>100789.17100290798</v>
      </c>
      <c r="C3807" s="12"/>
    </row>
    <row r="3808" spans="1:3">
      <c r="A3808">
        <v>3805</v>
      </c>
      <c r="B3808" s="12">
        <v>71817.427460142004</v>
      </c>
      <c r="C3808" s="12"/>
    </row>
    <row r="3809" spans="1:3">
      <c r="A3809">
        <v>3806</v>
      </c>
      <c r="B3809" s="12">
        <v>110086.45917278569</v>
      </c>
      <c r="C3809" s="12"/>
    </row>
    <row r="3810" spans="1:3">
      <c r="A3810">
        <v>3807</v>
      </c>
      <c r="B3810" s="12">
        <v>145190.37660793978</v>
      </c>
      <c r="C3810" s="12"/>
    </row>
    <row r="3811" spans="1:3">
      <c r="A3811">
        <v>3808</v>
      </c>
      <c r="B3811" s="12">
        <v>115638.60792795965</v>
      </c>
      <c r="C3811" s="12"/>
    </row>
    <row r="3812" spans="1:3">
      <c r="A3812">
        <v>3809</v>
      </c>
      <c r="B3812" s="12">
        <v>166428.94429084146</v>
      </c>
      <c r="C3812" s="12"/>
    </row>
    <row r="3813" spans="1:3">
      <c r="A3813">
        <v>3810</v>
      </c>
      <c r="B3813" s="12">
        <v>112861.72643537293</v>
      </c>
      <c r="C3813" s="12"/>
    </row>
    <row r="3814" spans="1:3">
      <c r="A3814">
        <v>3811</v>
      </c>
      <c r="B3814" s="12">
        <v>127896.44838101091</v>
      </c>
      <c r="C3814" s="12"/>
    </row>
    <row r="3815" spans="1:3">
      <c r="A3815">
        <v>3812</v>
      </c>
      <c r="B3815" s="12">
        <v>100426.06710660027</v>
      </c>
      <c r="C3815" s="12"/>
    </row>
    <row r="3816" spans="1:3">
      <c r="A3816">
        <v>3813</v>
      </c>
      <c r="B3816" s="12">
        <v>122905.35772429185</v>
      </c>
      <c r="C3816" s="12"/>
    </row>
    <row r="3817" spans="1:3">
      <c r="A3817">
        <v>3814</v>
      </c>
      <c r="B3817" s="12">
        <v>113766.97523595316</v>
      </c>
      <c r="C3817" s="12"/>
    </row>
    <row r="3818" spans="1:3">
      <c r="A3818">
        <v>3815</v>
      </c>
      <c r="B3818" s="12">
        <v>93511.592602318153</v>
      </c>
      <c r="C3818" s="12"/>
    </row>
    <row r="3819" spans="1:3">
      <c r="A3819">
        <v>3816</v>
      </c>
      <c r="B3819" s="12">
        <v>105647.01358595872</v>
      </c>
      <c r="C3819" s="12"/>
    </row>
    <row r="3820" spans="1:3">
      <c r="A3820">
        <v>3817</v>
      </c>
      <c r="B3820" s="12">
        <v>93268.046363728965</v>
      </c>
      <c r="C3820" s="12"/>
    </row>
    <row r="3821" spans="1:3">
      <c r="A3821">
        <v>3818</v>
      </c>
      <c r="B3821" s="12">
        <v>124359.32286966348</v>
      </c>
      <c r="C3821" s="12"/>
    </row>
    <row r="3822" spans="1:3">
      <c r="A3822">
        <v>3819</v>
      </c>
      <c r="B3822" s="12">
        <v>112315.97134370648</v>
      </c>
      <c r="C3822" s="12"/>
    </row>
    <row r="3823" spans="1:3">
      <c r="A3823">
        <v>3820</v>
      </c>
      <c r="B3823" s="12">
        <v>124791.77562779184</v>
      </c>
      <c r="C3823" s="12"/>
    </row>
    <row r="3824" spans="1:3">
      <c r="A3824">
        <v>3821</v>
      </c>
      <c r="B3824" s="12">
        <v>159401.38286088305</v>
      </c>
      <c r="C3824" s="12"/>
    </row>
    <row r="3825" spans="1:3">
      <c r="A3825">
        <v>3822</v>
      </c>
      <c r="B3825" s="12">
        <v>98208.851038277295</v>
      </c>
      <c r="C3825" s="12"/>
    </row>
    <row r="3826" spans="1:3">
      <c r="A3826">
        <v>3823</v>
      </c>
      <c r="B3826" s="12">
        <v>203019.4575841609</v>
      </c>
      <c r="C3826" s="12"/>
    </row>
    <row r="3827" spans="1:3">
      <c r="A3827">
        <v>3824</v>
      </c>
      <c r="B3827" s="12">
        <v>93706.752892921024</v>
      </c>
      <c r="C3827" s="12"/>
    </row>
    <row r="3828" spans="1:3">
      <c r="A3828">
        <v>3825</v>
      </c>
      <c r="B3828" s="12">
        <v>133989.67982325732</v>
      </c>
      <c r="C3828" s="12"/>
    </row>
    <row r="3829" spans="1:3">
      <c r="A3829">
        <v>3826</v>
      </c>
      <c r="B3829" s="12">
        <v>68844.187759813067</v>
      </c>
      <c r="C3829" s="12"/>
    </row>
    <row r="3830" spans="1:3">
      <c r="A3830">
        <v>3827</v>
      </c>
      <c r="B3830" s="12">
        <v>77785.946880791103</v>
      </c>
      <c r="C3830" s="12"/>
    </row>
    <row r="3831" spans="1:3">
      <c r="A3831">
        <v>3828</v>
      </c>
      <c r="B3831" s="12">
        <v>102329.58340617968</v>
      </c>
      <c r="C3831" s="12"/>
    </row>
    <row r="3832" spans="1:3">
      <c r="A3832">
        <v>3829</v>
      </c>
      <c r="B3832" s="12">
        <v>69348.757163918985</v>
      </c>
      <c r="C3832" s="12"/>
    </row>
    <row r="3833" spans="1:3">
      <c r="A3833">
        <v>3830</v>
      </c>
      <c r="B3833" s="12">
        <v>116421.25939746907</v>
      </c>
      <c r="C3833" s="12"/>
    </row>
    <row r="3834" spans="1:3">
      <c r="A3834">
        <v>3831</v>
      </c>
      <c r="B3834" s="12">
        <v>92912.518909825478</v>
      </c>
      <c r="C3834" s="12"/>
    </row>
    <row r="3835" spans="1:3">
      <c r="A3835">
        <v>3832</v>
      </c>
      <c r="B3835" s="12">
        <v>126533.44797495901</v>
      </c>
      <c r="C3835" s="12"/>
    </row>
    <row r="3836" spans="1:3">
      <c r="A3836">
        <v>3833</v>
      </c>
      <c r="B3836" s="12">
        <v>113626.37546031164</v>
      </c>
      <c r="C3836" s="12"/>
    </row>
    <row r="3837" spans="1:3">
      <c r="A3837">
        <v>3834</v>
      </c>
      <c r="B3837" s="12">
        <v>164754.28211496858</v>
      </c>
      <c r="C3837" s="12"/>
    </row>
    <row r="3838" spans="1:3">
      <c r="A3838">
        <v>3835</v>
      </c>
      <c r="B3838" s="12">
        <v>139166.11191513145</v>
      </c>
      <c r="C3838" s="12"/>
    </row>
    <row r="3839" spans="1:3">
      <c r="A3839">
        <v>3836</v>
      </c>
      <c r="B3839" s="12">
        <v>97363.914418372457</v>
      </c>
      <c r="C3839" s="12"/>
    </row>
    <row r="3840" spans="1:3">
      <c r="A3840">
        <v>3837</v>
      </c>
      <c r="B3840" s="12">
        <v>96235.484269216977</v>
      </c>
      <c r="C3840" s="12"/>
    </row>
    <row r="3841" spans="1:3">
      <c r="A3841">
        <v>3838</v>
      </c>
      <c r="B3841" s="12">
        <v>155145.83317885426</v>
      </c>
      <c r="C3841" s="12"/>
    </row>
    <row r="3842" spans="1:3">
      <c r="A3842">
        <v>3839</v>
      </c>
      <c r="B3842" s="12">
        <v>99596.939668587947</v>
      </c>
      <c r="C3842" s="12"/>
    </row>
    <row r="3843" spans="1:3">
      <c r="A3843">
        <v>3840</v>
      </c>
      <c r="B3843" s="12">
        <v>160872.28591850161</v>
      </c>
      <c r="C3843" s="12"/>
    </row>
    <row r="3844" spans="1:3">
      <c r="A3844">
        <v>3841</v>
      </c>
      <c r="B3844" s="12">
        <v>81530.452787292714</v>
      </c>
      <c r="C3844" s="12"/>
    </row>
    <row r="3845" spans="1:3">
      <c r="A3845">
        <v>3842</v>
      </c>
      <c r="B3845" s="12">
        <v>104110.94116706982</v>
      </c>
      <c r="C3845" s="12"/>
    </row>
    <row r="3846" spans="1:3">
      <c r="A3846">
        <v>3843</v>
      </c>
      <c r="B3846" s="12">
        <v>149531.0303047229</v>
      </c>
      <c r="C3846" s="12"/>
    </row>
    <row r="3847" spans="1:3">
      <c r="A3847">
        <v>3844</v>
      </c>
      <c r="B3847" s="12">
        <v>129942.94781024738</v>
      </c>
      <c r="C3847" s="12"/>
    </row>
    <row r="3848" spans="1:3">
      <c r="A3848">
        <v>3845</v>
      </c>
      <c r="B3848" s="12">
        <v>65923.315544665646</v>
      </c>
      <c r="C3848" s="12"/>
    </row>
    <row r="3849" spans="1:3">
      <c r="A3849">
        <v>3846</v>
      </c>
      <c r="B3849" s="12">
        <v>158170.51115079713</v>
      </c>
      <c r="C3849" s="12"/>
    </row>
    <row r="3850" spans="1:3">
      <c r="A3850">
        <v>3847</v>
      </c>
      <c r="B3850" s="12">
        <v>109819.0128631753</v>
      </c>
      <c r="C3850" s="12"/>
    </row>
    <row r="3851" spans="1:3">
      <c r="A3851">
        <v>3848</v>
      </c>
      <c r="B3851" s="12">
        <v>98400.811469557171</v>
      </c>
      <c r="C3851" s="12"/>
    </row>
    <row r="3852" spans="1:3">
      <c r="A3852">
        <v>3849</v>
      </c>
      <c r="B3852" s="12">
        <v>50268.506129949266</v>
      </c>
      <c r="C3852" s="12"/>
    </row>
    <row r="3853" spans="1:3">
      <c r="A3853">
        <v>3850</v>
      </c>
      <c r="B3853" s="12">
        <v>144653.45227435738</v>
      </c>
      <c r="C3853" s="12"/>
    </row>
    <row r="3854" spans="1:3">
      <c r="A3854">
        <v>3851</v>
      </c>
      <c r="B3854" s="12">
        <v>87151.34698804465</v>
      </c>
      <c r="C3854" s="12"/>
    </row>
    <row r="3855" spans="1:3">
      <c r="A3855">
        <v>3852</v>
      </c>
      <c r="B3855" s="12">
        <v>81048.300085680108</v>
      </c>
      <c r="C3855" s="12"/>
    </row>
    <row r="3856" spans="1:3">
      <c r="A3856">
        <v>3853</v>
      </c>
      <c r="B3856" s="12">
        <v>181872.98301874773</v>
      </c>
      <c r="C3856" s="12"/>
    </row>
    <row r="3857" spans="1:3">
      <c r="A3857">
        <v>3854</v>
      </c>
      <c r="B3857" s="12">
        <v>96143.598449097539</v>
      </c>
      <c r="C3857" s="12"/>
    </row>
    <row r="3858" spans="1:3">
      <c r="A3858">
        <v>3855</v>
      </c>
      <c r="B3858" s="12">
        <v>76175.222710671675</v>
      </c>
      <c r="C3858" s="12"/>
    </row>
    <row r="3859" spans="1:3">
      <c r="A3859">
        <v>3856</v>
      </c>
      <c r="B3859" s="12">
        <v>150553.32796183997</v>
      </c>
      <c r="C3859" s="12"/>
    </row>
    <row r="3860" spans="1:3">
      <c r="A3860">
        <v>3857</v>
      </c>
      <c r="B3860" s="12">
        <v>89132.460430330029</v>
      </c>
      <c r="C3860" s="12"/>
    </row>
    <row r="3861" spans="1:3">
      <c r="A3861">
        <v>3858</v>
      </c>
      <c r="B3861" s="12">
        <v>80344.206162043542</v>
      </c>
      <c r="C3861" s="12"/>
    </row>
    <row r="3862" spans="1:3">
      <c r="A3862">
        <v>3859</v>
      </c>
      <c r="B3862" s="12">
        <v>97738.944333632855</v>
      </c>
      <c r="C3862" s="12"/>
    </row>
    <row r="3863" spans="1:3">
      <c r="A3863">
        <v>3860</v>
      </c>
      <c r="B3863" s="12">
        <v>111753.74017663448</v>
      </c>
      <c r="C3863" s="12"/>
    </row>
    <row r="3864" spans="1:3">
      <c r="A3864">
        <v>3861</v>
      </c>
      <c r="B3864" s="12">
        <v>145155.7011706242</v>
      </c>
      <c r="C3864" s="12"/>
    </row>
    <row r="3865" spans="1:3">
      <c r="A3865">
        <v>3862</v>
      </c>
      <c r="B3865" s="12">
        <v>147140.8857109923</v>
      </c>
      <c r="C3865" s="12"/>
    </row>
    <row r="3866" spans="1:3">
      <c r="A3866">
        <v>3863</v>
      </c>
      <c r="B3866" s="12">
        <v>144018.3984383916</v>
      </c>
      <c r="C3866" s="12"/>
    </row>
    <row r="3867" spans="1:3">
      <c r="A3867">
        <v>3864</v>
      </c>
      <c r="B3867" s="12">
        <v>94174.29170813215</v>
      </c>
      <c r="C3867" s="12"/>
    </row>
    <row r="3868" spans="1:3">
      <c r="A3868">
        <v>3865</v>
      </c>
      <c r="B3868" s="12">
        <v>105510.33532857279</v>
      </c>
      <c r="C3868" s="12"/>
    </row>
    <row r="3869" spans="1:3">
      <c r="A3869">
        <v>3866</v>
      </c>
      <c r="B3869" s="12">
        <v>124496.56642667622</v>
      </c>
      <c r="C3869" s="12"/>
    </row>
    <row r="3870" spans="1:3">
      <c r="A3870">
        <v>3867</v>
      </c>
      <c r="B3870" s="12">
        <v>107627.89413601729</v>
      </c>
      <c r="C3870" s="12"/>
    </row>
    <row r="3871" spans="1:3">
      <c r="A3871">
        <v>3868</v>
      </c>
      <c r="B3871" s="12">
        <v>138041.71779620595</v>
      </c>
      <c r="C3871" s="12"/>
    </row>
    <row r="3872" spans="1:3">
      <c r="A3872">
        <v>3869</v>
      </c>
      <c r="B3872" s="12">
        <v>123273.2935192031</v>
      </c>
      <c r="C3872" s="12"/>
    </row>
    <row r="3873" spans="1:3">
      <c r="A3873">
        <v>3870</v>
      </c>
      <c r="B3873" s="12">
        <v>83977.080389428273</v>
      </c>
      <c r="C3873" s="12"/>
    </row>
    <row r="3874" spans="1:3">
      <c r="A3874">
        <v>3871</v>
      </c>
      <c r="B3874" s="12">
        <v>100421.37057429619</v>
      </c>
      <c r="C3874" s="12"/>
    </row>
    <row r="3875" spans="1:3">
      <c r="A3875">
        <v>3872</v>
      </c>
      <c r="B3875" s="12">
        <v>155203.23114741509</v>
      </c>
      <c r="C3875" s="12"/>
    </row>
    <row r="3876" spans="1:3">
      <c r="A3876">
        <v>3873</v>
      </c>
      <c r="B3876" s="12">
        <v>81523.889155096869</v>
      </c>
      <c r="C3876" s="12"/>
    </row>
    <row r="3877" spans="1:3">
      <c r="A3877">
        <v>3874</v>
      </c>
      <c r="B3877" s="12">
        <v>141316.96118483835</v>
      </c>
      <c r="C3877" s="12"/>
    </row>
    <row r="3878" spans="1:3">
      <c r="A3878">
        <v>3875</v>
      </c>
      <c r="B3878" s="12">
        <v>81215.055350217663</v>
      </c>
      <c r="C3878" s="12"/>
    </row>
    <row r="3879" spans="1:3">
      <c r="A3879">
        <v>3876</v>
      </c>
      <c r="B3879" s="12">
        <v>87546.075043329125</v>
      </c>
      <c r="C3879" s="12"/>
    </row>
    <row r="3880" spans="1:3">
      <c r="A3880">
        <v>3877</v>
      </c>
      <c r="B3880" s="12">
        <v>101047.80111412548</v>
      </c>
      <c r="C3880" s="12"/>
    </row>
    <row r="3881" spans="1:3">
      <c r="A3881">
        <v>3878</v>
      </c>
      <c r="B3881" s="12">
        <v>143248.34296882164</v>
      </c>
      <c r="C3881" s="12"/>
    </row>
    <row r="3882" spans="1:3">
      <c r="A3882">
        <v>3879</v>
      </c>
      <c r="B3882" s="12">
        <v>74844.343528533645</v>
      </c>
      <c r="C3882" s="12"/>
    </row>
    <row r="3883" spans="1:3">
      <c r="A3883">
        <v>3880</v>
      </c>
      <c r="B3883" s="12">
        <v>129956.19224994538</v>
      </c>
      <c r="C3883" s="12"/>
    </row>
    <row r="3884" spans="1:3">
      <c r="A3884">
        <v>3881</v>
      </c>
      <c r="B3884" s="12">
        <v>151097.07488439925</v>
      </c>
      <c r="C3884" s="12"/>
    </row>
    <row r="3885" spans="1:3">
      <c r="A3885">
        <v>3882</v>
      </c>
      <c r="B3885" s="12">
        <v>87665.906764708474</v>
      </c>
      <c r="C3885" s="12"/>
    </row>
    <row r="3886" spans="1:3">
      <c r="A3886">
        <v>3883</v>
      </c>
      <c r="B3886" s="12">
        <v>85732.383948997915</v>
      </c>
      <c r="C3886" s="12"/>
    </row>
    <row r="3887" spans="1:3">
      <c r="A3887">
        <v>3884</v>
      </c>
      <c r="B3887" s="12">
        <v>65692.551402461948</v>
      </c>
      <c r="C3887" s="12"/>
    </row>
    <row r="3888" spans="1:3">
      <c r="A3888">
        <v>3885</v>
      </c>
      <c r="B3888" s="12">
        <v>114313.55697223589</v>
      </c>
      <c r="C3888" s="12"/>
    </row>
    <row r="3889" spans="1:3">
      <c r="A3889">
        <v>3886</v>
      </c>
      <c r="B3889" s="12">
        <v>97006.578679035345</v>
      </c>
      <c r="C3889" s="12"/>
    </row>
    <row r="3890" spans="1:3">
      <c r="A3890">
        <v>3887</v>
      </c>
      <c r="B3890" s="12">
        <v>138412.83444034733</v>
      </c>
      <c r="C3890" s="12"/>
    </row>
    <row r="3891" spans="1:3">
      <c r="A3891">
        <v>3888</v>
      </c>
      <c r="B3891" s="12">
        <v>137448.66203398851</v>
      </c>
      <c r="C3891" s="12"/>
    </row>
    <row r="3892" spans="1:3">
      <c r="A3892">
        <v>3889</v>
      </c>
      <c r="B3892" s="12">
        <v>148272.49604232094</v>
      </c>
      <c r="C3892" s="12"/>
    </row>
    <row r="3893" spans="1:3">
      <c r="A3893">
        <v>3890</v>
      </c>
      <c r="B3893" s="12">
        <v>73438.590056240821</v>
      </c>
      <c r="C3893" s="12"/>
    </row>
    <row r="3894" spans="1:3">
      <c r="A3894">
        <v>3891</v>
      </c>
      <c r="B3894" s="12">
        <v>130032.35371514769</v>
      </c>
      <c r="C3894" s="12"/>
    </row>
    <row r="3895" spans="1:3">
      <c r="A3895">
        <v>3892</v>
      </c>
      <c r="B3895" s="12">
        <v>110582.90209796806</v>
      </c>
      <c r="C3895" s="12"/>
    </row>
    <row r="3896" spans="1:3">
      <c r="A3896">
        <v>3893</v>
      </c>
      <c r="B3896" s="12">
        <v>113838.18875229846</v>
      </c>
      <c r="C3896" s="12"/>
    </row>
    <row r="3897" spans="1:3">
      <c r="A3897">
        <v>3894</v>
      </c>
      <c r="B3897" s="12">
        <v>163924.3451990397</v>
      </c>
      <c r="C3897" s="12"/>
    </row>
    <row r="3898" spans="1:3">
      <c r="A3898">
        <v>3895</v>
      </c>
      <c r="B3898" s="12">
        <v>128272.5002049334</v>
      </c>
      <c r="C3898" s="12"/>
    </row>
    <row r="3899" spans="1:3">
      <c r="A3899">
        <v>3896</v>
      </c>
      <c r="B3899" s="12">
        <v>174642.21384054422</v>
      </c>
      <c r="C3899" s="12"/>
    </row>
    <row r="3900" spans="1:3">
      <c r="A3900">
        <v>3897</v>
      </c>
      <c r="B3900" s="12">
        <v>69595.033889319267</v>
      </c>
      <c r="C3900" s="12"/>
    </row>
    <row r="3901" spans="1:3">
      <c r="A3901">
        <v>3898</v>
      </c>
      <c r="B3901" s="12">
        <v>84725.777365114089</v>
      </c>
      <c r="C3901" s="12"/>
    </row>
    <row r="3902" spans="1:3">
      <c r="A3902">
        <v>3899</v>
      </c>
      <c r="B3902" s="12">
        <v>94747.259534211073</v>
      </c>
      <c r="C3902" s="12"/>
    </row>
    <row r="3903" spans="1:3">
      <c r="A3903">
        <v>3900</v>
      </c>
      <c r="B3903" s="12">
        <v>136340.6263730395</v>
      </c>
      <c r="C3903" s="12"/>
    </row>
    <row r="3904" spans="1:3">
      <c r="A3904">
        <v>3901</v>
      </c>
      <c r="B3904" s="12">
        <v>85676.062687965998</v>
      </c>
      <c r="C3904" s="12"/>
    </row>
    <row r="3905" spans="1:3">
      <c r="A3905">
        <v>3902</v>
      </c>
      <c r="B3905" s="12">
        <v>120253.58707419911</v>
      </c>
      <c r="C3905" s="12"/>
    </row>
    <row r="3906" spans="1:3">
      <c r="A3906">
        <v>3903</v>
      </c>
      <c r="B3906" s="12">
        <v>125576.70952872412</v>
      </c>
      <c r="C3906" s="12"/>
    </row>
    <row r="3907" spans="1:3">
      <c r="A3907">
        <v>3904</v>
      </c>
      <c r="B3907" s="12">
        <v>124584.35422752102</v>
      </c>
      <c r="C3907" s="12"/>
    </row>
    <row r="3908" spans="1:3">
      <c r="A3908">
        <v>3905</v>
      </c>
      <c r="B3908" s="12">
        <v>109476.52640019455</v>
      </c>
      <c r="C3908" s="12"/>
    </row>
    <row r="3909" spans="1:3">
      <c r="A3909">
        <v>3906</v>
      </c>
      <c r="B3909" s="12">
        <v>138094.92030471927</v>
      </c>
      <c r="C3909" s="12"/>
    </row>
    <row r="3910" spans="1:3">
      <c r="A3910">
        <v>3907</v>
      </c>
      <c r="B3910" s="12">
        <v>124142.21146340185</v>
      </c>
      <c r="C3910" s="12"/>
    </row>
    <row r="3911" spans="1:3">
      <c r="A3911">
        <v>3908</v>
      </c>
      <c r="B3911" s="12">
        <v>40365.078060740823</v>
      </c>
      <c r="C3911" s="12"/>
    </row>
    <row r="3912" spans="1:3">
      <c r="A3912">
        <v>3909</v>
      </c>
      <c r="B3912" s="12">
        <v>95745.773203430173</v>
      </c>
      <c r="C3912" s="12"/>
    </row>
    <row r="3913" spans="1:3">
      <c r="A3913">
        <v>3910</v>
      </c>
      <c r="B3913" s="12">
        <v>141885.99691062182</v>
      </c>
      <c r="C3913" s="12"/>
    </row>
    <row r="3914" spans="1:3">
      <c r="A3914">
        <v>3911</v>
      </c>
      <c r="B3914" s="12">
        <v>137926.92109734542</v>
      </c>
      <c r="C3914" s="12"/>
    </row>
    <row r="3915" spans="1:3">
      <c r="A3915">
        <v>3912</v>
      </c>
      <c r="B3915" s="12">
        <v>124003.81644820049</v>
      </c>
      <c r="C3915" s="12"/>
    </row>
    <row r="3916" spans="1:3">
      <c r="A3916">
        <v>3913</v>
      </c>
      <c r="B3916" s="12">
        <v>77231.648169680731</v>
      </c>
      <c r="C3916" s="12"/>
    </row>
    <row r="3917" spans="1:3">
      <c r="A3917">
        <v>3914</v>
      </c>
      <c r="B3917" s="12">
        <v>59776.826499457151</v>
      </c>
      <c r="C3917" s="12"/>
    </row>
    <row r="3918" spans="1:3">
      <c r="A3918">
        <v>3915</v>
      </c>
      <c r="B3918" s="12">
        <v>128216.67608578398</v>
      </c>
      <c r="C3918" s="12"/>
    </row>
    <row r="3919" spans="1:3">
      <c r="A3919">
        <v>3916</v>
      </c>
      <c r="B3919" s="12">
        <v>132400.93622249801</v>
      </c>
      <c r="C3919" s="12"/>
    </row>
    <row r="3920" spans="1:3">
      <c r="A3920">
        <v>3917</v>
      </c>
      <c r="B3920" s="12">
        <v>138774.32864734216</v>
      </c>
      <c r="C3920" s="12"/>
    </row>
    <row r="3921" spans="1:3">
      <c r="A3921">
        <v>3918</v>
      </c>
      <c r="B3921" s="12">
        <v>105987.39525912545</v>
      </c>
      <c r="C3921" s="12"/>
    </row>
    <row r="3922" spans="1:3">
      <c r="A3922">
        <v>3919</v>
      </c>
      <c r="B3922" s="12">
        <v>108615.44643049831</v>
      </c>
      <c r="C3922" s="12"/>
    </row>
    <row r="3923" spans="1:3">
      <c r="A3923">
        <v>3920</v>
      </c>
      <c r="B3923" s="12">
        <v>135660.17309844613</v>
      </c>
      <c r="C3923" s="12"/>
    </row>
    <row r="3924" spans="1:3">
      <c r="A3924">
        <v>3921</v>
      </c>
      <c r="B3924" s="12">
        <v>117425.42040830794</v>
      </c>
      <c r="C3924" s="12"/>
    </row>
    <row r="3925" spans="1:3">
      <c r="A3925">
        <v>3922</v>
      </c>
      <c r="B3925" s="12">
        <v>67763.917359305604</v>
      </c>
      <c r="C3925" s="12"/>
    </row>
    <row r="3926" spans="1:3">
      <c r="A3926">
        <v>3923</v>
      </c>
      <c r="B3926" s="12">
        <v>116513.04746383455</v>
      </c>
      <c r="C3926" s="12"/>
    </row>
    <row r="3927" spans="1:3">
      <c r="A3927">
        <v>3924</v>
      </c>
      <c r="B3927" s="12">
        <v>95078.506598870808</v>
      </c>
      <c r="C3927" s="12"/>
    </row>
    <row r="3928" spans="1:3">
      <c r="A3928">
        <v>3925</v>
      </c>
      <c r="B3928" s="12">
        <v>111120.18339246402</v>
      </c>
      <c r="C3928" s="12"/>
    </row>
    <row r="3929" spans="1:3">
      <c r="A3929">
        <v>3926</v>
      </c>
      <c r="B3929" s="12">
        <v>100930.37285985221</v>
      </c>
      <c r="C3929" s="12"/>
    </row>
    <row r="3930" spans="1:3">
      <c r="A3930">
        <v>3927</v>
      </c>
      <c r="B3930" s="12">
        <v>57907.642811365979</v>
      </c>
      <c r="C3930" s="12"/>
    </row>
    <row r="3931" spans="1:3">
      <c r="A3931">
        <v>3928</v>
      </c>
      <c r="B3931" s="12">
        <v>84338.259959710209</v>
      </c>
      <c r="C3931" s="12"/>
    </row>
    <row r="3932" spans="1:3">
      <c r="A3932">
        <v>3929</v>
      </c>
      <c r="B3932" s="12">
        <v>137331.25343150206</v>
      </c>
      <c r="C3932" s="12"/>
    </row>
    <row r="3933" spans="1:3">
      <c r="A3933">
        <v>3930</v>
      </c>
      <c r="B3933" s="12">
        <v>164199.88634372127</v>
      </c>
      <c r="C3933" s="12"/>
    </row>
    <row r="3934" spans="1:3">
      <c r="A3934">
        <v>3931</v>
      </c>
      <c r="B3934" s="12">
        <v>119889.25389564672</v>
      </c>
      <c r="C3934" s="12"/>
    </row>
    <row r="3935" spans="1:3">
      <c r="A3935">
        <v>3932</v>
      </c>
      <c r="B3935" s="12">
        <v>86462.484554407565</v>
      </c>
      <c r="C3935" s="12"/>
    </row>
    <row r="3936" spans="1:3">
      <c r="A3936">
        <v>3933</v>
      </c>
      <c r="B3936" s="12">
        <v>127214.6586545344</v>
      </c>
      <c r="C3936" s="12"/>
    </row>
    <row r="3937" spans="1:3">
      <c r="A3937">
        <v>3934</v>
      </c>
      <c r="B3937" s="12">
        <v>77157.392935917625</v>
      </c>
      <c r="C3937" s="12"/>
    </row>
    <row r="3938" spans="1:3">
      <c r="A3938">
        <v>3935</v>
      </c>
      <c r="B3938" s="12">
        <v>94388.592162253481</v>
      </c>
      <c r="C3938" s="12"/>
    </row>
    <row r="3939" spans="1:3">
      <c r="A3939">
        <v>3936</v>
      </c>
      <c r="B3939" s="12">
        <v>63945.725284973691</v>
      </c>
      <c r="C3939" s="12"/>
    </row>
    <row r="3940" spans="1:3">
      <c r="A3940">
        <v>3937</v>
      </c>
      <c r="B3940" s="12">
        <v>123031.18099324878</v>
      </c>
      <c r="C3940" s="12"/>
    </row>
    <row r="3941" spans="1:3">
      <c r="A3941">
        <v>3938</v>
      </c>
      <c r="B3941" s="12">
        <v>147213.38347465097</v>
      </c>
      <c r="C3941" s="12"/>
    </row>
    <row r="3942" spans="1:3">
      <c r="A3942">
        <v>3939</v>
      </c>
      <c r="B3942" s="12">
        <v>114377.02383539524</v>
      </c>
      <c r="C3942" s="12"/>
    </row>
    <row r="3943" spans="1:3">
      <c r="A3943">
        <v>3940</v>
      </c>
      <c r="B3943" s="12">
        <v>142530.95659579712</v>
      </c>
      <c r="C3943" s="12"/>
    </row>
    <row r="3944" spans="1:3">
      <c r="A3944">
        <v>3941</v>
      </c>
      <c r="B3944" s="12">
        <v>173908.90613316357</v>
      </c>
      <c r="C3944" s="12"/>
    </row>
    <row r="3945" spans="1:3">
      <c r="A3945">
        <v>3942</v>
      </c>
      <c r="B3945" s="12">
        <v>157121.13325419332</v>
      </c>
      <c r="C3945" s="12"/>
    </row>
    <row r="3946" spans="1:3">
      <c r="A3946">
        <v>3943</v>
      </c>
      <c r="B3946" s="12">
        <v>136481.84835575623</v>
      </c>
      <c r="C3946" s="12"/>
    </row>
    <row r="3947" spans="1:3">
      <c r="A3947">
        <v>3944</v>
      </c>
      <c r="B3947" s="12">
        <v>149285.1764023538</v>
      </c>
      <c r="C3947" s="12"/>
    </row>
    <row r="3948" spans="1:3">
      <c r="A3948">
        <v>3945</v>
      </c>
      <c r="B3948" s="12">
        <v>156999.42225170572</v>
      </c>
      <c r="C3948" s="12"/>
    </row>
    <row r="3949" spans="1:3">
      <c r="A3949">
        <v>3946</v>
      </c>
      <c r="B3949" s="12">
        <v>149939.90916399355</v>
      </c>
      <c r="C3949" s="12"/>
    </row>
    <row r="3950" spans="1:3">
      <c r="A3950">
        <v>3947</v>
      </c>
      <c r="B3950" s="12">
        <v>159356.94275674116</v>
      </c>
      <c r="C3950" s="12"/>
    </row>
    <row r="3951" spans="1:3">
      <c r="A3951">
        <v>3948</v>
      </c>
      <c r="B3951" s="12">
        <v>147642.08561292518</v>
      </c>
      <c r="C3951" s="12"/>
    </row>
    <row r="3952" spans="1:3">
      <c r="A3952">
        <v>3949</v>
      </c>
      <c r="B3952" s="12">
        <v>90080.291093068387</v>
      </c>
      <c r="C3952" s="12"/>
    </row>
    <row r="3953" spans="1:3">
      <c r="A3953">
        <v>3950</v>
      </c>
      <c r="B3953" s="12">
        <v>132886.45196529926</v>
      </c>
      <c r="C3953" s="12"/>
    </row>
    <row r="3954" spans="1:3">
      <c r="A3954">
        <v>3951</v>
      </c>
      <c r="B3954" s="12">
        <v>63996.596733255821</v>
      </c>
      <c r="C3954" s="12"/>
    </row>
    <row r="3955" spans="1:3">
      <c r="A3955">
        <v>3952</v>
      </c>
      <c r="B3955" s="12">
        <v>106805.83091000296</v>
      </c>
      <c r="C3955" s="12"/>
    </row>
    <row r="3956" spans="1:3">
      <c r="A3956">
        <v>3953</v>
      </c>
      <c r="B3956" s="12">
        <v>114223.33132354825</v>
      </c>
      <c r="C3956" s="12"/>
    </row>
    <row r="3957" spans="1:3">
      <c r="A3957">
        <v>3954</v>
      </c>
      <c r="B3957" s="12">
        <v>85245.182543162518</v>
      </c>
      <c r="C3957" s="12"/>
    </row>
    <row r="3958" spans="1:3">
      <c r="A3958">
        <v>3955</v>
      </c>
      <c r="B3958" s="12">
        <v>100184.22839334029</v>
      </c>
      <c r="C3958" s="12"/>
    </row>
    <row r="3959" spans="1:3">
      <c r="A3959">
        <v>3956</v>
      </c>
      <c r="B3959" s="12">
        <v>109036.8137258646</v>
      </c>
      <c r="C3959" s="12"/>
    </row>
    <row r="3960" spans="1:3">
      <c r="A3960">
        <v>3957</v>
      </c>
      <c r="B3960" s="12">
        <v>139558.19237150979</v>
      </c>
      <c r="C3960" s="12"/>
    </row>
    <row r="3961" spans="1:3">
      <c r="A3961">
        <v>3958</v>
      </c>
      <c r="B3961" s="12">
        <v>104661.18844010899</v>
      </c>
      <c r="C3961" s="12"/>
    </row>
    <row r="3962" spans="1:3">
      <c r="A3962">
        <v>3959</v>
      </c>
      <c r="B3962" s="12">
        <v>155291.37098459105</v>
      </c>
      <c r="C3962" s="12"/>
    </row>
    <row r="3963" spans="1:3">
      <c r="A3963">
        <v>3960</v>
      </c>
      <c r="B3963" s="12">
        <v>79281.665774786379</v>
      </c>
      <c r="C3963" s="12"/>
    </row>
    <row r="3964" spans="1:3">
      <c r="A3964">
        <v>3961</v>
      </c>
      <c r="B3964" s="12">
        <v>94882.397621755241</v>
      </c>
      <c r="C3964" s="12"/>
    </row>
    <row r="3965" spans="1:3">
      <c r="A3965">
        <v>3962</v>
      </c>
      <c r="B3965" s="12">
        <v>113738.19932751397</v>
      </c>
      <c r="C3965" s="12"/>
    </row>
    <row r="3966" spans="1:3">
      <c r="A3966">
        <v>3963</v>
      </c>
      <c r="B3966" s="12">
        <v>117093.7780838497</v>
      </c>
      <c r="C3966" s="12"/>
    </row>
    <row r="3967" spans="1:3">
      <c r="A3967">
        <v>3964</v>
      </c>
      <c r="B3967" s="12">
        <v>105985.90888706615</v>
      </c>
      <c r="C3967" s="12"/>
    </row>
    <row r="3968" spans="1:3">
      <c r="A3968">
        <v>3965</v>
      </c>
      <c r="B3968" s="12">
        <v>141550.77464659058</v>
      </c>
      <c r="C3968" s="12"/>
    </row>
    <row r="3969" spans="1:3">
      <c r="A3969">
        <v>3966</v>
      </c>
      <c r="B3969" s="12">
        <v>98827.357133017853</v>
      </c>
      <c r="C3969" s="12"/>
    </row>
    <row r="3970" spans="1:3">
      <c r="A3970">
        <v>3967</v>
      </c>
      <c r="B3970" s="12">
        <v>165615.00961628597</v>
      </c>
      <c r="C3970" s="12"/>
    </row>
    <row r="3971" spans="1:3">
      <c r="A3971">
        <v>3968</v>
      </c>
      <c r="B3971" s="12">
        <v>91908.799056947129</v>
      </c>
      <c r="C3971" s="12"/>
    </row>
    <row r="3972" spans="1:3">
      <c r="A3972">
        <v>3969</v>
      </c>
      <c r="B3972" s="12">
        <v>89259.747678666041</v>
      </c>
      <c r="C3972" s="12"/>
    </row>
    <row r="3973" spans="1:3">
      <c r="A3973">
        <v>3970</v>
      </c>
      <c r="B3973" s="12">
        <v>119711.17492582668</v>
      </c>
      <c r="C3973" s="12"/>
    </row>
    <row r="3974" spans="1:3">
      <c r="A3974">
        <v>3971</v>
      </c>
      <c r="B3974" s="12">
        <v>82818.670371744709</v>
      </c>
      <c r="C3974" s="12"/>
    </row>
    <row r="3975" spans="1:3">
      <c r="A3975">
        <v>3972</v>
      </c>
      <c r="B3975" s="12">
        <v>86780.148328042444</v>
      </c>
      <c r="C3975" s="12"/>
    </row>
    <row r="3976" spans="1:3">
      <c r="A3976">
        <v>3973</v>
      </c>
      <c r="B3976" s="12">
        <v>82428.860939124002</v>
      </c>
      <c r="C3976" s="12"/>
    </row>
    <row r="3977" spans="1:3">
      <c r="A3977">
        <v>3974</v>
      </c>
      <c r="B3977" s="12">
        <v>73267.218993106377</v>
      </c>
      <c r="C3977" s="12"/>
    </row>
    <row r="3978" spans="1:3">
      <c r="A3978">
        <v>3975</v>
      </c>
      <c r="B3978" s="12">
        <v>112950.86688026899</v>
      </c>
      <c r="C3978" s="12"/>
    </row>
    <row r="3979" spans="1:3">
      <c r="A3979">
        <v>3976</v>
      </c>
      <c r="B3979" s="12">
        <v>94180.773980419865</v>
      </c>
      <c r="C3979" s="12"/>
    </row>
    <row r="3980" spans="1:3">
      <c r="A3980">
        <v>3977</v>
      </c>
      <c r="B3980" s="12">
        <v>115263.27741931622</v>
      </c>
      <c r="C3980" s="12"/>
    </row>
    <row r="3981" spans="1:3">
      <c r="A3981">
        <v>3978</v>
      </c>
      <c r="B3981" s="12">
        <v>85626.541429075689</v>
      </c>
      <c r="C3981" s="12"/>
    </row>
    <row r="3982" spans="1:3">
      <c r="A3982">
        <v>3979</v>
      </c>
      <c r="B3982" s="12">
        <v>96671.277635757579</v>
      </c>
      <c r="C3982" s="12"/>
    </row>
    <row r="3983" spans="1:3">
      <c r="A3983">
        <v>3980</v>
      </c>
      <c r="B3983" s="12">
        <v>110142.43441646492</v>
      </c>
      <c r="C3983" s="12"/>
    </row>
    <row r="3984" spans="1:3">
      <c r="A3984">
        <v>3981</v>
      </c>
      <c r="B3984" s="12">
        <v>135172.8791749443</v>
      </c>
      <c r="C3984" s="12"/>
    </row>
    <row r="3985" spans="1:3">
      <c r="A3985">
        <v>3982</v>
      </c>
      <c r="B3985" s="12">
        <v>105958.36185274611</v>
      </c>
      <c r="C3985" s="12"/>
    </row>
    <row r="3986" spans="1:3">
      <c r="A3986">
        <v>3983</v>
      </c>
      <c r="B3986" s="12">
        <v>142966.43360809924</v>
      </c>
      <c r="C3986" s="12"/>
    </row>
    <row r="3987" spans="1:3">
      <c r="A3987">
        <v>3984</v>
      </c>
      <c r="B3987" s="12">
        <v>108733.27310481782</v>
      </c>
      <c r="C3987" s="12"/>
    </row>
    <row r="3988" spans="1:3">
      <c r="A3988">
        <v>3985</v>
      </c>
      <c r="B3988" s="12">
        <v>148850.22419754154</v>
      </c>
      <c r="C3988" s="12"/>
    </row>
    <row r="3989" spans="1:3">
      <c r="A3989">
        <v>3986</v>
      </c>
      <c r="B3989" s="12">
        <v>97808.661372688526</v>
      </c>
      <c r="C3989" s="12"/>
    </row>
    <row r="3990" spans="1:3">
      <c r="A3990">
        <v>3987</v>
      </c>
      <c r="B3990" s="12">
        <v>140917.45144591606</v>
      </c>
      <c r="C3990" s="12"/>
    </row>
    <row r="3991" spans="1:3">
      <c r="A3991">
        <v>3988</v>
      </c>
      <c r="B3991" s="12">
        <v>83319.066668192681</v>
      </c>
      <c r="C3991" s="12"/>
    </row>
    <row r="3992" spans="1:3">
      <c r="A3992">
        <v>3989</v>
      </c>
      <c r="B3992" s="12">
        <v>148626.18718416194</v>
      </c>
      <c r="C3992" s="12"/>
    </row>
    <row r="3993" spans="1:3">
      <c r="A3993">
        <v>3990</v>
      </c>
      <c r="B3993" s="12">
        <v>85035.298442442116</v>
      </c>
      <c r="C3993" s="12"/>
    </row>
    <row r="3994" spans="1:3">
      <c r="A3994">
        <v>3991</v>
      </c>
      <c r="B3994" s="12">
        <v>98629.885577326029</v>
      </c>
      <c r="C3994" s="12"/>
    </row>
    <row r="3995" spans="1:3">
      <c r="A3995">
        <v>3992</v>
      </c>
      <c r="B3995" s="12">
        <v>127361.46270693171</v>
      </c>
      <c r="C3995" s="12"/>
    </row>
    <row r="3996" spans="1:3">
      <c r="A3996">
        <v>3993</v>
      </c>
      <c r="B3996" s="12">
        <v>93320.956047140033</v>
      </c>
      <c r="C3996" s="12"/>
    </row>
    <row r="3997" spans="1:3">
      <c r="A3997">
        <v>3994</v>
      </c>
      <c r="B3997" s="12">
        <v>171699.96975120145</v>
      </c>
      <c r="C3997" s="12"/>
    </row>
    <row r="3998" spans="1:3">
      <c r="A3998">
        <v>3995</v>
      </c>
      <c r="B3998" s="12">
        <v>114244.75480095508</v>
      </c>
      <c r="C3998" s="12"/>
    </row>
    <row r="3999" spans="1:3">
      <c r="A3999">
        <v>3996</v>
      </c>
      <c r="B3999" s="12">
        <v>106376.36536925666</v>
      </c>
      <c r="C3999" s="12"/>
    </row>
    <row r="4000" spans="1:3">
      <c r="A4000">
        <v>3997</v>
      </c>
      <c r="B4000" s="12">
        <v>70503.596934674933</v>
      </c>
      <c r="C4000" s="12"/>
    </row>
    <row r="4001" spans="1:3">
      <c r="A4001">
        <v>3998</v>
      </c>
      <c r="B4001" s="12">
        <v>115093.13066031449</v>
      </c>
      <c r="C4001" s="12"/>
    </row>
    <row r="4002" spans="1:3">
      <c r="A4002">
        <v>3999</v>
      </c>
      <c r="B4002" s="12">
        <v>100612.47129153374</v>
      </c>
      <c r="C4002" s="12"/>
    </row>
    <row r="4003" spans="1:3">
      <c r="A4003">
        <v>4000</v>
      </c>
      <c r="B4003" s="12">
        <v>91316.148439578654</v>
      </c>
      <c r="C4003" s="12"/>
    </row>
    <row r="4004" spans="1:3">
      <c r="A4004">
        <v>4001</v>
      </c>
      <c r="B4004" s="12">
        <v>59284.018516384778</v>
      </c>
      <c r="C4004" s="12"/>
    </row>
    <row r="4005" spans="1:3">
      <c r="A4005">
        <v>4002</v>
      </c>
      <c r="B4005" s="12">
        <v>105606.89667213798</v>
      </c>
      <c r="C4005" s="12"/>
    </row>
    <row r="4006" spans="1:3">
      <c r="A4006">
        <v>4003</v>
      </c>
      <c r="B4006" s="12">
        <v>101484.04943124516</v>
      </c>
      <c r="C4006" s="12"/>
    </row>
    <row r="4007" spans="1:3">
      <c r="A4007">
        <v>4004</v>
      </c>
      <c r="B4007" s="12">
        <v>98158.2343861462</v>
      </c>
      <c r="C4007" s="12"/>
    </row>
    <row r="4008" spans="1:3">
      <c r="A4008">
        <v>4005</v>
      </c>
      <c r="B4008" s="12">
        <v>116691.79902816874</v>
      </c>
      <c r="C4008" s="12"/>
    </row>
    <row r="4009" spans="1:3">
      <c r="A4009">
        <v>4006</v>
      </c>
      <c r="B4009" s="12">
        <v>199037.42938016381</v>
      </c>
      <c r="C4009" s="12"/>
    </row>
    <row r="4010" spans="1:3">
      <c r="A4010">
        <v>4007</v>
      </c>
      <c r="B4010" s="12">
        <v>72857.460943294427</v>
      </c>
      <c r="C4010" s="12"/>
    </row>
    <row r="4011" spans="1:3">
      <c r="A4011">
        <v>4008</v>
      </c>
      <c r="B4011" s="12">
        <v>114937.45388568199</v>
      </c>
      <c r="C4011" s="12"/>
    </row>
    <row r="4012" spans="1:3">
      <c r="A4012">
        <v>4009</v>
      </c>
      <c r="B4012" s="12">
        <v>127750.74380558214</v>
      </c>
      <c r="C4012" s="12"/>
    </row>
    <row r="4013" spans="1:3">
      <c r="A4013">
        <v>4010</v>
      </c>
      <c r="B4013" s="12">
        <v>52719.355241517595</v>
      </c>
      <c r="C4013" s="12"/>
    </row>
    <row r="4014" spans="1:3">
      <c r="A4014">
        <v>4011</v>
      </c>
      <c r="B4014" s="12">
        <v>75425.017016443453</v>
      </c>
      <c r="C4014" s="12"/>
    </row>
    <row r="4015" spans="1:3">
      <c r="A4015">
        <v>4012</v>
      </c>
      <c r="B4015" s="12">
        <v>185055.01979589602</v>
      </c>
      <c r="C4015" s="12"/>
    </row>
    <row r="4016" spans="1:3">
      <c r="A4016">
        <v>4013</v>
      </c>
      <c r="B4016" s="12">
        <v>112253.07211434218</v>
      </c>
      <c r="C4016" s="12"/>
    </row>
    <row r="4017" spans="1:3">
      <c r="A4017">
        <v>4014</v>
      </c>
      <c r="B4017" s="12">
        <v>110897.79911013175</v>
      </c>
      <c r="C4017" s="12"/>
    </row>
    <row r="4018" spans="1:3">
      <c r="A4018">
        <v>4015</v>
      </c>
      <c r="B4018" s="12">
        <v>88484.827133135317</v>
      </c>
      <c r="C4018" s="12"/>
    </row>
    <row r="4019" spans="1:3">
      <c r="A4019">
        <v>4016</v>
      </c>
      <c r="B4019" s="12">
        <v>136017.7667606074</v>
      </c>
      <c r="C4019" s="12"/>
    </row>
    <row r="4020" spans="1:3">
      <c r="A4020">
        <v>4017</v>
      </c>
      <c r="B4020" s="12">
        <v>136061.44400999366</v>
      </c>
      <c r="C4020" s="12"/>
    </row>
    <row r="4021" spans="1:3">
      <c r="A4021">
        <v>4018</v>
      </c>
      <c r="B4021" s="12">
        <v>175375.27627673766</v>
      </c>
      <c r="C4021" s="12"/>
    </row>
    <row r="4022" spans="1:3">
      <c r="A4022">
        <v>4019</v>
      </c>
      <c r="B4022" s="12">
        <v>85285.939870380185</v>
      </c>
      <c r="C4022" s="12"/>
    </row>
    <row r="4023" spans="1:3">
      <c r="A4023">
        <v>4020</v>
      </c>
      <c r="B4023" s="12">
        <v>155569.37068739536</v>
      </c>
      <c r="C4023" s="12"/>
    </row>
    <row r="4024" spans="1:3">
      <c r="A4024">
        <v>4021</v>
      </c>
      <c r="B4024" s="12">
        <v>93838.998802896633</v>
      </c>
      <c r="C4024" s="12"/>
    </row>
    <row r="4025" spans="1:3">
      <c r="A4025">
        <v>4022</v>
      </c>
      <c r="B4025" s="12">
        <v>143368.48045360463</v>
      </c>
      <c r="C4025" s="12"/>
    </row>
    <row r="4026" spans="1:3">
      <c r="A4026">
        <v>4023</v>
      </c>
      <c r="B4026" s="12">
        <v>85348.558295135925</v>
      </c>
      <c r="C4026" s="12"/>
    </row>
    <row r="4027" spans="1:3">
      <c r="A4027">
        <v>4024</v>
      </c>
      <c r="B4027" s="12">
        <v>159387.53158466602</v>
      </c>
      <c r="C4027" s="12"/>
    </row>
    <row r="4028" spans="1:3">
      <c r="A4028">
        <v>4025</v>
      </c>
      <c r="B4028" s="12">
        <v>73592.565360934808</v>
      </c>
      <c r="C4028" s="12"/>
    </row>
    <row r="4029" spans="1:3">
      <c r="A4029">
        <v>4026</v>
      </c>
      <c r="B4029" s="12">
        <v>119686.49410156514</v>
      </c>
      <c r="C4029" s="12"/>
    </row>
    <row r="4030" spans="1:3">
      <c r="A4030">
        <v>4027</v>
      </c>
      <c r="B4030" s="12">
        <v>62425.338911420069</v>
      </c>
      <c r="C4030" s="12"/>
    </row>
    <row r="4031" spans="1:3">
      <c r="A4031">
        <v>4028</v>
      </c>
      <c r="B4031" s="12">
        <v>141565.95392714557</v>
      </c>
      <c r="C4031" s="12"/>
    </row>
    <row r="4032" spans="1:3">
      <c r="A4032">
        <v>4029</v>
      </c>
      <c r="B4032" s="12">
        <v>124593.76877874583</v>
      </c>
      <c r="C4032" s="12"/>
    </row>
    <row r="4033" spans="1:3">
      <c r="A4033">
        <v>4030</v>
      </c>
      <c r="B4033" s="12">
        <v>216194.19516703676</v>
      </c>
      <c r="C4033" s="12"/>
    </row>
    <row r="4034" spans="1:3">
      <c r="A4034">
        <v>4031</v>
      </c>
      <c r="B4034" s="12">
        <v>82187.338941213515</v>
      </c>
      <c r="C4034" s="12"/>
    </row>
    <row r="4035" spans="1:3">
      <c r="A4035">
        <v>4032</v>
      </c>
      <c r="B4035" s="12">
        <v>114731.21578522942</v>
      </c>
      <c r="C4035" s="12"/>
    </row>
    <row r="4036" spans="1:3">
      <c r="A4036">
        <v>4033</v>
      </c>
      <c r="B4036" s="12">
        <v>126749.70765386961</v>
      </c>
      <c r="C4036" s="12"/>
    </row>
    <row r="4037" spans="1:3">
      <c r="A4037">
        <v>4034</v>
      </c>
      <c r="B4037" s="12">
        <v>119766.81057383337</v>
      </c>
      <c r="C4037" s="12"/>
    </row>
    <row r="4038" spans="1:3">
      <c r="A4038">
        <v>4035</v>
      </c>
      <c r="B4038" s="12">
        <v>129072.15674999919</v>
      </c>
      <c r="C4038" s="12"/>
    </row>
    <row r="4039" spans="1:3">
      <c r="A4039">
        <v>4036</v>
      </c>
      <c r="B4039" s="12">
        <v>185840.65730366512</v>
      </c>
      <c r="C4039" s="12"/>
    </row>
    <row r="4040" spans="1:3">
      <c r="A4040">
        <v>4037</v>
      </c>
      <c r="B4040" s="12">
        <v>104333.55989911771</v>
      </c>
      <c r="C4040" s="12"/>
    </row>
    <row r="4041" spans="1:3">
      <c r="A4041">
        <v>4038</v>
      </c>
      <c r="B4041" s="12">
        <v>96966.386093487949</v>
      </c>
      <c r="C4041" s="12"/>
    </row>
    <row r="4042" spans="1:3">
      <c r="A4042">
        <v>4039</v>
      </c>
      <c r="B4042" s="12">
        <v>132524.80504974895</v>
      </c>
      <c r="C4042" s="12"/>
    </row>
    <row r="4043" spans="1:3">
      <c r="A4043">
        <v>4040</v>
      </c>
      <c r="B4043" s="12">
        <v>121134.81492399206</v>
      </c>
      <c r="C4043" s="12"/>
    </row>
    <row r="4044" spans="1:3">
      <c r="A4044">
        <v>4041</v>
      </c>
      <c r="B4044" s="12">
        <v>95406.840715628772</v>
      </c>
      <c r="C4044" s="12"/>
    </row>
    <row r="4045" spans="1:3">
      <c r="A4045">
        <v>4042</v>
      </c>
      <c r="B4045" s="12">
        <v>89386.544471861096</v>
      </c>
      <c r="C4045" s="12"/>
    </row>
    <row r="4046" spans="1:3">
      <c r="A4046">
        <v>4043</v>
      </c>
      <c r="B4046" s="12">
        <v>131371.00923360977</v>
      </c>
      <c r="C4046" s="12"/>
    </row>
    <row r="4047" spans="1:3">
      <c r="A4047">
        <v>4044</v>
      </c>
      <c r="B4047" s="12">
        <v>69945.991817874659</v>
      </c>
      <c r="C4047" s="12"/>
    </row>
    <row r="4048" spans="1:3">
      <c r="A4048">
        <v>4045</v>
      </c>
      <c r="B4048" s="12">
        <v>64852.355902621173</v>
      </c>
      <c r="C4048" s="12"/>
    </row>
    <row r="4049" spans="1:3">
      <c r="A4049">
        <v>4046</v>
      </c>
      <c r="B4049" s="12">
        <v>127636.05273185721</v>
      </c>
      <c r="C4049" s="12"/>
    </row>
    <row r="4050" spans="1:3">
      <c r="A4050">
        <v>4047</v>
      </c>
      <c r="B4050" s="12">
        <v>131795.16818887205</v>
      </c>
      <c r="C4050" s="12"/>
    </row>
    <row r="4051" spans="1:3">
      <c r="A4051">
        <v>4048</v>
      </c>
      <c r="B4051" s="12">
        <v>87363.032812571575</v>
      </c>
      <c r="C4051" s="12"/>
    </row>
    <row r="4052" spans="1:3">
      <c r="A4052">
        <v>4049</v>
      </c>
      <c r="B4052" s="12">
        <v>158813.18255856604</v>
      </c>
      <c r="C4052" s="12"/>
    </row>
    <row r="4053" spans="1:3">
      <c r="A4053">
        <v>4050</v>
      </c>
      <c r="B4053" s="12">
        <v>107895.55934073399</v>
      </c>
      <c r="C4053" s="12"/>
    </row>
    <row r="4054" spans="1:3">
      <c r="A4054">
        <v>4051</v>
      </c>
      <c r="B4054" s="12">
        <v>141790.34962337025</v>
      </c>
      <c r="C4054" s="12"/>
    </row>
    <row r="4055" spans="1:3">
      <c r="A4055">
        <v>4052</v>
      </c>
      <c r="B4055" s="12">
        <v>82626.264334633961</v>
      </c>
      <c r="C4055" s="12"/>
    </row>
    <row r="4056" spans="1:3">
      <c r="A4056">
        <v>4053</v>
      </c>
      <c r="B4056" s="12">
        <v>130148.76442987868</v>
      </c>
      <c r="C4056" s="12"/>
    </row>
    <row r="4057" spans="1:3">
      <c r="A4057">
        <v>4054</v>
      </c>
      <c r="B4057" s="12">
        <v>142337.80138286218</v>
      </c>
      <c r="C4057" s="12"/>
    </row>
    <row r="4058" spans="1:3">
      <c r="A4058">
        <v>4055</v>
      </c>
      <c r="B4058" s="12">
        <v>85705.579497128041</v>
      </c>
      <c r="C4058" s="12"/>
    </row>
    <row r="4059" spans="1:3">
      <c r="A4059">
        <v>4056</v>
      </c>
      <c r="B4059" s="12">
        <v>101240.94578188549</v>
      </c>
      <c r="C4059" s="12"/>
    </row>
    <row r="4060" spans="1:3">
      <c r="A4060">
        <v>4057</v>
      </c>
      <c r="B4060" s="12">
        <v>117633.08344988045</v>
      </c>
      <c r="C4060" s="12"/>
    </row>
    <row r="4061" spans="1:3">
      <c r="A4061">
        <v>4058</v>
      </c>
      <c r="B4061" s="12">
        <v>72908.496807175805</v>
      </c>
      <c r="C4061" s="12"/>
    </row>
    <row r="4062" spans="1:3">
      <c r="A4062">
        <v>4059</v>
      </c>
      <c r="B4062" s="12">
        <v>172282.03627821396</v>
      </c>
      <c r="C4062" s="12"/>
    </row>
    <row r="4063" spans="1:3">
      <c r="A4063">
        <v>4060</v>
      </c>
      <c r="B4063" s="12">
        <v>148701.34585161536</v>
      </c>
      <c r="C4063" s="12"/>
    </row>
    <row r="4064" spans="1:3">
      <c r="A4064">
        <v>4061</v>
      </c>
      <c r="B4064" s="12">
        <v>171247.2284356899</v>
      </c>
      <c r="C4064" s="12"/>
    </row>
    <row r="4065" spans="1:3">
      <c r="A4065">
        <v>4062</v>
      </c>
      <c r="B4065" s="12">
        <v>93092.558268496126</v>
      </c>
      <c r="C4065" s="12"/>
    </row>
    <row r="4066" spans="1:3">
      <c r="A4066">
        <v>4063</v>
      </c>
      <c r="B4066" s="12">
        <v>115342.54874948246</v>
      </c>
      <c r="C4066" s="12"/>
    </row>
    <row r="4067" spans="1:3">
      <c r="A4067">
        <v>4064</v>
      </c>
      <c r="B4067" s="12">
        <v>87035.447946534885</v>
      </c>
      <c r="C4067" s="12"/>
    </row>
    <row r="4068" spans="1:3">
      <c r="A4068">
        <v>4065</v>
      </c>
      <c r="B4068" s="12">
        <v>137815.61742073027</v>
      </c>
      <c r="C4068" s="12"/>
    </row>
    <row r="4069" spans="1:3">
      <c r="A4069">
        <v>4066</v>
      </c>
      <c r="B4069" s="12">
        <v>77856.412559808625</v>
      </c>
      <c r="C4069" s="12"/>
    </row>
    <row r="4070" spans="1:3">
      <c r="A4070">
        <v>4067</v>
      </c>
      <c r="B4070" s="12">
        <v>83470.15556674145</v>
      </c>
      <c r="C4070" s="12"/>
    </row>
    <row r="4071" spans="1:3">
      <c r="A4071">
        <v>4068</v>
      </c>
      <c r="B4071" s="12">
        <v>127594.91134232352</v>
      </c>
      <c r="C4071" s="12"/>
    </row>
    <row r="4072" spans="1:3">
      <c r="A4072">
        <v>4069</v>
      </c>
      <c r="B4072" s="12">
        <v>101271.89953468212</v>
      </c>
      <c r="C4072" s="12"/>
    </row>
    <row r="4073" spans="1:3">
      <c r="A4073">
        <v>4070</v>
      </c>
      <c r="B4073" s="12">
        <v>111999.63550445643</v>
      </c>
      <c r="C4073" s="12"/>
    </row>
    <row r="4074" spans="1:3">
      <c r="A4074">
        <v>4071</v>
      </c>
      <c r="B4074" s="12">
        <v>88801.021360072773</v>
      </c>
      <c r="C4074" s="12"/>
    </row>
    <row r="4075" spans="1:3">
      <c r="A4075">
        <v>4072</v>
      </c>
      <c r="B4075" s="12">
        <v>76947.194171510302</v>
      </c>
      <c r="C4075" s="12"/>
    </row>
    <row r="4076" spans="1:3">
      <c r="A4076">
        <v>4073</v>
      </c>
      <c r="B4076" s="12">
        <v>157950.20119741367</v>
      </c>
      <c r="C4076" s="12"/>
    </row>
    <row r="4077" spans="1:3">
      <c r="A4077">
        <v>4074</v>
      </c>
      <c r="B4077" s="12">
        <v>146671.62718057382</v>
      </c>
      <c r="C4077" s="12"/>
    </row>
    <row r="4078" spans="1:3">
      <c r="A4078">
        <v>4075</v>
      </c>
      <c r="B4078" s="12">
        <v>143859.07161769376</v>
      </c>
      <c r="C4078" s="12"/>
    </row>
    <row r="4079" spans="1:3">
      <c r="A4079">
        <v>4076</v>
      </c>
      <c r="B4079" s="12">
        <v>101139.9874860671</v>
      </c>
      <c r="C4079" s="12"/>
    </row>
    <row r="4080" spans="1:3">
      <c r="A4080">
        <v>4077</v>
      </c>
      <c r="B4080" s="12">
        <v>136583.36706230167</v>
      </c>
      <c r="C4080" s="12"/>
    </row>
    <row r="4081" spans="1:3">
      <c r="A4081">
        <v>4078</v>
      </c>
      <c r="B4081" s="12">
        <v>90522.54787607849</v>
      </c>
      <c r="C4081" s="12"/>
    </row>
    <row r="4082" spans="1:3">
      <c r="A4082">
        <v>4079</v>
      </c>
      <c r="B4082" s="12">
        <v>127644.75392408449</v>
      </c>
      <c r="C4082" s="12"/>
    </row>
    <row r="4083" spans="1:3">
      <c r="A4083">
        <v>4080</v>
      </c>
      <c r="B4083" s="12">
        <v>70349.044714783406</v>
      </c>
      <c r="C4083" s="12"/>
    </row>
    <row r="4084" spans="1:3">
      <c r="A4084">
        <v>4081</v>
      </c>
      <c r="B4084" s="12">
        <v>123391.27681452813</v>
      </c>
      <c r="C4084" s="12"/>
    </row>
    <row r="4085" spans="1:3">
      <c r="A4085">
        <v>4082</v>
      </c>
      <c r="B4085" s="12">
        <v>73655.780325320404</v>
      </c>
      <c r="C4085" s="12"/>
    </row>
    <row r="4086" spans="1:3">
      <c r="A4086">
        <v>4083</v>
      </c>
      <c r="B4086" s="12">
        <v>108229.51170959677</v>
      </c>
      <c r="C4086" s="12"/>
    </row>
    <row r="4087" spans="1:3">
      <c r="A4087">
        <v>4084</v>
      </c>
      <c r="B4087" s="12">
        <v>79071.255102894633</v>
      </c>
      <c r="C4087" s="12"/>
    </row>
    <row r="4088" spans="1:3">
      <c r="A4088">
        <v>4085</v>
      </c>
      <c r="B4088" s="12">
        <v>134004.85511673547</v>
      </c>
      <c r="C4088" s="12"/>
    </row>
    <row r="4089" spans="1:3">
      <c r="A4089">
        <v>4086</v>
      </c>
      <c r="B4089" s="12">
        <v>123269.47744301247</v>
      </c>
      <c r="C4089" s="12"/>
    </row>
    <row r="4090" spans="1:3">
      <c r="A4090">
        <v>4087</v>
      </c>
      <c r="B4090" s="12">
        <v>173371.4286203419</v>
      </c>
      <c r="C4090" s="12"/>
    </row>
    <row r="4091" spans="1:3">
      <c r="A4091">
        <v>4088</v>
      </c>
      <c r="B4091" s="12">
        <v>159243.12855430023</v>
      </c>
      <c r="C4091" s="12"/>
    </row>
    <row r="4092" spans="1:3">
      <c r="A4092">
        <v>4089</v>
      </c>
      <c r="B4092" s="12">
        <v>109937.87296278098</v>
      </c>
      <c r="C4092" s="12"/>
    </row>
    <row r="4093" spans="1:3">
      <c r="A4093">
        <v>4090</v>
      </c>
      <c r="B4093" s="12">
        <v>110200.12535913775</v>
      </c>
      <c r="C4093" s="12"/>
    </row>
    <row r="4094" spans="1:3">
      <c r="A4094">
        <v>4091</v>
      </c>
      <c r="B4094" s="12">
        <v>130612.70523985007</v>
      </c>
      <c r="C4094" s="12"/>
    </row>
    <row r="4095" spans="1:3">
      <c r="A4095">
        <v>4092</v>
      </c>
      <c r="B4095" s="12">
        <v>98760.867698369038</v>
      </c>
      <c r="C4095" s="12"/>
    </row>
    <row r="4096" spans="1:3">
      <c r="A4096">
        <v>4093</v>
      </c>
      <c r="B4096" s="12">
        <v>78128.905336378724</v>
      </c>
      <c r="C4096" s="12"/>
    </row>
    <row r="4097" spans="1:3">
      <c r="A4097">
        <v>4094</v>
      </c>
      <c r="B4097" s="12">
        <v>112092.78127660797</v>
      </c>
      <c r="C4097" s="12"/>
    </row>
    <row r="4098" spans="1:3">
      <c r="A4098">
        <v>4095</v>
      </c>
      <c r="B4098" s="12">
        <v>89827.650039551896</v>
      </c>
      <c r="C4098" s="12"/>
    </row>
    <row r="4099" spans="1:3">
      <c r="A4099">
        <v>4096</v>
      </c>
      <c r="B4099" s="12">
        <v>139373.78415333308</v>
      </c>
      <c r="C4099" s="12"/>
    </row>
    <row r="4100" spans="1:3">
      <c r="A4100">
        <v>4097</v>
      </c>
      <c r="B4100" s="12">
        <v>76738.134025064181</v>
      </c>
      <c r="C4100" s="12"/>
    </row>
    <row r="4101" spans="1:3">
      <c r="A4101">
        <v>4098</v>
      </c>
      <c r="B4101" s="12">
        <v>104348.83025396647</v>
      </c>
      <c r="C4101" s="12"/>
    </row>
    <row r="4102" spans="1:3">
      <c r="A4102">
        <v>4099</v>
      </c>
      <c r="B4102" s="12">
        <v>170685.93800355218</v>
      </c>
      <c r="C4102" s="12"/>
    </row>
    <row r="4103" spans="1:3">
      <c r="A4103">
        <v>4100</v>
      </c>
      <c r="B4103" s="12">
        <v>108989.08186273766</v>
      </c>
      <c r="C4103" s="12"/>
    </row>
    <row r="4104" spans="1:3">
      <c r="A4104">
        <v>4101</v>
      </c>
      <c r="B4104" s="12">
        <v>117719.95584970985</v>
      </c>
      <c r="C4104" s="12"/>
    </row>
    <row r="4105" spans="1:3">
      <c r="A4105">
        <v>4102</v>
      </c>
      <c r="B4105" s="12">
        <v>108018.72657485865</v>
      </c>
      <c r="C4105" s="12"/>
    </row>
    <row r="4106" spans="1:3">
      <c r="A4106">
        <v>4103</v>
      </c>
      <c r="B4106" s="12">
        <v>95674.997525588973</v>
      </c>
      <c r="C4106" s="12"/>
    </row>
    <row r="4107" spans="1:3">
      <c r="A4107">
        <v>4104</v>
      </c>
      <c r="B4107" s="12">
        <v>77719.859704486691</v>
      </c>
      <c r="C4107" s="12"/>
    </row>
    <row r="4108" spans="1:3">
      <c r="A4108">
        <v>4105</v>
      </c>
      <c r="B4108" s="12">
        <v>103795.10462400233</v>
      </c>
      <c r="C4108" s="12"/>
    </row>
    <row r="4109" spans="1:3">
      <c r="A4109">
        <v>4106</v>
      </c>
      <c r="B4109" s="12">
        <v>119725.3137077327</v>
      </c>
      <c r="C4109" s="12"/>
    </row>
    <row r="4110" spans="1:3">
      <c r="A4110">
        <v>4107</v>
      </c>
      <c r="B4110" s="12">
        <v>145462.75839349409</v>
      </c>
      <c r="C4110" s="12"/>
    </row>
    <row r="4111" spans="1:3">
      <c r="A4111">
        <v>4108</v>
      </c>
      <c r="B4111" s="12">
        <v>131280.17417536982</v>
      </c>
      <c r="C4111" s="12"/>
    </row>
    <row r="4112" spans="1:3">
      <c r="A4112">
        <v>4109</v>
      </c>
      <c r="B4112" s="12">
        <v>162321.00080394407</v>
      </c>
      <c r="C4112" s="12"/>
    </row>
    <row r="4113" spans="1:3">
      <c r="A4113">
        <v>4110</v>
      </c>
      <c r="B4113" s="12">
        <v>61173.837491742772</v>
      </c>
      <c r="C4113" s="12"/>
    </row>
    <row r="4114" spans="1:3">
      <c r="A4114">
        <v>4111</v>
      </c>
      <c r="B4114" s="12">
        <v>186246.47604935439</v>
      </c>
      <c r="C4114" s="12"/>
    </row>
    <row r="4115" spans="1:3">
      <c r="A4115">
        <v>4112</v>
      </c>
      <c r="B4115" s="12">
        <v>116134.23367986339</v>
      </c>
      <c r="C4115" s="12"/>
    </row>
    <row r="4116" spans="1:3">
      <c r="A4116">
        <v>4113</v>
      </c>
      <c r="B4116" s="12">
        <v>72951.713112092315</v>
      </c>
      <c r="C4116" s="12"/>
    </row>
    <row r="4117" spans="1:3">
      <c r="A4117">
        <v>4114</v>
      </c>
      <c r="B4117" s="12">
        <v>133869.15248818576</v>
      </c>
      <c r="C4117" s="12"/>
    </row>
    <row r="4118" spans="1:3">
      <c r="A4118">
        <v>4115</v>
      </c>
      <c r="B4118" s="12">
        <v>57358.06622656071</v>
      </c>
      <c r="C4118" s="12"/>
    </row>
    <row r="4119" spans="1:3">
      <c r="A4119">
        <v>4116</v>
      </c>
      <c r="B4119" s="12">
        <v>114928.46555968538</v>
      </c>
      <c r="C4119" s="12"/>
    </row>
    <row r="4120" spans="1:3">
      <c r="A4120">
        <v>4117</v>
      </c>
      <c r="B4120" s="12">
        <v>110904.42835939708</v>
      </c>
      <c r="C4120" s="12"/>
    </row>
    <row r="4121" spans="1:3">
      <c r="A4121">
        <v>4118</v>
      </c>
      <c r="B4121" s="12">
        <v>123131.43181548596</v>
      </c>
      <c r="C4121" s="12"/>
    </row>
    <row r="4122" spans="1:3">
      <c r="A4122">
        <v>4119</v>
      </c>
      <c r="B4122" s="12">
        <v>107687.27274818446</v>
      </c>
      <c r="C4122" s="12"/>
    </row>
    <row r="4123" spans="1:3">
      <c r="A4123">
        <v>4120</v>
      </c>
      <c r="B4123" s="12">
        <v>129281.78172199262</v>
      </c>
      <c r="C4123" s="12"/>
    </row>
    <row r="4124" spans="1:3">
      <c r="A4124">
        <v>4121</v>
      </c>
      <c r="B4124" s="12">
        <v>139773.34013637839</v>
      </c>
      <c r="C4124" s="12"/>
    </row>
    <row r="4125" spans="1:3">
      <c r="A4125">
        <v>4122</v>
      </c>
      <c r="B4125" s="12">
        <v>87049.49176664307</v>
      </c>
      <c r="C4125" s="12"/>
    </row>
    <row r="4126" spans="1:3">
      <c r="A4126">
        <v>4123</v>
      </c>
      <c r="B4126" s="12">
        <v>82470.677934503765</v>
      </c>
      <c r="C4126" s="12"/>
    </row>
    <row r="4127" spans="1:3">
      <c r="A4127">
        <v>4124</v>
      </c>
      <c r="B4127" s="12">
        <v>108341.57142716015</v>
      </c>
      <c r="C4127" s="12"/>
    </row>
    <row r="4128" spans="1:3">
      <c r="A4128">
        <v>4125</v>
      </c>
      <c r="B4128" s="12">
        <v>89310.920026295702</v>
      </c>
      <c r="C4128" s="12"/>
    </row>
    <row r="4129" spans="1:3">
      <c r="A4129">
        <v>4126</v>
      </c>
      <c r="B4129" s="12">
        <v>118803.79221713996</v>
      </c>
      <c r="C4129" s="12"/>
    </row>
    <row r="4130" spans="1:3">
      <c r="A4130">
        <v>4127</v>
      </c>
      <c r="B4130" s="12">
        <v>120472.66437216123</v>
      </c>
      <c r="C4130" s="12"/>
    </row>
    <row r="4131" spans="1:3">
      <c r="A4131">
        <v>4128</v>
      </c>
      <c r="B4131" s="12">
        <v>108660.89130459243</v>
      </c>
      <c r="C4131" s="12"/>
    </row>
    <row r="4132" spans="1:3">
      <c r="A4132">
        <v>4129</v>
      </c>
      <c r="B4132" s="12">
        <v>174988.8747101209</v>
      </c>
      <c r="C4132" s="12"/>
    </row>
    <row r="4133" spans="1:3">
      <c r="A4133">
        <v>4130</v>
      </c>
      <c r="B4133" s="12">
        <v>101107.78510589662</v>
      </c>
      <c r="C4133" s="12"/>
    </row>
    <row r="4134" spans="1:3">
      <c r="A4134">
        <v>4131</v>
      </c>
      <c r="B4134" s="12">
        <v>93583.494156709377</v>
      </c>
      <c r="C4134" s="12"/>
    </row>
    <row r="4135" spans="1:3">
      <c r="A4135">
        <v>4132</v>
      </c>
      <c r="B4135" s="12">
        <v>84720.866137168807</v>
      </c>
      <c r="C4135" s="12"/>
    </row>
    <row r="4136" spans="1:3">
      <c r="A4136">
        <v>4133</v>
      </c>
      <c r="B4136" s="12">
        <v>71082.39540367396</v>
      </c>
      <c r="C4136" s="12"/>
    </row>
    <row r="4137" spans="1:3">
      <c r="A4137">
        <v>4134</v>
      </c>
      <c r="B4137" s="12">
        <v>108479.87113118831</v>
      </c>
      <c r="C4137" s="12"/>
    </row>
    <row r="4138" spans="1:3">
      <c r="A4138">
        <v>4135</v>
      </c>
      <c r="B4138" s="12">
        <v>118689.30614316041</v>
      </c>
      <c r="C4138" s="12"/>
    </row>
    <row r="4139" spans="1:3">
      <c r="A4139">
        <v>4136</v>
      </c>
      <c r="B4139" s="12">
        <v>112013.46065538787</v>
      </c>
      <c r="C4139" s="12"/>
    </row>
    <row r="4140" spans="1:3">
      <c r="A4140">
        <v>4137</v>
      </c>
      <c r="B4140" s="12">
        <v>106110.24508999563</v>
      </c>
      <c r="C4140" s="12"/>
    </row>
    <row r="4141" spans="1:3">
      <c r="A4141">
        <v>4138</v>
      </c>
      <c r="B4141" s="12">
        <v>118516.55734088784</v>
      </c>
      <c r="C4141" s="12"/>
    </row>
    <row r="4142" spans="1:3">
      <c r="A4142">
        <v>4139</v>
      </c>
      <c r="B4142" s="12">
        <v>127613.14954285382</v>
      </c>
      <c r="C4142" s="12"/>
    </row>
    <row r="4143" spans="1:3">
      <c r="A4143">
        <v>4140</v>
      </c>
      <c r="B4143" s="12">
        <v>85219.66810773511</v>
      </c>
      <c r="C4143" s="12"/>
    </row>
    <row r="4144" spans="1:3">
      <c r="A4144">
        <v>4141</v>
      </c>
      <c r="B4144" s="12">
        <v>71095.11139889968</v>
      </c>
      <c r="C4144" s="12"/>
    </row>
    <row r="4145" spans="1:3">
      <c r="A4145">
        <v>4142</v>
      </c>
      <c r="B4145" s="12">
        <v>106296.66074240668</v>
      </c>
      <c r="C4145" s="12"/>
    </row>
    <row r="4146" spans="1:3">
      <c r="A4146">
        <v>4143</v>
      </c>
      <c r="B4146" s="12">
        <v>83461.164820726859</v>
      </c>
      <c r="C4146" s="12"/>
    </row>
    <row r="4147" spans="1:3">
      <c r="A4147">
        <v>4144</v>
      </c>
      <c r="B4147" s="12">
        <v>150419.24493361861</v>
      </c>
      <c r="C4147" s="12"/>
    </row>
    <row r="4148" spans="1:3">
      <c r="A4148">
        <v>4145</v>
      </c>
      <c r="B4148" s="12">
        <v>86255.984462315086</v>
      </c>
      <c r="C4148" s="12"/>
    </row>
    <row r="4149" spans="1:3">
      <c r="A4149">
        <v>4146</v>
      </c>
      <c r="B4149" s="12">
        <v>107106.24799879546</v>
      </c>
      <c r="C4149" s="12"/>
    </row>
    <row r="4150" spans="1:3">
      <c r="A4150">
        <v>4147</v>
      </c>
      <c r="B4150" s="12">
        <v>142647.42525080265</v>
      </c>
      <c r="C4150" s="12"/>
    </row>
    <row r="4151" spans="1:3">
      <c r="A4151">
        <v>4148</v>
      </c>
      <c r="B4151" s="12">
        <v>124306.15389214343</v>
      </c>
      <c r="C4151" s="12"/>
    </row>
    <row r="4152" spans="1:3">
      <c r="A4152">
        <v>4149</v>
      </c>
      <c r="B4152" s="12">
        <v>177506.01456119365</v>
      </c>
      <c r="C4152" s="12"/>
    </row>
    <row r="4153" spans="1:3">
      <c r="A4153">
        <v>4150</v>
      </c>
      <c r="B4153" s="12">
        <v>146636.07037309746</v>
      </c>
      <c r="C4153" s="12"/>
    </row>
    <row r="4154" spans="1:3">
      <c r="A4154">
        <v>4151</v>
      </c>
      <c r="B4154" s="12">
        <v>123181.59064035473</v>
      </c>
      <c r="C4154" s="12"/>
    </row>
    <row r="4155" spans="1:3">
      <c r="A4155">
        <v>4152</v>
      </c>
      <c r="B4155" s="12">
        <v>95869.280849594215</v>
      </c>
      <c r="C4155" s="12"/>
    </row>
    <row r="4156" spans="1:3">
      <c r="A4156">
        <v>4153</v>
      </c>
      <c r="B4156" s="12">
        <v>146457.22539301784</v>
      </c>
      <c r="C4156" s="12"/>
    </row>
    <row r="4157" spans="1:3">
      <c r="A4157">
        <v>4154</v>
      </c>
      <c r="B4157" s="12">
        <v>68272.971144448471</v>
      </c>
      <c r="C4157" s="12"/>
    </row>
    <row r="4158" spans="1:3">
      <c r="A4158">
        <v>4155</v>
      </c>
      <c r="B4158" s="12">
        <v>89288.972901027344</v>
      </c>
      <c r="C4158" s="12"/>
    </row>
    <row r="4159" spans="1:3">
      <c r="A4159">
        <v>4156</v>
      </c>
      <c r="B4159" s="12">
        <v>168467.67420807233</v>
      </c>
      <c r="C4159" s="12"/>
    </row>
    <row r="4160" spans="1:3">
      <c r="A4160">
        <v>4157</v>
      </c>
      <c r="B4160" s="12">
        <v>155742.52556631324</v>
      </c>
      <c r="C4160" s="12"/>
    </row>
    <row r="4161" spans="1:3">
      <c r="A4161">
        <v>4158</v>
      </c>
      <c r="B4161" s="12">
        <v>88789.194249693712</v>
      </c>
      <c r="C4161" s="12"/>
    </row>
    <row r="4162" spans="1:3">
      <c r="A4162">
        <v>4159</v>
      </c>
      <c r="B4162" s="12">
        <v>99239.097635765502</v>
      </c>
      <c r="C4162" s="12"/>
    </row>
    <row r="4163" spans="1:3">
      <c r="A4163">
        <v>4160</v>
      </c>
      <c r="B4163" s="12">
        <v>144270.46465656953</v>
      </c>
      <c r="C4163" s="12"/>
    </row>
    <row r="4164" spans="1:3">
      <c r="A4164">
        <v>4161</v>
      </c>
      <c r="B4164" s="12">
        <v>152025.80460469279</v>
      </c>
      <c r="C4164" s="12"/>
    </row>
    <row r="4165" spans="1:3">
      <c r="A4165">
        <v>4162</v>
      </c>
      <c r="B4165" s="12">
        <v>164826.70361438661</v>
      </c>
      <c r="C4165" s="12"/>
    </row>
    <row r="4166" spans="1:3">
      <c r="A4166">
        <v>4163</v>
      </c>
      <c r="B4166" s="12">
        <v>84568.49484998871</v>
      </c>
      <c r="C4166" s="12"/>
    </row>
    <row r="4167" spans="1:3">
      <c r="A4167">
        <v>4164</v>
      </c>
      <c r="B4167" s="12">
        <v>81756.120127522852</v>
      </c>
      <c r="C4167" s="12"/>
    </row>
    <row r="4168" spans="1:3">
      <c r="A4168">
        <v>4165</v>
      </c>
      <c r="B4168" s="12">
        <v>143035.66252794585</v>
      </c>
      <c r="C4168" s="12"/>
    </row>
    <row r="4169" spans="1:3">
      <c r="A4169">
        <v>4166</v>
      </c>
      <c r="B4169" s="12">
        <v>135542.29466114167</v>
      </c>
      <c r="C4169" s="12"/>
    </row>
    <row r="4170" spans="1:3">
      <c r="A4170">
        <v>4167</v>
      </c>
      <c r="B4170" s="12">
        <v>76990.757896768264</v>
      </c>
      <c r="C4170" s="12"/>
    </row>
    <row r="4171" spans="1:3">
      <c r="A4171">
        <v>4168</v>
      </c>
      <c r="B4171" s="12">
        <v>105837.39171777177</v>
      </c>
      <c r="C4171" s="12"/>
    </row>
    <row r="4172" spans="1:3">
      <c r="A4172">
        <v>4169</v>
      </c>
      <c r="B4172" s="12">
        <v>133196.90421164565</v>
      </c>
      <c r="C4172" s="12"/>
    </row>
    <row r="4173" spans="1:3">
      <c r="A4173">
        <v>4170</v>
      </c>
      <c r="B4173" s="12">
        <v>147156.89235303525</v>
      </c>
      <c r="C4173" s="12"/>
    </row>
    <row r="4174" spans="1:3">
      <c r="A4174">
        <v>4171</v>
      </c>
      <c r="B4174" s="12">
        <v>99659.69008756071</v>
      </c>
      <c r="C4174" s="12"/>
    </row>
    <row r="4175" spans="1:3">
      <c r="A4175">
        <v>4172</v>
      </c>
      <c r="B4175" s="12">
        <v>109190.00969029374</v>
      </c>
      <c r="C4175" s="12"/>
    </row>
    <row r="4176" spans="1:3">
      <c r="A4176">
        <v>4173</v>
      </c>
      <c r="B4176" s="12">
        <v>91111.576394583564</v>
      </c>
      <c r="C4176" s="12"/>
    </row>
    <row r="4177" spans="1:3">
      <c r="A4177">
        <v>4174</v>
      </c>
      <c r="B4177" s="12">
        <v>171118.98697224434</v>
      </c>
      <c r="C4177" s="12"/>
    </row>
    <row r="4178" spans="1:3">
      <c r="A4178">
        <v>4175</v>
      </c>
      <c r="B4178" s="12">
        <v>86254.815597773326</v>
      </c>
      <c r="C4178" s="12"/>
    </row>
    <row r="4179" spans="1:3">
      <c r="A4179">
        <v>4176</v>
      </c>
      <c r="B4179" s="12">
        <v>51134.301817484658</v>
      </c>
      <c r="C4179" s="12"/>
    </row>
    <row r="4180" spans="1:3">
      <c r="A4180">
        <v>4177</v>
      </c>
      <c r="B4180" s="12">
        <v>93206.005993318176</v>
      </c>
      <c r="C4180" s="12"/>
    </row>
    <row r="4181" spans="1:3">
      <c r="A4181">
        <v>4178</v>
      </c>
      <c r="B4181" s="12">
        <v>114738.44987396797</v>
      </c>
      <c r="C4181" s="12"/>
    </row>
    <row r="4182" spans="1:3">
      <c r="A4182">
        <v>4179</v>
      </c>
      <c r="B4182" s="12">
        <v>80725.783109898432</v>
      </c>
      <c r="C4182" s="12"/>
    </row>
    <row r="4183" spans="1:3">
      <c r="A4183">
        <v>4180</v>
      </c>
      <c r="B4183" s="12">
        <v>121170.72393557003</v>
      </c>
      <c r="C4183" s="12"/>
    </row>
    <row r="4184" spans="1:3">
      <c r="A4184">
        <v>4181</v>
      </c>
      <c r="B4184" s="12">
        <v>101576.44398409531</v>
      </c>
      <c r="C4184" s="12"/>
    </row>
    <row r="4185" spans="1:3">
      <c r="A4185">
        <v>4182</v>
      </c>
      <c r="B4185" s="12">
        <v>97274.398204455763</v>
      </c>
      <c r="C4185" s="12"/>
    </row>
    <row r="4186" spans="1:3">
      <c r="A4186">
        <v>4183</v>
      </c>
      <c r="B4186" s="12">
        <v>152209.73054063524</v>
      </c>
      <c r="C4186" s="12"/>
    </row>
    <row r="4187" spans="1:3">
      <c r="A4187">
        <v>4184</v>
      </c>
      <c r="B4187" s="12">
        <v>188410.832692959</v>
      </c>
      <c r="C4187" s="12"/>
    </row>
    <row r="4188" spans="1:3">
      <c r="A4188">
        <v>4185</v>
      </c>
      <c r="B4188" s="12">
        <v>113899.45172917486</v>
      </c>
      <c r="C4188" s="12"/>
    </row>
    <row r="4189" spans="1:3">
      <c r="A4189">
        <v>4186</v>
      </c>
      <c r="B4189" s="12">
        <v>106413.8757704903</v>
      </c>
      <c r="C4189" s="12"/>
    </row>
    <row r="4190" spans="1:3">
      <c r="A4190">
        <v>4187</v>
      </c>
      <c r="B4190" s="12">
        <v>167024.56925208514</v>
      </c>
      <c r="C4190" s="12"/>
    </row>
    <row r="4191" spans="1:3">
      <c r="A4191">
        <v>4188</v>
      </c>
      <c r="B4191" s="12">
        <v>92689.590984936338</v>
      </c>
      <c r="C4191" s="12"/>
    </row>
    <row r="4192" spans="1:3">
      <c r="A4192">
        <v>4189</v>
      </c>
      <c r="B4192" s="12">
        <v>107407.60594649741</v>
      </c>
      <c r="C4192" s="12"/>
    </row>
    <row r="4193" spans="1:3">
      <c r="A4193">
        <v>4190</v>
      </c>
      <c r="B4193" s="12">
        <v>90819.763314301774</v>
      </c>
      <c r="C4193" s="12"/>
    </row>
    <row r="4194" spans="1:3">
      <c r="A4194">
        <v>4191</v>
      </c>
      <c r="B4194" s="12">
        <v>108056.7792115536</v>
      </c>
      <c r="C4194" s="12"/>
    </row>
    <row r="4195" spans="1:3">
      <c r="A4195">
        <v>4192</v>
      </c>
      <c r="B4195" s="12">
        <v>93376.577882892539</v>
      </c>
      <c r="C4195" s="12"/>
    </row>
    <row r="4196" spans="1:3">
      <c r="A4196">
        <v>4193</v>
      </c>
      <c r="B4196" s="12">
        <v>68879.684877335691</v>
      </c>
      <c r="C4196" s="12"/>
    </row>
    <row r="4197" spans="1:3">
      <c r="A4197">
        <v>4194</v>
      </c>
      <c r="B4197" s="12">
        <v>144011.55373928719</v>
      </c>
      <c r="C4197" s="12"/>
    </row>
    <row r="4198" spans="1:3">
      <c r="A4198">
        <v>4195</v>
      </c>
      <c r="B4198" s="12">
        <v>147844.90201868996</v>
      </c>
      <c r="C4198" s="12"/>
    </row>
    <row r="4199" spans="1:3">
      <c r="A4199">
        <v>4196</v>
      </c>
      <c r="B4199" s="12">
        <v>125213.91459059961</v>
      </c>
      <c r="C4199" s="12"/>
    </row>
    <row r="4200" spans="1:3">
      <c r="A4200">
        <v>4197</v>
      </c>
      <c r="B4200" s="12">
        <v>104940.78454653003</v>
      </c>
      <c r="C4200" s="12"/>
    </row>
    <row r="4201" spans="1:3">
      <c r="A4201">
        <v>4198</v>
      </c>
      <c r="B4201" s="12">
        <v>64556.016812943635</v>
      </c>
      <c r="C4201" s="12"/>
    </row>
    <row r="4202" spans="1:3">
      <c r="A4202">
        <v>4199</v>
      </c>
      <c r="B4202" s="12">
        <v>107636.63896743758</v>
      </c>
      <c r="C4202" s="12"/>
    </row>
    <row r="4203" spans="1:3">
      <c r="A4203">
        <v>4200</v>
      </c>
      <c r="B4203" s="12">
        <v>122265.13757415938</v>
      </c>
      <c r="C4203" s="12"/>
    </row>
    <row r="4204" spans="1:3">
      <c r="A4204">
        <v>4201</v>
      </c>
      <c r="B4204" s="12">
        <v>62670.774886546948</v>
      </c>
      <c r="C4204" s="12"/>
    </row>
    <row r="4205" spans="1:3">
      <c r="A4205">
        <v>4202</v>
      </c>
      <c r="B4205" s="12">
        <v>101590.86278272253</v>
      </c>
      <c r="C4205" s="12"/>
    </row>
    <row r="4206" spans="1:3">
      <c r="A4206">
        <v>4203</v>
      </c>
      <c r="B4206" s="12">
        <v>88877.433249223803</v>
      </c>
      <c r="C4206" s="12"/>
    </row>
    <row r="4207" spans="1:3">
      <c r="A4207">
        <v>4204</v>
      </c>
      <c r="B4207" s="12">
        <v>74517.018949425372</v>
      </c>
      <c r="C4207" s="12"/>
    </row>
    <row r="4208" spans="1:3">
      <c r="A4208">
        <v>4205</v>
      </c>
      <c r="B4208" s="12">
        <v>98851.337791505037</v>
      </c>
      <c r="C4208" s="12"/>
    </row>
    <row r="4209" spans="1:3">
      <c r="A4209">
        <v>4206</v>
      </c>
      <c r="B4209" s="12">
        <v>128080.28516324246</v>
      </c>
      <c r="C4209" s="12"/>
    </row>
    <row r="4210" spans="1:3">
      <c r="A4210">
        <v>4207</v>
      </c>
      <c r="B4210" s="12">
        <v>105584.40704353347</v>
      </c>
      <c r="C4210" s="12"/>
    </row>
    <row r="4211" spans="1:3">
      <c r="A4211">
        <v>4208</v>
      </c>
      <c r="B4211" s="12">
        <v>93928.654116653153</v>
      </c>
      <c r="C4211" s="12"/>
    </row>
    <row r="4212" spans="1:3">
      <c r="A4212">
        <v>4209</v>
      </c>
      <c r="B4212" s="12">
        <v>121961.34442439101</v>
      </c>
      <c r="C4212" s="12"/>
    </row>
    <row r="4213" spans="1:3">
      <c r="A4213">
        <v>4210</v>
      </c>
      <c r="B4213" s="12">
        <v>63459.141748660259</v>
      </c>
      <c r="C4213" s="12"/>
    </row>
    <row r="4214" spans="1:3">
      <c r="A4214">
        <v>4211</v>
      </c>
      <c r="B4214" s="12">
        <v>72743.353396124352</v>
      </c>
      <c r="C4214" s="12"/>
    </row>
    <row r="4215" spans="1:3">
      <c r="A4215">
        <v>4212</v>
      </c>
      <c r="B4215" s="12">
        <v>79921.559984726249</v>
      </c>
      <c r="C4215" s="12"/>
    </row>
    <row r="4216" spans="1:3">
      <c r="A4216">
        <v>4213</v>
      </c>
      <c r="B4216" s="12">
        <v>102112.21335617323</v>
      </c>
      <c r="C4216" s="12"/>
    </row>
    <row r="4217" spans="1:3">
      <c r="A4217">
        <v>4214</v>
      </c>
      <c r="B4217" s="12">
        <v>71521.816991709857</v>
      </c>
      <c r="C4217" s="12"/>
    </row>
    <row r="4218" spans="1:3">
      <c r="A4218">
        <v>4215</v>
      </c>
      <c r="B4218" s="12">
        <v>121547.37047501589</v>
      </c>
      <c r="C4218" s="12"/>
    </row>
    <row r="4219" spans="1:3">
      <c r="A4219">
        <v>4216</v>
      </c>
      <c r="B4219" s="12">
        <v>69864.236265529151</v>
      </c>
      <c r="C4219" s="12"/>
    </row>
    <row r="4220" spans="1:3">
      <c r="A4220">
        <v>4217</v>
      </c>
      <c r="B4220" s="12">
        <v>159488.75294582578</v>
      </c>
      <c r="C4220" s="12"/>
    </row>
    <row r="4221" spans="1:3">
      <c r="A4221">
        <v>4218</v>
      </c>
      <c r="B4221" s="12">
        <v>79477.703216369438</v>
      </c>
      <c r="C4221" s="12"/>
    </row>
    <row r="4222" spans="1:3">
      <c r="A4222">
        <v>4219</v>
      </c>
      <c r="B4222" s="12">
        <v>153772.40889373567</v>
      </c>
      <c r="C4222" s="12"/>
    </row>
    <row r="4223" spans="1:3">
      <c r="A4223">
        <v>4220</v>
      </c>
      <c r="B4223" s="12">
        <v>95610.419943005909</v>
      </c>
      <c r="C4223" s="12"/>
    </row>
    <row r="4224" spans="1:3">
      <c r="A4224">
        <v>4221</v>
      </c>
      <c r="B4224" s="12">
        <v>98769.928694846851</v>
      </c>
      <c r="C4224" s="12"/>
    </row>
    <row r="4225" spans="1:3">
      <c r="A4225">
        <v>4222</v>
      </c>
      <c r="B4225" s="12">
        <v>83818.51372380981</v>
      </c>
      <c r="C4225" s="12"/>
    </row>
    <row r="4226" spans="1:3">
      <c r="A4226">
        <v>4223</v>
      </c>
      <c r="B4226" s="12">
        <v>133982.19845991075</v>
      </c>
      <c r="C4226" s="12"/>
    </row>
    <row r="4227" spans="1:3">
      <c r="A4227">
        <v>4224</v>
      </c>
      <c r="B4227" s="12">
        <v>73324.881287083117</v>
      </c>
      <c r="C4227" s="12"/>
    </row>
    <row r="4228" spans="1:3">
      <c r="A4228">
        <v>4225</v>
      </c>
      <c r="B4228" s="12">
        <v>109078.37682512634</v>
      </c>
      <c r="C4228" s="12"/>
    </row>
    <row r="4229" spans="1:3">
      <c r="A4229">
        <v>4226</v>
      </c>
      <c r="B4229" s="12">
        <v>79927.344765996997</v>
      </c>
      <c r="C4229" s="12"/>
    </row>
    <row r="4230" spans="1:3">
      <c r="A4230">
        <v>4227</v>
      </c>
      <c r="B4230" s="12">
        <v>91390.826606140254</v>
      </c>
      <c r="C4230" s="12"/>
    </row>
    <row r="4231" spans="1:3">
      <c r="A4231">
        <v>4228</v>
      </c>
      <c r="B4231" s="12">
        <v>76218.614901723151</v>
      </c>
      <c r="C4231" s="12"/>
    </row>
    <row r="4232" spans="1:3">
      <c r="A4232">
        <v>4229</v>
      </c>
      <c r="B4232" s="12">
        <v>112106.21466765011</v>
      </c>
      <c r="C4232" s="12"/>
    </row>
    <row r="4233" spans="1:3">
      <c r="A4233">
        <v>4230</v>
      </c>
      <c r="B4233" s="12">
        <v>68508.956038646676</v>
      </c>
      <c r="C4233" s="12"/>
    </row>
    <row r="4234" spans="1:3">
      <c r="A4234">
        <v>4231</v>
      </c>
      <c r="B4234" s="12">
        <v>187060.79494453646</v>
      </c>
      <c r="C4234" s="12"/>
    </row>
    <row r="4235" spans="1:3">
      <c r="A4235">
        <v>4232</v>
      </c>
      <c r="B4235" s="12">
        <v>56076.76840001886</v>
      </c>
      <c r="C4235" s="12"/>
    </row>
    <row r="4236" spans="1:3">
      <c r="A4236">
        <v>4233</v>
      </c>
      <c r="B4236" s="12">
        <v>96115.05382567957</v>
      </c>
      <c r="C4236" s="12"/>
    </row>
    <row r="4237" spans="1:3">
      <c r="A4237">
        <v>4234</v>
      </c>
      <c r="B4237" s="12">
        <v>153747.44032375739</v>
      </c>
      <c r="C4237" s="12"/>
    </row>
    <row r="4238" spans="1:3">
      <c r="A4238">
        <v>4235</v>
      </c>
      <c r="B4238" s="12">
        <v>96243.530700515825</v>
      </c>
      <c r="C4238" s="12"/>
    </row>
    <row r="4239" spans="1:3">
      <c r="A4239">
        <v>4236</v>
      </c>
      <c r="B4239" s="12">
        <v>120067.391768574</v>
      </c>
      <c r="C4239" s="12"/>
    </row>
    <row r="4240" spans="1:3">
      <c r="A4240">
        <v>4237</v>
      </c>
      <c r="B4240" s="12">
        <v>108799.65199482949</v>
      </c>
      <c r="C4240" s="12"/>
    </row>
    <row r="4241" spans="1:3">
      <c r="A4241">
        <v>4238</v>
      </c>
      <c r="B4241" s="12">
        <v>117310.48764555181</v>
      </c>
      <c r="C4241" s="12"/>
    </row>
    <row r="4242" spans="1:3">
      <c r="A4242">
        <v>4239</v>
      </c>
      <c r="B4242" s="12">
        <v>107940.94518228207</v>
      </c>
      <c r="C4242" s="12"/>
    </row>
    <row r="4243" spans="1:3">
      <c r="A4243">
        <v>4240</v>
      </c>
      <c r="B4243" s="12">
        <v>113314.23828356792</v>
      </c>
      <c r="C4243" s="12"/>
    </row>
    <row r="4244" spans="1:3">
      <c r="A4244">
        <v>4241</v>
      </c>
      <c r="B4244" s="12">
        <v>113484.14325735153</v>
      </c>
      <c r="C4244" s="12"/>
    </row>
    <row r="4245" spans="1:3">
      <c r="A4245">
        <v>4242</v>
      </c>
      <c r="B4245" s="12">
        <v>134298.01182215996</v>
      </c>
      <c r="C4245" s="12"/>
    </row>
    <row r="4246" spans="1:3">
      <c r="A4246">
        <v>4243</v>
      </c>
      <c r="B4246" s="12">
        <v>158551.77290012329</v>
      </c>
      <c r="C4246" s="12"/>
    </row>
    <row r="4247" spans="1:3">
      <c r="A4247">
        <v>4244</v>
      </c>
      <c r="B4247" s="12">
        <v>126734.42708710718</v>
      </c>
      <c r="C4247" s="12"/>
    </row>
    <row r="4248" spans="1:3">
      <c r="A4248">
        <v>4245</v>
      </c>
      <c r="B4248" s="12">
        <v>183563.83425079845</v>
      </c>
      <c r="C4248" s="12"/>
    </row>
    <row r="4249" spans="1:3">
      <c r="A4249">
        <v>4246</v>
      </c>
      <c r="B4249" s="12">
        <v>123685.935015332</v>
      </c>
      <c r="C4249" s="12"/>
    </row>
    <row r="4250" spans="1:3">
      <c r="A4250">
        <v>4247</v>
      </c>
      <c r="B4250" s="12">
        <v>118567.70971370804</v>
      </c>
      <c r="C4250" s="12"/>
    </row>
    <row r="4251" spans="1:3">
      <c r="A4251">
        <v>4248</v>
      </c>
      <c r="B4251" s="12">
        <v>139835.28837745026</v>
      </c>
      <c r="C4251" s="12"/>
    </row>
    <row r="4252" spans="1:3">
      <c r="A4252">
        <v>4249</v>
      </c>
      <c r="B4252" s="12">
        <v>143928.47790752471</v>
      </c>
      <c r="C4252" s="12"/>
    </row>
    <row r="4253" spans="1:3">
      <c r="A4253">
        <v>4250</v>
      </c>
      <c r="B4253" s="12">
        <v>97348.300692411518</v>
      </c>
      <c r="C4253" s="12"/>
    </row>
    <row r="4254" spans="1:3">
      <c r="A4254">
        <v>4251</v>
      </c>
      <c r="B4254" s="12">
        <v>124347.57248555351</v>
      </c>
      <c r="C4254" s="12"/>
    </row>
    <row r="4255" spans="1:3">
      <c r="A4255">
        <v>4252</v>
      </c>
      <c r="B4255" s="12">
        <v>114347.27088213668</v>
      </c>
      <c r="C4255" s="12"/>
    </row>
    <row r="4256" spans="1:3">
      <c r="A4256">
        <v>4253</v>
      </c>
      <c r="B4256" s="12">
        <v>76126.253032188717</v>
      </c>
      <c r="C4256" s="12"/>
    </row>
    <row r="4257" spans="1:3">
      <c r="A4257">
        <v>4254</v>
      </c>
      <c r="B4257" s="12">
        <v>128972.70869289865</v>
      </c>
      <c r="C4257" s="12"/>
    </row>
    <row r="4258" spans="1:3">
      <c r="A4258">
        <v>4255</v>
      </c>
      <c r="B4258" s="12">
        <v>151359.28851776614</v>
      </c>
      <c r="C4258" s="12"/>
    </row>
    <row r="4259" spans="1:3">
      <c r="A4259">
        <v>4256</v>
      </c>
      <c r="B4259" s="12">
        <v>122409.47137403903</v>
      </c>
      <c r="C4259" s="12"/>
    </row>
    <row r="4260" spans="1:3">
      <c r="A4260">
        <v>4257</v>
      </c>
      <c r="B4260" s="12">
        <v>140772.9342255228</v>
      </c>
      <c r="C4260" s="12"/>
    </row>
    <row r="4261" spans="1:3">
      <c r="A4261">
        <v>4258</v>
      </c>
      <c r="B4261" s="12">
        <v>112583.19991094647</v>
      </c>
      <c r="C4261" s="12"/>
    </row>
    <row r="4262" spans="1:3">
      <c r="A4262">
        <v>4259</v>
      </c>
      <c r="B4262" s="12">
        <v>118499.28985527571</v>
      </c>
      <c r="C4262" s="12"/>
    </row>
    <row r="4263" spans="1:3">
      <c r="A4263">
        <v>4260</v>
      </c>
      <c r="B4263" s="12">
        <v>78277.514479580612</v>
      </c>
      <c r="C4263" s="12"/>
    </row>
    <row r="4264" spans="1:3">
      <c r="A4264">
        <v>4261</v>
      </c>
      <c r="B4264" s="12">
        <v>128879.75416500802</v>
      </c>
      <c r="C4264" s="12"/>
    </row>
    <row r="4265" spans="1:3">
      <c r="A4265">
        <v>4262</v>
      </c>
      <c r="B4265" s="12">
        <v>102549.84287054771</v>
      </c>
      <c r="C4265" s="12"/>
    </row>
    <row r="4266" spans="1:3">
      <c r="A4266">
        <v>4263</v>
      </c>
      <c r="B4266" s="12">
        <v>106677.97030961084</v>
      </c>
      <c r="C4266" s="12"/>
    </row>
    <row r="4267" spans="1:3">
      <c r="A4267">
        <v>4264</v>
      </c>
      <c r="B4267" s="12">
        <v>122639.50819778301</v>
      </c>
      <c r="C4267" s="12"/>
    </row>
    <row r="4268" spans="1:3">
      <c r="A4268">
        <v>4265</v>
      </c>
      <c r="B4268" s="12">
        <v>132736.25465030543</v>
      </c>
      <c r="C4268" s="12"/>
    </row>
    <row r="4269" spans="1:3">
      <c r="A4269">
        <v>4266</v>
      </c>
      <c r="B4269" s="12">
        <v>70200.039421138805</v>
      </c>
      <c r="C4269" s="12"/>
    </row>
    <row r="4270" spans="1:3">
      <c r="A4270">
        <v>4267</v>
      </c>
      <c r="B4270" s="12">
        <v>57028.636924259947</v>
      </c>
      <c r="C4270" s="12"/>
    </row>
    <row r="4271" spans="1:3">
      <c r="A4271">
        <v>4268</v>
      </c>
      <c r="B4271" s="12">
        <v>138815.20162981484</v>
      </c>
      <c r="C4271" s="12"/>
    </row>
    <row r="4272" spans="1:3">
      <c r="A4272">
        <v>4269</v>
      </c>
      <c r="B4272" s="12">
        <v>100984.78203035503</v>
      </c>
      <c r="C4272" s="12"/>
    </row>
    <row r="4273" spans="1:3">
      <c r="A4273">
        <v>4270</v>
      </c>
      <c r="B4273" s="12">
        <v>128103.77394165081</v>
      </c>
      <c r="C4273" s="12"/>
    </row>
    <row r="4274" spans="1:3">
      <c r="A4274">
        <v>4271</v>
      </c>
      <c r="B4274" s="12">
        <v>128336.38880905055</v>
      </c>
      <c r="C4274" s="12"/>
    </row>
    <row r="4275" spans="1:3">
      <c r="A4275">
        <v>4272</v>
      </c>
      <c r="B4275" s="12">
        <v>106734.21267731275</v>
      </c>
      <c r="C4275" s="12"/>
    </row>
    <row r="4276" spans="1:3">
      <c r="A4276">
        <v>4273</v>
      </c>
      <c r="B4276" s="12">
        <v>140913.97924019134</v>
      </c>
      <c r="C4276" s="12"/>
    </row>
    <row r="4277" spans="1:3">
      <c r="A4277">
        <v>4274</v>
      </c>
      <c r="B4277" s="12">
        <v>122838.04754817155</v>
      </c>
      <c r="C4277" s="12"/>
    </row>
    <row r="4278" spans="1:3">
      <c r="A4278">
        <v>4275</v>
      </c>
      <c r="B4278" s="12">
        <v>110953.94000785875</v>
      </c>
      <c r="C4278" s="12"/>
    </row>
    <row r="4279" spans="1:3">
      <c r="A4279">
        <v>4276</v>
      </c>
      <c r="B4279" s="12">
        <v>164495.9678532081</v>
      </c>
      <c r="C4279" s="12"/>
    </row>
    <row r="4280" spans="1:3">
      <c r="A4280">
        <v>4277</v>
      </c>
      <c r="B4280" s="12">
        <v>85532.217439961023</v>
      </c>
      <c r="C4280" s="12"/>
    </row>
    <row r="4281" spans="1:3">
      <c r="A4281">
        <v>4278</v>
      </c>
      <c r="B4281" s="12">
        <v>88968.651468771626</v>
      </c>
      <c r="C4281" s="12"/>
    </row>
    <row r="4282" spans="1:3">
      <c r="A4282">
        <v>4279</v>
      </c>
      <c r="B4282" s="12">
        <v>88154.750709361193</v>
      </c>
      <c r="C4282" s="12"/>
    </row>
    <row r="4283" spans="1:3">
      <c r="A4283">
        <v>4280</v>
      </c>
      <c r="B4283" s="12">
        <v>113357.32787501763</v>
      </c>
      <c r="C4283" s="12"/>
    </row>
    <row r="4284" spans="1:3">
      <c r="A4284">
        <v>4281</v>
      </c>
      <c r="B4284" s="12">
        <v>121120.66915036607</v>
      </c>
      <c r="C4284" s="12"/>
    </row>
    <row r="4285" spans="1:3">
      <c r="A4285">
        <v>4282</v>
      </c>
      <c r="B4285" s="12">
        <v>170646.24907416751</v>
      </c>
      <c r="C4285" s="12"/>
    </row>
    <row r="4286" spans="1:3">
      <c r="A4286">
        <v>4283</v>
      </c>
      <c r="B4286" s="12">
        <v>134767.61130814909</v>
      </c>
      <c r="C4286" s="12"/>
    </row>
    <row r="4287" spans="1:3">
      <c r="A4287">
        <v>4284</v>
      </c>
      <c r="B4287" s="12">
        <v>92645.960018171521</v>
      </c>
      <c r="C4287" s="12"/>
    </row>
    <row r="4288" spans="1:3">
      <c r="A4288">
        <v>4285</v>
      </c>
      <c r="B4288" s="12">
        <v>65456.595031244229</v>
      </c>
      <c r="C4288" s="12"/>
    </row>
    <row r="4289" spans="1:3">
      <c r="A4289">
        <v>4286</v>
      </c>
      <c r="B4289" s="12">
        <v>138377.9356242269</v>
      </c>
      <c r="C4289" s="12"/>
    </row>
    <row r="4290" spans="1:3">
      <c r="A4290">
        <v>4287</v>
      </c>
      <c r="B4290" s="12">
        <v>111862.59547660431</v>
      </c>
      <c r="C4290" s="12"/>
    </row>
    <row r="4291" spans="1:3">
      <c r="A4291">
        <v>4288</v>
      </c>
      <c r="B4291" s="12">
        <v>140585.38015361622</v>
      </c>
      <c r="C4291" s="12"/>
    </row>
    <row r="4292" spans="1:3">
      <c r="A4292">
        <v>4289</v>
      </c>
      <c r="B4292" s="12">
        <v>89514.471919916003</v>
      </c>
      <c r="C4292" s="12"/>
    </row>
    <row r="4293" spans="1:3">
      <c r="A4293">
        <v>4290</v>
      </c>
      <c r="B4293" s="12">
        <v>105583.34695464706</v>
      </c>
      <c r="C4293" s="12"/>
    </row>
    <row r="4294" spans="1:3">
      <c r="A4294">
        <v>4291</v>
      </c>
      <c r="B4294" s="12">
        <v>131111.28651092452</v>
      </c>
      <c r="C4294" s="12"/>
    </row>
    <row r="4295" spans="1:3">
      <c r="A4295">
        <v>4292</v>
      </c>
      <c r="B4295" s="12">
        <v>142858.29825093586</v>
      </c>
      <c r="C4295" s="12"/>
    </row>
    <row r="4296" spans="1:3">
      <c r="A4296">
        <v>4293</v>
      </c>
      <c r="B4296" s="12">
        <v>77900.153190353856</v>
      </c>
      <c r="C4296" s="12"/>
    </row>
    <row r="4297" spans="1:3">
      <c r="A4297">
        <v>4294</v>
      </c>
      <c r="B4297" s="12">
        <v>75643.244365976134</v>
      </c>
      <c r="C4297" s="12"/>
    </row>
    <row r="4298" spans="1:3">
      <c r="A4298">
        <v>4295</v>
      </c>
      <c r="B4298" s="12">
        <v>86029.712485427473</v>
      </c>
      <c r="C4298" s="12"/>
    </row>
    <row r="4299" spans="1:3">
      <c r="A4299">
        <v>4296</v>
      </c>
      <c r="B4299" s="12">
        <v>105551.35503111809</v>
      </c>
      <c r="C4299" s="12"/>
    </row>
    <row r="4300" spans="1:3">
      <c r="A4300">
        <v>4297</v>
      </c>
      <c r="B4300" s="12">
        <v>83909.129266545162</v>
      </c>
      <c r="C4300" s="12"/>
    </row>
    <row r="4301" spans="1:3">
      <c r="A4301">
        <v>4298</v>
      </c>
      <c r="B4301" s="12">
        <v>161067.28801278726</v>
      </c>
      <c r="C4301" s="12"/>
    </row>
    <row r="4302" spans="1:3">
      <c r="A4302">
        <v>4299</v>
      </c>
      <c r="B4302" s="12">
        <v>76657.405764126132</v>
      </c>
      <c r="C4302" s="12"/>
    </row>
    <row r="4303" spans="1:3">
      <c r="A4303">
        <v>4300</v>
      </c>
      <c r="B4303" s="12">
        <v>92622.904685867106</v>
      </c>
      <c r="C4303" s="12"/>
    </row>
    <row r="4304" spans="1:3">
      <c r="A4304">
        <v>4301</v>
      </c>
      <c r="B4304" s="12">
        <v>72260.054885997626</v>
      </c>
      <c r="C4304" s="12"/>
    </row>
    <row r="4305" spans="1:3">
      <c r="A4305">
        <v>4302</v>
      </c>
      <c r="B4305" s="12">
        <v>94992.296123578315</v>
      </c>
      <c r="C4305" s="12"/>
    </row>
    <row r="4306" spans="1:3">
      <c r="A4306">
        <v>4303</v>
      </c>
      <c r="B4306" s="12">
        <v>99558.260810704771</v>
      </c>
      <c r="C4306" s="12"/>
    </row>
    <row r="4307" spans="1:3">
      <c r="A4307">
        <v>4304</v>
      </c>
      <c r="B4307" s="12">
        <v>133438.48280857835</v>
      </c>
      <c r="C4307" s="12"/>
    </row>
    <row r="4308" spans="1:3">
      <c r="A4308">
        <v>4305</v>
      </c>
      <c r="B4308" s="12">
        <v>114658.10516612725</v>
      </c>
      <c r="C4308" s="12"/>
    </row>
    <row r="4309" spans="1:3">
      <c r="A4309">
        <v>4306</v>
      </c>
      <c r="B4309" s="12">
        <v>95345.633319482426</v>
      </c>
      <c r="C4309" s="12"/>
    </row>
    <row r="4310" spans="1:3">
      <c r="A4310">
        <v>4307</v>
      </c>
      <c r="B4310" s="12">
        <v>84878.729028627436</v>
      </c>
      <c r="C4310" s="12"/>
    </row>
    <row r="4311" spans="1:3">
      <c r="A4311">
        <v>4308</v>
      </c>
      <c r="B4311" s="12">
        <v>122880.80956316835</v>
      </c>
      <c r="C4311" s="12"/>
    </row>
    <row r="4312" spans="1:3">
      <c r="A4312">
        <v>4309</v>
      </c>
      <c r="B4312" s="12">
        <v>147025.75399231556</v>
      </c>
      <c r="C4312" s="12"/>
    </row>
    <row r="4313" spans="1:3">
      <c r="A4313">
        <v>4310</v>
      </c>
      <c r="B4313" s="12">
        <v>138999.5242980207</v>
      </c>
      <c r="C4313" s="12"/>
    </row>
    <row r="4314" spans="1:3">
      <c r="A4314">
        <v>4311</v>
      </c>
      <c r="B4314" s="12">
        <v>77383.795054502814</v>
      </c>
      <c r="C4314" s="12"/>
    </row>
    <row r="4315" spans="1:3">
      <c r="A4315">
        <v>4312</v>
      </c>
      <c r="B4315" s="12">
        <v>104982.62055027459</v>
      </c>
      <c r="C4315" s="12"/>
    </row>
    <row r="4316" spans="1:3">
      <c r="A4316">
        <v>4313</v>
      </c>
      <c r="B4316" s="12">
        <v>116965.46678695211</v>
      </c>
      <c r="C4316" s="12"/>
    </row>
    <row r="4317" spans="1:3">
      <c r="A4317">
        <v>4314</v>
      </c>
      <c r="B4317" s="12">
        <v>127390.0215579779</v>
      </c>
      <c r="C4317" s="12"/>
    </row>
    <row r="4318" spans="1:3">
      <c r="A4318">
        <v>4315</v>
      </c>
      <c r="B4318" s="12">
        <v>95329.122388902935</v>
      </c>
      <c r="C4318" s="12"/>
    </row>
    <row r="4319" spans="1:3">
      <c r="A4319">
        <v>4316</v>
      </c>
      <c r="B4319" s="12">
        <v>143999.74092858119</v>
      </c>
      <c r="C4319" s="12"/>
    </row>
    <row r="4320" spans="1:3">
      <c r="A4320">
        <v>4317</v>
      </c>
      <c r="B4320" s="12">
        <v>130941.54120827738</v>
      </c>
      <c r="C4320" s="12"/>
    </row>
    <row r="4321" spans="1:3">
      <c r="A4321">
        <v>4318</v>
      </c>
      <c r="B4321" s="12">
        <v>88768.947409940287</v>
      </c>
      <c r="C4321" s="12"/>
    </row>
    <row r="4322" spans="1:3">
      <c r="A4322">
        <v>4319</v>
      </c>
      <c r="B4322" s="12">
        <v>90470.076504979574</v>
      </c>
      <c r="C4322" s="12"/>
    </row>
    <row r="4323" spans="1:3">
      <c r="A4323">
        <v>4320</v>
      </c>
      <c r="B4323" s="12">
        <v>72297.571519896708</v>
      </c>
      <c r="C4323" s="12"/>
    </row>
    <row r="4324" spans="1:3">
      <c r="A4324">
        <v>4321</v>
      </c>
      <c r="B4324" s="12">
        <v>107056.22636530196</v>
      </c>
      <c r="C4324" s="12"/>
    </row>
    <row r="4325" spans="1:3">
      <c r="A4325">
        <v>4322</v>
      </c>
      <c r="B4325" s="12">
        <v>102883.85521458933</v>
      </c>
      <c r="C4325" s="12"/>
    </row>
    <row r="4326" spans="1:3">
      <c r="A4326">
        <v>4323</v>
      </c>
      <c r="B4326" s="12">
        <v>62172.217887948216</v>
      </c>
      <c r="C4326" s="12"/>
    </row>
    <row r="4327" spans="1:3">
      <c r="A4327">
        <v>4324</v>
      </c>
      <c r="B4327" s="12">
        <v>161776.63121441234</v>
      </c>
      <c r="C4327" s="12"/>
    </row>
    <row r="4328" spans="1:3">
      <c r="A4328">
        <v>4325</v>
      </c>
      <c r="B4328" s="12">
        <v>123552.66602609922</v>
      </c>
      <c r="C4328" s="12"/>
    </row>
    <row r="4329" spans="1:3">
      <c r="A4329">
        <v>4326</v>
      </c>
      <c r="B4329" s="12">
        <v>67728.586074988008</v>
      </c>
      <c r="C4329" s="12"/>
    </row>
    <row r="4330" spans="1:3">
      <c r="A4330">
        <v>4327</v>
      </c>
      <c r="B4330" s="12">
        <v>126366.13537344946</v>
      </c>
      <c r="C4330" s="12"/>
    </row>
    <row r="4331" spans="1:3">
      <c r="A4331">
        <v>4328</v>
      </c>
      <c r="B4331" s="12">
        <v>98665.716601665277</v>
      </c>
      <c r="C4331" s="12"/>
    </row>
    <row r="4332" spans="1:3">
      <c r="A4332">
        <v>4329</v>
      </c>
      <c r="B4332" s="12">
        <v>104930.37449758958</v>
      </c>
      <c r="C4332" s="12"/>
    </row>
    <row r="4333" spans="1:3">
      <c r="A4333">
        <v>4330</v>
      </c>
      <c r="B4333" s="12">
        <v>101661.91421942897</v>
      </c>
      <c r="C4333" s="12"/>
    </row>
    <row r="4334" spans="1:3">
      <c r="A4334">
        <v>4331</v>
      </c>
      <c r="B4334" s="12">
        <v>125730.07045529786</v>
      </c>
      <c r="C4334" s="12"/>
    </row>
    <row r="4335" spans="1:3">
      <c r="A4335">
        <v>4332</v>
      </c>
      <c r="B4335" s="12">
        <v>64753.764370132732</v>
      </c>
      <c r="C4335" s="12"/>
    </row>
    <row r="4336" spans="1:3">
      <c r="A4336">
        <v>4333</v>
      </c>
      <c r="B4336" s="12">
        <v>115702.91998190398</v>
      </c>
      <c r="C4336" s="12"/>
    </row>
    <row r="4337" spans="1:3">
      <c r="A4337">
        <v>4334</v>
      </c>
      <c r="B4337" s="12">
        <v>104764.15371296331</v>
      </c>
      <c r="C4337" s="12"/>
    </row>
    <row r="4338" spans="1:3">
      <c r="A4338">
        <v>4335</v>
      </c>
      <c r="B4338" s="12">
        <v>115567.68141114234</v>
      </c>
      <c r="C4338" s="12"/>
    </row>
    <row r="4339" spans="1:3">
      <c r="A4339">
        <v>4336</v>
      </c>
      <c r="B4339" s="12">
        <v>130029.28306890123</v>
      </c>
      <c r="C4339" s="12"/>
    </row>
    <row r="4340" spans="1:3">
      <c r="A4340">
        <v>4337</v>
      </c>
      <c r="B4340" s="12">
        <v>136335.85013254109</v>
      </c>
      <c r="C4340" s="12"/>
    </row>
    <row r="4341" spans="1:3">
      <c r="A4341">
        <v>4338</v>
      </c>
      <c r="B4341" s="12">
        <v>93368.831937582683</v>
      </c>
      <c r="C4341" s="12"/>
    </row>
    <row r="4342" spans="1:3">
      <c r="A4342">
        <v>4339</v>
      </c>
      <c r="B4342" s="12">
        <v>139841.16231959494</v>
      </c>
      <c r="C4342" s="12"/>
    </row>
    <row r="4343" spans="1:3">
      <c r="A4343">
        <v>4340</v>
      </c>
      <c r="B4343" s="12">
        <v>84879.31523382185</v>
      </c>
      <c r="C4343" s="12"/>
    </row>
    <row r="4344" spans="1:3">
      <c r="A4344">
        <v>4341</v>
      </c>
      <c r="B4344" s="12">
        <v>103377.13656064248</v>
      </c>
      <c r="C4344" s="12"/>
    </row>
    <row r="4345" spans="1:3">
      <c r="A4345">
        <v>4342</v>
      </c>
      <c r="B4345" s="12">
        <v>131626.52343184347</v>
      </c>
      <c r="C4345" s="12"/>
    </row>
    <row r="4346" spans="1:3">
      <c r="A4346">
        <v>4343</v>
      </c>
      <c r="B4346" s="12">
        <v>102943.12077477224</v>
      </c>
      <c r="C4346" s="12"/>
    </row>
    <row r="4347" spans="1:3">
      <c r="A4347">
        <v>4344</v>
      </c>
      <c r="B4347" s="12">
        <v>149388.49044903083</v>
      </c>
      <c r="C4347" s="12"/>
    </row>
    <row r="4348" spans="1:3">
      <c r="A4348">
        <v>4345</v>
      </c>
      <c r="B4348" s="12">
        <v>100762.65352545775</v>
      </c>
      <c r="C4348" s="12"/>
    </row>
    <row r="4349" spans="1:3">
      <c r="A4349">
        <v>4346</v>
      </c>
      <c r="B4349" s="12">
        <v>93779.277290827886</v>
      </c>
      <c r="C4349" s="12"/>
    </row>
    <row r="4350" spans="1:3">
      <c r="A4350">
        <v>4347</v>
      </c>
      <c r="B4350" s="12">
        <v>109441.2669397906</v>
      </c>
      <c r="C4350" s="12"/>
    </row>
    <row r="4351" spans="1:3">
      <c r="A4351">
        <v>4348</v>
      </c>
      <c r="B4351" s="12">
        <v>136868.43216843385</v>
      </c>
      <c r="C4351" s="12"/>
    </row>
    <row r="4352" spans="1:3">
      <c r="A4352">
        <v>4349</v>
      </c>
      <c r="B4352" s="12">
        <v>57577.71178856981</v>
      </c>
      <c r="C4352" s="12"/>
    </row>
    <row r="4353" spans="1:3">
      <c r="A4353">
        <v>4350</v>
      </c>
      <c r="B4353" s="12">
        <v>106968.15143924287</v>
      </c>
      <c r="C4353" s="12"/>
    </row>
    <row r="4354" spans="1:3">
      <c r="A4354">
        <v>4351</v>
      </c>
      <c r="B4354" s="12">
        <v>128948.18548222892</v>
      </c>
      <c r="C4354" s="12"/>
    </row>
    <row r="4355" spans="1:3">
      <c r="A4355">
        <v>4352</v>
      </c>
      <c r="B4355" s="12">
        <v>110080.73110055846</v>
      </c>
      <c r="C4355" s="12"/>
    </row>
    <row r="4356" spans="1:3">
      <c r="A4356">
        <v>4353</v>
      </c>
      <c r="B4356" s="12">
        <v>110181.95683212059</v>
      </c>
      <c r="C4356" s="12"/>
    </row>
    <row r="4357" spans="1:3">
      <c r="A4357">
        <v>4354</v>
      </c>
      <c r="B4357" s="12">
        <v>137502.4479238913</v>
      </c>
      <c r="C4357" s="12"/>
    </row>
    <row r="4358" spans="1:3">
      <c r="A4358">
        <v>4355</v>
      </c>
      <c r="B4358" s="12">
        <v>111776.14666217103</v>
      </c>
      <c r="C4358" s="12"/>
    </row>
    <row r="4359" spans="1:3">
      <c r="A4359">
        <v>4356</v>
      </c>
      <c r="B4359" s="12">
        <v>72216.795328546912</v>
      </c>
      <c r="C4359" s="12"/>
    </row>
    <row r="4360" spans="1:3">
      <c r="A4360">
        <v>4357</v>
      </c>
      <c r="B4360" s="12">
        <v>79583.594986936558</v>
      </c>
      <c r="C4360" s="12"/>
    </row>
    <row r="4361" spans="1:3">
      <c r="A4361">
        <v>4358</v>
      </c>
      <c r="B4361" s="12">
        <v>190777.26136628276</v>
      </c>
      <c r="C4361" s="12"/>
    </row>
    <row r="4362" spans="1:3">
      <c r="A4362">
        <v>4359</v>
      </c>
      <c r="B4362" s="12">
        <v>114396.92867986541</v>
      </c>
      <c r="C4362" s="12"/>
    </row>
    <row r="4363" spans="1:3">
      <c r="A4363">
        <v>4360</v>
      </c>
      <c r="B4363" s="12">
        <v>126623.94863765173</v>
      </c>
      <c r="C4363" s="12"/>
    </row>
    <row r="4364" spans="1:3">
      <c r="A4364">
        <v>4361</v>
      </c>
      <c r="B4364" s="12">
        <v>110244.56535017221</v>
      </c>
      <c r="C4364" s="12"/>
    </row>
    <row r="4365" spans="1:3">
      <c r="A4365">
        <v>4362</v>
      </c>
      <c r="B4365" s="12">
        <v>67402.73494263734</v>
      </c>
      <c r="C4365" s="12"/>
    </row>
    <row r="4366" spans="1:3">
      <c r="A4366">
        <v>4363</v>
      </c>
      <c r="B4366" s="12">
        <v>118549.96888779745</v>
      </c>
      <c r="C4366" s="12"/>
    </row>
    <row r="4367" spans="1:3">
      <c r="A4367">
        <v>4364</v>
      </c>
      <c r="B4367" s="12">
        <v>139902.81323506447</v>
      </c>
      <c r="C4367" s="12"/>
    </row>
    <row r="4368" spans="1:3">
      <c r="A4368">
        <v>4365</v>
      </c>
      <c r="B4368" s="12">
        <v>117282.31825644801</v>
      </c>
      <c r="C4368" s="12"/>
    </row>
    <row r="4369" spans="1:3">
      <c r="A4369">
        <v>4366</v>
      </c>
      <c r="B4369" s="12">
        <v>123981.43463580252</v>
      </c>
      <c r="C4369" s="12"/>
    </row>
    <row r="4370" spans="1:3">
      <c r="A4370">
        <v>4367</v>
      </c>
      <c r="B4370" s="12">
        <v>110216.99603224613</v>
      </c>
      <c r="C4370" s="12"/>
    </row>
    <row r="4371" spans="1:3">
      <c r="A4371">
        <v>4368</v>
      </c>
      <c r="B4371" s="12">
        <v>120993.32950182224</v>
      </c>
      <c r="C4371" s="12"/>
    </row>
    <row r="4372" spans="1:3">
      <c r="A4372">
        <v>4369</v>
      </c>
      <c r="B4372" s="12">
        <v>132252.84774940688</v>
      </c>
      <c r="C4372" s="12"/>
    </row>
    <row r="4373" spans="1:3">
      <c r="A4373">
        <v>4370</v>
      </c>
      <c r="B4373" s="12">
        <v>65570.876863373662</v>
      </c>
      <c r="C4373" s="12"/>
    </row>
    <row r="4374" spans="1:3">
      <c r="A4374">
        <v>4371</v>
      </c>
      <c r="B4374" s="12">
        <v>151515.83591309129</v>
      </c>
      <c r="C4374" s="12"/>
    </row>
    <row r="4375" spans="1:3">
      <c r="A4375">
        <v>4372</v>
      </c>
      <c r="B4375" s="12">
        <v>74132.013888293019</v>
      </c>
      <c r="C4375" s="12"/>
    </row>
    <row r="4376" spans="1:3">
      <c r="A4376">
        <v>4373</v>
      </c>
      <c r="B4376" s="12">
        <v>109743.12687395807</v>
      </c>
      <c r="C4376" s="12"/>
    </row>
    <row r="4377" spans="1:3">
      <c r="A4377">
        <v>4374</v>
      </c>
      <c r="B4377" s="12">
        <v>74768.845719634293</v>
      </c>
      <c r="C4377" s="12"/>
    </row>
    <row r="4378" spans="1:3">
      <c r="A4378">
        <v>4375</v>
      </c>
      <c r="B4378" s="12">
        <v>93835.571567895546</v>
      </c>
      <c r="C4378" s="12"/>
    </row>
    <row r="4379" spans="1:3">
      <c r="A4379">
        <v>4376</v>
      </c>
      <c r="B4379" s="12">
        <v>105661.2783778857</v>
      </c>
      <c r="C4379" s="12"/>
    </row>
    <row r="4380" spans="1:3">
      <c r="A4380">
        <v>4377</v>
      </c>
      <c r="B4380" s="12">
        <v>105483.06304252551</v>
      </c>
      <c r="C4380" s="12"/>
    </row>
    <row r="4381" spans="1:3">
      <c r="A4381">
        <v>4378</v>
      </c>
      <c r="B4381" s="12">
        <v>74760.32711904365</v>
      </c>
      <c r="C4381" s="12"/>
    </row>
    <row r="4382" spans="1:3">
      <c r="A4382">
        <v>4379</v>
      </c>
      <c r="B4382" s="12">
        <v>111074.30308741154</v>
      </c>
      <c r="C4382" s="12"/>
    </row>
    <row r="4383" spans="1:3">
      <c r="A4383">
        <v>4380</v>
      </c>
      <c r="B4383" s="12">
        <v>69969.541731168603</v>
      </c>
      <c r="C4383" s="12"/>
    </row>
    <row r="4384" spans="1:3">
      <c r="A4384">
        <v>4381</v>
      </c>
      <c r="B4384" s="12">
        <v>64829.698607088983</v>
      </c>
      <c r="C4384" s="12"/>
    </row>
    <row r="4385" spans="1:3">
      <c r="A4385">
        <v>4382</v>
      </c>
      <c r="B4385" s="12">
        <v>207929.91690936335</v>
      </c>
      <c r="C4385" s="12"/>
    </row>
    <row r="4386" spans="1:3">
      <c r="A4386">
        <v>4383</v>
      </c>
      <c r="B4386" s="12">
        <v>105583.96536312613</v>
      </c>
      <c r="C4386" s="12"/>
    </row>
    <row r="4387" spans="1:3">
      <c r="A4387">
        <v>4384</v>
      </c>
      <c r="B4387" s="12">
        <v>155436.19799524345</v>
      </c>
      <c r="C4387" s="12"/>
    </row>
    <row r="4388" spans="1:3">
      <c r="A4388">
        <v>4385</v>
      </c>
      <c r="B4388" s="12">
        <v>105768.6620180085</v>
      </c>
      <c r="C4388" s="12"/>
    </row>
    <row r="4389" spans="1:3">
      <c r="A4389">
        <v>4386</v>
      </c>
      <c r="B4389" s="12">
        <v>142070.85803415172</v>
      </c>
      <c r="C4389" s="12"/>
    </row>
    <row r="4390" spans="1:3">
      <c r="A4390">
        <v>4387</v>
      </c>
      <c r="B4390" s="12">
        <v>141176.54870395589</v>
      </c>
      <c r="C4390" s="12"/>
    </row>
    <row r="4391" spans="1:3">
      <c r="A4391">
        <v>4388</v>
      </c>
      <c r="B4391" s="12">
        <v>117007.48266713377</v>
      </c>
      <c r="C4391" s="12"/>
    </row>
    <row r="4392" spans="1:3">
      <c r="A4392">
        <v>4389</v>
      </c>
      <c r="B4392" s="12">
        <v>166343.32649044832</v>
      </c>
      <c r="C4392" s="12"/>
    </row>
    <row r="4393" spans="1:3">
      <c r="A4393">
        <v>4390</v>
      </c>
      <c r="B4393" s="12">
        <v>142885.74930286317</v>
      </c>
      <c r="C4393" s="12"/>
    </row>
    <row r="4394" spans="1:3">
      <c r="A4394">
        <v>4391</v>
      </c>
      <c r="B4394" s="12">
        <v>141352.75867378127</v>
      </c>
      <c r="C4394" s="12"/>
    </row>
    <row r="4395" spans="1:3">
      <c r="A4395">
        <v>4392</v>
      </c>
      <c r="B4395" s="12">
        <v>132341.23806151113</v>
      </c>
      <c r="C4395" s="12"/>
    </row>
    <row r="4396" spans="1:3">
      <c r="A4396">
        <v>4393</v>
      </c>
      <c r="B4396" s="12">
        <v>136878.74819233327</v>
      </c>
      <c r="C4396" s="12"/>
    </row>
    <row r="4397" spans="1:3">
      <c r="A4397">
        <v>4394</v>
      </c>
      <c r="B4397" s="12">
        <v>139922.29239408186</v>
      </c>
      <c r="C4397" s="12"/>
    </row>
    <row r="4398" spans="1:3">
      <c r="A4398">
        <v>4395</v>
      </c>
      <c r="B4398" s="12">
        <v>209789.23779298746</v>
      </c>
      <c r="C4398" s="12"/>
    </row>
    <row r="4399" spans="1:3">
      <c r="A4399">
        <v>4396</v>
      </c>
      <c r="B4399" s="12">
        <v>127180.68042197102</v>
      </c>
      <c r="C4399" s="12"/>
    </row>
    <row r="4400" spans="1:3">
      <c r="A4400">
        <v>4397</v>
      </c>
      <c r="B4400" s="12">
        <v>91842.876865395301</v>
      </c>
      <c r="C4400" s="12"/>
    </row>
    <row r="4401" spans="1:3">
      <c r="A4401">
        <v>4398</v>
      </c>
      <c r="B4401" s="12">
        <v>117108.60746321605</v>
      </c>
      <c r="C4401" s="12"/>
    </row>
    <row r="4402" spans="1:3">
      <c r="A4402">
        <v>4399</v>
      </c>
      <c r="B4402" s="12">
        <v>40648.655883302861</v>
      </c>
      <c r="C4402" s="12"/>
    </row>
    <row r="4403" spans="1:3">
      <c r="A4403">
        <v>4400</v>
      </c>
      <c r="B4403" s="12">
        <v>111616.35157869753</v>
      </c>
      <c r="C4403" s="12"/>
    </row>
    <row r="4404" spans="1:3">
      <c r="A4404">
        <v>4401</v>
      </c>
      <c r="B4404" s="12">
        <v>93864.820391816145</v>
      </c>
      <c r="C4404" s="12"/>
    </row>
    <row r="4405" spans="1:3">
      <c r="A4405">
        <v>4402</v>
      </c>
      <c r="B4405" s="12">
        <v>91470.928986138519</v>
      </c>
      <c r="C4405" s="12"/>
    </row>
    <row r="4406" spans="1:3">
      <c r="A4406">
        <v>4403</v>
      </c>
      <c r="B4406" s="12">
        <v>119902.042966029</v>
      </c>
      <c r="C4406" s="12"/>
    </row>
    <row r="4407" spans="1:3">
      <c r="A4407">
        <v>4404</v>
      </c>
      <c r="B4407" s="12">
        <v>115184.21521652795</v>
      </c>
      <c r="C4407" s="12"/>
    </row>
    <row r="4408" spans="1:3">
      <c r="A4408">
        <v>4405</v>
      </c>
      <c r="B4408" s="12">
        <v>128348.36781143992</v>
      </c>
      <c r="C4408" s="12"/>
    </row>
    <row r="4409" spans="1:3">
      <c r="A4409">
        <v>4406</v>
      </c>
      <c r="B4409" s="12">
        <v>107724.01232210069</v>
      </c>
      <c r="C4409" s="12"/>
    </row>
    <row r="4410" spans="1:3">
      <c r="A4410">
        <v>4407</v>
      </c>
      <c r="B4410" s="12">
        <v>117775.55535420596</v>
      </c>
      <c r="C4410" s="12"/>
    </row>
    <row r="4411" spans="1:3">
      <c r="A4411">
        <v>4408</v>
      </c>
      <c r="B4411" s="12">
        <v>88264.331605222134</v>
      </c>
      <c r="C4411" s="12"/>
    </row>
    <row r="4412" spans="1:3">
      <c r="A4412">
        <v>4409</v>
      </c>
      <c r="B4412" s="12">
        <v>105286.12916579339</v>
      </c>
      <c r="C4412" s="12"/>
    </row>
    <row r="4413" spans="1:3">
      <c r="A4413">
        <v>4410</v>
      </c>
      <c r="B4413" s="12">
        <v>115137.50648492962</v>
      </c>
      <c r="C4413" s="12"/>
    </row>
    <row r="4414" spans="1:3">
      <c r="A4414">
        <v>4411</v>
      </c>
      <c r="B4414" s="12">
        <v>123683.70486058611</v>
      </c>
      <c r="C4414" s="12"/>
    </row>
    <row r="4415" spans="1:3">
      <c r="A4415">
        <v>4412</v>
      </c>
      <c r="B4415" s="12">
        <v>110885.83428782682</v>
      </c>
      <c r="C4415" s="12"/>
    </row>
    <row r="4416" spans="1:3">
      <c r="A4416">
        <v>4413</v>
      </c>
      <c r="B4416" s="12">
        <v>134954.54611279667</v>
      </c>
      <c r="C4416" s="12"/>
    </row>
    <row r="4417" spans="1:3">
      <c r="A4417">
        <v>4414</v>
      </c>
      <c r="B4417" s="12">
        <v>88921.264687761533</v>
      </c>
      <c r="C4417" s="12"/>
    </row>
    <row r="4418" spans="1:3">
      <c r="A4418">
        <v>4415</v>
      </c>
      <c r="B4418" s="12">
        <v>169262.78403419274</v>
      </c>
      <c r="C4418" s="12"/>
    </row>
    <row r="4419" spans="1:3">
      <c r="A4419">
        <v>4416</v>
      </c>
      <c r="B4419" s="12">
        <v>99464.427706645089</v>
      </c>
      <c r="C4419" s="12"/>
    </row>
    <row r="4420" spans="1:3">
      <c r="A4420">
        <v>4417</v>
      </c>
      <c r="B4420" s="12">
        <v>41831.469836831136</v>
      </c>
      <c r="C4420" s="12"/>
    </row>
    <row r="4421" spans="1:3">
      <c r="A4421">
        <v>4418</v>
      </c>
      <c r="B4421" s="12">
        <v>97908.108387796645</v>
      </c>
      <c r="C4421" s="12"/>
    </row>
    <row r="4422" spans="1:3">
      <c r="A4422">
        <v>4419</v>
      </c>
      <c r="B4422" s="12">
        <v>89801.485108715526</v>
      </c>
      <c r="C4422" s="12"/>
    </row>
    <row r="4423" spans="1:3">
      <c r="A4423">
        <v>4420</v>
      </c>
      <c r="B4423" s="12">
        <v>110595.91352711097</v>
      </c>
      <c r="C4423" s="12"/>
    </row>
    <row r="4424" spans="1:3">
      <c r="A4424">
        <v>4421</v>
      </c>
      <c r="B4424" s="12">
        <v>85094.016446556372</v>
      </c>
      <c r="C4424" s="12"/>
    </row>
    <row r="4425" spans="1:3">
      <c r="A4425">
        <v>4422</v>
      </c>
      <c r="B4425" s="12">
        <v>105736.60425238295</v>
      </c>
      <c r="C4425" s="12"/>
    </row>
    <row r="4426" spans="1:3">
      <c r="A4426">
        <v>4423</v>
      </c>
      <c r="B4426" s="12">
        <v>87927.2560204443</v>
      </c>
      <c r="C4426" s="12"/>
    </row>
    <row r="4427" spans="1:3">
      <c r="A4427">
        <v>4424</v>
      </c>
      <c r="B4427" s="12">
        <v>105026.63859542023</v>
      </c>
      <c r="C4427" s="12"/>
    </row>
    <row r="4428" spans="1:3">
      <c r="A4428">
        <v>4425</v>
      </c>
      <c r="B4428" s="12">
        <v>107694.81483107673</v>
      </c>
      <c r="C4428" s="12"/>
    </row>
    <row r="4429" spans="1:3">
      <c r="A4429">
        <v>4426</v>
      </c>
      <c r="B4429" s="12">
        <v>100325.03241435139</v>
      </c>
      <c r="C4429" s="12"/>
    </row>
    <row r="4430" spans="1:3">
      <c r="A4430">
        <v>4427</v>
      </c>
      <c r="B4430" s="12">
        <v>113533.64187109417</v>
      </c>
      <c r="C4430" s="12"/>
    </row>
    <row r="4431" spans="1:3">
      <c r="A4431">
        <v>4428</v>
      </c>
      <c r="B4431" s="12">
        <v>90842.054291208566</v>
      </c>
      <c r="C4431" s="12"/>
    </row>
    <row r="4432" spans="1:3">
      <c r="A4432">
        <v>4429</v>
      </c>
      <c r="B4432" s="12">
        <v>78679.496548367737</v>
      </c>
      <c r="C4432" s="12"/>
    </row>
    <row r="4433" spans="1:3">
      <c r="A4433">
        <v>4430</v>
      </c>
      <c r="B4433" s="12">
        <v>132211.6285449315</v>
      </c>
      <c r="C4433" s="12"/>
    </row>
    <row r="4434" spans="1:3">
      <c r="A4434">
        <v>4431</v>
      </c>
      <c r="B4434" s="12">
        <v>99668.805657672579</v>
      </c>
      <c r="C4434" s="12"/>
    </row>
    <row r="4435" spans="1:3">
      <c r="A4435">
        <v>4432</v>
      </c>
      <c r="B4435" s="12">
        <v>114399.21196414802</v>
      </c>
      <c r="C4435" s="12"/>
    </row>
    <row r="4436" spans="1:3">
      <c r="A4436">
        <v>4433</v>
      </c>
      <c r="B4436" s="12">
        <v>68521.968536899716</v>
      </c>
      <c r="C4436" s="12"/>
    </row>
    <row r="4437" spans="1:3">
      <c r="A4437">
        <v>4434</v>
      </c>
      <c r="B4437" s="12">
        <v>134891.56927273836</v>
      </c>
      <c r="C4437" s="12"/>
    </row>
    <row r="4438" spans="1:3">
      <c r="A4438">
        <v>4435</v>
      </c>
      <c r="B4438" s="12">
        <v>122863.96767656486</v>
      </c>
      <c r="C4438" s="12"/>
    </row>
    <row r="4439" spans="1:3">
      <c r="A4439">
        <v>4436</v>
      </c>
      <c r="B4439" s="12">
        <v>137347.55474728523</v>
      </c>
      <c r="C4439" s="12"/>
    </row>
    <row r="4440" spans="1:3">
      <c r="A4440">
        <v>4437</v>
      </c>
      <c r="B4440" s="12">
        <v>55191.035608738472</v>
      </c>
      <c r="C4440" s="12"/>
    </row>
    <row r="4441" spans="1:3">
      <c r="A4441">
        <v>4438</v>
      </c>
      <c r="B4441" s="12">
        <v>71333.759636830277</v>
      </c>
      <c r="C4441" s="12"/>
    </row>
    <row r="4442" spans="1:3">
      <c r="A4442">
        <v>4439</v>
      </c>
      <c r="B4442" s="12">
        <v>134047.33721198674</v>
      </c>
      <c r="C4442" s="12"/>
    </row>
    <row r="4443" spans="1:3">
      <c r="A4443">
        <v>4440</v>
      </c>
      <c r="B4443" s="12">
        <v>116030.25531092644</v>
      </c>
      <c r="C4443" s="12"/>
    </row>
    <row r="4444" spans="1:3">
      <c r="A4444">
        <v>4441</v>
      </c>
      <c r="B4444" s="12">
        <v>61555.84999969785</v>
      </c>
      <c r="C4444" s="12"/>
    </row>
    <row r="4445" spans="1:3">
      <c r="A4445">
        <v>4442</v>
      </c>
      <c r="B4445" s="12">
        <v>145849.09860669402</v>
      </c>
      <c r="C4445" s="12"/>
    </row>
    <row r="4446" spans="1:3">
      <c r="A4446">
        <v>4443</v>
      </c>
      <c r="B4446" s="12">
        <v>110842.54136409707</v>
      </c>
      <c r="C4446" s="12"/>
    </row>
    <row r="4447" spans="1:3">
      <c r="A4447">
        <v>4444</v>
      </c>
      <c r="B4447" s="12">
        <v>99491.924232448451</v>
      </c>
      <c r="C4447" s="12"/>
    </row>
    <row r="4448" spans="1:3">
      <c r="A4448">
        <v>4445</v>
      </c>
      <c r="B4448" s="12">
        <v>93089.641326690369</v>
      </c>
      <c r="C4448" s="12"/>
    </row>
    <row r="4449" spans="1:3">
      <c r="A4449">
        <v>4446</v>
      </c>
      <c r="B4449" s="12">
        <v>121400.09154071238</v>
      </c>
      <c r="C4449" s="12"/>
    </row>
    <row r="4450" spans="1:3">
      <c r="A4450">
        <v>4447</v>
      </c>
      <c r="B4450" s="12">
        <v>83381.948656668537</v>
      </c>
      <c r="C4450" s="12"/>
    </row>
    <row r="4451" spans="1:3">
      <c r="A4451">
        <v>4448</v>
      </c>
      <c r="B4451" s="12">
        <v>109853.58090754398</v>
      </c>
      <c r="C4451" s="12"/>
    </row>
    <row r="4452" spans="1:3">
      <c r="A4452">
        <v>4449</v>
      </c>
      <c r="B4452" s="12">
        <v>53859.336144800422</v>
      </c>
      <c r="C4452" s="12"/>
    </row>
    <row r="4453" spans="1:3">
      <c r="A4453">
        <v>4450</v>
      </c>
      <c r="B4453" s="12">
        <v>90591.873275908612</v>
      </c>
      <c r="C4453" s="12"/>
    </row>
    <row r="4454" spans="1:3">
      <c r="A4454">
        <v>4451</v>
      </c>
      <c r="B4454" s="12">
        <v>117900.94092000535</v>
      </c>
      <c r="C4454" s="12"/>
    </row>
    <row r="4455" spans="1:3">
      <c r="A4455">
        <v>4452</v>
      </c>
      <c r="B4455" s="12">
        <v>89513.622404817361</v>
      </c>
      <c r="C4455" s="12"/>
    </row>
    <row r="4456" spans="1:3">
      <c r="A4456">
        <v>4453</v>
      </c>
      <c r="B4456" s="12">
        <v>138387.7073774884</v>
      </c>
      <c r="C4456" s="12"/>
    </row>
    <row r="4457" spans="1:3">
      <c r="A4457">
        <v>4454</v>
      </c>
      <c r="B4457" s="12">
        <v>148934.98430971359</v>
      </c>
      <c r="C4457" s="12"/>
    </row>
    <row r="4458" spans="1:3">
      <c r="A4458">
        <v>4455</v>
      </c>
      <c r="B4458" s="12">
        <v>67232.612769898638</v>
      </c>
      <c r="C4458" s="12"/>
    </row>
    <row r="4459" spans="1:3">
      <c r="A4459">
        <v>4456</v>
      </c>
      <c r="B4459" s="12">
        <v>103547.96672190851</v>
      </c>
      <c r="C4459" s="12"/>
    </row>
    <row r="4460" spans="1:3">
      <c r="A4460">
        <v>4457</v>
      </c>
      <c r="B4460" s="12">
        <v>120079.54854482936</v>
      </c>
      <c r="C4460" s="12"/>
    </row>
    <row r="4461" spans="1:3">
      <c r="A4461">
        <v>4458</v>
      </c>
      <c r="B4461" s="12">
        <v>66493.524112508792</v>
      </c>
      <c r="C4461" s="12"/>
    </row>
    <row r="4462" spans="1:3">
      <c r="A4462">
        <v>4459</v>
      </c>
      <c r="B4462" s="12">
        <v>89688.169180465295</v>
      </c>
      <c r="C4462" s="12"/>
    </row>
    <row r="4463" spans="1:3">
      <c r="A4463">
        <v>4460</v>
      </c>
      <c r="B4463" s="12">
        <v>165402.24435849735</v>
      </c>
      <c r="C4463" s="12"/>
    </row>
    <row r="4464" spans="1:3">
      <c r="A4464">
        <v>4461</v>
      </c>
      <c r="B4464" s="12">
        <v>130057.46917161199</v>
      </c>
      <c r="C4464" s="12"/>
    </row>
    <row r="4465" spans="1:3">
      <c r="A4465">
        <v>4462</v>
      </c>
      <c r="B4465" s="12">
        <v>94650.699080444218</v>
      </c>
      <c r="C4465" s="12"/>
    </row>
    <row r="4466" spans="1:3">
      <c r="A4466">
        <v>4463</v>
      </c>
      <c r="B4466" s="12">
        <v>77965.330658466686</v>
      </c>
      <c r="C4466" s="12"/>
    </row>
    <row r="4467" spans="1:3">
      <c r="A4467">
        <v>4464</v>
      </c>
      <c r="B4467" s="12">
        <v>137477.01859871918</v>
      </c>
      <c r="C4467" s="12"/>
    </row>
    <row r="4468" spans="1:3">
      <c r="A4468">
        <v>4465</v>
      </c>
      <c r="B4468" s="12">
        <v>123685.5203741765</v>
      </c>
      <c r="C4468" s="12"/>
    </row>
    <row r="4469" spans="1:3">
      <c r="A4469">
        <v>4466</v>
      </c>
      <c r="B4469" s="12">
        <v>172463.26692951881</v>
      </c>
      <c r="C4469" s="12"/>
    </row>
    <row r="4470" spans="1:3">
      <c r="A4470">
        <v>4467</v>
      </c>
      <c r="B4470" s="12">
        <v>79557.691710737563</v>
      </c>
      <c r="C4470" s="12"/>
    </row>
    <row r="4471" spans="1:3">
      <c r="A4471">
        <v>4468</v>
      </c>
      <c r="B4471" s="12">
        <v>158954.7255981112</v>
      </c>
      <c r="C4471" s="12"/>
    </row>
    <row r="4472" spans="1:3">
      <c r="A4472">
        <v>4469</v>
      </c>
      <c r="B4472" s="12">
        <v>104403.72262428237</v>
      </c>
      <c r="C4472" s="12"/>
    </row>
    <row r="4473" spans="1:3">
      <c r="A4473">
        <v>4470</v>
      </c>
      <c r="B4473" s="12">
        <v>129463.28470136775</v>
      </c>
      <c r="C4473" s="12"/>
    </row>
    <row r="4474" spans="1:3">
      <c r="A4474">
        <v>4471</v>
      </c>
      <c r="B4474" s="12">
        <v>64956.729554507714</v>
      </c>
      <c r="C4474" s="12"/>
    </row>
    <row r="4475" spans="1:3">
      <c r="A4475">
        <v>4472</v>
      </c>
      <c r="B4475" s="12">
        <v>162120.77513849104</v>
      </c>
      <c r="C4475" s="12"/>
    </row>
    <row r="4476" spans="1:3">
      <c r="A4476">
        <v>4473</v>
      </c>
      <c r="B4476" s="12">
        <v>80576.762346795309</v>
      </c>
      <c r="C4476" s="12"/>
    </row>
    <row r="4477" spans="1:3">
      <c r="A4477">
        <v>4474</v>
      </c>
      <c r="B4477" s="12">
        <v>148171.73040498435</v>
      </c>
      <c r="C4477" s="12"/>
    </row>
    <row r="4478" spans="1:3">
      <c r="A4478">
        <v>4475</v>
      </c>
      <c r="B4478" s="12">
        <v>76635.106959242636</v>
      </c>
      <c r="C4478" s="12"/>
    </row>
    <row r="4479" spans="1:3">
      <c r="A4479">
        <v>4476</v>
      </c>
      <c r="B4479" s="12">
        <v>136336.48997687857</v>
      </c>
      <c r="C4479" s="12"/>
    </row>
    <row r="4480" spans="1:3">
      <c r="A4480">
        <v>4477</v>
      </c>
      <c r="B4480" s="12">
        <v>89188.201473898051</v>
      </c>
      <c r="C4480" s="12"/>
    </row>
    <row r="4481" spans="1:3">
      <c r="A4481">
        <v>4478</v>
      </c>
      <c r="B4481" s="12">
        <v>93267.21243080491</v>
      </c>
      <c r="C4481" s="12"/>
    </row>
    <row r="4482" spans="1:3">
      <c r="A4482">
        <v>4479</v>
      </c>
      <c r="B4482" s="12">
        <v>106585.6953918623</v>
      </c>
      <c r="C4482" s="12"/>
    </row>
    <row r="4483" spans="1:3">
      <c r="A4483">
        <v>4480</v>
      </c>
      <c r="B4483" s="12">
        <v>151679.28563066456</v>
      </c>
      <c r="C4483" s="12"/>
    </row>
    <row r="4484" spans="1:3">
      <c r="A4484">
        <v>4481</v>
      </c>
      <c r="B4484" s="12">
        <v>93679.972777917195</v>
      </c>
      <c r="C4484" s="12"/>
    </row>
    <row r="4485" spans="1:3">
      <c r="A4485">
        <v>4482</v>
      </c>
      <c r="B4485" s="12">
        <v>87668.833561972831</v>
      </c>
      <c r="C4485" s="12"/>
    </row>
    <row r="4486" spans="1:3">
      <c r="A4486">
        <v>4483</v>
      </c>
      <c r="B4486" s="12">
        <v>131180.47938629769</v>
      </c>
      <c r="C4486" s="12"/>
    </row>
    <row r="4487" spans="1:3">
      <c r="A4487">
        <v>4484</v>
      </c>
      <c r="B4487" s="12">
        <v>119943.54153770376</v>
      </c>
      <c r="C4487" s="12"/>
    </row>
    <row r="4488" spans="1:3">
      <c r="A4488">
        <v>4485</v>
      </c>
      <c r="B4488" s="12">
        <v>134071.35822614693</v>
      </c>
      <c r="C4488" s="12"/>
    </row>
    <row r="4489" spans="1:3">
      <c r="A4489">
        <v>4486</v>
      </c>
      <c r="B4489" s="12">
        <v>98087.448617778748</v>
      </c>
      <c r="C4489" s="12"/>
    </row>
    <row r="4490" spans="1:3">
      <c r="A4490">
        <v>4487</v>
      </c>
      <c r="B4490" s="12">
        <v>147292.17512294138</v>
      </c>
      <c r="C4490" s="12"/>
    </row>
    <row r="4491" spans="1:3">
      <c r="A4491">
        <v>4488</v>
      </c>
      <c r="B4491" s="12">
        <v>156318.64078423905</v>
      </c>
      <c r="C4491" s="12"/>
    </row>
    <row r="4492" spans="1:3">
      <c r="A4492">
        <v>4489</v>
      </c>
      <c r="B4492" s="12">
        <v>136919.56488207218</v>
      </c>
      <c r="C4492" s="12"/>
    </row>
    <row r="4493" spans="1:3">
      <c r="A4493">
        <v>4490</v>
      </c>
      <c r="B4493" s="12">
        <v>92425.44474104284</v>
      </c>
      <c r="C4493" s="12"/>
    </row>
    <row r="4494" spans="1:3">
      <c r="A4494">
        <v>4491</v>
      </c>
      <c r="B4494" s="12">
        <v>99065.908393329126</v>
      </c>
      <c r="C4494" s="12"/>
    </row>
    <row r="4495" spans="1:3">
      <c r="A4495">
        <v>4492</v>
      </c>
      <c r="B4495" s="12">
        <v>115260.18345049559</v>
      </c>
      <c r="C4495" s="12"/>
    </row>
    <row r="4496" spans="1:3">
      <c r="A4496">
        <v>4493</v>
      </c>
      <c r="B4496" s="12">
        <v>101367.39905137251</v>
      </c>
      <c r="C4496" s="12"/>
    </row>
    <row r="4497" spans="1:3">
      <c r="A4497">
        <v>4494</v>
      </c>
      <c r="B4497" s="12">
        <v>166061.9651257837</v>
      </c>
      <c r="C4497" s="12"/>
    </row>
    <row r="4498" spans="1:3">
      <c r="A4498">
        <v>4495</v>
      </c>
      <c r="B4498" s="12">
        <v>137662.98330821603</v>
      </c>
      <c r="C4498" s="12"/>
    </row>
    <row r="4499" spans="1:3">
      <c r="A4499">
        <v>4496</v>
      </c>
      <c r="B4499" s="12">
        <v>100441.72376697873</v>
      </c>
      <c r="C4499" s="12"/>
    </row>
    <row r="4500" spans="1:3">
      <c r="A4500">
        <v>4497</v>
      </c>
      <c r="B4500" s="12">
        <v>140466.70143202372</v>
      </c>
      <c r="C4500" s="12"/>
    </row>
    <row r="4501" spans="1:3">
      <c r="A4501">
        <v>4498</v>
      </c>
      <c r="B4501" s="12">
        <v>112199.07929653679</v>
      </c>
      <c r="C4501" s="12"/>
    </row>
    <row r="4502" spans="1:3">
      <c r="A4502">
        <v>4499</v>
      </c>
      <c r="B4502" s="12">
        <v>146262.32375239109</v>
      </c>
      <c r="C4502" s="12"/>
    </row>
    <row r="4503" spans="1:3">
      <c r="A4503">
        <v>4500</v>
      </c>
      <c r="B4503" s="12">
        <v>56124.145858162396</v>
      </c>
      <c r="C4503" s="12"/>
    </row>
    <row r="4504" spans="1:3">
      <c r="A4504">
        <v>4501</v>
      </c>
      <c r="B4504" s="12">
        <v>126268.98904661485</v>
      </c>
      <c r="C4504" s="12"/>
    </row>
    <row r="4505" spans="1:3">
      <c r="A4505">
        <v>4502</v>
      </c>
      <c r="B4505" s="12">
        <v>127042.18720774137</v>
      </c>
      <c r="C4505" s="12"/>
    </row>
    <row r="4506" spans="1:3">
      <c r="A4506">
        <v>4503</v>
      </c>
      <c r="B4506" s="12">
        <v>112154.28633254481</v>
      </c>
      <c r="C4506" s="12"/>
    </row>
    <row r="4507" spans="1:3">
      <c r="A4507">
        <v>4504</v>
      </c>
      <c r="B4507" s="12">
        <v>81545.081158239918</v>
      </c>
      <c r="C4507" s="12"/>
    </row>
    <row r="4508" spans="1:3">
      <c r="A4508">
        <v>4505</v>
      </c>
      <c r="B4508" s="12">
        <v>82019.451072458003</v>
      </c>
      <c r="C4508" s="12"/>
    </row>
    <row r="4509" spans="1:3">
      <c r="A4509">
        <v>4506</v>
      </c>
      <c r="B4509" s="12">
        <v>68586.652867579105</v>
      </c>
      <c r="C4509" s="12"/>
    </row>
    <row r="4510" spans="1:3">
      <c r="A4510">
        <v>4507</v>
      </c>
      <c r="B4510" s="12">
        <v>78161.832848510167</v>
      </c>
      <c r="C4510" s="12"/>
    </row>
    <row r="4511" spans="1:3">
      <c r="A4511">
        <v>4508</v>
      </c>
      <c r="B4511" s="12">
        <v>132359.12353259791</v>
      </c>
      <c r="C4511" s="12"/>
    </row>
    <row r="4512" spans="1:3">
      <c r="A4512">
        <v>4509</v>
      </c>
      <c r="B4512" s="12">
        <v>184961.58056501872</v>
      </c>
      <c r="C4512" s="12"/>
    </row>
    <row r="4513" spans="1:3">
      <c r="A4513">
        <v>4510</v>
      </c>
      <c r="B4513" s="12">
        <v>87899.506339194282</v>
      </c>
      <c r="C4513" s="12"/>
    </row>
    <row r="4514" spans="1:3">
      <c r="A4514">
        <v>4511</v>
      </c>
      <c r="B4514" s="12">
        <v>111396.08021720836</v>
      </c>
      <c r="C4514" s="12"/>
    </row>
    <row r="4515" spans="1:3">
      <c r="A4515">
        <v>4512</v>
      </c>
      <c r="B4515" s="12">
        <v>108137.76178413081</v>
      </c>
      <c r="C4515" s="12"/>
    </row>
    <row r="4516" spans="1:3">
      <c r="A4516">
        <v>4513</v>
      </c>
      <c r="B4516" s="12">
        <v>124932.48694481065</v>
      </c>
      <c r="C4516" s="12"/>
    </row>
    <row r="4517" spans="1:3">
      <c r="A4517">
        <v>4514</v>
      </c>
      <c r="B4517" s="12">
        <v>77555.164800743427</v>
      </c>
      <c r="C4517" s="12"/>
    </row>
    <row r="4518" spans="1:3">
      <c r="A4518">
        <v>4515</v>
      </c>
      <c r="B4518" s="12">
        <v>99453.02095223566</v>
      </c>
      <c r="C4518" s="12"/>
    </row>
    <row r="4519" spans="1:3">
      <c r="A4519">
        <v>4516</v>
      </c>
      <c r="B4519" s="12">
        <v>119462.28006276206</v>
      </c>
      <c r="C4519" s="12"/>
    </row>
    <row r="4520" spans="1:3">
      <c r="A4520">
        <v>4517</v>
      </c>
      <c r="B4520" s="12">
        <v>102534.20821431116</v>
      </c>
      <c r="C4520" s="12"/>
    </row>
    <row r="4521" spans="1:3">
      <c r="A4521">
        <v>4518</v>
      </c>
      <c r="B4521" s="12">
        <v>83484.807901729931</v>
      </c>
      <c r="C4521" s="12"/>
    </row>
    <row r="4522" spans="1:3">
      <c r="A4522">
        <v>4519</v>
      </c>
      <c r="B4522" s="12">
        <v>91650.596974989254</v>
      </c>
      <c r="C4522" s="12"/>
    </row>
    <row r="4523" spans="1:3">
      <c r="A4523">
        <v>4520</v>
      </c>
      <c r="B4523" s="12">
        <v>91158.452243094871</v>
      </c>
      <c r="C4523" s="12"/>
    </row>
    <row r="4524" spans="1:3">
      <c r="A4524">
        <v>4521</v>
      </c>
      <c r="B4524" s="12">
        <v>148962.9636663993</v>
      </c>
      <c r="C4524" s="12"/>
    </row>
    <row r="4525" spans="1:3">
      <c r="A4525">
        <v>4522</v>
      </c>
      <c r="B4525" s="12">
        <v>154191.86712400895</v>
      </c>
      <c r="C4525" s="12"/>
    </row>
    <row r="4526" spans="1:3">
      <c r="A4526">
        <v>4523</v>
      </c>
      <c r="B4526" s="12">
        <v>146404.63074001018</v>
      </c>
      <c r="C4526" s="12"/>
    </row>
    <row r="4527" spans="1:3">
      <c r="A4527">
        <v>4524</v>
      </c>
      <c r="B4527" s="12">
        <v>94782.098322322432</v>
      </c>
      <c r="C4527" s="12"/>
    </row>
    <row r="4528" spans="1:3">
      <c r="A4528">
        <v>4525</v>
      </c>
      <c r="B4528" s="12">
        <v>126417.9026890508</v>
      </c>
      <c r="C4528" s="12"/>
    </row>
    <row r="4529" spans="1:3">
      <c r="A4529">
        <v>4526</v>
      </c>
      <c r="B4529" s="12">
        <v>81411.430093182324</v>
      </c>
      <c r="C4529" s="12"/>
    </row>
    <row r="4530" spans="1:3">
      <c r="A4530">
        <v>4527</v>
      </c>
      <c r="B4530" s="12">
        <v>146757.8189176945</v>
      </c>
      <c r="C4530" s="12"/>
    </row>
    <row r="4531" spans="1:3">
      <c r="A4531">
        <v>4528</v>
      </c>
      <c r="B4531" s="12">
        <v>71378.437500080021</v>
      </c>
      <c r="C4531" s="12"/>
    </row>
    <row r="4532" spans="1:3">
      <c r="A4532">
        <v>4529</v>
      </c>
      <c r="B4532" s="12">
        <v>91015.280687834806</v>
      </c>
      <c r="C4532" s="12"/>
    </row>
    <row r="4533" spans="1:3">
      <c r="A4533">
        <v>4530</v>
      </c>
      <c r="B4533" s="12">
        <v>90907.84693741909</v>
      </c>
      <c r="C4533" s="12"/>
    </row>
    <row r="4534" spans="1:3">
      <c r="A4534">
        <v>4531</v>
      </c>
      <c r="B4534" s="12">
        <v>99752.190495625386</v>
      </c>
      <c r="C4534" s="12"/>
    </row>
    <row r="4535" spans="1:3">
      <c r="A4535">
        <v>4532</v>
      </c>
      <c r="B4535" s="12">
        <v>146239.06114267412</v>
      </c>
      <c r="C4535" s="12"/>
    </row>
    <row r="4536" spans="1:3">
      <c r="A4536">
        <v>4533</v>
      </c>
      <c r="B4536" s="12">
        <v>202536.70072810314</v>
      </c>
      <c r="C4536" s="12"/>
    </row>
    <row r="4537" spans="1:3">
      <c r="A4537">
        <v>4534</v>
      </c>
      <c r="B4537" s="12">
        <v>148245.29442244297</v>
      </c>
      <c r="C4537" s="12"/>
    </row>
    <row r="4538" spans="1:3">
      <c r="A4538">
        <v>4535</v>
      </c>
      <c r="B4538" s="12">
        <v>109630.19990317374</v>
      </c>
      <c r="C4538" s="12"/>
    </row>
    <row r="4539" spans="1:3">
      <c r="A4539">
        <v>4536</v>
      </c>
      <c r="B4539" s="12">
        <v>119982.55756290183</v>
      </c>
      <c r="C4539" s="12"/>
    </row>
    <row r="4540" spans="1:3">
      <c r="A4540">
        <v>4537</v>
      </c>
      <c r="B4540" s="12">
        <v>165581.31773756066</v>
      </c>
      <c r="C4540" s="12"/>
    </row>
    <row r="4541" spans="1:3">
      <c r="A4541">
        <v>4538</v>
      </c>
      <c r="B4541" s="12">
        <v>154831.30285174827</v>
      </c>
      <c r="C4541" s="12"/>
    </row>
    <row r="4542" spans="1:3">
      <c r="A4542">
        <v>4539</v>
      </c>
      <c r="B4542" s="12">
        <v>80474.287069574188</v>
      </c>
      <c r="C4542" s="12"/>
    </row>
    <row r="4543" spans="1:3">
      <c r="A4543">
        <v>4540</v>
      </c>
      <c r="B4543" s="12">
        <v>150436.32308736269</v>
      </c>
      <c r="C4543" s="12"/>
    </row>
    <row r="4544" spans="1:3">
      <c r="A4544">
        <v>4541</v>
      </c>
      <c r="B4544" s="12">
        <v>113824.63711804991</v>
      </c>
      <c r="C4544" s="12"/>
    </row>
    <row r="4545" spans="1:3">
      <c r="A4545">
        <v>4542</v>
      </c>
      <c r="B4545" s="12">
        <v>124019.03700496917</v>
      </c>
      <c r="C4545" s="12"/>
    </row>
    <row r="4546" spans="1:3">
      <c r="A4546">
        <v>4543</v>
      </c>
      <c r="B4546" s="12">
        <v>92882.285160504136</v>
      </c>
      <c r="C4546" s="12"/>
    </row>
    <row r="4547" spans="1:3">
      <c r="A4547">
        <v>4544</v>
      </c>
      <c r="B4547" s="12">
        <v>114207.57091476847</v>
      </c>
      <c r="C4547" s="12"/>
    </row>
    <row r="4548" spans="1:3">
      <c r="A4548">
        <v>4545</v>
      </c>
      <c r="B4548" s="12">
        <v>88962.196010310668</v>
      </c>
      <c r="C4548" s="12"/>
    </row>
    <row r="4549" spans="1:3">
      <c r="A4549">
        <v>4546</v>
      </c>
      <c r="B4549" s="12">
        <v>67854.291928231498</v>
      </c>
      <c r="C4549" s="12"/>
    </row>
    <row r="4550" spans="1:3">
      <c r="A4550">
        <v>4547</v>
      </c>
      <c r="B4550" s="12">
        <v>107356.91035402443</v>
      </c>
      <c r="C4550" s="12"/>
    </row>
    <row r="4551" spans="1:3">
      <c r="A4551">
        <v>4548</v>
      </c>
      <c r="B4551" s="12">
        <v>117562.11991975892</v>
      </c>
      <c r="C4551" s="12"/>
    </row>
    <row r="4552" spans="1:3">
      <c r="A4552">
        <v>4549</v>
      </c>
      <c r="B4552" s="12">
        <v>110424.33456113984</v>
      </c>
      <c r="C4552" s="12"/>
    </row>
    <row r="4553" spans="1:3">
      <c r="A4553">
        <v>4550</v>
      </c>
      <c r="B4553" s="12">
        <v>110014.91305355367</v>
      </c>
      <c r="C4553" s="12"/>
    </row>
    <row r="4554" spans="1:3">
      <c r="A4554">
        <v>4551</v>
      </c>
      <c r="B4554" s="12">
        <v>135048.45862656043</v>
      </c>
      <c r="C4554" s="12"/>
    </row>
    <row r="4555" spans="1:3">
      <c r="A4555">
        <v>4552</v>
      </c>
      <c r="B4555" s="12">
        <v>80070.524754909362</v>
      </c>
      <c r="C4555" s="12"/>
    </row>
    <row r="4556" spans="1:3">
      <c r="A4556">
        <v>4553</v>
      </c>
      <c r="B4556" s="12">
        <v>110454.60227849209</v>
      </c>
      <c r="C4556" s="12"/>
    </row>
    <row r="4557" spans="1:3">
      <c r="A4557">
        <v>4554</v>
      </c>
      <c r="B4557" s="12">
        <v>121764.47392140244</v>
      </c>
      <c r="C4557" s="12"/>
    </row>
    <row r="4558" spans="1:3">
      <c r="A4558">
        <v>4555</v>
      </c>
      <c r="B4558" s="12">
        <v>130855.13857157892</v>
      </c>
      <c r="C4558" s="12"/>
    </row>
    <row r="4559" spans="1:3">
      <c r="A4559">
        <v>4556</v>
      </c>
      <c r="B4559" s="12">
        <v>143683.95821638187</v>
      </c>
      <c r="C4559" s="12"/>
    </row>
    <row r="4560" spans="1:3">
      <c r="A4560">
        <v>4557</v>
      </c>
      <c r="B4560" s="12">
        <v>173891.49674081852</v>
      </c>
      <c r="C4560" s="12"/>
    </row>
    <row r="4561" spans="1:3">
      <c r="A4561">
        <v>4558</v>
      </c>
      <c r="B4561" s="12">
        <v>85893.579154902603</v>
      </c>
      <c r="C4561" s="12"/>
    </row>
    <row r="4562" spans="1:3">
      <c r="A4562">
        <v>4559</v>
      </c>
      <c r="B4562" s="12">
        <v>192954.75196105163</v>
      </c>
      <c r="C4562" s="12"/>
    </row>
    <row r="4563" spans="1:3">
      <c r="A4563">
        <v>4560</v>
      </c>
      <c r="B4563" s="12">
        <v>110273.76467166291</v>
      </c>
      <c r="C4563" s="12"/>
    </row>
    <row r="4564" spans="1:3">
      <c r="A4564">
        <v>4561</v>
      </c>
      <c r="B4564" s="12">
        <v>65869.489133932293</v>
      </c>
      <c r="C4564" s="12"/>
    </row>
    <row r="4565" spans="1:3">
      <c r="A4565">
        <v>4562</v>
      </c>
      <c r="B4565" s="12">
        <v>138225.73459310047</v>
      </c>
      <c r="C4565" s="12"/>
    </row>
    <row r="4566" spans="1:3">
      <c r="A4566">
        <v>4563</v>
      </c>
      <c r="B4566" s="12">
        <v>65722.589729108367</v>
      </c>
      <c r="C4566" s="12"/>
    </row>
    <row r="4567" spans="1:3">
      <c r="A4567">
        <v>4564</v>
      </c>
      <c r="B4567" s="12">
        <v>81170.730178380647</v>
      </c>
      <c r="C4567" s="12"/>
    </row>
    <row r="4568" spans="1:3">
      <c r="A4568">
        <v>4565</v>
      </c>
      <c r="B4568" s="12">
        <v>100789.11875047839</v>
      </c>
      <c r="C4568" s="12"/>
    </row>
    <row r="4569" spans="1:3">
      <c r="A4569">
        <v>4566</v>
      </c>
      <c r="B4569" s="12">
        <v>103597.96676066502</v>
      </c>
      <c r="C4569" s="12"/>
    </row>
    <row r="4570" spans="1:3">
      <c r="A4570">
        <v>4567</v>
      </c>
      <c r="B4570" s="12">
        <v>140182.2010481827</v>
      </c>
      <c r="C4570" s="12"/>
    </row>
    <row r="4571" spans="1:3">
      <c r="A4571">
        <v>4568</v>
      </c>
      <c r="B4571" s="12">
        <v>115767.0314462583</v>
      </c>
      <c r="C4571" s="12"/>
    </row>
    <row r="4572" spans="1:3">
      <c r="A4572">
        <v>4569</v>
      </c>
      <c r="B4572" s="12">
        <v>120904.15834882179</v>
      </c>
      <c r="C4572" s="12"/>
    </row>
    <row r="4573" spans="1:3">
      <c r="A4573">
        <v>4570</v>
      </c>
      <c r="B4573" s="12">
        <v>91716.549517799765</v>
      </c>
      <c r="C4573" s="12"/>
    </row>
    <row r="4574" spans="1:3">
      <c r="A4574">
        <v>4571</v>
      </c>
      <c r="B4574" s="12">
        <v>79734.611080962393</v>
      </c>
      <c r="C4574" s="12"/>
    </row>
    <row r="4575" spans="1:3">
      <c r="A4575">
        <v>4572</v>
      </c>
      <c r="B4575" s="12">
        <v>118684.4120816619</v>
      </c>
      <c r="C4575" s="12"/>
    </row>
    <row r="4576" spans="1:3">
      <c r="A4576">
        <v>4573</v>
      </c>
      <c r="B4576" s="12">
        <v>100795.98454526627</v>
      </c>
      <c r="C4576" s="12"/>
    </row>
    <row r="4577" spans="1:3">
      <c r="A4577">
        <v>4574</v>
      </c>
      <c r="B4577" s="12">
        <v>120624.70554126021</v>
      </c>
      <c r="C4577" s="12"/>
    </row>
    <row r="4578" spans="1:3">
      <c r="A4578">
        <v>4575</v>
      </c>
      <c r="B4578" s="12">
        <v>153252.81484749276</v>
      </c>
      <c r="C4578" s="12"/>
    </row>
    <row r="4579" spans="1:3">
      <c r="A4579">
        <v>4576</v>
      </c>
      <c r="B4579" s="12">
        <v>126039.78978694111</v>
      </c>
      <c r="C4579" s="12"/>
    </row>
    <row r="4580" spans="1:3">
      <c r="A4580">
        <v>4577</v>
      </c>
      <c r="B4580" s="12">
        <v>162536.99374646979</v>
      </c>
      <c r="C4580" s="12"/>
    </row>
    <row r="4581" spans="1:3">
      <c r="A4581">
        <v>4578</v>
      </c>
      <c r="B4581" s="12">
        <v>101862.68167545251</v>
      </c>
      <c r="C4581" s="12"/>
    </row>
    <row r="4582" spans="1:3">
      <c r="A4582">
        <v>4579</v>
      </c>
      <c r="B4582" s="12">
        <v>116022.78605342557</v>
      </c>
      <c r="C4582" s="12"/>
    </row>
    <row r="4583" spans="1:3">
      <c r="A4583">
        <v>4580</v>
      </c>
      <c r="B4583" s="12">
        <v>106252.70790748544</v>
      </c>
      <c r="C4583" s="12"/>
    </row>
    <row r="4584" spans="1:3">
      <c r="A4584">
        <v>4581</v>
      </c>
      <c r="B4584" s="12">
        <v>79456.609489516544</v>
      </c>
      <c r="C4584" s="12"/>
    </row>
    <row r="4585" spans="1:3">
      <c r="A4585">
        <v>4582</v>
      </c>
      <c r="B4585" s="12">
        <v>104708.48899418094</v>
      </c>
      <c r="C4585" s="12"/>
    </row>
    <row r="4586" spans="1:3">
      <c r="A4586">
        <v>4583</v>
      </c>
      <c r="B4586" s="12">
        <v>107697.82951760429</v>
      </c>
      <c r="C4586" s="12"/>
    </row>
    <row r="4587" spans="1:3">
      <c r="A4587">
        <v>4584</v>
      </c>
      <c r="B4587" s="12">
        <v>125011.90679140014</v>
      </c>
      <c r="C4587" s="12"/>
    </row>
    <row r="4588" spans="1:3">
      <c r="A4588">
        <v>4585</v>
      </c>
      <c r="B4588" s="12">
        <v>98856.893779011938</v>
      </c>
      <c r="C4588" s="12"/>
    </row>
    <row r="4589" spans="1:3">
      <c r="A4589">
        <v>4586</v>
      </c>
      <c r="B4589" s="12">
        <v>105518.92360047894</v>
      </c>
      <c r="C4589" s="12"/>
    </row>
    <row r="4590" spans="1:3">
      <c r="A4590">
        <v>4587</v>
      </c>
      <c r="B4590" s="12">
        <v>106895.26591258727</v>
      </c>
      <c r="C4590" s="12"/>
    </row>
    <row r="4591" spans="1:3">
      <c r="A4591">
        <v>4588</v>
      </c>
      <c r="B4591" s="12">
        <v>92657.786759294249</v>
      </c>
      <c r="C4591" s="12"/>
    </row>
    <row r="4592" spans="1:3">
      <c r="A4592">
        <v>4589</v>
      </c>
      <c r="B4592" s="12">
        <v>78267.718836378626</v>
      </c>
      <c r="C4592" s="12"/>
    </row>
    <row r="4593" spans="1:3">
      <c r="A4593">
        <v>4590</v>
      </c>
      <c r="B4593" s="12">
        <v>124419.72027234017</v>
      </c>
      <c r="C4593" s="12"/>
    </row>
    <row r="4594" spans="1:3">
      <c r="A4594">
        <v>4591</v>
      </c>
      <c r="B4594" s="12">
        <v>102621.37546884589</v>
      </c>
      <c r="C4594" s="12"/>
    </row>
    <row r="4595" spans="1:3">
      <c r="A4595">
        <v>4592</v>
      </c>
      <c r="B4595" s="12">
        <v>100004.09265628408</v>
      </c>
      <c r="C4595" s="12"/>
    </row>
    <row r="4596" spans="1:3">
      <c r="A4596">
        <v>4593</v>
      </c>
      <c r="B4596" s="12">
        <v>91215.135519716598</v>
      </c>
      <c r="C4596" s="12"/>
    </row>
    <row r="4597" spans="1:3">
      <c r="A4597">
        <v>4594</v>
      </c>
      <c r="B4597" s="12">
        <v>146464.59197295361</v>
      </c>
      <c r="C4597" s="12"/>
    </row>
    <row r="4598" spans="1:3">
      <c r="A4598">
        <v>4595</v>
      </c>
      <c r="B4598" s="12">
        <v>108650.72757344962</v>
      </c>
      <c r="C4598" s="12"/>
    </row>
    <row r="4599" spans="1:3">
      <c r="A4599">
        <v>4596</v>
      </c>
      <c r="B4599" s="12">
        <v>135309.84853109557</v>
      </c>
      <c r="C4599" s="12"/>
    </row>
    <row r="4600" spans="1:3">
      <c r="A4600">
        <v>4597</v>
      </c>
      <c r="B4600" s="12">
        <v>55042.659280187669</v>
      </c>
      <c r="C4600" s="12"/>
    </row>
    <row r="4601" spans="1:3">
      <c r="A4601">
        <v>4598</v>
      </c>
      <c r="B4601" s="12">
        <v>180502.06168862549</v>
      </c>
      <c r="C4601" s="12"/>
    </row>
    <row r="4602" spans="1:3">
      <c r="A4602">
        <v>4599</v>
      </c>
      <c r="B4602" s="12">
        <v>95942.420617416559</v>
      </c>
      <c r="C4602" s="12"/>
    </row>
    <row r="4603" spans="1:3">
      <c r="A4603">
        <v>4600</v>
      </c>
      <c r="B4603" s="12">
        <v>137113.48847273158</v>
      </c>
      <c r="C4603" s="12"/>
    </row>
    <row r="4604" spans="1:3">
      <c r="A4604">
        <v>4601</v>
      </c>
      <c r="B4604" s="12">
        <v>135188.33790848494</v>
      </c>
      <c r="C4604" s="12"/>
    </row>
    <row r="4605" spans="1:3">
      <c r="A4605">
        <v>4602</v>
      </c>
      <c r="B4605" s="12">
        <v>62156.934505318663</v>
      </c>
      <c r="C4605" s="12"/>
    </row>
    <row r="4606" spans="1:3">
      <c r="A4606">
        <v>4603</v>
      </c>
      <c r="B4606" s="12">
        <v>80951.998777859859</v>
      </c>
      <c r="C4606" s="12"/>
    </row>
    <row r="4607" spans="1:3">
      <c r="A4607">
        <v>4604</v>
      </c>
      <c r="B4607" s="12">
        <v>167594.22525455884</v>
      </c>
      <c r="C4607" s="12"/>
    </row>
    <row r="4608" spans="1:3">
      <c r="A4608">
        <v>4605</v>
      </c>
      <c r="B4608" s="12">
        <v>162158.65973011951</v>
      </c>
      <c r="C4608" s="12"/>
    </row>
    <row r="4609" spans="1:3">
      <c r="A4609">
        <v>4606</v>
      </c>
      <c r="B4609" s="12">
        <v>100970.19189422744</v>
      </c>
      <c r="C4609" s="12"/>
    </row>
    <row r="4610" spans="1:3">
      <c r="A4610">
        <v>4607</v>
      </c>
      <c r="B4610" s="12">
        <v>102378.57168672788</v>
      </c>
      <c r="C4610" s="12"/>
    </row>
    <row r="4611" spans="1:3">
      <c r="A4611">
        <v>4608</v>
      </c>
      <c r="B4611" s="12">
        <v>146778.12098120066</v>
      </c>
      <c r="C4611" s="12"/>
    </row>
    <row r="4612" spans="1:3">
      <c r="A4612">
        <v>4609</v>
      </c>
      <c r="B4612" s="12">
        <v>168302.73082593788</v>
      </c>
      <c r="C4612" s="12"/>
    </row>
    <row r="4613" spans="1:3">
      <c r="A4613">
        <v>4610</v>
      </c>
      <c r="B4613" s="12">
        <v>167209.95525802742</v>
      </c>
      <c r="C4613" s="12"/>
    </row>
    <row r="4614" spans="1:3">
      <c r="A4614">
        <v>4611</v>
      </c>
      <c r="B4614" s="12">
        <v>87552.290883813781</v>
      </c>
      <c r="C4614" s="12"/>
    </row>
    <row r="4615" spans="1:3">
      <c r="A4615">
        <v>4612</v>
      </c>
      <c r="B4615" s="12">
        <v>95077.495542639241</v>
      </c>
      <c r="C4615" s="12"/>
    </row>
    <row r="4616" spans="1:3">
      <c r="A4616">
        <v>4613</v>
      </c>
      <c r="B4616" s="12">
        <v>114178.80331619532</v>
      </c>
      <c r="C4616" s="12"/>
    </row>
    <row r="4617" spans="1:3">
      <c r="A4617">
        <v>4614</v>
      </c>
      <c r="B4617" s="12">
        <v>147307.195321334</v>
      </c>
      <c r="C4617" s="12"/>
    </row>
    <row r="4618" spans="1:3">
      <c r="A4618">
        <v>4615</v>
      </c>
      <c r="B4618" s="12">
        <v>101383.95738174794</v>
      </c>
      <c r="C4618" s="12"/>
    </row>
    <row r="4619" spans="1:3">
      <c r="A4619">
        <v>4616</v>
      </c>
      <c r="B4619" s="12">
        <v>107787.31936970029</v>
      </c>
      <c r="C4619" s="12"/>
    </row>
    <row r="4620" spans="1:3">
      <c r="A4620">
        <v>4617</v>
      </c>
      <c r="B4620" s="12">
        <v>150898.59212981793</v>
      </c>
      <c r="C4620" s="12"/>
    </row>
    <row r="4621" spans="1:3">
      <c r="A4621">
        <v>4618</v>
      </c>
      <c r="B4621" s="12">
        <v>123903.03512531563</v>
      </c>
      <c r="C4621" s="12"/>
    </row>
    <row r="4622" spans="1:3">
      <c r="A4622">
        <v>4619</v>
      </c>
      <c r="B4622" s="12">
        <v>98326.032375948576</v>
      </c>
      <c r="C4622" s="12"/>
    </row>
    <row r="4623" spans="1:3">
      <c r="A4623">
        <v>4620</v>
      </c>
      <c r="B4623" s="12">
        <v>126907.42053577505</v>
      </c>
      <c r="C4623" s="12"/>
    </row>
    <row r="4624" spans="1:3">
      <c r="A4624">
        <v>4621</v>
      </c>
      <c r="B4624" s="12">
        <v>98138.435271086812</v>
      </c>
      <c r="C4624" s="12"/>
    </row>
    <row r="4625" spans="1:3">
      <c r="A4625">
        <v>4622</v>
      </c>
      <c r="B4625" s="12">
        <v>94578.466001234381</v>
      </c>
      <c r="C4625" s="12"/>
    </row>
    <row r="4626" spans="1:3">
      <c r="A4626">
        <v>4623</v>
      </c>
      <c r="B4626" s="12">
        <v>85676.20494786487</v>
      </c>
      <c r="C4626" s="12"/>
    </row>
    <row r="4627" spans="1:3">
      <c r="A4627">
        <v>4624</v>
      </c>
      <c r="B4627" s="12">
        <v>78434.086660693138</v>
      </c>
      <c r="C4627" s="12"/>
    </row>
    <row r="4628" spans="1:3">
      <c r="A4628">
        <v>4625</v>
      </c>
      <c r="B4628" s="12">
        <v>100044.15670797184</v>
      </c>
      <c r="C4628" s="12"/>
    </row>
    <row r="4629" spans="1:3">
      <c r="A4629">
        <v>4626</v>
      </c>
      <c r="B4629" s="12">
        <v>94453.778376714647</v>
      </c>
      <c r="C4629" s="12"/>
    </row>
    <row r="4630" spans="1:3">
      <c r="A4630">
        <v>4627</v>
      </c>
      <c r="B4630" s="12">
        <v>82470.318523718248</v>
      </c>
      <c r="C4630" s="12"/>
    </row>
    <row r="4631" spans="1:3">
      <c r="A4631">
        <v>4628</v>
      </c>
      <c r="B4631" s="12">
        <v>99651.12603911577</v>
      </c>
      <c r="C4631" s="12"/>
    </row>
    <row r="4632" spans="1:3">
      <c r="A4632">
        <v>4629</v>
      </c>
      <c r="B4632" s="12">
        <v>85828.151091026113</v>
      </c>
      <c r="C4632" s="12"/>
    </row>
    <row r="4633" spans="1:3">
      <c r="A4633">
        <v>4630</v>
      </c>
      <c r="B4633" s="12">
        <v>90601.592235412289</v>
      </c>
      <c r="C4633" s="12"/>
    </row>
    <row r="4634" spans="1:3">
      <c r="A4634">
        <v>4631</v>
      </c>
      <c r="B4634" s="12">
        <v>167320.5465631712</v>
      </c>
      <c r="C4634" s="12"/>
    </row>
    <row r="4635" spans="1:3">
      <c r="A4635">
        <v>4632</v>
      </c>
      <c r="B4635" s="12">
        <v>162321.1642173086</v>
      </c>
      <c r="C4635" s="12"/>
    </row>
    <row r="4636" spans="1:3">
      <c r="A4636">
        <v>4633</v>
      </c>
      <c r="B4636" s="12">
        <v>96935.265877448139</v>
      </c>
      <c r="C4636" s="12"/>
    </row>
    <row r="4637" spans="1:3">
      <c r="A4637">
        <v>4634</v>
      </c>
      <c r="B4637" s="12">
        <v>102603.64014923917</v>
      </c>
      <c r="C4637" s="12"/>
    </row>
    <row r="4638" spans="1:3">
      <c r="A4638">
        <v>4635</v>
      </c>
      <c r="B4638" s="12">
        <v>161090.22196944724</v>
      </c>
      <c r="C4638" s="12"/>
    </row>
    <row r="4639" spans="1:3">
      <c r="A4639">
        <v>4636</v>
      </c>
      <c r="B4639" s="12">
        <v>88911.852177097462</v>
      </c>
      <c r="C4639" s="12"/>
    </row>
    <row r="4640" spans="1:3">
      <c r="A4640">
        <v>4637</v>
      </c>
      <c r="B4640" s="12">
        <v>79311.678947671258</v>
      </c>
      <c r="C4640" s="12"/>
    </row>
    <row r="4641" spans="1:3">
      <c r="A4641">
        <v>4638</v>
      </c>
      <c r="B4641" s="12">
        <v>113447.6962773109</v>
      </c>
      <c r="C4641" s="12"/>
    </row>
    <row r="4642" spans="1:3">
      <c r="A4642">
        <v>4639</v>
      </c>
      <c r="B4642" s="12">
        <v>160479.37740065367</v>
      </c>
      <c r="C4642" s="12"/>
    </row>
    <row r="4643" spans="1:3">
      <c r="A4643">
        <v>4640</v>
      </c>
      <c r="B4643" s="12">
        <v>118817.3910925559</v>
      </c>
      <c r="C4643" s="12"/>
    </row>
    <row r="4644" spans="1:3">
      <c r="A4644">
        <v>4641</v>
      </c>
      <c r="B4644" s="12">
        <v>170462.81167928953</v>
      </c>
      <c r="C4644" s="12"/>
    </row>
    <row r="4645" spans="1:3">
      <c r="A4645">
        <v>4642</v>
      </c>
      <c r="B4645" s="12">
        <v>115324.43617067349</v>
      </c>
      <c r="C4645" s="12"/>
    </row>
    <row r="4646" spans="1:3">
      <c r="A4646">
        <v>4643</v>
      </c>
      <c r="B4646" s="12">
        <v>131153.26585461712</v>
      </c>
      <c r="C4646" s="12"/>
    </row>
    <row r="4647" spans="1:3">
      <c r="A4647">
        <v>4644</v>
      </c>
      <c r="B4647" s="12">
        <v>99531.152817828726</v>
      </c>
      <c r="C4647" s="12"/>
    </row>
    <row r="4648" spans="1:3">
      <c r="A4648">
        <v>4645</v>
      </c>
      <c r="B4648" s="12">
        <v>118537.24509547105</v>
      </c>
      <c r="C4648" s="12"/>
    </row>
    <row r="4649" spans="1:3">
      <c r="A4649">
        <v>4646</v>
      </c>
      <c r="B4649" s="12">
        <v>116014.4687112605</v>
      </c>
      <c r="C4649" s="12"/>
    </row>
    <row r="4650" spans="1:3">
      <c r="A4650">
        <v>4647</v>
      </c>
      <c r="B4650" s="12">
        <v>96439.597389381728</v>
      </c>
      <c r="C4650" s="12"/>
    </row>
    <row r="4651" spans="1:3">
      <c r="A4651">
        <v>4648</v>
      </c>
      <c r="B4651" s="12">
        <v>107829.34913044616</v>
      </c>
      <c r="C4651" s="12"/>
    </row>
    <row r="4652" spans="1:3">
      <c r="A4652">
        <v>4649</v>
      </c>
      <c r="B4652" s="12">
        <v>100044.35639689228</v>
      </c>
      <c r="C4652" s="12"/>
    </row>
    <row r="4653" spans="1:3">
      <c r="A4653">
        <v>4650</v>
      </c>
      <c r="B4653" s="12">
        <v>127189.02482479252</v>
      </c>
      <c r="C4653" s="12"/>
    </row>
    <row r="4654" spans="1:3">
      <c r="A4654">
        <v>4651</v>
      </c>
      <c r="B4654" s="12">
        <v>117979.08136181973</v>
      </c>
      <c r="C4654" s="12"/>
    </row>
    <row r="4655" spans="1:3">
      <c r="A4655">
        <v>4652</v>
      </c>
      <c r="B4655" s="12">
        <v>127065.1905385757</v>
      </c>
      <c r="C4655" s="12"/>
    </row>
    <row r="4656" spans="1:3">
      <c r="A4656">
        <v>4653</v>
      </c>
      <c r="B4656" s="12">
        <v>166241.24326740197</v>
      </c>
      <c r="C4656" s="12"/>
    </row>
    <row r="4657" spans="1:3">
      <c r="A4657">
        <v>4654</v>
      </c>
      <c r="B4657" s="12">
        <v>100608.52609168312</v>
      </c>
      <c r="C4657" s="12"/>
    </row>
    <row r="4658" spans="1:3">
      <c r="A4658">
        <v>4655</v>
      </c>
      <c r="B4658" s="12">
        <v>208975.92428500229</v>
      </c>
      <c r="C4658" s="12"/>
    </row>
    <row r="4659" spans="1:3">
      <c r="A4659">
        <v>4656</v>
      </c>
      <c r="B4659" s="12">
        <v>91101.770833244213</v>
      </c>
      <c r="C4659" s="12"/>
    </row>
    <row r="4660" spans="1:3">
      <c r="A4660">
        <v>4657</v>
      </c>
      <c r="B4660" s="12">
        <v>139331.6463735681</v>
      </c>
      <c r="C4660" s="12"/>
    </row>
    <row r="4661" spans="1:3">
      <c r="A4661">
        <v>4658</v>
      </c>
      <c r="B4661" s="12">
        <v>71540.924705343132</v>
      </c>
      <c r="C4661" s="12"/>
    </row>
    <row r="4662" spans="1:3">
      <c r="A4662">
        <v>4659</v>
      </c>
      <c r="B4662" s="12">
        <v>81298.77357617073</v>
      </c>
      <c r="C4662" s="12"/>
    </row>
    <row r="4663" spans="1:3">
      <c r="A4663">
        <v>4660</v>
      </c>
      <c r="B4663" s="12">
        <v>104346.26826698463</v>
      </c>
      <c r="C4663" s="12"/>
    </row>
    <row r="4664" spans="1:3">
      <c r="A4664">
        <v>4661</v>
      </c>
      <c r="B4664" s="12">
        <v>108884.36447074977</v>
      </c>
      <c r="C4664" s="12"/>
    </row>
    <row r="4665" spans="1:3">
      <c r="A4665">
        <v>4662</v>
      </c>
      <c r="B4665" s="12">
        <v>98888.412825836844</v>
      </c>
      <c r="C4665" s="12"/>
    </row>
    <row r="4666" spans="1:3">
      <c r="A4666">
        <v>4663</v>
      </c>
      <c r="B4666" s="12">
        <v>110958.26238613296</v>
      </c>
      <c r="C4666" s="12"/>
    </row>
    <row r="4667" spans="1:3">
      <c r="A4667">
        <v>4664</v>
      </c>
      <c r="B4667" s="12">
        <v>64526.715814415584</v>
      </c>
      <c r="C4667" s="12"/>
    </row>
    <row r="4668" spans="1:3">
      <c r="A4668">
        <v>4665</v>
      </c>
      <c r="B4668" s="12">
        <v>174078.98576414565</v>
      </c>
      <c r="C4668" s="12"/>
    </row>
    <row r="4669" spans="1:3">
      <c r="A4669">
        <v>4666</v>
      </c>
      <c r="B4669" s="12">
        <v>79497.678411031011</v>
      </c>
      <c r="C4669" s="12"/>
    </row>
    <row r="4670" spans="1:3">
      <c r="A4670">
        <v>4667</v>
      </c>
      <c r="B4670" s="12">
        <v>154584.04293417817</v>
      </c>
      <c r="C4670" s="12"/>
    </row>
    <row r="4671" spans="1:3">
      <c r="A4671">
        <v>4668</v>
      </c>
      <c r="B4671" s="12">
        <v>87500.502392292139</v>
      </c>
      <c r="C4671" s="12"/>
    </row>
    <row r="4672" spans="1:3">
      <c r="A4672">
        <v>4669</v>
      </c>
      <c r="B4672" s="12">
        <v>126501.15791845614</v>
      </c>
      <c r="C4672" s="12"/>
    </row>
    <row r="4673" spans="1:3">
      <c r="A4673">
        <v>4670</v>
      </c>
      <c r="B4673" s="12">
        <v>81588.334634007784</v>
      </c>
      <c r="C4673" s="12"/>
    </row>
    <row r="4674" spans="1:3">
      <c r="A4674">
        <v>4671</v>
      </c>
      <c r="B4674" s="12">
        <v>104288.04494681986</v>
      </c>
      <c r="C4674" s="12"/>
    </row>
    <row r="4675" spans="1:3">
      <c r="A4675">
        <v>4672</v>
      </c>
      <c r="B4675" s="12">
        <v>75477.836829559674</v>
      </c>
      <c r="C4675" s="12"/>
    </row>
    <row r="4676" spans="1:3">
      <c r="A4676">
        <v>4673</v>
      </c>
      <c r="B4676" s="12">
        <v>149487.59406858109</v>
      </c>
      <c r="C4676" s="12"/>
    </row>
    <row r="4677" spans="1:3">
      <c r="A4677">
        <v>4674</v>
      </c>
      <c r="B4677" s="12">
        <v>81071.558190210038</v>
      </c>
      <c r="C4677" s="12"/>
    </row>
    <row r="4678" spans="1:3">
      <c r="A4678">
        <v>4675</v>
      </c>
      <c r="B4678" s="12">
        <v>115259.66893611144</v>
      </c>
      <c r="C4678" s="12"/>
    </row>
    <row r="4679" spans="1:3">
      <c r="A4679">
        <v>4676</v>
      </c>
      <c r="B4679" s="12">
        <v>92169.47714974932</v>
      </c>
      <c r="C4679" s="12"/>
    </row>
    <row r="4680" spans="1:3">
      <c r="A4680">
        <v>4677</v>
      </c>
      <c r="B4680" s="12">
        <v>81486.203217409944</v>
      </c>
      <c r="C4680" s="12"/>
    </row>
    <row r="4681" spans="1:3">
      <c r="A4681">
        <v>4678</v>
      </c>
      <c r="B4681" s="12">
        <v>62453.888383867888</v>
      </c>
      <c r="C4681" s="12"/>
    </row>
    <row r="4682" spans="1:3">
      <c r="A4682">
        <v>4679</v>
      </c>
      <c r="B4682" s="12">
        <v>230642.17160140676</v>
      </c>
      <c r="C4682" s="12"/>
    </row>
    <row r="4683" spans="1:3">
      <c r="A4683">
        <v>4680</v>
      </c>
      <c r="B4683" s="12">
        <v>75749.520288820044</v>
      </c>
      <c r="C4683" s="12"/>
    </row>
    <row r="4684" spans="1:3">
      <c r="A4684">
        <v>4681</v>
      </c>
      <c r="B4684" s="12">
        <v>90566.404795590657</v>
      </c>
      <c r="C4684" s="12"/>
    </row>
    <row r="4685" spans="1:3">
      <c r="A4685">
        <v>4682</v>
      </c>
      <c r="B4685" s="12">
        <v>132023.00528714064</v>
      </c>
      <c r="C4685" s="12"/>
    </row>
    <row r="4686" spans="1:3">
      <c r="A4686">
        <v>4683</v>
      </c>
      <c r="B4686" s="12">
        <v>138520.7913406454</v>
      </c>
      <c r="C4686" s="12"/>
    </row>
    <row r="4687" spans="1:3">
      <c r="A4687">
        <v>4684</v>
      </c>
      <c r="B4687" s="12">
        <v>122293.9510082663</v>
      </c>
      <c r="C4687" s="12"/>
    </row>
    <row r="4688" spans="1:3">
      <c r="A4688">
        <v>4685</v>
      </c>
      <c r="B4688" s="12">
        <v>119385.55503202417</v>
      </c>
      <c r="C4688" s="12"/>
    </row>
    <row r="4689" spans="1:3">
      <c r="A4689">
        <v>4686</v>
      </c>
      <c r="B4689" s="12">
        <v>150947.29422158757</v>
      </c>
      <c r="C4689" s="12"/>
    </row>
    <row r="4690" spans="1:3">
      <c r="A4690">
        <v>4687</v>
      </c>
      <c r="B4690" s="12">
        <v>97729.342572163034</v>
      </c>
      <c r="C4690" s="12"/>
    </row>
    <row r="4691" spans="1:3">
      <c r="A4691">
        <v>4688</v>
      </c>
      <c r="B4691" s="12">
        <v>125532.15054446747</v>
      </c>
      <c r="C4691" s="12"/>
    </row>
    <row r="4692" spans="1:3">
      <c r="A4692">
        <v>4689</v>
      </c>
      <c r="B4692" s="12">
        <v>94697.834407697737</v>
      </c>
      <c r="C4692" s="12"/>
    </row>
    <row r="4693" spans="1:3">
      <c r="A4693">
        <v>4690</v>
      </c>
      <c r="B4693" s="12">
        <v>121150.5450562684</v>
      </c>
      <c r="C4693" s="12"/>
    </row>
    <row r="4694" spans="1:3">
      <c r="A4694">
        <v>4691</v>
      </c>
      <c r="B4694" s="12">
        <v>99931.751810992617</v>
      </c>
      <c r="C4694" s="12"/>
    </row>
    <row r="4695" spans="1:3">
      <c r="A4695">
        <v>4692</v>
      </c>
      <c r="B4695" s="12">
        <v>114217.54298735139</v>
      </c>
      <c r="C4695" s="12"/>
    </row>
    <row r="4696" spans="1:3">
      <c r="A4696">
        <v>4693</v>
      </c>
      <c r="B4696" s="12">
        <v>149522.85036534668</v>
      </c>
      <c r="C4696" s="12"/>
    </row>
    <row r="4697" spans="1:3">
      <c r="A4697">
        <v>4694</v>
      </c>
      <c r="B4697" s="12">
        <v>152262.40157121839</v>
      </c>
      <c r="C4697" s="12"/>
    </row>
    <row r="4698" spans="1:3">
      <c r="A4698">
        <v>4695</v>
      </c>
      <c r="B4698" s="12">
        <v>66451.107528664405</v>
      </c>
      <c r="C4698" s="12"/>
    </row>
    <row r="4699" spans="1:3">
      <c r="A4699">
        <v>4696</v>
      </c>
      <c r="B4699" s="12">
        <v>97384.963215584212</v>
      </c>
      <c r="C4699" s="12"/>
    </row>
    <row r="4700" spans="1:3">
      <c r="A4700">
        <v>4697</v>
      </c>
      <c r="B4700" s="12">
        <v>108695.97665254935</v>
      </c>
      <c r="C4700" s="12"/>
    </row>
    <row r="4701" spans="1:3">
      <c r="A4701">
        <v>4698</v>
      </c>
      <c r="B4701" s="12">
        <v>126853.39625549159</v>
      </c>
      <c r="C4701" s="12"/>
    </row>
    <row r="4702" spans="1:3">
      <c r="A4702">
        <v>4699</v>
      </c>
      <c r="B4702" s="12">
        <v>110292.93799588236</v>
      </c>
      <c r="C4702" s="12"/>
    </row>
    <row r="4703" spans="1:3">
      <c r="A4703">
        <v>4700</v>
      </c>
      <c r="B4703" s="12">
        <v>141514.52150105886</v>
      </c>
      <c r="C4703" s="12"/>
    </row>
    <row r="4704" spans="1:3">
      <c r="A4704">
        <v>4701</v>
      </c>
      <c r="B4704" s="12">
        <v>119692.68890774433</v>
      </c>
      <c r="C4704" s="12"/>
    </row>
    <row r="4705" spans="1:3">
      <c r="A4705">
        <v>4702</v>
      </c>
      <c r="B4705" s="12">
        <v>86716.485374826007</v>
      </c>
      <c r="C4705" s="12"/>
    </row>
    <row r="4706" spans="1:3">
      <c r="A4706">
        <v>4703</v>
      </c>
      <c r="B4706" s="12">
        <v>102592.75912121523</v>
      </c>
      <c r="C4706" s="12"/>
    </row>
    <row r="4707" spans="1:3">
      <c r="A4707">
        <v>4704</v>
      </c>
      <c r="B4707" s="12">
        <v>113702.28783295296</v>
      </c>
      <c r="C4707" s="12"/>
    </row>
    <row r="4708" spans="1:3">
      <c r="A4708">
        <v>4705</v>
      </c>
      <c r="B4708" s="12">
        <v>85206.868166202577</v>
      </c>
      <c r="C4708" s="12"/>
    </row>
    <row r="4709" spans="1:3">
      <c r="A4709">
        <v>4706</v>
      </c>
      <c r="B4709" s="12">
        <v>144710.60080695528</v>
      </c>
      <c r="C4709" s="12"/>
    </row>
    <row r="4710" spans="1:3">
      <c r="A4710">
        <v>4707</v>
      </c>
      <c r="B4710" s="12">
        <v>85725.541211639269</v>
      </c>
      <c r="C4710" s="12"/>
    </row>
    <row r="4711" spans="1:3">
      <c r="A4711">
        <v>4708</v>
      </c>
      <c r="B4711" s="12">
        <v>90061.903675087247</v>
      </c>
      <c r="C4711" s="12"/>
    </row>
    <row r="4712" spans="1:3">
      <c r="A4712">
        <v>4709</v>
      </c>
      <c r="B4712" s="12">
        <v>104131.58822363084</v>
      </c>
      <c r="C4712" s="12"/>
    </row>
    <row r="4713" spans="1:3">
      <c r="A4713">
        <v>4710</v>
      </c>
      <c r="B4713" s="12">
        <v>146527.39099595262</v>
      </c>
      <c r="C4713" s="12"/>
    </row>
    <row r="4714" spans="1:3">
      <c r="A4714">
        <v>4711</v>
      </c>
      <c r="B4714" s="12">
        <v>78094.914895952694</v>
      </c>
      <c r="C4714" s="12"/>
    </row>
    <row r="4715" spans="1:3">
      <c r="A4715">
        <v>4712</v>
      </c>
      <c r="B4715" s="12">
        <v>133452.62086776577</v>
      </c>
      <c r="C4715" s="12"/>
    </row>
    <row r="4716" spans="1:3">
      <c r="A4716">
        <v>4713</v>
      </c>
      <c r="B4716" s="12">
        <v>160099.36351357351</v>
      </c>
      <c r="C4716" s="12"/>
    </row>
    <row r="4717" spans="1:3">
      <c r="A4717">
        <v>4714</v>
      </c>
      <c r="B4717" s="12">
        <v>84941.234000031924</v>
      </c>
      <c r="C4717" s="12"/>
    </row>
    <row r="4718" spans="1:3">
      <c r="A4718">
        <v>4715</v>
      </c>
      <c r="B4718" s="12">
        <v>68081.57599745586</v>
      </c>
      <c r="C4718" s="12"/>
    </row>
    <row r="4719" spans="1:3">
      <c r="A4719">
        <v>4716</v>
      </c>
      <c r="B4719" s="12">
        <v>146792.34886410169</v>
      </c>
      <c r="C4719" s="12"/>
    </row>
    <row r="4720" spans="1:3">
      <c r="A4720">
        <v>4717</v>
      </c>
      <c r="B4720" s="12">
        <v>95561.058017463263</v>
      </c>
      <c r="C4720" s="12"/>
    </row>
    <row r="4721" spans="1:3">
      <c r="A4721">
        <v>4718</v>
      </c>
      <c r="B4721" s="12">
        <v>129286.94974788005</v>
      </c>
      <c r="C4721" s="12"/>
    </row>
    <row r="4722" spans="1:3">
      <c r="A4722">
        <v>4719</v>
      </c>
      <c r="B4722" s="12">
        <v>128859.98593263155</v>
      </c>
      <c r="C4722" s="12"/>
    </row>
    <row r="4723" spans="1:3">
      <c r="A4723">
        <v>4720</v>
      </c>
      <c r="B4723" s="12">
        <v>93810.004761214601</v>
      </c>
      <c r="C4723" s="12"/>
    </row>
    <row r="4724" spans="1:3">
      <c r="A4724">
        <v>4721</v>
      </c>
      <c r="B4724" s="12">
        <v>157052.49279520748</v>
      </c>
      <c r="C4724" s="12"/>
    </row>
    <row r="4725" spans="1:3">
      <c r="A4725">
        <v>4722</v>
      </c>
      <c r="B4725" s="12">
        <v>143074.14904649678</v>
      </c>
      <c r="C4725" s="12"/>
    </row>
    <row r="4726" spans="1:3">
      <c r="A4726">
        <v>4723</v>
      </c>
      <c r="B4726" s="12">
        <v>108243.40175430999</v>
      </c>
      <c r="C4726" s="12"/>
    </row>
    <row r="4727" spans="1:3">
      <c r="A4727">
        <v>4724</v>
      </c>
      <c r="B4727" s="12">
        <v>189858.8692228802</v>
      </c>
      <c r="C4727" s="12"/>
    </row>
    <row r="4728" spans="1:3">
      <c r="A4728">
        <v>4725</v>
      </c>
      <c r="B4728" s="12">
        <v>84930.834915846615</v>
      </c>
      <c r="C4728" s="12"/>
    </row>
    <row r="4729" spans="1:3">
      <c r="A4729">
        <v>4726</v>
      </c>
      <c r="B4729" s="12">
        <v>119100.48965831482</v>
      </c>
      <c r="C4729" s="12"/>
    </row>
    <row r="4730" spans="1:3">
      <c r="A4730">
        <v>4727</v>
      </c>
      <c r="B4730" s="12">
        <v>96587.084737941419</v>
      </c>
      <c r="C4730" s="12"/>
    </row>
    <row r="4731" spans="1:3">
      <c r="A4731">
        <v>4728</v>
      </c>
      <c r="B4731" s="12">
        <v>131348.38364578458</v>
      </c>
      <c r="C4731" s="12"/>
    </row>
    <row r="4732" spans="1:3">
      <c r="A4732">
        <v>4729</v>
      </c>
      <c r="B4732" s="12">
        <v>118085.72120254762</v>
      </c>
      <c r="C4732" s="12"/>
    </row>
    <row r="4733" spans="1:3">
      <c r="A4733">
        <v>4730</v>
      </c>
      <c r="B4733" s="12">
        <v>170689.26114583737</v>
      </c>
      <c r="C4733" s="12"/>
    </row>
    <row r="4734" spans="1:3">
      <c r="A4734">
        <v>4731</v>
      </c>
      <c r="B4734" s="12">
        <v>138520.96121966044</v>
      </c>
      <c r="C4734" s="12"/>
    </row>
    <row r="4735" spans="1:3">
      <c r="A4735">
        <v>4732</v>
      </c>
      <c r="B4735" s="12">
        <v>99817.27849904458</v>
      </c>
      <c r="C4735" s="12"/>
    </row>
    <row r="4736" spans="1:3">
      <c r="A4736">
        <v>4733</v>
      </c>
      <c r="B4736" s="12">
        <v>98912.264613020408</v>
      </c>
      <c r="C4736" s="12"/>
    </row>
    <row r="4737" spans="1:3">
      <c r="A4737">
        <v>4734</v>
      </c>
      <c r="B4737" s="12">
        <v>159382.33002410401</v>
      </c>
      <c r="C4737" s="12"/>
    </row>
    <row r="4738" spans="1:3">
      <c r="A4738">
        <v>4735</v>
      </c>
      <c r="B4738" s="12">
        <v>102278.8322087355</v>
      </c>
      <c r="C4738" s="12"/>
    </row>
    <row r="4739" spans="1:3">
      <c r="A4739">
        <v>4736</v>
      </c>
      <c r="B4739" s="12">
        <v>169111.78507195471</v>
      </c>
      <c r="C4739" s="12"/>
    </row>
    <row r="4740" spans="1:3">
      <c r="A4740">
        <v>4737</v>
      </c>
      <c r="B4740" s="12">
        <v>84027.539917019807</v>
      </c>
      <c r="C4740" s="12"/>
    </row>
    <row r="4741" spans="1:3">
      <c r="A4741">
        <v>4738</v>
      </c>
      <c r="B4741" s="12">
        <v>106336.94052912037</v>
      </c>
      <c r="C4741" s="12"/>
    </row>
    <row r="4742" spans="1:3">
      <c r="A4742">
        <v>4739</v>
      </c>
      <c r="B4742" s="12">
        <v>153131.4218224581</v>
      </c>
      <c r="C4742" s="12"/>
    </row>
    <row r="4743" spans="1:3">
      <c r="A4743">
        <v>4740</v>
      </c>
      <c r="B4743" s="12">
        <v>133047.77095239077</v>
      </c>
      <c r="C4743" s="12"/>
    </row>
    <row r="4744" spans="1:3">
      <c r="A4744">
        <v>4741</v>
      </c>
      <c r="B4744" s="12">
        <v>71365.578732040871</v>
      </c>
      <c r="C4744" s="12"/>
    </row>
    <row r="4745" spans="1:3">
      <c r="A4745">
        <v>4742</v>
      </c>
      <c r="B4745" s="12">
        <v>86322.975099143194</v>
      </c>
      <c r="C4745" s="12"/>
    </row>
    <row r="4746" spans="1:3">
      <c r="A4746">
        <v>4743</v>
      </c>
      <c r="B4746" s="12">
        <v>112339.39475406955</v>
      </c>
      <c r="C4746" s="12"/>
    </row>
    <row r="4747" spans="1:3">
      <c r="A4747">
        <v>4744</v>
      </c>
      <c r="B4747" s="12">
        <v>108180.62699176528</v>
      </c>
      <c r="C4747" s="12"/>
    </row>
    <row r="4748" spans="1:3">
      <c r="A4748">
        <v>4745</v>
      </c>
      <c r="B4748" s="12">
        <v>80955.855670351142</v>
      </c>
      <c r="C4748" s="12"/>
    </row>
    <row r="4749" spans="1:3">
      <c r="A4749">
        <v>4746</v>
      </c>
      <c r="B4749" s="12">
        <v>62939.508977718382</v>
      </c>
      <c r="C4749" s="12"/>
    </row>
    <row r="4750" spans="1:3">
      <c r="A4750">
        <v>4747</v>
      </c>
      <c r="B4750" s="12">
        <v>133397.14405261559</v>
      </c>
      <c r="C4750" s="12"/>
    </row>
    <row r="4751" spans="1:3">
      <c r="A4751">
        <v>4748</v>
      </c>
      <c r="B4751" s="12">
        <v>136689.5790515244</v>
      </c>
      <c r="C4751" s="12"/>
    </row>
    <row r="4752" spans="1:3">
      <c r="A4752">
        <v>4749</v>
      </c>
      <c r="B4752" s="12">
        <v>141862.7307972339</v>
      </c>
      <c r="C4752" s="12"/>
    </row>
    <row r="4753" spans="1:3">
      <c r="A4753">
        <v>4750</v>
      </c>
      <c r="B4753" s="12">
        <v>108978.64198362023</v>
      </c>
      <c r="C4753" s="12"/>
    </row>
    <row r="4754" spans="1:3">
      <c r="A4754">
        <v>4751</v>
      </c>
      <c r="B4754" s="12">
        <v>111445.7292565871</v>
      </c>
      <c r="C4754" s="12"/>
    </row>
    <row r="4755" spans="1:3">
      <c r="A4755">
        <v>4752</v>
      </c>
      <c r="B4755" s="12">
        <v>140168.37382033977</v>
      </c>
      <c r="C4755" s="12"/>
    </row>
    <row r="4756" spans="1:3">
      <c r="A4756">
        <v>4753</v>
      </c>
      <c r="B4756" s="12">
        <v>119766.76971344995</v>
      </c>
      <c r="C4756" s="12"/>
    </row>
    <row r="4757" spans="1:3">
      <c r="A4757">
        <v>4754</v>
      </c>
      <c r="B4757" s="12">
        <v>71545.630085566183</v>
      </c>
      <c r="C4757" s="12"/>
    </row>
    <row r="4758" spans="1:3">
      <c r="A4758">
        <v>4755</v>
      </c>
      <c r="B4758" s="12">
        <v>119961.79436591787</v>
      </c>
      <c r="C4758" s="12"/>
    </row>
    <row r="4759" spans="1:3">
      <c r="A4759">
        <v>4756</v>
      </c>
      <c r="B4759" s="12">
        <v>98645.482600126226</v>
      </c>
      <c r="C4759" s="12"/>
    </row>
    <row r="4760" spans="1:3">
      <c r="A4760">
        <v>4757</v>
      </c>
      <c r="B4760" s="12">
        <v>113919.59905401853</v>
      </c>
      <c r="C4760" s="12"/>
    </row>
    <row r="4761" spans="1:3">
      <c r="A4761">
        <v>4758</v>
      </c>
      <c r="B4761" s="12">
        <v>103508.73134486488</v>
      </c>
      <c r="C4761" s="12"/>
    </row>
    <row r="4762" spans="1:3">
      <c r="A4762">
        <v>4759</v>
      </c>
      <c r="B4762" s="12">
        <v>65688.38957713671</v>
      </c>
      <c r="C4762" s="12"/>
    </row>
    <row r="4763" spans="1:3">
      <c r="A4763">
        <v>4760</v>
      </c>
      <c r="B4763" s="12">
        <v>86617.781460950384</v>
      </c>
      <c r="C4763" s="12"/>
    </row>
    <row r="4764" spans="1:3">
      <c r="A4764">
        <v>4761</v>
      </c>
      <c r="B4764" s="12">
        <v>140839.22480463062</v>
      </c>
      <c r="C4764" s="12"/>
    </row>
    <row r="4765" spans="1:3">
      <c r="A4765">
        <v>4762</v>
      </c>
      <c r="B4765" s="12">
        <v>170697.32390131426</v>
      </c>
      <c r="C4765" s="12"/>
    </row>
    <row r="4766" spans="1:3">
      <c r="A4766">
        <v>4763</v>
      </c>
      <c r="B4766" s="12">
        <v>123431.33249308837</v>
      </c>
      <c r="C4766" s="12"/>
    </row>
    <row r="4767" spans="1:3">
      <c r="A4767">
        <v>4764</v>
      </c>
      <c r="B4767" s="12">
        <v>97836.178117902833</v>
      </c>
      <c r="C4767" s="12"/>
    </row>
    <row r="4768" spans="1:3">
      <c r="A4768">
        <v>4765</v>
      </c>
      <c r="B4768" s="12">
        <v>131089.77667090562</v>
      </c>
      <c r="C4768" s="12"/>
    </row>
    <row r="4769" spans="1:3">
      <c r="A4769">
        <v>4766</v>
      </c>
      <c r="B4769" s="12">
        <v>74335.921218181786</v>
      </c>
      <c r="C4769" s="12"/>
    </row>
    <row r="4770" spans="1:3">
      <c r="A4770">
        <v>4767</v>
      </c>
      <c r="B4770" s="12">
        <v>96821.315300908303</v>
      </c>
      <c r="C4770" s="12"/>
    </row>
    <row r="4771" spans="1:3">
      <c r="A4771">
        <v>4768</v>
      </c>
      <c r="B4771" s="12">
        <v>67611.162153897763</v>
      </c>
      <c r="C4771" s="12"/>
    </row>
    <row r="4772" spans="1:3">
      <c r="A4772">
        <v>4769</v>
      </c>
      <c r="B4772" s="12">
        <v>101722.36443710032</v>
      </c>
      <c r="C4772" s="12"/>
    </row>
    <row r="4773" spans="1:3">
      <c r="A4773">
        <v>4770</v>
      </c>
      <c r="B4773" s="12">
        <v>128221.43355972029</v>
      </c>
      <c r="C4773" s="12"/>
    </row>
    <row r="4774" spans="1:3">
      <c r="A4774">
        <v>4771</v>
      </c>
      <c r="B4774" s="12">
        <v>58135.283655426771</v>
      </c>
      <c r="C4774" s="12"/>
    </row>
    <row r="4775" spans="1:3">
      <c r="A4775">
        <v>4772</v>
      </c>
      <c r="B4775" s="12">
        <v>171571.21016163231</v>
      </c>
      <c r="C4775" s="12"/>
    </row>
    <row r="4776" spans="1:3">
      <c r="A4776">
        <v>4773</v>
      </c>
      <c r="B4776" s="12">
        <v>146371.15049096331</v>
      </c>
      <c r="C4776" s="12"/>
    </row>
    <row r="4777" spans="1:3">
      <c r="A4777">
        <v>4774</v>
      </c>
      <c r="B4777" s="12">
        <v>80090.943918884135</v>
      </c>
      <c r="C4777" s="12"/>
    </row>
    <row r="4778" spans="1:3">
      <c r="A4778">
        <v>4775</v>
      </c>
      <c r="B4778" s="12">
        <v>115123.64317902026</v>
      </c>
      <c r="C4778" s="12"/>
    </row>
    <row r="4779" spans="1:3">
      <c r="A4779">
        <v>4776</v>
      </c>
      <c r="B4779" s="12">
        <v>109627.19275242461</v>
      </c>
      <c r="C4779" s="12"/>
    </row>
    <row r="4780" spans="1:3">
      <c r="A4780">
        <v>4777</v>
      </c>
      <c r="B4780" s="12">
        <v>113229.82190275924</v>
      </c>
      <c r="C4780" s="12"/>
    </row>
    <row r="4781" spans="1:3">
      <c r="A4781">
        <v>4778</v>
      </c>
      <c r="B4781" s="12">
        <v>124475.79518677486</v>
      </c>
      <c r="C4781" s="12"/>
    </row>
    <row r="4782" spans="1:3">
      <c r="A4782">
        <v>4779</v>
      </c>
      <c r="B4782" s="12">
        <v>146641.56188761638</v>
      </c>
      <c r="C4782" s="12"/>
    </row>
    <row r="4783" spans="1:3">
      <c r="A4783">
        <v>4780</v>
      </c>
      <c r="B4783" s="12">
        <v>68324.41597479122</v>
      </c>
      <c r="C4783" s="12"/>
    </row>
    <row r="4784" spans="1:3">
      <c r="A4784">
        <v>4781</v>
      </c>
      <c r="B4784" s="12">
        <v>116548.04569254209</v>
      </c>
      <c r="C4784" s="12"/>
    </row>
    <row r="4785" spans="1:3">
      <c r="A4785">
        <v>4782</v>
      </c>
      <c r="B4785" s="12">
        <v>101941.0223543975</v>
      </c>
      <c r="C4785" s="12"/>
    </row>
    <row r="4786" spans="1:3">
      <c r="A4786">
        <v>4783</v>
      </c>
      <c r="B4786" s="12">
        <v>141104.60070714384</v>
      </c>
      <c r="C4786" s="12"/>
    </row>
    <row r="4787" spans="1:3">
      <c r="A4787">
        <v>4784</v>
      </c>
      <c r="B4787" s="12">
        <v>141576.9302571443</v>
      </c>
      <c r="C4787" s="12"/>
    </row>
    <row r="4788" spans="1:3">
      <c r="A4788">
        <v>4785</v>
      </c>
      <c r="B4788" s="12">
        <v>154358.3499686908</v>
      </c>
      <c r="C4788" s="12"/>
    </row>
    <row r="4789" spans="1:3">
      <c r="A4789">
        <v>4786</v>
      </c>
      <c r="B4789" s="12">
        <v>90431.407599787533</v>
      </c>
      <c r="C4789" s="12"/>
    </row>
    <row r="4790" spans="1:3">
      <c r="A4790">
        <v>4787</v>
      </c>
      <c r="B4790" s="12">
        <v>134152.8018775887</v>
      </c>
      <c r="C4790" s="12"/>
    </row>
    <row r="4791" spans="1:3">
      <c r="A4791">
        <v>4788</v>
      </c>
      <c r="B4791" s="12">
        <v>113627.16188468723</v>
      </c>
      <c r="C4791" s="12"/>
    </row>
    <row r="4792" spans="1:3">
      <c r="A4792">
        <v>4789</v>
      </c>
      <c r="B4792" s="12">
        <v>116772.99891174748</v>
      </c>
      <c r="C4792" s="12"/>
    </row>
    <row r="4793" spans="1:3">
      <c r="A4793">
        <v>4790</v>
      </c>
      <c r="B4793" s="12">
        <v>176912.78937494318</v>
      </c>
      <c r="C4793" s="12"/>
    </row>
    <row r="4794" spans="1:3">
      <c r="A4794">
        <v>4791</v>
      </c>
      <c r="B4794" s="12">
        <v>130693.01218560658</v>
      </c>
      <c r="C4794" s="12"/>
    </row>
    <row r="4795" spans="1:3">
      <c r="A4795">
        <v>4792</v>
      </c>
      <c r="B4795" s="12">
        <v>179415.46578686786</v>
      </c>
      <c r="C4795" s="12"/>
    </row>
    <row r="4796" spans="1:3">
      <c r="A4796">
        <v>4793</v>
      </c>
      <c r="B4796" s="12">
        <v>71928.017849723503</v>
      </c>
      <c r="C4796" s="12"/>
    </row>
    <row r="4797" spans="1:3">
      <c r="A4797">
        <v>4794</v>
      </c>
      <c r="B4797" s="12">
        <v>87288.771282071917</v>
      </c>
      <c r="C4797" s="12"/>
    </row>
    <row r="4798" spans="1:3">
      <c r="A4798">
        <v>4795</v>
      </c>
      <c r="B4798" s="12">
        <v>96751.462053668249</v>
      </c>
      <c r="C4798" s="12"/>
    </row>
    <row r="4799" spans="1:3">
      <c r="A4799">
        <v>4796</v>
      </c>
      <c r="B4799" s="12">
        <v>148060.934381623</v>
      </c>
      <c r="C4799" s="12"/>
    </row>
    <row r="4800" spans="1:3">
      <c r="A4800">
        <v>4797</v>
      </c>
      <c r="B4800" s="12">
        <v>81065.736403718605</v>
      </c>
      <c r="C4800" s="12"/>
    </row>
    <row r="4801" spans="1:3">
      <c r="A4801">
        <v>4798</v>
      </c>
      <c r="B4801" s="12">
        <v>84240.678177982103</v>
      </c>
      <c r="C4801" s="12"/>
    </row>
    <row r="4802" spans="1:3">
      <c r="A4802">
        <v>4799</v>
      </c>
      <c r="B4802" s="12">
        <v>171823.12168137988</v>
      </c>
      <c r="C4802" s="12"/>
    </row>
    <row r="4803" spans="1:3">
      <c r="A4803">
        <v>4800</v>
      </c>
      <c r="B4803" s="12">
        <v>95244.329601449936</v>
      </c>
      <c r="C4803" s="12"/>
    </row>
    <row r="4804" spans="1:3">
      <c r="A4804">
        <v>4801</v>
      </c>
      <c r="B4804" s="12">
        <v>49530.182450291424</v>
      </c>
      <c r="C4804" s="12"/>
    </row>
    <row r="4805" spans="1:3">
      <c r="A4805">
        <v>4802</v>
      </c>
      <c r="B4805" s="12">
        <v>122428.25130803158</v>
      </c>
      <c r="C4805" s="12"/>
    </row>
    <row r="4806" spans="1:3">
      <c r="A4806">
        <v>4803</v>
      </c>
      <c r="B4806" s="12">
        <v>85820.8071154629</v>
      </c>
      <c r="C4806" s="12"/>
    </row>
    <row r="4807" spans="1:3">
      <c r="A4807">
        <v>4804</v>
      </c>
      <c r="B4807" s="12">
        <v>83753.918045431288</v>
      </c>
      <c r="C4807" s="12"/>
    </row>
    <row r="4808" spans="1:3">
      <c r="A4808">
        <v>4805</v>
      </c>
      <c r="B4808" s="12">
        <v>84666.346538100552</v>
      </c>
      <c r="C4808" s="12"/>
    </row>
    <row r="4809" spans="1:3">
      <c r="A4809">
        <v>4806</v>
      </c>
      <c r="B4809" s="12">
        <v>75989.763305101093</v>
      </c>
      <c r="C4809" s="12"/>
    </row>
    <row r="4810" spans="1:3">
      <c r="A4810">
        <v>4807</v>
      </c>
      <c r="B4810" s="12">
        <v>116349.75672905249</v>
      </c>
      <c r="C4810" s="12"/>
    </row>
    <row r="4811" spans="1:3">
      <c r="A4811">
        <v>4808</v>
      </c>
      <c r="B4811" s="12">
        <v>96858.911119172495</v>
      </c>
      <c r="C4811" s="12"/>
    </row>
    <row r="4812" spans="1:3">
      <c r="A4812">
        <v>4809</v>
      </c>
      <c r="B4812" s="12">
        <v>118843.56267520931</v>
      </c>
      <c r="C4812" s="12"/>
    </row>
    <row r="4813" spans="1:3">
      <c r="A4813">
        <v>4810</v>
      </c>
      <c r="B4813" s="12">
        <v>87629.619049480229</v>
      </c>
      <c r="C4813" s="12"/>
    </row>
    <row r="4814" spans="1:3">
      <c r="A4814">
        <v>4811</v>
      </c>
      <c r="B4814" s="12">
        <v>100158.54235433723</v>
      </c>
      <c r="C4814" s="12"/>
    </row>
    <row r="4815" spans="1:3">
      <c r="A4815">
        <v>4812</v>
      </c>
      <c r="B4815" s="12">
        <v>113018.22594926684</v>
      </c>
      <c r="C4815" s="12"/>
    </row>
    <row r="4816" spans="1:3">
      <c r="A4816">
        <v>4813</v>
      </c>
      <c r="B4816" s="12">
        <v>138888.4607385167</v>
      </c>
      <c r="C4816" s="12"/>
    </row>
    <row r="4817" spans="1:3">
      <c r="A4817">
        <v>4814</v>
      </c>
      <c r="B4817" s="12">
        <v>109381.86060930837</v>
      </c>
      <c r="C4817" s="12"/>
    </row>
    <row r="4818" spans="1:3">
      <c r="A4818">
        <v>4815</v>
      </c>
      <c r="B4818" s="12">
        <v>146090.19473423588</v>
      </c>
      <c r="C4818" s="12"/>
    </row>
    <row r="4819" spans="1:3">
      <c r="A4819">
        <v>4816</v>
      </c>
      <c r="B4819" s="12">
        <v>111433.66128463535</v>
      </c>
      <c r="C4819" s="12"/>
    </row>
    <row r="4820" spans="1:3">
      <c r="A4820">
        <v>4817</v>
      </c>
      <c r="B4820" s="12">
        <v>153069.03846266287</v>
      </c>
      <c r="C4820" s="12"/>
    </row>
    <row r="4821" spans="1:3">
      <c r="A4821">
        <v>4818</v>
      </c>
      <c r="B4821" s="12">
        <v>100740.60647889809</v>
      </c>
      <c r="C4821" s="12"/>
    </row>
    <row r="4822" spans="1:3">
      <c r="A4822">
        <v>4819</v>
      </c>
      <c r="B4822" s="12">
        <v>149909.15466067623</v>
      </c>
      <c r="C4822" s="12"/>
    </row>
    <row r="4823" spans="1:3">
      <c r="A4823">
        <v>4820</v>
      </c>
      <c r="B4823" s="12">
        <v>85451.932124181054</v>
      </c>
      <c r="C4823" s="12"/>
    </row>
    <row r="4824" spans="1:3">
      <c r="A4824">
        <v>4821</v>
      </c>
      <c r="B4824" s="12">
        <v>157876.73864446557</v>
      </c>
      <c r="C4824" s="12"/>
    </row>
    <row r="4825" spans="1:3">
      <c r="A4825">
        <v>4822</v>
      </c>
      <c r="B4825" s="12">
        <v>87623.73072857417</v>
      </c>
      <c r="C4825" s="12"/>
    </row>
    <row r="4826" spans="1:3">
      <c r="A4826">
        <v>4823</v>
      </c>
      <c r="B4826" s="12">
        <v>84475.107668683093</v>
      </c>
      <c r="C4826" s="12"/>
    </row>
    <row r="4827" spans="1:3">
      <c r="A4827">
        <v>4824</v>
      </c>
      <c r="B4827" s="12">
        <v>85974.588123715686</v>
      </c>
      <c r="C4827" s="12"/>
    </row>
    <row r="4828" spans="1:3">
      <c r="A4828">
        <v>4825</v>
      </c>
      <c r="B4828" s="12">
        <v>108803.52190022805</v>
      </c>
      <c r="C4828" s="12"/>
    </row>
    <row r="4829" spans="1:3">
      <c r="A4829">
        <v>4826</v>
      </c>
      <c r="B4829" s="12">
        <v>85053.09268585837</v>
      </c>
      <c r="C4829" s="12"/>
    </row>
    <row r="4830" spans="1:3">
      <c r="A4830">
        <v>4827</v>
      </c>
      <c r="B4830" s="12">
        <v>82460.706775001439</v>
      </c>
      <c r="C4830" s="12"/>
    </row>
    <row r="4831" spans="1:3">
      <c r="A4831">
        <v>4828</v>
      </c>
      <c r="B4831" s="12">
        <v>70806.122765523556</v>
      </c>
      <c r="C4831" s="12"/>
    </row>
    <row r="4832" spans="1:3">
      <c r="A4832">
        <v>4829</v>
      </c>
      <c r="B4832" s="12">
        <v>70334.773847948876</v>
      </c>
      <c r="C4832" s="12"/>
    </row>
    <row r="4833" spans="1:3">
      <c r="A4833">
        <v>4830</v>
      </c>
      <c r="B4833" s="12">
        <v>68644.963458494574</v>
      </c>
      <c r="C4833" s="12"/>
    </row>
    <row r="4834" spans="1:3">
      <c r="A4834">
        <v>4831</v>
      </c>
      <c r="B4834" s="12">
        <v>118784.32472392819</v>
      </c>
      <c r="C4834" s="12"/>
    </row>
    <row r="4835" spans="1:3">
      <c r="A4835">
        <v>4832</v>
      </c>
      <c r="B4835" s="12">
        <v>137580.48393178536</v>
      </c>
      <c r="C4835" s="12"/>
    </row>
    <row r="4836" spans="1:3">
      <c r="A4836">
        <v>4833</v>
      </c>
      <c r="B4836" s="12">
        <v>124836.87559760921</v>
      </c>
      <c r="C4836" s="12"/>
    </row>
    <row r="4837" spans="1:3">
      <c r="A4837">
        <v>4834</v>
      </c>
      <c r="B4837" s="12">
        <v>145144.76804119162</v>
      </c>
      <c r="C4837" s="12"/>
    </row>
    <row r="4838" spans="1:3">
      <c r="A4838">
        <v>4835</v>
      </c>
      <c r="B4838" s="12">
        <v>117956.03523858829</v>
      </c>
      <c r="C4838" s="12"/>
    </row>
    <row r="4839" spans="1:3">
      <c r="A4839">
        <v>4836</v>
      </c>
      <c r="B4839" s="12">
        <v>147795.50005733356</v>
      </c>
      <c r="C4839" s="12"/>
    </row>
    <row r="4840" spans="1:3">
      <c r="A4840">
        <v>4837</v>
      </c>
      <c r="B4840" s="12">
        <v>180303.94130729127</v>
      </c>
      <c r="C4840" s="12"/>
    </row>
    <row r="4841" spans="1:3">
      <c r="A4841">
        <v>4838</v>
      </c>
      <c r="B4841" s="12">
        <v>161066.18514522177</v>
      </c>
      <c r="C4841" s="12"/>
    </row>
    <row r="4842" spans="1:3">
      <c r="A4842">
        <v>4839</v>
      </c>
      <c r="B4842" s="12">
        <v>140389.97015922624</v>
      </c>
      <c r="C4842" s="12"/>
    </row>
    <row r="4843" spans="1:3">
      <c r="A4843">
        <v>4840</v>
      </c>
      <c r="B4843" s="12">
        <v>152739.95492862634</v>
      </c>
      <c r="C4843" s="12"/>
    </row>
    <row r="4844" spans="1:3">
      <c r="A4844">
        <v>4841</v>
      </c>
      <c r="B4844" s="12">
        <v>153207.03827761181</v>
      </c>
      <c r="C4844" s="12"/>
    </row>
    <row r="4845" spans="1:3">
      <c r="A4845">
        <v>4842</v>
      </c>
      <c r="B4845" s="12">
        <v>153661.06810561434</v>
      </c>
      <c r="C4845" s="12"/>
    </row>
    <row r="4846" spans="1:3">
      <c r="A4846">
        <v>4843</v>
      </c>
      <c r="B4846" s="12">
        <v>71785.739705152824</v>
      </c>
      <c r="C4846" s="12"/>
    </row>
    <row r="4847" spans="1:3">
      <c r="A4847">
        <v>4844</v>
      </c>
      <c r="B4847" s="12">
        <v>151173.01798339587</v>
      </c>
      <c r="C4847" s="12"/>
    </row>
    <row r="4848" spans="1:3">
      <c r="A4848">
        <v>4845</v>
      </c>
      <c r="B4848" s="12">
        <v>94255.612190786007</v>
      </c>
      <c r="C4848" s="12"/>
    </row>
    <row r="4849" spans="1:3">
      <c r="A4849">
        <v>4846</v>
      </c>
      <c r="B4849" s="12">
        <v>135986.32178800518</v>
      </c>
      <c r="C4849" s="12"/>
    </row>
    <row r="4850" spans="1:3">
      <c r="A4850">
        <v>4847</v>
      </c>
      <c r="B4850" s="12">
        <v>69435.627059110004</v>
      </c>
      <c r="C4850" s="12"/>
    </row>
    <row r="4851" spans="1:3">
      <c r="A4851">
        <v>4848</v>
      </c>
      <c r="B4851" s="12">
        <v>109198.73256894814</v>
      </c>
      <c r="C4851" s="12"/>
    </row>
    <row r="4852" spans="1:3">
      <c r="A4852">
        <v>4849</v>
      </c>
      <c r="B4852" s="12">
        <v>110134.69408503456</v>
      </c>
      <c r="C4852" s="12"/>
    </row>
    <row r="4853" spans="1:3">
      <c r="A4853">
        <v>4850</v>
      </c>
      <c r="B4853" s="12">
        <v>87336.269903154782</v>
      </c>
      <c r="C4853" s="12"/>
    </row>
    <row r="4854" spans="1:3">
      <c r="A4854">
        <v>4851</v>
      </c>
      <c r="B4854" s="12">
        <v>102521.04420450384</v>
      </c>
      <c r="C4854" s="12"/>
    </row>
    <row r="4855" spans="1:3">
      <c r="A4855">
        <v>4852</v>
      </c>
      <c r="B4855" s="12">
        <v>224480.47124168213</v>
      </c>
      <c r="C4855" s="12"/>
    </row>
    <row r="4856" spans="1:3">
      <c r="A4856">
        <v>4853</v>
      </c>
      <c r="B4856" s="12">
        <v>96272.428035000281</v>
      </c>
      <c r="C4856" s="12"/>
    </row>
    <row r="4857" spans="1:3">
      <c r="A4857">
        <v>4854</v>
      </c>
      <c r="B4857" s="12">
        <v>147164.10655170801</v>
      </c>
      <c r="C4857" s="12"/>
    </row>
    <row r="4858" spans="1:3">
      <c r="A4858">
        <v>4855</v>
      </c>
      <c r="B4858" s="12">
        <v>87645.552948284589</v>
      </c>
      <c r="C4858" s="12"/>
    </row>
    <row r="4859" spans="1:3">
      <c r="A4859">
        <v>4856</v>
      </c>
      <c r="B4859" s="12">
        <v>165577.22043002688</v>
      </c>
      <c r="C4859" s="12"/>
    </row>
    <row r="4860" spans="1:3">
      <c r="A4860">
        <v>4857</v>
      </c>
      <c r="B4860" s="12">
        <v>78281.53802421155</v>
      </c>
      <c r="C4860" s="12"/>
    </row>
    <row r="4861" spans="1:3">
      <c r="A4861">
        <v>4858</v>
      </c>
      <c r="B4861" s="12">
        <v>124592.62215906339</v>
      </c>
      <c r="C4861" s="12"/>
    </row>
    <row r="4862" spans="1:3">
      <c r="A4862">
        <v>4859</v>
      </c>
      <c r="B4862" s="12">
        <v>64908.588316513946</v>
      </c>
      <c r="C4862" s="12"/>
    </row>
    <row r="4863" spans="1:3">
      <c r="A4863">
        <v>4860</v>
      </c>
      <c r="B4863" s="12">
        <v>144668.8777982324</v>
      </c>
      <c r="C4863" s="12"/>
    </row>
    <row r="4864" spans="1:3">
      <c r="A4864">
        <v>4861</v>
      </c>
      <c r="B4864" s="12">
        <v>120601.7397785408</v>
      </c>
      <c r="C4864" s="12"/>
    </row>
    <row r="4865" spans="1:3">
      <c r="A4865">
        <v>4862</v>
      </c>
      <c r="B4865" s="12">
        <v>229899.36388222367</v>
      </c>
      <c r="C4865" s="12"/>
    </row>
    <row r="4866" spans="1:3">
      <c r="A4866">
        <v>4863</v>
      </c>
      <c r="B4866" s="12">
        <v>87285.210666494968</v>
      </c>
      <c r="C4866" s="12"/>
    </row>
    <row r="4867" spans="1:3">
      <c r="A4867">
        <v>4864</v>
      </c>
      <c r="B4867" s="12">
        <v>117413.99749953786</v>
      </c>
      <c r="C4867" s="12"/>
    </row>
    <row r="4868" spans="1:3">
      <c r="A4868">
        <v>4865</v>
      </c>
      <c r="B4868" s="12">
        <v>129347.11804106386</v>
      </c>
      <c r="C4868" s="12"/>
    </row>
    <row r="4869" spans="1:3">
      <c r="A4869">
        <v>4866</v>
      </c>
      <c r="B4869" s="12">
        <v>122523.92612649099</v>
      </c>
      <c r="C4869" s="12"/>
    </row>
    <row r="4870" spans="1:3">
      <c r="A4870">
        <v>4867</v>
      </c>
      <c r="B4870" s="12">
        <v>145306.32269787672</v>
      </c>
      <c r="C4870" s="12"/>
    </row>
    <row r="4871" spans="1:3">
      <c r="A4871">
        <v>4868</v>
      </c>
      <c r="B4871" s="12">
        <v>205930.85930098957</v>
      </c>
      <c r="C4871" s="12"/>
    </row>
    <row r="4872" spans="1:3">
      <c r="A4872">
        <v>4869</v>
      </c>
      <c r="B4872" s="12">
        <v>106918.12453280405</v>
      </c>
      <c r="C4872" s="12"/>
    </row>
    <row r="4873" spans="1:3">
      <c r="A4873">
        <v>4870</v>
      </c>
      <c r="B4873" s="12">
        <v>99264.311956902573</v>
      </c>
      <c r="C4873" s="12"/>
    </row>
    <row r="4874" spans="1:3">
      <c r="A4874">
        <v>4871</v>
      </c>
      <c r="B4874" s="12">
        <v>137270.07414575224</v>
      </c>
      <c r="C4874" s="12"/>
    </row>
    <row r="4875" spans="1:3">
      <c r="A4875">
        <v>4872</v>
      </c>
      <c r="B4875" s="12">
        <v>125158.79432927909</v>
      </c>
      <c r="C4875" s="12"/>
    </row>
    <row r="4876" spans="1:3">
      <c r="A4876">
        <v>4873</v>
      </c>
      <c r="B4876" s="12">
        <v>97573.324464367921</v>
      </c>
      <c r="C4876" s="12"/>
    </row>
    <row r="4877" spans="1:3">
      <c r="A4877">
        <v>4874</v>
      </c>
      <c r="B4877" s="12">
        <v>95602.058976738495</v>
      </c>
      <c r="C4877" s="12"/>
    </row>
    <row r="4878" spans="1:3">
      <c r="A4878">
        <v>4875</v>
      </c>
      <c r="B4878" s="12">
        <v>135091.23755608776</v>
      </c>
      <c r="C4878" s="12"/>
    </row>
    <row r="4879" spans="1:3">
      <c r="A4879">
        <v>4876</v>
      </c>
      <c r="B4879" s="12">
        <v>72446.216087284192</v>
      </c>
      <c r="C4879" s="12"/>
    </row>
    <row r="4880" spans="1:3">
      <c r="A4880">
        <v>4877</v>
      </c>
      <c r="B4880" s="12">
        <v>54717.624921694427</v>
      </c>
      <c r="C4880" s="12"/>
    </row>
    <row r="4881" spans="1:3">
      <c r="A4881">
        <v>4878</v>
      </c>
      <c r="B4881" s="12">
        <v>114572.2785798657</v>
      </c>
      <c r="C4881" s="12"/>
    </row>
    <row r="4882" spans="1:3">
      <c r="A4882">
        <v>4879</v>
      </c>
      <c r="B4882" s="12">
        <v>119166.04214327532</v>
      </c>
      <c r="C4882" s="12"/>
    </row>
    <row r="4883" spans="1:3">
      <c r="A4883">
        <v>4880</v>
      </c>
      <c r="B4883" s="12">
        <v>89154.094159161497</v>
      </c>
      <c r="C4883" s="12"/>
    </row>
    <row r="4884" spans="1:3">
      <c r="A4884">
        <v>4881</v>
      </c>
      <c r="B4884" s="12">
        <v>84418.080480293371</v>
      </c>
      <c r="C4884" s="12"/>
    </row>
    <row r="4885" spans="1:3">
      <c r="A4885">
        <v>4882</v>
      </c>
      <c r="B4885" s="12">
        <v>132676.77586339682</v>
      </c>
      <c r="C4885" s="12"/>
    </row>
    <row r="4886" spans="1:3">
      <c r="A4886">
        <v>4883</v>
      </c>
      <c r="B4886" s="12">
        <v>121359.70677443172</v>
      </c>
      <c r="C4886" s="12"/>
    </row>
    <row r="4887" spans="1:3">
      <c r="A4887">
        <v>4884</v>
      </c>
      <c r="B4887" s="12">
        <v>156952.52889743666</v>
      </c>
      <c r="C4887" s="12"/>
    </row>
    <row r="4888" spans="1:3">
      <c r="A4888">
        <v>4885</v>
      </c>
      <c r="B4888" s="12">
        <v>67850.410948655132</v>
      </c>
      <c r="C4888" s="12"/>
    </row>
    <row r="4889" spans="1:3">
      <c r="A4889">
        <v>4886</v>
      </c>
      <c r="B4889" s="12">
        <v>63546.05677468489</v>
      </c>
      <c r="C4889" s="12"/>
    </row>
    <row r="4890" spans="1:3">
      <c r="A4890">
        <v>4887</v>
      </c>
      <c r="B4890" s="12">
        <v>116910.82670069829</v>
      </c>
      <c r="C4890" s="12"/>
    </row>
    <row r="4891" spans="1:3">
      <c r="A4891">
        <v>4888</v>
      </c>
      <c r="B4891" s="12">
        <v>123719.14551476664</v>
      </c>
      <c r="C4891" s="12"/>
    </row>
    <row r="4892" spans="1:3">
      <c r="A4892">
        <v>4889</v>
      </c>
      <c r="B4892" s="12">
        <v>96099.967021758566</v>
      </c>
      <c r="C4892" s="12"/>
    </row>
    <row r="4893" spans="1:3">
      <c r="A4893">
        <v>4890</v>
      </c>
      <c r="B4893" s="12">
        <v>167657.34628069444</v>
      </c>
      <c r="C4893" s="12"/>
    </row>
    <row r="4894" spans="1:3">
      <c r="A4894">
        <v>4891</v>
      </c>
      <c r="B4894" s="12">
        <v>116876.26926601338</v>
      </c>
      <c r="C4894" s="12"/>
    </row>
    <row r="4895" spans="1:3">
      <c r="A4895">
        <v>4892</v>
      </c>
      <c r="B4895" s="12">
        <v>104435.98546640156</v>
      </c>
      <c r="C4895" s="12"/>
    </row>
    <row r="4896" spans="1:3">
      <c r="A4896">
        <v>4893</v>
      </c>
      <c r="B4896" s="12">
        <v>73279.036602216423</v>
      </c>
      <c r="C4896" s="12"/>
    </row>
    <row r="4897" spans="1:3">
      <c r="A4897">
        <v>4894</v>
      </c>
      <c r="B4897" s="12">
        <v>117964.13693847744</v>
      </c>
      <c r="C4897" s="12"/>
    </row>
    <row r="4898" spans="1:3">
      <c r="A4898">
        <v>4895</v>
      </c>
      <c r="B4898" s="12">
        <v>105324.70674294175</v>
      </c>
      <c r="C4898" s="12"/>
    </row>
    <row r="4899" spans="1:3">
      <c r="A4899">
        <v>4896</v>
      </c>
      <c r="B4899" s="12">
        <v>96318.19337470243</v>
      </c>
      <c r="C4899" s="12"/>
    </row>
    <row r="4900" spans="1:3">
      <c r="A4900">
        <v>4897</v>
      </c>
      <c r="B4900" s="12">
        <v>62915.372258702475</v>
      </c>
      <c r="C4900" s="12"/>
    </row>
    <row r="4901" spans="1:3">
      <c r="A4901">
        <v>4898</v>
      </c>
      <c r="B4901" s="12">
        <v>108812.90283524687</v>
      </c>
      <c r="C4901" s="12"/>
    </row>
    <row r="4902" spans="1:3">
      <c r="A4902">
        <v>4899</v>
      </c>
      <c r="B4902" s="12">
        <v>103989.98306799821</v>
      </c>
      <c r="C4902" s="12"/>
    </row>
    <row r="4903" spans="1:3">
      <c r="A4903">
        <v>4900</v>
      </c>
      <c r="B4903" s="12">
        <v>100768.56526812793</v>
      </c>
      <c r="C4903" s="12"/>
    </row>
    <row r="4904" spans="1:3">
      <c r="A4904">
        <v>4901</v>
      </c>
      <c r="B4904" s="12">
        <v>127744.63158232241</v>
      </c>
      <c r="C4904" s="12"/>
    </row>
    <row r="4905" spans="1:3">
      <c r="A4905">
        <v>4902</v>
      </c>
      <c r="B4905" s="12">
        <v>205665.51446858025</v>
      </c>
      <c r="C4905" s="12"/>
    </row>
    <row r="4906" spans="1:3">
      <c r="A4906">
        <v>4903</v>
      </c>
      <c r="B4906" s="12">
        <v>75580.908991504301</v>
      </c>
      <c r="C4906" s="12"/>
    </row>
    <row r="4907" spans="1:3">
      <c r="A4907">
        <v>4904</v>
      </c>
      <c r="B4907" s="12">
        <v>117931.33172951877</v>
      </c>
      <c r="C4907" s="12"/>
    </row>
    <row r="4908" spans="1:3">
      <c r="A4908">
        <v>4905</v>
      </c>
      <c r="B4908" s="12">
        <v>133617.14392562775</v>
      </c>
      <c r="C4908" s="12"/>
    </row>
    <row r="4909" spans="1:3">
      <c r="A4909">
        <v>4906</v>
      </c>
      <c r="B4909" s="12">
        <v>155730.60581904007</v>
      </c>
      <c r="C4909" s="12"/>
    </row>
    <row r="4910" spans="1:3">
      <c r="A4910">
        <v>4907</v>
      </c>
      <c r="B4910" s="12">
        <v>147202.9030992816</v>
      </c>
      <c r="C4910" s="12"/>
    </row>
    <row r="4911" spans="1:3">
      <c r="A4911">
        <v>4908</v>
      </c>
      <c r="B4911" s="12">
        <v>103527.49023625584</v>
      </c>
      <c r="C4911" s="12"/>
    </row>
    <row r="4912" spans="1:3">
      <c r="A4912">
        <v>4909</v>
      </c>
      <c r="B4912" s="12">
        <v>139409.36505356545</v>
      </c>
      <c r="C4912" s="12"/>
    </row>
    <row r="4913" spans="1:3">
      <c r="A4913">
        <v>4910</v>
      </c>
      <c r="B4913" s="12">
        <v>93591.990904393911</v>
      </c>
      <c r="C4913" s="12"/>
    </row>
    <row r="4914" spans="1:3">
      <c r="A4914">
        <v>4911</v>
      </c>
      <c r="B4914" s="12">
        <v>133224.16196698236</v>
      </c>
      <c r="C4914" s="12"/>
    </row>
    <row r="4915" spans="1:3">
      <c r="A4915">
        <v>4912</v>
      </c>
      <c r="B4915" s="12">
        <v>73338.783316366505</v>
      </c>
      <c r="C4915" s="12"/>
    </row>
    <row r="4916" spans="1:3">
      <c r="A4916">
        <v>4913</v>
      </c>
      <c r="B4916" s="12">
        <v>126859.08123312416</v>
      </c>
      <c r="C4916" s="12"/>
    </row>
    <row r="4917" spans="1:3">
      <c r="A4917">
        <v>4914</v>
      </c>
      <c r="B4917" s="12">
        <v>77435.166117871719</v>
      </c>
      <c r="C4917" s="12"/>
    </row>
    <row r="4918" spans="1:3">
      <c r="A4918">
        <v>4915</v>
      </c>
      <c r="B4918" s="12">
        <v>107072.20680823864</v>
      </c>
      <c r="C4918" s="12"/>
    </row>
    <row r="4919" spans="1:3">
      <c r="A4919">
        <v>4916</v>
      </c>
      <c r="B4919" s="12">
        <v>84335.842729108117</v>
      </c>
      <c r="C4919" s="12"/>
    </row>
    <row r="4920" spans="1:3">
      <c r="A4920">
        <v>4917</v>
      </c>
      <c r="B4920" s="12">
        <v>135972.56130708667</v>
      </c>
      <c r="C4920" s="12"/>
    </row>
    <row r="4921" spans="1:3">
      <c r="A4921">
        <v>4918</v>
      </c>
      <c r="B4921" s="12">
        <v>53464.036536656924</v>
      </c>
      <c r="C4921" s="12"/>
    </row>
    <row r="4922" spans="1:3">
      <c r="A4922">
        <v>4919</v>
      </c>
      <c r="B4922" s="12">
        <v>177608.02494971023</v>
      </c>
      <c r="C4922" s="12"/>
    </row>
    <row r="4923" spans="1:3">
      <c r="A4923">
        <v>4920</v>
      </c>
      <c r="B4923" s="12">
        <v>80532.205064553113</v>
      </c>
      <c r="C4923" s="12"/>
    </row>
    <row r="4924" spans="1:3">
      <c r="A4924">
        <v>4921</v>
      </c>
      <c r="B4924" s="12">
        <v>112411.06409400819</v>
      </c>
      <c r="C4924" s="12"/>
    </row>
    <row r="4925" spans="1:3">
      <c r="A4925">
        <v>4922</v>
      </c>
      <c r="B4925" s="12">
        <v>114390.79740900802</v>
      </c>
      <c r="C4925" s="12"/>
    </row>
    <row r="4926" spans="1:3">
      <c r="A4926">
        <v>4923</v>
      </c>
      <c r="B4926" s="12">
        <v>133026.23629083857</v>
      </c>
      <c r="C4926" s="12"/>
    </row>
    <row r="4927" spans="1:3">
      <c r="A4927">
        <v>4924</v>
      </c>
      <c r="B4927" s="12">
        <v>102703.12401384537</v>
      </c>
      <c r="C4927" s="12"/>
    </row>
    <row r="4928" spans="1:3">
      <c r="A4928">
        <v>4925</v>
      </c>
      <c r="B4928" s="12">
        <v>81135.367664932855</v>
      </c>
      <c r="C4928" s="12"/>
    </row>
    <row r="4929" spans="1:3">
      <c r="A4929">
        <v>4926</v>
      </c>
      <c r="B4929" s="12">
        <v>115943.21670025891</v>
      </c>
      <c r="C4929" s="12"/>
    </row>
    <row r="4930" spans="1:3">
      <c r="A4930">
        <v>4927</v>
      </c>
      <c r="B4930" s="12">
        <v>92689.833318429737</v>
      </c>
      <c r="C4930" s="12"/>
    </row>
    <row r="4931" spans="1:3">
      <c r="A4931">
        <v>4928</v>
      </c>
      <c r="B4931" s="12">
        <v>137759.32931672659</v>
      </c>
      <c r="C4931" s="12"/>
    </row>
    <row r="4932" spans="1:3">
      <c r="A4932">
        <v>4929</v>
      </c>
      <c r="B4932" s="12">
        <v>81677.898053488054</v>
      </c>
      <c r="C4932" s="12"/>
    </row>
    <row r="4933" spans="1:3">
      <c r="A4933">
        <v>4930</v>
      </c>
      <c r="B4933" s="12">
        <v>109553.58099357189</v>
      </c>
      <c r="C4933" s="12"/>
    </row>
    <row r="4934" spans="1:3">
      <c r="A4934">
        <v>4931</v>
      </c>
      <c r="B4934" s="12">
        <v>151447.97083795164</v>
      </c>
      <c r="C4934" s="12"/>
    </row>
    <row r="4935" spans="1:3">
      <c r="A4935">
        <v>4932</v>
      </c>
      <c r="B4935" s="12">
        <v>92190.092428186035</v>
      </c>
      <c r="C4935" s="12"/>
    </row>
    <row r="4936" spans="1:3">
      <c r="A4936">
        <v>4933</v>
      </c>
      <c r="B4936" s="12">
        <v>144668.72221596376</v>
      </c>
      <c r="C4936" s="12"/>
    </row>
    <row r="4937" spans="1:3">
      <c r="A4937">
        <v>4934</v>
      </c>
      <c r="B4937" s="12">
        <v>75845.87530316881</v>
      </c>
      <c r="C4937" s="12"/>
    </row>
    <row r="4938" spans="1:3">
      <c r="A4938">
        <v>4935</v>
      </c>
      <c r="B4938" s="12">
        <v>124861.68098853934</v>
      </c>
      <c r="C4938" s="12"/>
    </row>
    <row r="4939" spans="1:3">
      <c r="A4939">
        <v>4936</v>
      </c>
      <c r="B4939" s="12">
        <v>153818.08282843587</v>
      </c>
      <c r="C4939" s="12"/>
    </row>
    <row r="4940" spans="1:3">
      <c r="A4940">
        <v>4937</v>
      </c>
      <c r="B4940" s="12">
        <v>118746.11935440263</v>
      </c>
      <c r="C4940" s="12"/>
    </row>
    <row r="4941" spans="1:3">
      <c r="A4941">
        <v>4938</v>
      </c>
      <c r="B4941" s="12">
        <v>101793.90191984891</v>
      </c>
      <c r="C4941" s="12"/>
    </row>
    <row r="4942" spans="1:3">
      <c r="A4942">
        <v>4939</v>
      </c>
      <c r="B4942" s="12">
        <v>112233.60634982571</v>
      </c>
      <c r="C4942" s="12"/>
    </row>
    <row r="4943" spans="1:3">
      <c r="A4943">
        <v>4940</v>
      </c>
      <c r="B4943" s="12">
        <v>96445.056029275933</v>
      </c>
      <c r="C4943" s="12"/>
    </row>
    <row r="4944" spans="1:3">
      <c r="A4944">
        <v>4941</v>
      </c>
      <c r="B4944" s="12">
        <v>74607.718138978817</v>
      </c>
      <c r="C4944" s="12"/>
    </row>
    <row r="4945" spans="1:3">
      <c r="A4945">
        <v>4942</v>
      </c>
      <c r="B4945" s="12">
        <v>132483.10133967194</v>
      </c>
      <c r="C4945" s="12"/>
    </row>
    <row r="4946" spans="1:3">
      <c r="A4946">
        <v>4943</v>
      </c>
      <c r="B4946" s="12">
        <v>137683.22017901635</v>
      </c>
      <c r="C4946" s="12"/>
    </row>
    <row r="4947" spans="1:3">
      <c r="A4947">
        <v>4944</v>
      </c>
      <c r="B4947" s="12">
        <v>83408.04491668129</v>
      </c>
      <c r="C4947" s="12"/>
    </row>
    <row r="4948" spans="1:3">
      <c r="A4948">
        <v>4945</v>
      </c>
      <c r="B4948" s="12">
        <v>162256.08497271608</v>
      </c>
      <c r="C4948" s="12"/>
    </row>
    <row r="4949" spans="1:3">
      <c r="A4949">
        <v>4946</v>
      </c>
      <c r="B4949" s="12">
        <v>110233.23815209026</v>
      </c>
      <c r="C4949" s="12"/>
    </row>
    <row r="4950" spans="1:3">
      <c r="A4950">
        <v>4947</v>
      </c>
      <c r="B4950" s="12">
        <v>145085.58433507555</v>
      </c>
      <c r="C4950" s="12"/>
    </row>
    <row r="4951" spans="1:3">
      <c r="A4951">
        <v>4948</v>
      </c>
      <c r="B4951" s="12">
        <v>86161.786143294652</v>
      </c>
      <c r="C4951" s="12"/>
    </row>
    <row r="4952" spans="1:3">
      <c r="A4952">
        <v>4949</v>
      </c>
      <c r="B4952" s="12">
        <v>132840.40700777314</v>
      </c>
      <c r="C4952" s="12"/>
    </row>
    <row r="4953" spans="1:3">
      <c r="A4953">
        <v>4950</v>
      </c>
      <c r="B4953" s="12">
        <v>145755.39090198826</v>
      </c>
      <c r="C4953" s="12"/>
    </row>
    <row r="4954" spans="1:3">
      <c r="A4954">
        <v>4951</v>
      </c>
      <c r="B4954" s="12">
        <v>88938.115328791042</v>
      </c>
      <c r="C4954" s="12"/>
    </row>
    <row r="4955" spans="1:3">
      <c r="A4955">
        <v>4952</v>
      </c>
      <c r="B4955" s="12">
        <v>103352.94148076224</v>
      </c>
      <c r="C4955" s="12"/>
    </row>
    <row r="4956" spans="1:3">
      <c r="A4956">
        <v>4953</v>
      </c>
      <c r="B4956" s="12">
        <v>92857.642588554096</v>
      </c>
      <c r="C4956" s="12"/>
    </row>
    <row r="4957" spans="1:3">
      <c r="A4957">
        <v>4954</v>
      </c>
      <c r="B4957" s="12">
        <v>75617.302607271879</v>
      </c>
      <c r="C4957" s="12"/>
    </row>
    <row r="4958" spans="1:3">
      <c r="A4958">
        <v>4955</v>
      </c>
      <c r="B4958" s="12">
        <v>81355.341503147167</v>
      </c>
      <c r="C4958" s="12"/>
    </row>
    <row r="4959" spans="1:3">
      <c r="A4959">
        <v>4956</v>
      </c>
      <c r="B4959" s="12">
        <v>154248.40990854622</v>
      </c>
      <c r="C4959" s="12"/>
    </row>
    <row r="4960" spans="1:3">
      <c r="A4960">
        <v>4957</v>
      </c>
      <c r="B4960" s="12">
        <v>177388.14968223803</v>
      </c>
      <c r="C4960" s="12"/>
    </row>
    <row r="4961" spans="1:3">
      <c r="A4961">
        <v>4958</v>
      </c>
      <c r="B4961" s="12">
        <v>95468.762049744226</v>
      </c>
      <c r="C4961" s="12"/>
    </row>
    <row r="4962" spans="1:3">
      <c r="A4962">
        <v>4959</v>
      </c>
      <c r="B4962" s="12">
        <v>159890.60668496607</v>
      </c>
      <c r="C4962" s="12"/>
    </row>
    <row r="4963" spans="1:3">
      <c r="A4963">
        <v>4960</v>
      </c>
      <c r="B4963" s="12">
        <v>111553.5967759862</v>
      </c>
      <c r="C4963" s="12"/>
    </row>
    <row r="4964" spans="1:3">
      <c r="A4964">
        <v>4961</v>
      </c>
      <c r="B4964" s="12">
        <v>180986.83042879758</v>
      </c>
      <c r="C4964" s="12"/>
    </row>
    <row r="4965" spans="1:3">
      <c r="A4965">
        <v>4962</v>
      </c>
      <c r="B4965" s="12">
        <v>103997.89350866269</v>
      </c>
      <c r="C4965" s="12"/>
    </row>
    <row r="4966" spans="1:3">
      <c r="A4966">
        <v>4963</v>
      </c>
      <c r="B4966" s="12">
        <v>102749.30383022185</v>
      </c>
      <c r="C4966" s="12"/>
    </row>
    <row r="4967" spans="1:3">
      <c r="A4967">
        <v>4964</v>
      </c>
      <c r="B4967" s="12">
        <v>89407.182216007539</v>
      </c>
      <c r="C4967" s="12"/>
    </row>
    <row r="4968" spans="1:3">
      <c r="A4968">
        <v>4965</v>
      </c>
      <c r="B4968" s="12">
        <v>77325.259364869024</v>
      </c>
      <c r="C4968" s="12"/>
    </row>
    <row r="4969" spans="1:3">
      <c r="A4969">
        <v>4966</v>
      </c>
      <c r="B4969" s="12">
        <v>106459.01639401895</v>
      </c>
      <c r="C4969" s="12"/>
    </row>
    <row r="4970" spans="1:3">
      <c r="A4970">
        <v>4967</v>
      </c>
      <c r="B4970" s="12">
        <v>122914.3628657627</v>
      </c>
      <c r="C4970" s="12"/>
    </row>
    <row r="4971" spans="1:3">
      <c r="A4971">
        <v>4968</v>
      </c>
      <c r="B4971" s="12">
        <v>115174.96281648753</v>
      </c>
      <c r="C4971" s="12"/>
    </row>
    <row r="4972" spans="1:3">
      <c r="A4972">
        <v>4969</v>
      </c>
      <c r="B4972" s="12">
        <v>110591.24814446067</v>
      </c>
      <c r="C4972" s="12"/>
    </row>
    <row r="4973" spans="1:3">
      <c r="A4973">
        <v>4970</v>
      </c>
      <c r="B4973" s="12">
        <v>122986.24948968101</v>
      </c>
      <c r="C4973" s="12"/>
    </row>
    <row r="4974" spans="1:3">
      <c r="A4974">
        <v>4971</v>
      </c>
      <c r="B4974" s="12">
        <v>132726.11830166291</v>
      </c>
      <c r="C4974" s="12"/>
    </row>
    <row r="4975" spans="1:3">
      <c r="A4975">
        <v>4972</v>
      </c>
      <c r="B4975" s="12">
        <v>89129.587740914198</v>
      </c>
      <c r="C4975" s="12"/>
    </row>
    <row r="4976" spans="1:3">
      <c r="A4976">
        <v>4973</v>
      </c>
      <c r="B4976" s="12">
        <v>68917.313357553998</v>
      </c>
      <c r="C4976" s="12"/>
    </row>
    <row r="4977" spans="1:3">
      <c r="A4977">
        <v>4974</v>
      </c>
      <c r="B4977" s="12">
        <v>111016.08894041687</v>
      </c>
      <c r="C4977" s="12"/>
    </row>
    <row r="4978" spans="1:3">
      <c r="A4978">
        <v>4975</v>
      </c>
      <c r="B4978" s="12">
        <v>86045.868437357116</v>
      </c>
      <c r="C4978" s="12"/>
    </row>
    <row r="4979" spans="1:3">
      <c r="A4979">
        <v>4976</v>
      </c>
      <c r="B4979" s="12">
        <v>155015.44599947991</v>
      </c>
      <c r="C4979" s="12"/>
    </row>
    <row r="4980" spans="1:3">
      <c r="A4980">
        <v>4977</v>
      </c>
      <c r="B4980" s="12">
        <v>89523.398048432136</v>
      </c>
      <c r="C4980" s="12"/>
    </row>
    <row r="4981" spans="1:3">
      <c r="A4981">
        <v>4978</v>
      </c>
      <c r="B4981" s="12">
        <v>109695.40596322455</v>
      </c>
      <c r="C4981" s="12"/>
    </row>
    <row r="4982" spans="1:3">
      <c r="A4982">
        <v>4979</v>
      </c>
      <c r="B4982" s="12">
        <v>145894.04447947617</v>
      </c>
      <c r="C4982" s="12"/>
    </row>
    <row r="4983" spans="1:3">
      <c r="A4983">
        <v>4980</v>
      </c>
      <c r="B4983" s="12">
        <v>127205.79814896567</v>
      </c>
      <c r="C4983" s="12"/>
    </row>
    <row r="4984" spans="1:3">
      <c r="A4984">
        <v>4981</v>
      </c>
      <c r="B4984" s="12">
        <v>80738.557832118939</v>
      </c>
      <c r="C4984" s="12"/>
    </row>
    <row r="4985" spans="1:3">
      <c r="A4985">
        <v>4982</v>
      </c>
      <c r="B4985" s="12">
        <v>153116.50199877511</v>
      </c>
      <c r="C4985" s="12"/>
    </row>
    <row r="4986" spans="1:3">
      <c r="A4986">
        <v>4983</v>
      </c>
      <c r="B4986" s="12">
        <v>127366.15264668553</v>
      </c>
      <c r="C4986" s="12"/>
    </row>
    <row r="4987" spans="1:3">
      <c r="A4987">
        <v>4984</v>
      </c>
      <c r="B4987" s="12">
        <v>98128.17612851251</v>
      </c>
      <c r="C4987" s="12"/>
    </row>
    <row r="4988" spans="1:3">
      <c r="A4988">
        <v>4985</v>
      </c>
      <c r="B4988" s="12">
        <v>152925.01369746536</v>
      </c>
      <c r="C4988" s="12"/>
    </row>
    <row r="4989" spans="1:3">
      <c r="A4989">
        <v>4986</v>
      </c>
      <c r="B4989" s="12">
        <v>141164.2009268176</v>
      </c>
      <c r="C4989" s="12"/>
    </row>
    <row r="4990" spans="1:3">
      <c r="A4990">
        <v>4987</v>
      </c>
      <c r="B4990" s="12">
        <v>100889.01069633795</v>
      </c>
      <c r="C4990" s="12"/>
    </row>
    <row r="4991" spans="1:3">
      <c r="A4991">
        <v>4988</v>
      </c>
      <c r="B4991" s="12">
        <v>61218.88358662324</v>
      </c>
      <c r="C4991" s="12"/>
    </row>
    <row r="4992" spans="1:3">
      <c r="A4992">
        <v>4989</v>
      </c>
      <c r="B4992" s="12">
        <v>117746.6117610698</v>
      </c>
      <c r="C4992" s="12"/>
    </row>
    <row r="4993" spans="1:3">
      <c r="A4993">
        <v>4990</v>
      </c>
      <c r="B4993" s="12">
        <v>137629.31680224932</v>
      </c>
      <c r="C4993" s="12"/>
    </row>
    <row r="4994" spans="1:3">
      <c r="A4994">
        <v>4991</v>
      </c>
      <c r="B4994" s="12">
        <v>73280.556846284584</v>
      </c>
      <c r="C4994" s="12"/>
    </row>
    <row r="4995" spans="1:3">
      <c r="A4995">
        <v>4992</v>
      </c>
      <c r="B4995" s="12">
        <v>109668.01797464036</v>
      </c>
      <c r="C4995" s="12"/>
    </row>
    <row r="4996" spans="1:3">
      <c r="A4996">
        <v>4993</v>
      </c>
      <c r="B4996" s="12">
        <v>72131.909745978715</v>
      </c>
      <c r="C4996" s="12"/>
    </row>
    <row r="4997" spans="1:3">
      <c r="A4997">
        <v>4994</v>
      </c>
      <c r="B4997" s="12">
        <v>72479.325343943361</v>
      </c>
      <c r="C4997" s="12"/>
    </row>
    <row r="4998" spans="1:3">
      <c r="A4998">
        <v>4995</v>
      </c>
      <c r="B4998" s="12">
        <v>122461.39701907491</v>
      </c>
      <c r="C4998" s="12"/>
    </row>
    <row r="4999" spans="1:3">
      <c r="A4999">
        <v>4996</v>
      </c>
      <c r="B4999" s="12">
        <v>107501.41373082154</v>
      </c>
      <c r="C4999" s="12"/>
    </row>
    <row r="5000" spans="1:3">
      <c r="A5000">
        <v>4997</v>
      </c>
      <c r="B5000" s="12">
        <v>120292.80421541928</v>
      </c>
      <c r="C5000" s="12"/>
    </row>
    <row r="5001" spans="1:3">
      <c r="A5001">
        <v>4998</v>
      </c>
      <c r="B5001" s="12">
        <v>110564.54855471637</v>
      </c>
      <c r="C5001" s="12"/>
    </row>
    <row r="5002" spans="1:3">
      <c r="A5002">
        <v>4999</v>
      </c>
      <c r="B5002" s="12">
        <v>100906.47967063398</v>
      </c>
      <c r="C5002" s="12"/>
    </row>
    <row r="5003" spans="1:3">
      <c r="A5003">
        <v>5000</v>
      </c>
      <c r="B5003" s="12">
        <v>81247.196923233598</v>
      </c>
      <c r="C5003" s="12"/>
    </row>
    <row r="5004" spans="1:3">
      <c r="B5004" s="12"/>
      <c r="C5004" s="12"/>
    </row>
    <row r="5005" spans="1:3">
      <c r="B5005" s="12"/>
      <c r="C5005" s="12"/>
    </row>
    <row r="5006" spans="1:3">
      <c r="B5006" s="12"/>
      <c r="C5006" s="12"/>
    </row>
    <row r="5007" spans="1:3">
      <c r="B5007" s="12"/>
      <c r="C5007" s="12"/>
    </row>
    <row r="5008" spans="1:3">
      <c r="B5008" s="12"/>
      <c r="C5008" s="12"/>
    </row>
    <row r="5009" spans="2:3">
      <c r="B5009" s="12"/>
      <c r="C5009" s="12"/>
    </row>
    <row r="5010" spans="2:3">
      <c r="B5010" s="12"/>
      <c r="C5010" s="12"/>
    </row>
    <row r="5011" spans="2:3">
      <c r="B5011" s="12"/>
      <c r="C5011" s="12"/>
    </row>
    <row r="5012" spans="2:3">
      <c r="B5012" s="12"/>
      <c r="C5012" s="12"/>
    </row>
    <row r="5013" spans="2:3">
      <c r="B5013" s="12"/>
      <c r="C5013" s="12"/>
    </row>
    <row r="5014" spans="2:3">
      <c r="B5014" s="12"/>
      <c r="C5014" s="12"/>
    </row>
    <row r="5015" spans="2:3">
      <c r="B5015" s="12"/>
      <c r="C5015" s="12"/>
    </row>
    <row r="5016" spans="2:3">
      <c r="B5016" s="12"/>
      <c r="C5016" s="12"/>
    </row>
    <row r="5017" spans="2:3">
      <c r="B5017" s="12"/>
      <c r="C5017" s="12"/>
    </row>
    <row r="5018" spans="2:3">
      <c r="B5018" s="12"/>
      <c r="C5018" s="12"/>
    </row>
    <row r="5019" spans="2:3">
      <c r="B5019" s="12"/>
      <c r="C5019" s="12"/>
    </row>
    <row r="5020" spans="2:3">
      <c r="B5020" s="12"/>
      <c r="C5020" s="12"/>
    </row>
    <row r="5021" spans="2:3">
      <c r="B5021" s="12"/>
      <c r="C5021" s="12"/>
    </row>
    <row r="5022" spans="2:3">
      <c r="B5022" s="12"/>
      <c r="C5022" s="12"/>
    </row>
    <row r="5023" spans="2:3">
      <c r="B5023" s="12"/>
      <c r="C5023" s="12"/>
    </row>
    <row r="5024" spans="2:3">
      <c r="B5024" s="12"/>
      <c r="C5024" s="12"/>
    </row>
    <row r="5025" spans="2:3">
      <c r="B5025" s="12"/>
      <c r="C5025" s="12"/>
    </row>
    <row r="5026" spans="2:3">
      <c r="B5026" s="12"/>
      <c r="C5026" s="12"/>
    </row>
    <row r="5027" spans="2:3">
      <c r="B5027" s="12"/>
      <c r="C5027" s="12"/>
    </row>
    <row r="5028" spans="2:3">
      <c r="B5028" s="12"/>
      <c r="C5028" s="12"/>
    </row>
    <row r="5029" spans="2:3">
      <c r="B5029" s="12"/>
      <c r="C5029" s="12"/>
    </row>
    <row r="5030" spans="2:3">
      <c r="B5030" s="12"/>
      <c r="C5030" s="12"/>
    </row>
    <row r="5031" spans="2:3">
      <c r="B5031" s="12"/>
      <c r="C5031" s="12"/>
    </row>
    <row r="5032" spans="2:3">
      <c r="B5032" s="12"/>
      <c r="C5032" s="12"/>
    </row>
    <row r="5033" spans="2:3">
      <c r="B5033" s="12"/>
      <c r="C5033" s="12"/>
    </row>
    <row r="5034" spans="2:3">
      <c r="B5034" s="12"/>
      <c r="C5034" s="12"/>
    </row>
    <row r="5035" spans="2:3">
      <c r="B5035" s="12"/>
      <c r="C5035" s="12"/>
    </row>
    <row r="5036" spans="2:3">
      <c r="B5036" s="12"/>
      <c r="C5036" s="12"/>
    </row>
    <row r="5037" spans="2:3">
      <c r="B5037" s="12"/>
      <c r="C5037" s="12"/>
    </row>
    <row r="5038" spans="2:3">
      <c r="B5038" s="12"/>
      <c r="C5038" s="12"/>
    </row>
    <row r="5039" spans="2:3">
      <c r="B5039" s="12"/>
      <c r="C5039" s="12"/>
    </row>
    <row r="5040" spans="2:3">
      <c r="B5040" s="12"/>
      <c r="C5040" s="12"/>
    </row>
    <row r="5041" spans="2:3">
      <c r="B5041" s="12"/>
      <c r="C5041" s="12"/>
    </row>
    <row r="5042" spans="2:3">
      <c r="B5042" s="12"/>
      <c r="C5042" s="12"/>
    </row>
    <row r="5043" spans="2:3">
      <c r="B5043" s="12"/>
      <c r="C5043" s="12"/>
    </row>
    <row r="5044" spans="2:3">
      <c r="B5044" s="12"/>
      <c r="C5044" s="12"/>
    </row>
    <row r="5045" spans="2:3">
      <c r="B5045" s="12"/>
      <c r="C5045" s="12"/>
    </row>
    <row r="5046" spans="2:3">
      <c r="B5046" s="12"/>
      <c r="C5046" s="12"/>
    </row>
    <row r="5047" spans="2:3">
      <c r="B5047" s="12"/>
      <c r="C5047" s="12"/>
    </row>
    <row r="5048" spans="2:3">
      <c r="B5048" s="12"/>
      <c r="C5048" s="12"/>
    </row>
    <row r="5049" spans="2:3">
      <c r="B5049" s="12"/>
      <c r="C5049" s="12"/>
    </row>
    <row r="5050" spans="2:3">
      <c r="B5050" s="12"/>
      <c r="C5050" s="12"/>
    </row>
    <row r="5051" spans="2:3">
      <c r="B5051" s="12"/>
      <c r="C5051" s="12"/>
    </row>
    <row r="5052" spans="2:3">
      <c r="B5052" s="12"/>
      <c r="C5052" s="12"/>
    </row>
    <row r="5053" spans="2:3">
      <c r="B5053" s="12"/>
      <c r="C5053" s="12"/>
    </row>
    <row r="5054" spans="2:3">
      <c r="B5054" s="12"/>
      <c r="C5054" s="12"/>
    </row>
    <row r="5055" spans="2:3">
      <c r="B5055" s="12"/>
      <c r="C5055" s="12"/>
    </row>
    <row r="5056" spans="2:3">
      <c r="B5056" s="12"/>
      <c r="C5056" s="12"/>
    </row>
    <row r="5057" spans="2:3">
      <c r="B5057" s="12"/>
      <c r="C5057" s="12"/>
    </row>
    <row r="5058" spans="2:3">
      <c r="B5058" s="12"/>
      <c r="C5058" s="12"/>
    </row>
    <row r="5059" spans="2:3">
      <c r="B5059" s="12"/>
      <c r="C5059" s="12"/>
    </row>
    <row r="5060" spans="2:3">
      <c r="B5060" s="12"/>
      <c r="C5060" s="12"/>
    </row>
    <row r="5061" spans="2:3">
      <c r="B5061" s="12"/>
      <c r="C5061" s="12"/>
    </row>
    <row r="5062" spans="2:3">
      <c r="B5062" s="12"/>
      <c r="C5062" s="12"/>
    </row>
    <row r="5063" spans="2:3">
      <c r="B5063" s="12"/>
      <c r="C5063" s="12"/>
    </row>
    <row r="5064" spans="2:3">
      <c r="B5064" s="12"/>
      <c r="C5064" s="12"/>
    </row>
    <row r="5065" spans="2:3">
      <c r="B5065" s="12"/>
      <c r="C5065" s="12"/>
    </row>
    <row r="5066" spans="2:3">
      <c r="B5066" s="12"/>
      <c r="C5066" s="12"/>
    </row>
    <row r="5067" spans="2:3">
      <c r="B5067" s="12"/>
      <c r="C5067" s="12"/>
    </row>
    <row r="5068" spans="2:3">
      <c r="B5068" s="12"/>
      <c r="C5068" s="12"/>
    </row>
    <row r="5069" spans="2:3">
      <c r="B5069" s="12"/>
      <c r="C5069" s="12"/>
    </row>
    <row r="5070" spans="2:3">
      <c r="B5070" s="12"/>
      <c r="C5070" s="12"/>
    </row>
    <row r="5071" spans="2:3">
      <c r="B5071" s="12"/>
      <c r="C5071" s="12"/>
    </row>
    <row r="5072" spans="2:3">
      <c r="B5072" s="12"/>
      <c r="C5072" s="12"/>
    </row>
    <row r="5073" spans="2:3">
      <c r="B5073" s="12"/>
      <c r="C5073" s="12"/>
    </row>
    <row r="5074" spans="2:3">
      <c r="B5074" s="12"/>
      <c r="C5074" s="12"/>
    </row>
    <row r="5075" spans="2:3">
      <c r="B5075" s="12"/>
      <c r="C5075" s="12"/>
    </row>
    <row r="5076" spans="2:3">
      <c r="B5076" s="12"/>
      <c r="C5076" s="12"/>
    </row>
    <row r="5077" spans="2:3">
      <c r="B5077" s="12"/>
      <c r="C5077" s="12"/>
    </row>
    <row r="5078" spans="2:3">
      <c r="B5078" s="12"/>
      <c r="C5078" s="12"/>
    </row>
    <row r="5079" spans="2:3">
      <c r="B5079" s="12"/>
      <c r="C5079" s="12"/>
    </row>
    <row r="5080" spans="2:3">
      <c r="B5080" s="12"/>
      <c r="C5080" s="12"/>
    </row>
    <row r="5081" spans="2:3">
      <c r="B5081" s="12"/>
      <c r="C5081" s="12"/>
    </row>
    <row r="5082" spans="2:3">
      <c r="B5082" s="12"/>
      <c r="C5082" s="12"/>
    </row>
    <row r="5083" spans="2:3">
      <c r="B5083" s="12"/>
      <c r="C5083" s="12"/>
    </row>
    <row r="5084" spans="2:3">
      <c r="B5084" s="12"/>
      <c r="C5084" s="12"/>
    </row>
    <row r="5085" spans="2:3">
      <c r="B5085" s="12"/>
      <c r="C5085" s="12"/>
    </row>
    <row r="5086" spans="2:3">
      <c r="B5086" s="12"/>
      <c r="C5086" s="12"/>
    </row>
    <row r="5087" spans="2:3">
      <c r="B5087" s="12"/>
      <c r="C5087" s="12"/>
    </row>
    <row r="5088" spans="2:3">
      <c r="B5088" s="12"/>
      <c r="C5088" s="12"/>
    </row>
    <row r="5089" spans="2:3">
      <c r="B5089" s="12"/>
      <c r="C5089" s="12"/>
    </row>
    <row r="5090" spans="2:3">
      <c r="B5090" s="12"/>
      <c r="C5090" s="12"/>
    </row>
    <row r="5091" spans="2:3">
      <c r="B5091" s="12"/>
      <c r="C5091" s="12"/>
    </row>
    <row r="5092" spans="2:3">
      <c r="B5092" s="12"/>
      <c r="C5092" s="12"/>
    </row>
    <row r="5093" spans="2:3">
      <c r="B5093" s="12"/>
      <c r="C5093" s="12"/>
    </row>
    <row r="5094" spans="2:3">
      <c r="B5094" s="12"/>
      <c r="C5094" s="12"/>
    </row>
    <row r="5095" spans="2:3">
      <c r="B5095" s="12"/>
      <c r="C5095" s="12"/>
    </row>
    <row r="5096" spans="2:3">
      <c r="B5096" s="12"/>
      <c r="C5096" s="12"/>
    </row>
    <row r="5097" spans="2:3">
      <c r="B5097" s="12"/>
      <c r="C5097" s="12"/>
    </row>
    <row r="5098" spans="2:3">
      <c r="B5098" s="12"/>
      <c r="C5098" s="12"/>
    </row>
    <row r="5099" spans="2:3">
      <c r="B5099" s="12"/>
      <c r="C5099" s="12"/>
    </row>
    <row r="5100" spans="2:3">
      <c r="B5100" s="12"/>
      <c r="C5100" s="12"/>
    </row>
    <row r="5101" spans="2:3">
      <c r="B5101" s="12"/>
      <c r="C5101" s="12"/>
    </row>
    <row r="5102" spans="2:3">
      <c r="B5102" s="12"/>
      <c r="C5102" s="12"/>
    </row>
    <row r="5103" spans="2:3">
      <c r="B5103" s="12"/>
      <c r="C5103" s="12"/>
    </row>
    <row r="5104" spans="2:3">
      <c r="B5104" s="12"/>
      <c r="C5104" s="12"/>
    </row>
    <row r="5105" spans="2:3">
      <c r="B5105" s="12"/>
      <c r="C5105" s="12"/>
    </row>
    <row r="5106" spans="2:3">
      <c r="B5106" s="12"/>
      <c r="C5106" s="12"/>
    </row>
    <row r="5107" spans="2:3">
      <c r="B5107" s="12"/>
      <c r="C5107" s="12"/>
    </row>
    <row r="5108" spans="2:3">
      <c r="B5108" s="12"/>
      <c r="C5108" s="12"/>
    </row>
    <row r="5109" spans="2:3">
      <c r="B5109" s="12"/>
      <c r="C5109" s="12"/>
    </row>
    <row r="5110" spans="2:3">
      <c r="B5110" s="12"/>
      <c r="C5110" s="12"/>
    </row>
    <row r="5111" spans="2:3">
      <c r="B5111" s="12"/>
      <c r="C5111" s="12"/>
    </row>
    <row r="5112" spans="2:3">
      <c r="B5112" s="12"/>
      <c r="C5112" s="12"/>
    </row>
    <row r="5113" spans="2:3">
      <c r="B5113" s="12"/>
      <c r="C5113" s="12"/>
    </row>
    <row r="5114" spans="2:3">
      <c r="B5114" s="12"/>
      <c r="C5114" s="12"/>
    </row>
    <row r="5115" spans="2:3">
      <c r="B5115" s="12"/>
      <c r="C5115" s="12"/>
    </row>
    <row r="5116" spans="2:3">
      <c r="B5116" s="12"/>
      <c r="C5116" s="12"/>
    </row>
    <row r="5117" spans="2:3">
      <c r="B5117" s="12"/>
      <c r="C5117" s="12"/>
    </row>
    <row r="5118" spans="2:3">
      <c r="B5118" s="12"/>
      <c r="C5118" s="12"/>
    </row>
    <row r="5119" spans="2:3">
      <c r="B5119" s="12"/>
      <c r="C5119" s="12"/>
    </row>
    <row r="5120" spans="2:3">
      <c r="B5120" s="12"/>
      <c r="C5120" s="12"/>
    </row>
    <row r="5121" spans="2:3">
      <c r="B5121" s="12"/>
      <c r="C5121" s="12"/>
    </row>
    <row r="5122" spans="2:3">
      <c r="B5122" s="12"/>
      <c r="C5122" s="12"/>
    </row>
    <row r="5123" spans="2:3">
      <c r="B5123" s="12"/>
      <c r="C5123" s="12"/>
    </row>
    <row r="5124" spans="2:3">
      <c r="B5124" s="12"/>
      <c r="C5124" s="12"/>
    </row>
    <row r="5125" spans="2:3">
      <c r="B5125" s="12"/>
      <c r="C5125" s="12"/>
    </row>
    <row r="5126" spans="2:3">
      <c r="B5126" s="12"/>
      <c r="C5126" s="12"/>
    </row>
    <row r="5127" spans="2:3">
      <c r="B5127" s="12"/>
      <c r="C5127" s="12"/>
    </row>
    <row r="5128" spans="2:3">
      <c r="B5128" s="12"/>
      <c r="C5128" s="12"/>
    </row>
    <row r="5129" spans="2:3">
      <c r="B5129" s="12"/>
      <c r="C5129" s="12"/>
    </row>
    <row r="5130" spans="2:3">
      <c r="B5130" s="12"/>
      <c r="C5130" s="12"/>
    </row>
    <row r="5131" spans="2:3">
      <c r="B5131" s="12"/>
      <c r="C5131" s="12"/>
    </row>
    <row r="5132" spans="2:3">
      <c r="B5132" s="12"/>
      <c r="C5132" s="12"/>
    </row>
    <row r="5133" spans="2:3">
      <c r="B5133" s="12"/>
      <c r="C5133" s="12"/>
    </row>
    <row r="5134" spans="2:3">
      <c r="B5134" s="12"/>
      <c r="C5134" s="12"/>
    </row>
    <row r="5135" spans="2:3">
      <c r="B5135" s="12"/>
      <c r="C5135" s="12"/>
    </row>
    <row r="5136" spans="2:3">
      <c r="B5136" s="12"/>
      <c r="C5136" s="12"/>
    </row>
    <row r="5137" spans="2:3">
      <c r="B5137" s="12"/>
      <c r="C5137" s="12"/>
    </row>
    <row r="5138" spans="2:3">
      <c r="B5138" s="12"/>
      <c r="C5138" s="12"/>
    </row>
    <row r="5139" spans="2:3">
      <c r="B5139" s="12"/>
      <c r="C5139" s="12"/>
    </row>
    <row r="5140" spans="2:3">
      <c r="B5140" s="12"/>
      <c r="C5140" s="12"/>
    </row>
    <row r="5141" spans="2:3">
      <c r="B5141" s="12"/>
      <c r="C5141" s="12"/>
    </row>
    <row r="5142" spans="2:3">
      <c r="B5142" s="12"/>
      <c r="C5142" s="12"/>
    </row>
    <row r="5143" spans="2:3">
      <c r="B5143" s="12"/>
      <c r="C5143" s="12"/>
    </row>
    <row r="5144" spans="2:3">
      <c r="B5144" s="12"/>
      <c r="C5144" s="12"/>
    </row>
    <row r="5145" spans="2:3">
      <c r="B5145" s="12"/>
      <c r="C5145" s="12"/>
    </row>
    <row r="5146" spans="2:3">
      <c r="B5146" s="12"/>
      <c r="C5146" s="12"/>
    </row>
    <row r="5147" spans="2:3">
      <c r="B5147" s="12"/>
      <c r="C5147" s="12"/>
    </row>
    <row r="5148" spans="2:3">
      <c r="B5148" s="12"/>
      <c r="C5148" s="12"/>
    </row>
    <row r="5149" spans="2:3">
      <c r="B5149" s="12"/>
      <c r="C5149" s="12"/>
    </row>
    <row r="5150" spans="2:3">
      <c r="B5150" s="12"/>
      <c r="C5150" s="12"/>
    </row>
    <row r="5151" spans="2:3">
      <c r="B5151" s="12"/>
      <c r="C5151" s="12"/>
    </row>
    <row r="5152" spans="2:3">
      <c r="B5152" s="12"/>
      <c r="C5152" s="12"/>
    </row>
    <row r="5153" spans="2:3">
      <c r="B5153" s="12"/>
      <c r="C5153" s="12"/>
    </row>
    <row r="5154" spans="2:3">
      <c r="B5154" s="12"/>
      <c r="C5154" s="12"/>
    </row>
    <row r="5155" spans="2:3">
      <c r="B5155" s="12"/>
      <c r="C5155" s="12"/>
    </row>
    <row r="5156" spans="2:3">
      <c r="B5156" s="12"/>
      <c r="C5156" s="12"/>
    </row>
    <row r="5157" spans="2:3">
      <c r="B5157" s="12"/>
      <c r="C5157" s="12"/>
    </row>
    <row r="5158" spans="2:3">
      <c r="B5158" s="12"/>
      <c r="C5158" s="12"/>
    </row>
    <row r="5159" spans="2:3">
      <c r="B5159" s="12"/>
      <c r="C5159" s="12"/>
    </row>
    <row r="5160" spans="2:3">
      <c r="B5160" s="12"/>
      <c r="C5160" s="12"/>
    </row>
    <row r="5161" spans="2:3">
      <c r="B5161" s="12"/>
      <c r="C5161" s="12"/>
    </row>
    <row r="5162" spans="2:3">
      <c r="B5162" s="12"/>
      <c r="C5162" s="12"/>
    </row>
    <row r="5163" spans="2:3">
      <c r="B5163" s="12"/>
      <c r="C5163" s="12"/>
    </row>
    <row r="5164" spans="2:3">
      <c r="B5164" s="12"/>
      <c r="C5164" s="12"/>
    </row>
    <row r="5165" spans="2:3">
      <c r="B5165" s="12"/>
      <c r="C5165" s="12"/>
    </row>
    <row r="5166" spans="2:3">
      <c r="B5166" s="12"/>
      <c r="C5166" s="12"/>
    </row>
    <row r="5167" spans="2:3">
      <c r="B5167" s="12"/>
      <c r="C5167" s="12"/>
    </row>
    <row r="5168" spans="2:3">
      <c r="B5168" s="12"/>
      <c r="C5168" s="12"/>
    </row>
    <row r="5169" spans="2:3">
      <c r="B5169" s="12"/>
      <c r="C5169" s="12"/>
    </row>
    <row r="5170" spans="2:3">
      <c r="B5170" s="12"/>
      <c r="C5170" s="12"/>
    </row>
    <row r="5171" spans="2:3">
      <c r="B5171" s="12"/>
      <c r="C5171" s="12"/>
    </row>
    <row r="5172" spans="2:3">
      <c r="B5172" s="12"/>
      <c r="C5172" s="12"/>
    </row>
    <row r="5173" spans="2:3">
      <c r="B5173" s="12"/>
      <c r="C5173" s="12"/>
    </row>
    <row r="5174" spans="2:3">
      <c r="B5174" s="12"/>
      <c r="C5174" s="12"/>
    </row>
    <row r="5175" spans="2:3">
      <c r="B5175" s="12"/>
      <c r="C5175" s="12"/>
    </row>
    <row r="5176" spans="2:3">
      <c r="B5176" s="12"/>
      <c r="C5176" s="12"/>
    </row>
    <row r="5177" spans="2:3">
      <c r="B5177" s="12"/>
      <c r="C5177" s="12"/>
    </row>
    <row r="5178" spans="2:3">
      <c r="B5178" s="12"/>
      <c r="C5178" s="12"/>
    </row>
    <row r="5179" spans="2:3">
      <c r="B5179" s="12"/>
      <c r="C5179" s="12"/>
    </row>
    <row r="5180" spans="2:3">
      <c r="B5180" s="12"/>
      <c r="C5180" s="12"/>
    </row>
    <row r="5181" spans="2:3">
      <c r="B5181" s="12"/>
      <c r="C5181" s="12"/>
    </row>
    <row r="5182" spans="2:3">
      <c r="B5182" s="12"/>
      <c r="C5182" s="12"/>
    </row>
    <row r="5183" spans="2:3">
      <c r="B5183" s="12"/>
      <c r="C5183" s="12"/>
    </row>
    <row r="5184" spans="2:3">
      <c r="B5184" s="12"/>
      <c r="C5184" s="12"/>
    </row>
    <row r="5185" spans="2:3">
      <c r="B5185" s="12"/>
      <c r="C5185" s="12"/>
    </row>
    <row r="5186" spans="2:3">
      <c r="B5186" s="12"/>
      <c r="C5186" s="12"/>
    </row>
    <row r="5187" spans="2:3">
      <c r="B5187" s="12"/>
      <c r="C5187" s="12"/>
    </row>
    <row r="5188" spans="2:3">
      <c r="B5188" s="12"/>
      <c r="C5188" s="12"/>
    </row>
    <row r="5189" spans="2:3">
      <c r="B5189" s="12"/>
      <c r="C5189" s="12"/>
    </row>
    <row r="5190" spans="2:3">
      <c r="B5190" s="12"/>
      <c r="C5190" s="12"/>
    </row>
    <row r="5191" spans="2:3">
      <c r="B5191" s="12"/>
      <c r="C5191" s="12"/>
    </row>
    <row r="5192" spans="2:3">
      <c r="B5192" s="12"/>
      <c r="C5192" s="12"/>
    </row>
    <row r="5193" spans="2:3">
      <c r="B5193" s="12"/>
      <c r="C5193" s="12"/>
    </row>
    <row r="5194" spans="2:3">
      <c r="B5194" s="12"/>
      <c r="C5194" s="12"/>
    </row>
    <row r="5195" spans="2:3">
      <c r="B5195" s="12"/>
      <c r="C5195" s="12"/>
    </row>
    <row r="5196" spans="2:3">
      <c r="B5196" s="12"/>
      <c r="C5196" s="12"/>
    </row>
    <row r="5197" spans="2:3">
      <c r="B5197" s="12"/>
      <c r="C5197" s="12"/>
    </row>
    <row r="5198" spans="2:3">
      <c r="B5198" s="12"/>
      <c r="C5198" s="12"/>
    </row>
    <row r="5199" spans="2:3">
      <c r="B5199" s="12"/>
      <c r="C5199" s="12"/>
    </row>
    <row r="5200" spans="2:3">
      <c r="B5200" s="12"/>
      <c r="C5200" s="12"/>
    </row>
    <row r="5201" spans="2:3">
      <c r="B5201" s="12"/>
      <c r="C5201" s="12"/>
    </row>
    <row r="5202" spans="2:3">
      <c r="B5202" s="12"/>
      <c r="C5202" s="12"/>
    </row>
    <row r="5203" spans="2:3">
      <c r="B5203" s="12"/>
      <c r="C5203" s="12"/>
    </row>
    <row r="5204" spans="2:3">
      <c r="B5204" s="12"/>
      <c r="C5204" s="12"/>
    </row>
    <row r="5205" spans="2:3">
      <c r="B5205" s="12"/>
      <c r="C5205" s="12"/>
    </row>
    <row r="5206" spans="2:3">
      <c r="B5206" s="12"/>
      <c r="C5206" s="12"/>
    </row>
    <row r="5207" spans="2:3">
      <c r="B5207" s="12"/>
      <c r="C5207" s="12"/>
    </row>
    <row r="5208" spans="2:3">
      <c r="B5208" s="12"/>
      <c r="C5208" s="12"/>
    </row>
    <row r="5209" spans="2:3">
      <c r="B5209" s="12"/>
      <c r="C5209" s="12"/>
    </row>
    <row r="5210" spans="2:3">
      <c r="B5210" s="12"/>
      <c r="C5210" s="12"/>
    </row>
    <row r="5211" spans="2:3">
      <c r="B5211" s="12"/>
      <c r="C5211" s="12"/>
    </row>
    <row r="5212" spans="2:3">
      <c r="B5212" s="12"/>
      <c r="C5212" s="12"/>
    </row>
    <row r="5213" spans="2:3">
      <c r="B5213" s="12"/>
      <c r="C5213" s="12"/>
    </row>
    <row r="5214" spans="2:3">
      <c r="B5214" s="12"/>
      <c r="C5214" s="12"/>
    </row>
    <row r="5215" spans="2:3">
      <c r="B5215" s="12"/>
      <c r="C5215" s="12"/>
    </row>
    <row r="5216" spans="2:3">
      <c r="B5216" s="12"/>
      <c r="C5216" s="12"/>
    </row>
    <row r="5217" spans="2:3">
      <c r="B5217" s="12"/>
      <c r="C5217" s="12"/>
    </row>
    <row r="5218" spans="2:3">
      <c r="B5218" s="12"/>
      <c r="C5218" s="12"/>
    </row>
    <row r="5219" spans="2:3">
      <c r="B5219" s="12"/>
      <c r="C5219" s="12"/>
    </row>
    <row r="5220" spans="2:3">
      <c r="B5220" s="12"/>
      <c r="C5220" s="12"/>
    </row>
    <row r="5221" spans="2:3">
      <c r="B5221" s="12"/>
      <c r="C5221" s="12"/>
    </row>
    <row r="5222" spans="2:3">
      <c r="B5222" s="12"/>
      <c r="C5222" s="12"/>
    </row>
    <row r="5223" spans="2:3">
      <c r="B5223" s="12"/>
      <c r="C5223" s="12"/>
    </row>
    <row r="5224" spans="2:3">
      <c r="B5224" s="12"/>
      <c r="C5224" s="12"/>
    </row>
    <row r="5225" spans="2:3">
      <c r="B5225" s="12"/>
      <c r="C5225" s="12"/>
    </row>
    <row r="5226" spans="2:3">
      <c r="B5226" s="12"/>
      <c r="C5226" s="12"/>
    </row>
    <row r="5227" spans="2:3">
      <c r="B5227" s="12"/>
      <c r="C5227" s="12"/>
    </row>
    <row r="5228" spans="2:3">
      <c r="B5228" s="12"/>
      <c r="C5228" s="12"/>
    </row>
    <row r="5229" spans="2:3">
      <c r="B5229" s="12"/>
      <c r="C5229" s="12"/>
    </row>
    <row r="5230" spans="2:3">
      <c r="B5230" s="12"/>
      <c r="C5230" s="12"/>
    </row>
    <row r="5231" spans="2:3">
      <c r="B5231" s="12"/>
      <c r="C5231" s="12"/>
    </row>
    <row r="5232" spans="2:3">
      <c r="B5232" s="12"/>
      <c r="C5232" s="12"/>
    </row>
    <row r="5233" spans="2:3">
      <c r="B5233" s="12"/>
      <c r="C5233" s="12"/>
    </row>
    <row r="5234" spans="2:3">
      <c r="B5234" s="12"/>
      <c r="C5234" s="12"/>
    </row>
    <row r="5235" spans="2:3">
      <c r="B5235" s="12"/>
      <c r="C5235" s="12"/>
    </row>
    <row r="5236" spans="2:3">
      <c r="B5236" s="12"/>
      <c r="C5236" s="12"/>
    </row>
    <row r="5237" spans="2:3">
      <c r="B5237" s="12"/>
      <c r="C5237" s="12"/>
    </row>
    <row r="5238" spans="2:3">
      <c r="B5238" s="12"/>
      <c r="C5238" s="12"/>
    </row>
    <row r="5239" spans="2:3">
      <c r="B5239" s="12"/>
      <c r="C5239" s="12"/>
    </row>
    <row r="5240" spans="2:3">
      <c r="B5240" s="12"/>
      <c r="C5240" s="12"/>
    </row>
    <row r="5241" spans="2:3">
      <c r="B5241" s="12"/>
      <c r="C5241" s="12"/>
    </row>
    <row r="5242" spans="2:3">
      <c r="B5242" s="12"/>
      <c r="C5242" s="12"/>
    </row>
    <row r="5243" spans="2:3">
      <c r="B5243" s="12"/>
      <c r="C5243" s="12"/>
    </row>
    <row r="5244" spans="2:3">
      <c r="B5244" s="12"/>
      <c r="C5244" s="12"/>
    </row>
    <row r="5245" spans="2:3">
      <c r="B5245" s="12"/>
      <c r="C5245" s="12"/>
    </row>
    <row r="5246" spans="2:3">
      <c r="B5246" s="12"/>
      <c r="C5246" s="12"/>
    </row>
    <row r="5247" spans="2:3">
      <c r="B5247" s="12"/>
      <c r="C5247" s="12"/>
    </row>
    <row r="5248" spans="2:3">
      <c r="B5248" s="12"/>
      <c r="C5248" s="12"/>
    </row>
    <row r="5249" spans="2:3">
      <c r="B5249" s="12"/>
      <c r="C5249" s="12"/>
    </row>
    <row r="5250" spans="2:3">
      <c r="B5250" s="12"/>
      <c r="C5250" s="12"/>
    </row>
    <row r="5251" spans="2:3">
      <c r="B5251" s="12"/>
      <c r="C5251" s="12"/>
    </row>
    <row r="5252" spans="2:3">
      <c r="B5252" s="12"/>
      <c r="C5252" s="12"/>
    </row>
    <row r="5253" spans="2:3">
      <c r="B5253" s="12"/>
      <c r="C5253" s="12"/>
    </row>
    <row r="5254" spans="2:3">
      <c r="B5254" s="12"/>
      <c r="C5254" s="12"/>
    </row>
    <row r="5255" spans="2:3">
      <c r="B5255" s="12"/>
      <c r="C5255" s="12"/>
    </row>
    <row r="5256" spans="2:3">
      <c r="B5256" s="12"/>
      <c r="C5256" s="12"/>
    </row>
    <row r="5257" spans="2:3">
      <c r="B5257" s="12"/>
      <c r="C5257" s="12"/>
    </row>
    <row r="5258" spans="2:3">
      <c r="B5258" s="12"/>
      <c r="C5258" s="12"/>
    </row>
    <row r="5259" spans="2:3">
      <c r="B5259" s="12"/>
      <c r="C5259" s="12"/>
    </row>
    <row r="5260" spans="2:3">
      <c r="B5260" s="12"/>
      <c r="C5260" s="12"/>
    </row>
    <row r="5261" spans="2:3">
      <c r="B5261" s="12"/>
      <c r="C5261" s="12"/>
    </row>
    <row r="5262" spans="2:3">
      <c r="B5262" s="12"/>
      <c r="C5262" s="12"/>
    </row>
    <row r="5263" spans="2:3">
      <c r="B5263" s="12"/>
      <c r="C5263" s="12"/>
    </row>
    <row r="5264" spans="2:3">
      <c r="B5264" s="12"/>
      <c r="C5264" s="12"/>
    </row>
    <row r="5265" spans="2:3">
      <c r="B5265" s="12"/>
      <c r="C5265" s="12"/>
    </row>
    <row r="5266" spans="2:3">
      <c r="B5266" s="12"/>
      <c r="C5266" s="12"/>
    </row>
    <row r="5267" spans="2:3">
      <c r="B5267" s="12"/>
      <c r="C5267" s="12"/>
    </row>
    <row r="5268" spans="2:3">
      <c r="B5268" s="12"/>
      <c r="C5268" s="12"/>
    </row>
    <row r="5269" spans="2:3">
      <c r="B5269" s="12"/>
      <c r="C5269" s="12"/>
    </row>
    <row r="5270" spans="2:3">
      <c r="B5270" s="12"/>
      <c r="C5270" s="12"/>
    </row>
    <row r="5271" spans="2:3">
      <c r="B5271" s="12"/>
      <c r="C5271" s="12"/>
    </row>
    <row r="5272" spans="2:3">
      <c r="B5272" s="12"/>
      <c r="C5272" s="12"/>
    </row>
    <row r="5273" spans="2:3">
      <c r="B5273" s="12"/>
      <c r="C5273" s="12"/>
    </row>
    <row r="5274" spans="2:3">
      <c r="B5274" s="12"/>
      <c r="C5274" s="12"/>
    </row>
    <row r="5275" spans="2:3">
      <c r="B5275" s="12"/>
      <c r="C5275" s="12"/>
    </row>
    <row r="5276" spans="2:3">
      <c r="B5276" s="12"/>
      <c r="C5276" s="12"/>
    </row>
    <row r="5277" spans="2:3">
      <c r="B5277" s="12"/>
      <c r="C5277" s="12"/>
    </row>
    <row r="5278" spans="2:3">
      <c r="B5278" s="12"/>
      <c r="C5278" s="12"/>
    </row>
    <row r="5279" spans="2:3">
      <c r="B5279" s="12"/>
      <c r="C5279" s="12"/>
    </row>
    <row r="5280" spans="2:3">
      <c r="B5280" s="12"/>
      <c r="C5280" s="12"/>
    </row>
    <row r="5281" spans="2:3">
      <c r="B5281" s="12"/>
      <c r="C5281" s="12"/>
    </row>
    <row r="5282" spans="2:3">
      <c r="B5282" s="12"/>
      <c r="C5282" s="12"/>
    </row>
    <row r="5283" spans="2:3">
      <c r="B5283" s="12"/>
      <c r="C5283" s="12"/>
    </row>
    <row r="5284" spans="2:3">
      <c r="B5284" s="12"/>
      <c r="C5284" s="12"/>
    </row>
    <row r="5285" spans="2:3">
      <c r="B5285" s="12"/>
      <c r="C5285" s="12"/>
    </row>
    <row r="5286" spans="2:3">
      <c r="B5286" s="12"/>
      <c r="C5286" s="12"/>
    </row>
    <row r="5287" spans="2:3">
      <c r="B5287" s="12"/>
      <c r="C5287" s="12"/>
    </row>
    <row r="5288" spans="2:3">
      <c r="B5288" s="12"/>
      <c r="C5288" s="12"/>
    </row>
    <row r="5289" spans="2:3">
      <c r="B5289" s="12"/>
      <c r="C5289" s="12"/>
    </row>
    <row r="5290" spans="2:3">
      <c r="B5290" s="12"/>
      <c r="C5290" s="12"/>
    </row>
    <row r="5291" spans="2:3">
      <c r="B5291" s="12"/>
      <c r="C5291" s="12"/>
    </row>
    <row r="5292" spans="2:3">
      <c r="B5292" s="12"/>
      <c r="C5292" s="12"/>
    </row>
    <row r="5293" spans="2:3">
      <c r="B5293" s="12"/>
      <c r="C5293" s="12"/>
    </row>
    <row r="5294" spans="2:3">
      <c r="B5294" s="12"/>
      <c r="C5294" s="12"/>
    </row>
    <row r="5295" spans="2:3">
      <c r="B5295" s="12"/>
      <c r="C5295" s="12"/>
    </row>
    <row r="5296" spans="2:3">
      <c r="B5296" s="12"/>
      <c r="C5296" s="12"/>
    </row>
    <row r="5297" spans="2:3">
      <c r="B5297" s="12"/>
      <c r="C5297" s="12"/>
    </row>
    <row r="5298" spans="2:3">
      <c r="B5298" s="12"/>
      <c r="C5298" s="12"/>
    </row>
    <row r="5299" spans="2:3">
      <c r="B5299" s="12"/>
      <c r="C5299" s="12"/>
    </row>
    <row r="5300" spans="2:3">
      <c r="B5300" s="12"/>
      <c r="C5300" s="12"/>
    </row>
    <row r="5301" spans="2:3">
      <c r="B5301" s="12"/>
      <c r="C5301" s="12"/>
    </row>
    <row r="5302" spans="2:3">
      <c r="B5302" s="12"/>
      <c r="C5302" s="12"/>
    </row>
    <row r="5303" spans="2:3">
      <c r="B5303" s="12"/>
      <c r="C5303" s="12"/>
    </row>
    <row r="5304" spans="2:3">
      <c r="B5304" s="12"/>
      <c r="C5304" s="12"/>
    </row>
    <row r="5305" spans="2:3">
      <c r="B5305" s="12"/>
      <c r="C5305" s="12"/>
    </row>
    <row r="5306" spans="2:3">
      <c r="B5306" s="12"/>
      <c r="C5306" s="12"/>
    </row>
    <row r="5307" spans="2:3">
      <c r="B5307" s="12"/>
      <c r="C5307" s="12"/>
    </row>
    <row r="5308" spans="2:3">
      <c r="B5308" s="12"/>
      <c r="C5308" s="12"/>
    </row>
    <row r="5309" spans="2:3">
      <c r="B5309" s="12"/>
      <c r="C5309" s="12"/>
    </row>
    <row r="5310" spans="2:3">
      <c r="B5310" s="12"/>
      <c r="C5310" s="12"/>
    </row>
    <row r="5311" spans="2:3">
      <c r="B5311" s="12"/>
      <c r="C5311" s="12"/>
    </row>
    <row r="5312" spans="2:3">
      <c r="B5312" s="12"/>
      <c r="C5312" s="12"/>
    </row>
    <row r="5313" spans="2:3">
      <c r="B5313" s="12"/>
      <c r="C5313" s="12"/>
    </row>
    <row r="5314" spans="2:3">
      <c r="B5314" s="12"/>
      <c r="C5314" s="12"/>
    </row>
    <row r="5315" spans="2:3">
      <c r="B5315" s="12"/>
      <c r="C5315" s="12"/>
    </row>
    <row r="5316" spans="2:3">
      <c r="B5316" s="12"/>
      <c r="C5316" s="12"/>
    </row>
    <row r="5317" spans="2:3">
      <c r="B5317" s="12"/>
      <c r="C5317" s="12"/>
    </row>
    <row r="5318" spans="2:3">
      <c r="B5318" s="12"/>
      <c r="C5318" s="12"/>
    </row>
    <row r="5319" spans="2:3">
      <c r="B5319" s="12"/>
      <c r="C5319" s="12"/>
    </row>
    <row r="5320" spans="2:3">
      <c r="B5320" s="12"/>
      <c r="C5320" s="12"/>
    </row>
    <row r="5321" spans="2:3">
      <c r="B5321" s="12"/>
      <c r="C5321" s="12"/>
    </row>
    <row r="5322" spans="2:3">
      <c r="B5322" s="12"/>
      <c r="C5322" s="12"/>
    </row>
    <row r="5323" spans="2:3">
      <c r="B5323" s="12"/>
      <c r="C5323" s="12"/>
    </row>
    <row r="5324" spans="2:3">
      <c r="B5324" s="12"/>
      <c r="C5324" s="12"/>
    </row>
    <row r="5325" spans="2:3">
      <c r="B5325" s="12"/>
      <c r="C5325" s="12"/>
    </row>
    <row r="5326" spans="2:3">
      <c r="B5326" s="12"/>
      <c r="C5326" s="12"/>
    </row>
    <row r="5327" spans="2:3">
      <c r="B5327" s="12"/>
      <c r="C5327" s="12"/>
    </row>
    <row r="5328" spans="2:3">
      <c r="B5328" s="12"/>
      <c r="C5328" s="12"/>
    </row>
    <row r="5329" spans="2:3">
      <c r="B5329" s="12"/>
      <c r="C5329" s="12"/>
    </row>
    <row r="5330" spans="2:3">
      <c r="B5330" s="12"/>
      <c r="C5330" s="12"/>
    </row>
    <row r="5331" spans="2:3">
      <c r="B5331" s="12"/>
      <c r="C5331" s="12"/>
    </row>
    <row r="5332" spans="2:3">
      <c r="B5332" s="12"/>
      <c r="C5332" s="12"/>
    </row>
    <row r="5333" spans="2:3">
      <c r="B5333" s="12"/>
      <c r="C5333" s="12"/>
    </row>
    <row r="5334" spans="2:3">
      <c r="B5334" s="12"/>
      <c r="C5334" s="12"/>
    </row>
    <row r="5335" spans="2:3">
      <c r="B5335" s="12"/>
      <c r="C5335" s="12"/>
    </row>
    <row r="5336" spans="2:3">
      <c r="B5336" s="12"/>
      <c r="C5336" s="12"/>
    </row>
    <row r="5337" spans="2:3">
      <c r="B5337" s="12"/>
      <c r="C5337" s="12"/>
    </row>
    <row r="5338" spans="2:3">
      <c r="B5338" s="12"/>
      <c r="C5338" s="12"/>
    </row>
    <row r="5339" spans="2:3">
      <c r="B5339" s="12"/>
      <c r="C5339" s="12"/>
    </row>
    <row r="5340" spans="2:3">
      <c r="B5340" s="12"/>
      <c r="C5340" s="12"/>
    </row>
    <row r="5341" spans="2:3">
      <c r="B5341" s="12"/>
      <c r="C5341" s="12"/>
    </row>
    <row r="5342" spans="2:3">
      <c r="B5342" s="12"/>
      <c r="C5342" s="12"/>
    </row>
    <row r="5343" spans="2:3">
      <c r="B5343" s="12"/>
      <c r="C5343" s="12"/>
    </row>
    <row r="5344" spans="2:3">
      <c r="B5344" s="12"/>
      <c r="C5344" s="12"/>
    </row>
    <row r="5345" spans="2:3">
      <c r="B5345" s="12"/>
      <c r="C5345" s="12"/>
    </row>
    <row r="5346" spans="2:3">
      <c r="B5346" s="12"/>
      <c r="C5346" s="12"/>
    </row>
    <row r="5347" spans="2:3">
      <c r="B5347" s="12"/>
      <c r="C5347" s="12"/>
    </row>
    <row r="5348" spans="2:3">
      <c r="B5348" s="12"/>
      <c r="C5348" s="12"/>
    </row>
    <row r="5349" spans="2:3">
      <c r="B5349" s="12"/>
      <c r="C5349" s="12"/>
    </row>
    <row r="5350" spans="2:3">
      <c r="B5350" s="12"/>
      <c r="C5350" s="12"/>
    </row>
    <row r="5351" spans="2:3">
      <c r="B5351" s="12"/>
      <c r="C5351" s="12"/>
    </row>
    <row r="5352" spans="2:3">
      <c r="B5352" s="12"/>
      <c r="C5352" s="12"/>
    </row>
    <row r="5353" spans="2:3">
      <c r="B5353" s="12"/>
      <c r="C5353" s="12"/>
    </row>
    <row r="5354" spans="2:3">
      <c r="B5354" s="12"/>
      <c r="C5354" s="12"/>
    </row>
    <row r="5355" spans="2:3">
      <c r="B5355" s="12"/>
      <c r="C5355" s="12"/>
    </row>
    <row r="5356" spans="2:3">
      <c r="B5356" s="12"/>
      <c r="C5356" s="12"/>
    </row>
    <row r="5357" spans="2:3">
      <c r="B5357" s="12"/>
      <c r="C5357" s="12"/>
    </row>
    <row r="5358" spans="2:3">
      <c r="B5358" s="12"/>
      <c r="C5358" s="12"/>
    </row>
    <row r="5359" spans="2:3">
      <c r="B5359" s="12"/>
      <c r="C5359" s="12"/>
    </row>
    <row r="5360" spans="2:3">
      <c r="B5360" s="12"/>
      <c r="C5360" s="12"/>
    </row>
    <row r="5361" spans="2:3">
      <c r="B5361" s="12"/>
      <c r="C5361" s="12"/>
    </row>
    <row r="5362" spans="2:3">
      <c r="B5362" s="12"/>
      <c r="C5362" s="12"/>
    </row>
    <row r="5363" spans="2:3">
      <c r="B5363" s="12"/>
      <c r="C5363" s="12"/>
    </row>
    <row r="5364" spans="2:3">
      <c r="B5364" s="12"/>
      <c r="C5364" s="12"/>
    </row>
    <row r="5365" spans="2:3">
      <c r="B5365" s="12"/>
      <c r="C5365" s="12"/>
    </row>
    <row r="5366" spans="2:3">
      <c r="B5366" s="12"/>
      <c r="C5366" s="12"/>
    </row>
    <row r="5367" spans="2:3">
      <c r="B5367" s="12"/>
      <c r="C5367" s="12"/>
    </row>
    <row r="5368" spans="2:3">
      <c r="B5368" s="12"/>
      <c r="C5368" s="12"/>
    </row>
    <row r="5369" spans="2:3">
      <c r="B5369" s="12"/>
      <c r="C5369" s="12"/>
    </row>
    <row r="5370" spans="2:3">
      <c r="B5370" s="12"/>
      <c r="C5370" s="12"/>
    </row>
    <row r="5371" spans="2:3">
      <c r="B5371" s="12"/>
      <c r="C5371" s="12"/>
    </row>
    <row r="5372" spans="2:3">
      <c r="B5372" s="12"/>
      <c r="C5372" s="12"/>
    </row>
    <row r="5373" spans="2:3">
      <c r="B5373" s="12"/>
      <c r="C5373" s="12"/>
    </row>
    <row r="5374" spans="2:3">
      <c r="B5374" s="12"/>
      <c r="C5374" s="12"/>
    </row>
    <row r="5375" spans="2:3">
      <c r="B5375" s="12"/>
      <c r="C5375" s="12"/>
    </row>
    <row r="5376" spans="2:3">
      <c r="B5376" s="12"/>
      <c r="C5376" s="12"/>
    </row>
    <row r="5377" spans="2:3">
      <c r="B5377" s="12"/>
      <c r="C5377" s="12"/>
    </row>
    <row r="5378" spans="2:3">
      <c r="B5378" s="12"/>
      <c r="C5378" s="12"/>
    </row>
    <row r="5379" spans="2:3">
      <c r="B5379" s="12"/>
      <c r="C5379" s="12"/>
    </row>
    <row r="5380" spans="2:3">
      <c r="B5380" s="12"/>
      <c r="C5380" s="12"/>
    </row>
    <row r="5381" spans="2:3">
      <c r="B5381" s="12"/>
      <c r="C5381" s="12"/>
    </row>
    <row r="5382" spans="2:3">
      <c r="B5382" s="12"/>
      <c r="C5382" s="12"/>
    </row>
    <row r="5383" spans="2:3">
      <c r="B5383" s="12"/>
      <c r="C5383" s="12"/>
    </row>
    <row r="5384" spans="2:3">
      <c r="B5384" s="12"/>
      <c r="C5384" s="12"/>
    </row>
    <row r="5385" spans="2:3">
      <c r="B5385" s="12"/>
      <c r="C5385" s="12"/>
    </row>
    <row r="5386" spans="2:3">
      <c r="B5386" s="12"/>
      <c r="C5386" s="12"/>
    </row>
    <row r="5387" spans="2:3">
      <c r="B5387" s="12"/>
      <c r="C5387" s="12"/>
    </row>
    <row r="5388" spans="2:3">
      <c r="B5388" s="12"/>
      <c r="C5388" s="12"/>
    </row>
    <row r="5389" spans="2:3">
      <c r="B5389" s="12"/>
      <c r="C5389" s="12"/>
    </row>
    <row r="5390" spans="2:3">
      <c r="B5390" s="12"/>
      <c r="C5390" s="12"/>
    </row>
    <row r="5391" spans="2:3">
      <c r="B5391" s="12"/>
      <c r="C5391" s="12"/>
    </row>
    <row r="5392" spans="2:3">
      <c r="B5392" s="12"/>
      <c r="C5392" s="12"/>
    </row>
    <row r="5393" spans="2:3">
      <c r="B5393" s="12"/>
      <c r="C5393" s="12"/>
    </row>
    <row r="5394" spans="2:3">
      <c r="B5394" s="12"/>
      <c r="C5394" s="12"/>
    </row>
    <row r="5395" spans="2:3">
      <c r="B5395" s="12"/>
      <c r="C5395" s="12"/>
    </row>
    <row r="5396" spans="2:3">
      <c r="B5396" s="12"/>
      <c r="C5396" s="12"/>
    </row>
    <row r="5397" spans="2:3">
      <c r="B5397" s="12"/>
      <c r="C5397" s="12"/>
    </row>
    <row r="5398" spans="2:3">
      <c r="B5398" s="12"/>
      <c r="C5398" s="12"/>
    </row>
    <row r="5399" spans="2:3">
      <c r="B5399" s="12"/>
      <c r="C5399" s="12"/>
    </row>
    <row r="5400" spans="2:3">
      <c r="B5400" s="12"/>
      <c r="C5400" s="12"/>
    </row>
    <row r="5401" spans="2:3">
      <c r="B5401" s="12"/>
      <c r="C5401" s="12"/>
    </row>
    <row r="5402" spans="2:3">
      <c r="B5402" s="12"/>
      <c r="C5402" s="12"/>
    </row>
    <row r="5403" spans="2:3">
      <c r="B5403" s="12"/>
      <c r="C5403" s="12"/>
    </row>
    <row r="5404" spans="2:3">
      <c r="B5404" s="12"/>
      <c r="C5404" s="12"/>
    </row>
    <row r="5405" spans="2:3">
      <c r="B5405" s="12"/>
      <c r="C5405" s="12"/>
    </row>
    <row r="5406" spans="2:3">
      <c r="B5406" s="12"/>
      <c r="C5406" s="12"/>
    </row>
    <row r="5407" spans="2:3">
      <c r="B5407" s="12"/>
      <c r="C5407" s="12"/>
    </row>
    <row r="5408" spans="2:3">
      <c r="B5408" s="12"/>
      <c r="C5408" s="12"/>
    </row>
    <row r="5409" spans="2:3">
      <c r="B5409" s="12"/>
      <c r="C5409" s="12"/>
    </row>
    <row r="5410" spans="2:3">
      <c r="B5410" s="12"/>
      <c r="C5410" s="12"/>
    </row>
    <row r="5411" spans="2:3">
      <c r="B5411" s="12"/>
      <c r="C5411" s="12"/>
    </row>
    <row r="5412" spans="2:3">
      <c r="B5412" s="12"/>
      <c r="C5412" s="12"/>
    </row>
    <row r="5413" spans="2:3">
      <c r="B5413" s="12"/>
      <c r="C5413" s="12"/>
    </row>
    <row r="5414" spans="2:3">
      <c r="B5414" s="12"/>
      <c r="C5414" s="12"/>
    </row>
    <row r="5415" spans="2:3">
      <c r="B5415" s="12"/>
      <c r="C5415" s="12"/>
    </row>
    <row r="5416" spans="2:3">
      <c r="B5416" s="12"/>
      <c r="C5416" s="12"/>
    </row>
    <row r="5417" spans="2:3">
      <c r="B5417" s="12"/>
      <c r="C5417" s="12"/>
    </row>
    <row r="5418" spans="2:3">
      <c r="B5418" s="12"/>
      <c r="C5418" s="12"/>
    </row>
    <row r="5419" spans="2:3">
      <c r="B5419" s="12"/>
      <c r="C5419" s="12"/>
    </row>
    <row r="5420" spans="2:3">
      <c r="B5420" s="12"/>
      <c r="C5420" s="12"/>
    </row>
    <row r="5421" spans="2:3">
      <c r="B5421" s="12"/>
      <c r="C5421" s="12"/>
    </row>
    <row r="5422" spans="2:3">
      <c r="B5422" s="12"/>
      <c r="C5422" s="12"/>
    </row>
    <row r="5423" spans="2:3">
      <c r="B5423" s="12"/>
      <c r="C5423" s="12"/>
    </row>
    <row r="5424" spans="2:3">
      <c r="B5424" s="12"/>
      <c r="C5424" s="12"/>
    </row>
    <row r="5425" spans="2:3">
      <c r="B5425" s="12"/>
      <c r="C5425" s="12"/>
    </row>
    <row r="5426" spans="2:3">
      <c r="B5426" s="12"/>
      <c r="C5426" s="12"/>
    </row>
    <row r="5427" spans="2:3">
      <c r="B5427" s="12"/>
      <c r="C5427" s="12"/>
    </row>
    <row r="5428" spans="2:3">
      <c r="B5428" s="12"/>
      <c r="C5428" s="12"/>
    </row>
    <row r="5429" spans="2:3">
      <c r="B5429" s="12"/>
      <c r="C5429" s="12"/>
    </row>
    <row r="5430" spans="2:3">
      <c r="B5430" s="12"/>
      <c r="C5430" s="12"/>
    </row>
    <row r="5431" spans="2:3">
      <c r="B5431" s="12"/>
      <c r="C5431" s="12"/>
    </row>
    <row r="5432" spans="2:3">
      <c r="B5432" s="12"/>
      <c r="C5432" s="12"/>
    </row>
    <row r="5433" spans="2:3">
      <c r="B5433" s="12"/>
      <c r="C5433" s="12"/>
    </row>
    <row r="5434" spans="2:3">
      <c r="B5434" s="12"/>
      <c r="C5434" s="12"/>
    </row>
    <row r="5435" spans="2:3">
      <c r="B5435" s="12"/>
      <c r="C5435" s="12"/>
    </row>
    <row r="5436" spans="2:3">
      <c r="B5436" s="12"/>
      <c r="C5436" s="12"/>
    </row>
    <row r="5437" spans="2:3">
      <c r="B5437" s="12"/>
      <c r="C5437" s="12"/>
    </row>
    <row r="5438" spans="2:3">
      <c r="B5438" s="12"/>
      <c r="C5438" s="12"/>
    </row>
    <row r="5439" spans="2:3">
      <c r="B5439" s="12"/>
      <c r="C5439" s="12"/>
    </row>
    <row r="5440" spans="2:3">
      <c r="B5440" s="12"/>
      <c r="C5440" s="12"/>
    </row>
    <row r="5441" spans="2:3">
      <c r="B5441" s="12"/>
      <c r="C5441" s="12"/>
    </row>
    <row r="5442" spans="2:3">
      <c r="B5442" s="12"/>
      <c r="C5442" s="12"/>
    </row>
    <row r="5443" spans="2:3">
      <c r="B5443" s="12"/>
      <c r="C5443" s="12"/>
    </row>
    <row r="5444" spans="2:3">
      <c r="B5444" s="12"/>
      <c r="C5444" s="12"/>
    </row>
    <row r="5445" spans="2:3">
      <c r="B5445" s="12"/>
      <c r="C5445" s="12"/>
    </row>
    <row r="5446" spans="2:3">
      <c r="B5446" s="12"/>
      <c r="C5446" s="12"/>
    </row>
    <row r="5447" spans="2:3">
      <c r="B5447" s="12"/>
      <c r="C5447" s="12"/>
    </row>
    <row r="5448" spans="2:3">
      <c r="B5448" s="12"/>
      <c r="C5448" s="12"/>
    </row>
    <row r="5449" spans="2:3">
      <c r="B5449" s="12"/>
      <c r="C5449" s="12"/>
    </row>
    <row r="5450" spans="2:3">
      <c r="B5450" s="12"/>
      <c r="C5450" s="12"/>
    </row>
    <row r="5451" spans="2:3">
      <c r="B5451" s="12"/>
      <c r="C5451" s="12"/>
    </row>
    <row r="5452" spans="2:3">
      <c r="B5452" s="12"/>
      <c r="C5452" s="12"/>
    </row>
    <row r="5453" spans="2:3">
      <c r="B5453" s="12"/>
      <c r="C5453" s="12"/>
    </row>
    <row r="5454" spans="2:3">
      <c r="B5454" s="12"/>
      <c r="C5454" s="12"/>
    </row>
    <row r="5455" spans="2:3">
      <c r="B5455" s="12"/>
      <c r="C5455" s="12"/>
    </row>
    <row r="5456" spans="2:3">
      <c r="B5456" s="12"/>
      <c r="C5456" s="12"/>
    </row>
    <row r="5457" spans="2:3">
      <c r="B5457" s="12"/>
      <c r="C5457" s="12"/>
    </row>
    <row r="5458" spans="2:3">
      <c r="B5458" s="12"/>
      <c r="C5458" s="12"/>
    </row>
    <row r="5459" spans="2:3">
      <c r="B5459" s="12"/>
      <c r="C5459" s="12"/>
    </row>
    <row r="5460" spans="2:3">
      <c r="B5460" s="12"/>
      <c r="C5460" s="12"/>
    </row>
    <row r="5461" spans="2:3">
      <c r="B5461" s="12"/>
      <c r="C5461" s="12"/>
    </row>
    <row r="5462" spans="2:3">
      <c r="B5462" s="12"/>
      <c r="C5462" s="12"/>
    </row>
    <row r="5463" spans="2:3">
      <c r="B5463" s="12"/>
      <c r="C5463" s="12"/>
    </row>
    <row r="5464" spans="2:3">
      <c r="B5464" s="12"/>
      <c r="C5464" s="12"/>
    </row>
    <row r="5465" spans="2:3">
      <c r="B5465" s="12"/>
      <c r="C5465" s="12"/>
    </row>
    <row r="5466" spans="2:3">
      <c r="B5466" s="12"/>
      <c r="C5466" s="12"/>
    </row>
    <row r="5467" spans="2:3">
      <c r="B5467" s="12"/>
      <c r="C5467" s="12"/>
    </row>
    <row r="5468" spans="2:3">
      <c r="B5468" s="12"/>
      <c r="C5468" s="12"/>
    </row>
    <row r="5469" spans="2:3">
      <c r="B5469" s="12"/>
      <c r="C5469" s="12"/>
    </row>
    <row r="5470" spans="2:3">
      <c r="B5470" s="12"/>
      <c r="C5470" s="12"/>
    </row>
    <row r="5471" spans="2:3">
      <c r="B5471" s="12"/>
      <c r="C5471" s="12"/>
    </row>
    <row r="5472" spans="2:3">
      <c r="B5472" s="12"/>
      <c r="C5472" s="12"/>
    </row>
    <row r="5473" spans="2:3">
      <c r="B5473" s="12"/>
      <c r="C5473" s="12"/>
    </row>
    <row r="5474" spans="2:3">
      <c r="B5474" s="12"/>
      <c r="C5474" s="12"/>
    </row>
    <row r="5475" spans="2:3">
      <c r="B5475" s="12"/>
      <c r="C5475" s="12"/>
    </row>
    <row r="5476" spans="2:3">
      <c r="B5476" s="12"/>
      <c r="C5476" s="12"/>
    </row>
    <row r="5477" spans="2:3">
      <c r="B5477" s="12"/>
      <c r="C5477" s="12"/>
    </row>
    <row r="5478" spans="2:3">
      <c r="B5478" s="12"/>
      <c r="C5478" s="12"/>
    </row>
    <row r="5479" spans="2:3">
      <c r="B5479" s="12"/>
      <c r="C5479" s="12"/>
    </row>
    <row r="5480" spans="2:3">
      <c r="B5480" s="12"/>
      <c r="C5480" s="12"/>
    </row>
    <row r="5481" spans="2:3">
      <c r="B5481" s="12"/>
      <c r="C5481" s="12"/>
    </row>
    <row r="5482" spans="2:3">
      <c r="B5482" s="12"/>
      <c r="C5482" s="12"/>
    </row>
    <row r="5483" spans="2:3">
      <c r="B5483" s="12"/>
      <c r="C5483" s="12"/>
    </row>
    <row r="5484" spans="2:3">
      <c r="B5484" s="12"/>
      <c r="C5484" s="12"/>
    </row>
    <row r="5485" spans="2:3">
      <c r="B5485" s="12"/>
      <c r="C5485" s="12"/>
    </row>
    <row r="5486" spans="2:3">
      <c r="B5486" s="12"/>
      <c r="C5486" s="12"/>
    </row>
    <row r="5487" spans="2:3">
      <c r="B5487" s="12"/>
      <c r="C5487" s="12"/>
    </row>
    <row r="5488" spans="2:3">
      <c r="B5488" s="12"/>
      <c r="C5488" s="12"/>
    </row>
    <row r="5489" spans="2:3">
      <c r="B5489" s="12"/>
      <c r="C5489" s="12"/>
    </row>
    <row r="5490" spans="2:3">
      <c r="B5490" s="12"/>
      <c r="C5490" s="12"/>
    </row>
    <row r="5491" spans="2:3">
      <c r="B5491" s="12"/>
      <c r="C5491" s="12"/>
    </row>
    <row r="5492" spans="2:3">
      <c r="B5492" s="12"/>
      <c r="C5492" s="12"/>
    </row>
    <row r="5493" spans="2:3">
      <c r="B5493" s="12"/>
      <c r="C5493" s="12"/>
    </row>
    <row r="5494" spans="2:3">
      <c r="B5494" s="12"/>
      <c r="C5494" s="12"/>
    </row>
    <row r="5495" spans="2:3">
      <c r="B5495" s="12"/>
      <c r="C5495" s="12"/>
    </row>
    <row r="5496" spans="2:3">
      <c r="B5496" s="12"/>
      <c r="C5496" s="12"/>
    </row>
    <row r="5497" spans="2:3">
      <c r="B5497" s="12"/>
      <c r="C5497" s="12"/>
    </row>
    <row r="5498" spans="2:3">
      <c r="B5498" s="12"/>
      <c r="C5498" s="12"/>
    </row>
    <row r="5499" spans="2:3">
      <c r="B5499" s="12"/>
      <c r="C5499" s="12"/>
    </row>
    <row r="5500" spans="2:3">
      <c r="B5500" s="12"/>
      <c r="C5500" s="12"/>
    </row>
    <row r="5501" spans="2:3">
      <c r="B5501" s="12"/>
      <c r="C5501" s="12"/>
    </row>
    <row r="5502" spans="2:3">
      <c r="B5502" s="12"/>
      <c r="C5502" s="12"/>
    </row>
    <row r="5503" spans="2:3">
      <c r="B5503" s="12"/>
      <c r="C5503" s="12"/>
    </row>
    <row r="5504" spans="2:3">
      <c r="B5504" s="12"/>
      <c r="C5504" s="12"/>
    </row>
    <row r="5505" spans="2:3">
      <c r="B5505" s="12"/>
      <c r="C5505" s="12"/>
    </row>
    <row r="5506" spans="2:3">
      <c r="B5506" s="12"/>
      <c r="C5506" s="12"/>
    </row>
    <row r="5507" spans="2:3">
      <c r="B5507" s="12"/>
      <c r="C5507" s="12"/>
    </row>
    <row r="5508" spans="2:3">
      <c r="B5508" s="12"/>
      <c r="C5508" s="12"/>
    </row>
    <row r="5509" spans="2:3">
      <c r="B5509" s="12"/>
      <c r="C5509" s="12"/>
    </row>
    <row r="5510" spans="2:3">
      <c r="B5510" s="12"/>
      <c r="C5510" s="12"/>
    </row>
    <row r="5511" spans="2:3">
      <c r="B5511" s="12"/>
      <c r="C5511" s="12"/>
    </row>
    <row r="5512" spans="2:3">
      <c r="B5512" s="12"/>
      <c r="C5512" s="12"/>
    </row>
    <row r="5513" spans="2:3">
      <c r="B5513" s="12"/>
      <c r="C5513" s="12"/>
    </row>
    <row r="5514" spans="2:3">
      <c r="B5514" s="12"/>
      <c r="C5514" s="12"/>
    </row>
    <row r="5515" spans="2:3">
      <c r="B5515" s="12"/>
      <c r="C5515" s="12"/>
    </row>
    <row r="5516" spans="2:3">
      <c r="B5516" s="12"/>
      <c r="C5516" s="12"/>
    </row>
    <row r="5517" spans="2:3">
      <c r="B5517" s="12"/>
      <c r="C5517" s="12"/>
    </row>
    <row r="5518" spans="2:3">
      <c r="B5518" s="12"/>
      <c r="C5518" s="12"/>
    </row>
    <row r="5519" spans="2:3">
      <c r="B5519" s="12"/>
      <c r="C5519" s="12"/>
    </row>
    <row r="5520" spans="2:3">
      <c r="B5520" s="12"/>
      <c r="C5520" s="12"/>
    </row>
    <row r="5521" spans="2:3">
      <c r="B5521" s="12"/>
      <c r="C5521" s="12"/>
    </row>
    <row r="5522" spans="2:3">
      <c r="B5522" s="12"/>
      <c r="C5522" s="12"/>
    </row>
    <row r="5523" spans="2:3">
      <c r="B5523" s="12"/>
      <c r="C5523" s="12"/>
    </row>
    <row r="5524" spans="2:3">
      <c r="B5524" s="12"/>
      <c r="C5524" s="12"/>
    </row>
    <row r="5525" spans="2:3">
      <c r="B5525" s="12"/>
      <c r="C5525" s="12"/>
    </row>
    <row r="5526" spans="2:3">
      <c r="B5526" s="12"/>
      <c r="C5526" s="12"/>
    </row>
    <row r="5527" spans="2:3">
      <c r="B5527" s="12"/>
      <c r="C5527" s="12"/>
    </row>
    <row r="5528" spans="2:3">
      <c r="B5528" s="12"/>
      <c r="C5528" s="12"/>
    </row>
    <row r="5529" spans="2:3">
      <c r="B5529" s="12"/>
      <c r="C5529" s="12"/>
    </row>
    <row r="5530" spans="2:3">
      <c r="B5530" s="12"/>
      <c r="C5530" s="12"/>
    </row>
    <row r="5531" spans="2:3">
      <c r="B5531" s="12"/>
      <c r="C5531" s="12"/>
    </row>
    <row r="5532" spans="2:3">
      <c r="B5532" s="12"/>
      <c r="C5532" s="12"/>
    </row>
    <row r="5533" spans="2:3">
      <c r="B5533" s="12"/>
      <c r="C5533" s="12"/>
    </row>
    <row r="5534" spans="2:3">
      <c r="B5534" s="12"/>
      <c r="C5534" s="12"/>
    </row>
    <row r="5535" spans="2:3">
      <c r="B5535" s="12"/>
      <c r="C5535" s="12"/>
    </row>
    <row r="5536" spans="2:3">
      <c r="B5536" s="12"/>
      <c r="C5536" s="12"/>
    </row>
    <row r="5537" spans="2:3">
      <c r="B5537" s="12"/>
      <c r="C5537" s="12"/>
    </row>
    <row r="5538" spans="2:3">
      <c r="B5538" s="12"/>
      <c r="C5538" s="12"/>
    </row>
    <row r="5539" spans="2:3">
      <c r="B5539" s="12"/>
      <c r="C5539" s="12"/>
    </row>
    <row r="5540" spans="2:3">
      <c r="B5540" s="12"/>
      <c r="C5540" s="12"/>
    </row>
    <row r="5541" spans="2:3">
      <c r="B5541" s="12"/>
      <c r="C5541" s="12"/>
    </row>
    <row r="5542" spans="2:3">
      <c r="B5542" s="12"/>
      <c r="C5542" s="12"/>
    </row>
    <row r="5543" spans="2:3">
      <c r="B5543" s="12"/>
      <c r="C5543" s="12"/>
    </row>
    <row r="5544" spans="2:3">
      <c r="B5544" s="12"/>
      <c r="C5544" s="12"/>
    </row>
    <row r="5545" spans="2:3">
      <c r="B5545" s="12"/>
      <c r="C5545" s="12"/>
    </row>
    <row r="5546" spans="2:3">
      <c r="B5546" s="12"/>
      <c r="C5546" s="12"/>
    </row>
    <row r="5547" spans="2:3">
      <c r="B5547" s="12"/>
      <c r="C5547" s="12"/>
    </row>
    <row r="5548" spans="2:3">
      <c r="B5548" s="12"/>
      <c r="C5548" s="12"/>
    </row>
    <row r="5549" spans="2:3">
      <c r="B5549" s="12"/>
      <c r="C5549" s="12"/>
    </row>
    <row r="5550" spans="2:3">
      <c r="B5550" s="12"/>
      <c r="C5550" s="12"/>
    </row>
    <row r="5551" spans="2:3">
      <c r="B5551" s="12"/>
      <c r="C5551" s="12"/>
    </row>
    <row r="5552" spans="2:3">
      <c r="B5552" s="12"/>
      <c r="C5552" s="12"/>
    </row>
    <row r="5553" spans="2:3">
      <c r="B5553" s="12"/>
      <c r="C5553" s="12"/>
    </row>
    <row r="5554" spans="2:3">
      <c r="B5554" s="12"/>
      <c r="C5554" s="12"/>
    </row>
    <row r="5555" spans="2:3">
      <c r="B5555" s="12"/>
      <c r="C5555" s="12"/>
    </row>
    <row r="5556" spans="2:3">
      <c r="B5556" s="12"/>
      <c r="C5556" s="12"/>
    </row>
    <row r="5557" spans="2:3">
      <c r="B5557" s="12"/>
      <c r="C5557" s="12"/>
    </row>
    <row r="5558" spans="2:3">
      <c r="B5558" s="12"/>
      <c r="C5558" s="12"/>
    </row>
    <row r="5559" spans="2:3">
      <c r="B5559" s="12"/>
      <c r="C5559" s="12"/>
    </row>
    <row r="5560" spans="2:3">
      <c r="B5560" s="12"/>
      <c r="C5560" s="12"/>
    </row>
    <row r="5561" spans="2:3">
      <c r="B5561" s="12"/>
      <c r="C5561" s="12"/>
    </row>
    <row r="5562" spans="2:3">
      <c r="B5562" s="12"/>
      <c r="C5562" s="12"/>
    </row>
    <row r="5563" spans="2:3">
      <c r="B5563" s="12"/>
      <c r="C5563" s="12"/>
    </row>
    <row r="5564" spans="2:3">
      <c r="B5564" s="12"/>
      <c r="C5564" s="12"/>
    </row>
    <row r="5565" spans="2:3">
      <c r="B5565" s="12"/>
      <c r="C5565" s="12"/>
    </row>
    <row r="5566" spans="2:3">
      <c r="B5566" s="12"/>
      <c r="C5566" s="12"/>
    </row>
    <row r="5567" spans="2:3">
      <c r="B5567" s="12"/>
      <c r="C5567" s="12"/>
    </row>
    <row r="5568" spans="2:3">
      <c r="B5568" s="12"/>
      <c r="C5568" s="12"/>
    </row>
    <row r="5569" spans="2:3">
      <c r="B5569" s="12"/>
      <c r="C5569" s="12"/>
    </row>
    <row r="5570" spans="2:3">
      <c r="B5570" s="12"/>
      <c r="C5570" s="12"/>
    </row>
    <row r="5571" spans="2:3">
      <c r="B5571" s="12"/>
      <c r="C5571" s="12"/>
    </row>
    <row r="5572" spans="2:3">
      <c r="B5572" s="12"/>
      <c r="C5572" s="12"/>
    </row>
    <row r="5573" spans="2:3">
      <c r="B5573" s="12"/>
      <c r="C5573" s="12"/>
    </row>
    <row r="5574" spans="2:3">
      <c r="B5574" s="12"/>
      <c r="C5574" s="12"/>
    </row>
    <row r="5575" spans="2:3">
      <c r="B5575" s="12"/>
      <c r="C5575" s="12"/>
    </row>
    <row r="5576" spans="2:3">
      <c r="B5576" s="12"/>
      <c r="C5576" s="12"/>
    </row>
    <row r="5577" spans="2:3">
      <c r="B5577" s="12"/>
      <c r="C5577" s="12"/>
    </row>
    <row r="5578" spans="2:3">
      <c r="B5578" s="12"/>
      <c r="C5578" s="12"/>
    </row>
    <row r="5579" spans="2:3">
      <c r="B5579" s="12"/>
      <c r="C5579" s="12"/>
    </row>
    <row r="5580" spans="2:3">
      <c r="B5580" s="12"/>
      <c r="C5580" s="12"/>
    </row>
    <row r="5581" spans="2:3">
      <c r="B5581" s="12"/>
      <c r="C5581" s="12"/>
    </row>
    <row r="5582" spans="2:3">
      <c r="B5582" s="12"/>
      <c r="C5582" s="12"/>
    </row>
    <row r="5583" spans="2:3">
      <c r="B5583" s="12"/>
      <c r="C5583" s="12"/>
    </row>
    <row r="5584" spans="2:3">
      <c r="B5584" s="12"/>
      <c r="C5584" s="12"/>
    </row>
    <row r="5585" spans="2:3">
      <c r="B5585" s="12"/>
      <c r="C5585" s="12"/>
    </row>
    <row r="5586" spans="2:3">
      <c r="B5586" s="12"/>
      <c r="C5586" s="12"/>
    </row>
    <row r="5587" spans="2:3">
      <c r="B5587" s="12"/>
      <c r="C5587" s="12"/>
    </row>
    <row r="5588" spans="2:3">
      <c r="B5588" s="12"/>
      <c r="C5588" s="12"/>
    </row>
    <row r="5589" spans="2:3">
      <c r="B5589" s="12"/>
      <c r="C5589" s="12"/>
    </row>
    <row r="5590" spans="2:3">
      <c r="B5590" s="12"/>
      <c r="C5590" s="12"/>
    </row>
    <row r="5591" spans="2:3">
      <c r="B5591" s="12"/>
      <c r="C5591" s="12"/>
    </row>
    <row r="5592" spans="2:3">
      <c r="B5592" s="12"/>
      <c r="C5592" s="12"/>
    </row>
    <row r="5593" spans="2:3">
      <c r="B5593" s="12"/>
      <c r="C5593" s="12"/>
    </row>
    <row r="5594" spans="2:3">
      <c r="B5594" s="12"/>
      <c r="C5594" s="12"/>
    </row>
    <row r="5595" spans="2:3">
      <c r="B5595" s="12"/>
      <c r="C5595" s="12"/>
    </row>
    <row r="5596" spans="2:3">
      <c r="B5596" s="12"/>
      <c r="C5596" s="12"/>
    </row>
    <row r="5597" spans="2:3">
      <c r="B5597" s="12"/>
      <c r="C5597" s="12"/>
    </row>
    <row r="5598" spans="2:3">
      <c r="B5598" s="12"/>
      <c r="C5598" s="12"/>
    </row>
    <row r="5599" spans="2:3">
      <c r="B5599" s="12"/>
      <c r="C5599" s="12"/>
    </row>
    <row r="5600" spans="2:3">
      <c r="B5600" s="12"/>
      <c r="C5600" s="12"/>
    </row>
    <row r="5601" spans="2:3">
      <c r="B5601" s="12"/>
      <c r="C5601" s="12"/>
    </row>
    <row r="5602" spans="2:3">
      <c r="B5602" s="12"/>
      <c r="C5602" s="12"/>
    </row>
    <row r="5603" spans="2:3">
      <c r="B5603" s="12"/>
      <c r="C5603" s="12"/>
    </row>
    <row r="5604" spans="2:3">
      <c r="B5604" s="12"/>
      <c r="C5604" s="12"/>
    </row>
    <row r="5605" spans="2:3">
      <c r="B5605" s="12"/>
      <c r="C5605" s="12"/>
    </row>
    <row r="5606" spans="2:3">
      <c r="B5606" s="12"/>
      <c r="C5606" s="12"/>
    </row>
    <row r="5607" spans="2:3">
      <c r="B5607" s="12"/>
      <c r="C5607" s="12"/>
    </row>
    <row r="5608" spans="2:3">
      <c r="B5608" s="12"/>
      <c r="C5608" s="12"/>
    </row>
    <row r="5609" spans="2:3">
      <c r="B5609" s="12"/>
      <c r="C5609" s="12"/>
    </row>
    <row r="5610" spans="2:3">
      <c r="B5610" s="12"/>
      <c r="C5610" s="12"/>
    </row>
    <row r="5611" spans="2:3">
      <c r="B5611" s="12"/>
      <c r="C5611" s="12"/>
    </row>
    <row r="5612" spans="2:3">
      <c r="B5612" s="12"/>
      <c r="C5612" s="12"/>
    </row>
    <row r="5613" spans="2:3">
      <c r="B5613" s="12"/>
      <c r="C5613" s="12"/>
    </row>
    <row r="5614" spans="2:3">
      <c r="B5614" s="12"/>
      <c r="C5614" s="12"/>
    </row>
    <row r="5615" spans="2:3">
      <c r="B5615" s="12"/>
      <c r="C5615" s="12"/>
    </row>
    <row r="5616" spans="2:3">
      <c r="B5616" s="12"/>
      <c r="C5616" s="12"/>
    </row>
    <row r="5617" spans="2:3">
      <c r="B5617" s="12"/>
      <c r="C5617" s="12"/>
    </row>
    <row r="5618" spans="2:3">
      <c r="B5618" s="12"/>
      <c r="C5618" s="12"/>
    </row>
    <row r="5619" spans="2:3">
      <c r="B5619" s="12"/>
      <c r="C5619" s="12"/>
    </row>
    <row r="5620" spans="2:3">
      <c r="B5620" s="12"/>
      <c r="C5620" s="12"/>
    </row>
    <row r="5621" spans="2:3">
      <c r="B5621" s="12"/>
      <c r="C5621" s="12"/>
    </row>
    <row r="5622" spans="2:3">
      <c r="B5622" s="12"/>
      <c r="C5622" s="12"/>
    </row>
    <row r="5623" spans="2:3">
      <c r="B5623" s="12"/>
      <c r="C5623" s="12"/>
    </row>
    <row r="5624" spans="2:3">
      <c r="B5624" s="12"/>
      <c r="C5624" s="12"/>
    </row>
    <row r="5625" spans="2:3">
      <c r="B5625" s="12"/>
      <c r="C5625" s="12"/>
    </row>
    <row r="5626" spans="2:3">
      <c r="B5626" s="12"/>
      <c r="C5626" s="12"/>
    </row>
    <row r="5627" spans="2:3">
      <c r="B5627" s="12"/>
      <c r="C5627" s="12"/>
    </row>
    <row r="5628" spans="2:3">
      <c r="B5628" s="12"/>
      <c r="C5628" s="12"/>
    </row>
    <row r="5629" spans="2:3">
      <c r="B5629" s="12"/>
      <c r="C5629" s="12"/>
    </row>
    <row r="5630" spans="2:3">
      <c r="B5630" s="12"/>
      <c r="C5630" s="12"/>
    </row>
    <row r="5631" spans="2:3">
      <c r="B5631" s="12"/>
      <c r="C5631" s="12"/>
    </row>
    <row r="5632" spans="2:3">
      <c r="B5632" s="12"/>
      <c r="C5632" s="12"/>
    </row>
    <row r="5633" spans="2:3">
      <c r="B5633" s="12"/>
      <c r="C5633" s="12"/>
    </row>
    <row r="5634" spans="2:3">
      <c r="B5634" s="12"/>
      <c r="C5634" s="12"/>
    </row>
    <row r="5635" spans="2:3">
      <c r="B5635" s="12"/>
      <c r="C5635" s="12"/>
    </row>
    <row r="5636" spans="2:3">
      <c r="B5636" s="12"/>
      <c r="C5636" s="12"/>
    </row>
    <row r="5637" spans="2:3">
      <c r="B5637" s="12"/>
      <c r="C5637" s="12"/>
    </row>
    <row r="5638" spans="2:3">
      <c r="B5638" s="12"/>
      <c r="C5638" s="12"/>
    </row>
    <row r="5639" spans="2:3">
      <c r="B5639" s="12"/>
      <c r="C5639" s="12"/>
    </row>
    <row r="5640" spans="2:3">
      <c r="B5640" s="12"/>
      <c r="C5640" s="12"/>
    </row>
    <row r="5641" spans="2:3">
      <c r="B5641" s="12"/>
      <c r="C5641" s="12"/>
    </row>
    <row r="5642" spans="2:3">
      <c r="B5642" s="12"/>
      <c r="C5642" s="12"/>
    </row>
    <row r="5643" spans="2:3">
      <c r="B5643" s="12"/>
      <c r="C5643" s="12"/>
    </row>
    <row r="5644" spans="2:3">
      <c r="B5644" s="12"/>
      <c r="C5644" s="12"/>
    </row>
    <row r="5645" spans="2:3">
      <c r="B5645" s="12"/>
      <c r="C5645" s="12"/>
    </row>
    <row r="5646" spans="2:3">
      <c r="B5646" s="12"/>
      <c r="C5646" s="12"/>
    </row>
    <row r="5647" spans="2:3">
      <c r="B5647" s="12"/>
      <c r="C5647" s="12"/>
    </row>
    <row r="5648" spans="2:3">
      <c r="B5648" s="12"/>
      <c r="C5648" s="12"/>
    </row>
    <row r="5649" spans="2:3">
      <c r="B5649" s="12"/>
      <c r="C5649" s="12"/>
    </row>
    <row r="5650" spans="2:3">
      <c r="B5650" s="12"/>
      <c r="C5650" s="12"/>
    </row>
    <row r="5651" spans="2:3">
      <c r="B5651" s="12"/>
      <c r="C5651" s="12"/>
    </row>
    <row r="5652" spans="2:3">
      <c r="B5652" s="12"/>
      <c r="C5652" s="12"/>
    </row>
    <row r="5653" spans="2:3">
      <c r="B5653" s="12"/>
      <c r="C5653" s="12"/>
    </row>
    <row r="5654" spans="2:3">
      <c r="B5654" s="12"/>
      <c r="C5654" s="12"/>
    </row>
    <row r="5655" spans="2:3">
      <c r="B5655" s="12"/>
      <c r="C5655" s="12"/>
    </row>
    <row r="5656" spans="2:3">
      <c r="B5656" s="12"/>
      <c r="C5656" s="12"/>
    </row>
    <row r="5657" spans="2:3">
      <c r="B5657" s="12"/>
      <c r="C5657" s="12"/>
    </row>
    <row r="5658" spans="2:3">
      <c r="B5658" s="12"/>
      <c r="C5658" s="12"/>
    </row>
    <row r="5659" spans="2:3">
      <c r="B5659" s="12"/>
      <c r="C5659" s="12"/>
    </row>
    <row r="5660" spans="2:3">
      <c r="B5660" s="12"/>
      <c r="C5660" s="12"/>
    </row>
    <row r="5661" spans="2:3">
      <c r="B5661" s="12"/>
      <c r="C5661" s="12"/>
    </row>
    <row r="5662" spans="2:3">
      <c r="B5662" s="12"/>
      <c r="C5662" s="12"/>
    </row>
    <row r="5663" spans="2:3">
      <c r="B5663" s="12"/>
      <c r="C5663" s="12"/>
    </row>
    <row r="5664" spans="2:3">
      <c r="B5664" s="12"/>
      <c r="C5664" s="12"/>
    </row>
    <row r="5665" spans="2:3">
      <c r="B5665" s="12"/>
      <c r="C5665" s="12"/>
    </row>
    <row r="5666" spans="2:3">
      <c r="B5666" s="12"/>
      <c r="C5666" s="12"/>
    </row>
    <row r="5667" spans="2:3">
      <c r="B5667" s="12"/>
      <c r="C5667" s="12"/>
    </row>
    <row r="5668" spans="2:3">
      <c r="B5668" s="12"/>
      <c r="C5668" s="12"/>
    </row>
    <row r="5669" spans="2:3">
      <c r="B5669" s="12"/>
      <c r="C5669" s="12"/>
    </row>
    <row r="5670" spans="2:3">
      <c r="B5670" s="12"/>
      <c r="C5670" s="12"/>
    </row>
    <row r="5671" spans="2:3">
      <c r="B5671" s="12"/>
      <c r="C5671" s="12"/>
    </row>
    <row r="5672" spans="2:3">
      <c r="B5672" s="12"/>
      <c r="C5672" s="12"/>
    </row>
    <row r="5673" spans="2:3">
      <c r="B5673" s="12"/>
      <c r="C5673" s="12"/>
    </row>
    <row r="5674" spans="2:3">
      <c r="B5674" s="12"/>
      <c r="C5674" s="12"/>
    </row>
    <row r="5675" spans="2:3">
      <c r="B5675" s="12"/>
      <c r="C5675" s="12"/>
    </row>
    <row r="5676" spans="2:3">
      <c r="B5676" s="12"/>
      <c r="C5676" s="12"/>
    </row>
    <row r="5677" spans="2:3">
      <c r="B5677" s="12"/>
      <c r="C5677" s="12"/>
    </row>
    <row r="5678" spans="2:3">
      <c r="B5678" s="12"/>
      <c r="C5678" s="12"/>
    </row>
    <row r="5679" spans="2:3">
      <c r="B5679" s="12"/>
      <c r="C5679" s="12"/>
    </row>
    <row r="5680" spans="2:3">
      <c r="B5680" s="12"/>
      <c r="C5680" s="12"/>
    </row>
    <row r="5681" spans="2:3">
      <c r="B5681" s="12"/>
      <c r="C5681" s="12"/>
    </row>
    <row r="5682" spans="2:3">
      <c r="B5682" s="12"/>
      <c r="C5682" s="12"/>
    </row>
    <row r="5683" spans="2:3">
      <c r="B5683" s="12"/>
      <c r="C5683" s="12"/>
    </row>
    <row r="5684" spans="2:3">
      <c r="B5684" s="12"/>
      <c r="C5684" s="12"/>
    </row>
    <row r="5685" spans="2:3">
      <c r="B5685" s="12"/>
      <c r="C5685" s="12"/>
    </row>
    <row r="5686" spans="2:3">
      <c r="B5686" s="12"/>
      <c r="C5686" s="12"/>
    </row>
    <row r="5687" spans="2:3">
      <c r="B5687" s="12"/>
      <c r="C5687" s="12"/>
    </row>
    <row r="5688" spans="2:3">
      <c r="B5688" s="12"/>
      <c r="C5688" s="12"/>
    </row>
    <row r="5689" spans="2:3">
      <c r="B5689" s="12"/>
      <c r="C5689" s="12"/>
    </row>
    <row r="5690" spans="2:3">
      <c r="B5690" s="12"/>
      <c r="C5690" s="12"/>
    </row>
    <row r="5691" spans="2:3">
      <c r="B5691" s="12"/>
      <c r="C5691" s="12"/>
    </row>
    <row r="5692" spans="2:3">
      <c r="B5692" s="12"/>
      <c r="C5692" s="12"/>
    </row>
    <row r="5693" spans="2:3">
      <c r="B5693" s="12"/>
      <c r="C5693" s="12"/>
    </row>
    <row r="5694" spans="2:3">
      <c r="B5694" s="12"/>
      <c r="C5694" s="12"/>
    </row>
    <row r="5695" spans="2:3">
      <c r="B5695" s="12"/>
      <c r="C5695" s="12"/>
    </row>
    <row r="5696" spans="2:3">
      <c r="B5696" s="12"/>
      <c r="C5696" s="12"/>
    </row>
    <row r="5697" spans="2:3">
      <c r="B5697" s="12"/>
      <c r="C5697" s="12"/>
    </row>
    <row r="5698" spans="2:3">
      <c r="B5698" s="12"/>
      <c r="C5698" s="12"/>
    </row>
    <row r="5699" spans="2:3">
      <c r="B5699" s="12"/>
      <c r="C5699" s="12"/>
    </row>
    <row r="5700" spans="2:3">
      <c r="B5700" s="12"/>
      <c r="C5700" s="12"/>
    </row>
    <row r="5701" spans="2:3">
      <c r="B5701" s="12"/>
      <c r="C5701" s="12"/>
    </row>
    <row r="5702" spans="2:3">
      <c r="B5702" s="12"/>
      <c r="C5702" s="12"/>
    </row>
    <row r="5703" spans="2:3">
      <c r="B5703" s="12"/>
      <c r="C5703" s="12"/>
    </row>
    <row r="5704" spans="2:3">
      <c r="B5704" s="12"/>
      <c r="C5704" s="12"/>
    </row>
    <row r="5705" spans="2:3">
      <c r="B5705" s="12"/>
      <c r="C5705" s="12"/>
    </row>
    <row r="5706" spans="2:3">
      <c r="B5706" s="12"/>
      <c r="C5706" s="12"/>
    </row>
    <row r="5707" spans="2:3">
      <c r="B5707" s="12"/>
      <c r="C5707" s="12"/>
    </row>
    <row r="5708" spans="2:3">
      <c r="B5708" s="12"/>
      <c r="C5708" s="12"/>
    </row>
    <row r="5709" spans="2:3">
      <c r="B5709" s="12"/>
      <c r="C5709" s="12"/>
    </row>
    <row r="5710" spans="2:3">
      <c r="B5710" s="12"/>
      <c r="C5710" s="12"/>
    </row>
    <row r="5711" spans="2:3">
      <c r="B5711" s="12"/>
      <c r="C5711" s="12"/>
    </row>
    <row r="5712" spans="2:3">
      <c r="B5712" s="12"/>
      <c r="C5712" s="12"/>
    </row>
    <row r="5713" spans="2:3">
      <c r="B5713" s="12"/>
      <c r="C5713" s="12"/>
    </row>
    <row r="5714" spans="2:3">
      <c r="B5714" s="12"/>
      <c r="C5714" s="12"/>
    </row>
    <row r="5715" spans="2:3">
      <c r="B5715" s="12"/>
      <c r="C5715" s="12"/>
    </row>
    <row r="5716" spans="2:3">
      <c r="B5716" s="12"/>
      <c r="C5716" s="12"/>
    </row>
    <row r="5717" spans="2:3">
      <c r="B5717" s="12"/>
      <c r="C5717" s="12"/>
    </row>
    <row r="5718" spans="2:3">
      <c r="B5718" s="12"/>
      <c r="C5718" s="12"/>
    </row>
    <row r="5719" spans="2:3">
      <c r="B5719" s="12"/>
      <c r="C5719" s="12"/>
    </row>
    <row r="5720" spans="2:3">
      <c r="B5720" s="12"/>
      <c r="C5720" s="12"/>
    </row>
    <row r="5721" spans="2:3">
      <c r="B5721" s="12"/>
      <c r="C5721" s="12"/>
    </row>
    <row r="5722" spans="2:3">
      <c r="B5722" s="12"/>
      <c r="C5722" s="12"/>
    </row>
    <row r="5723" spans="2:3">
      <c r="B5723" s="12"/>
      <c r="C5723" s="12"/>
    </row>
    <row r="5724" spans="2:3">
      <c r="B5724" s="12"/>
      <c r="C5724" s="12"/>
    </row>
    <row r="5725" spans="2:3">
      <c r="B5725" s="12"/>
      <c r="C5725" s="12"/>
    </row>
    <row r="5726" spans="2:3">
      <c r="B5726" s="12"/>
      <c r="C5726" s="12"/>
    </row>
    <row r="5727" spans="2:3">
      <c r="B5727" s="12"/>
      <c r="C5727" s="12"/>
    </row>
    <row r="5728" spans="2:3">
      <c r="B5728" s="12"/>
      <c r="C5728" s="12"/>
    </row>
    <row r="5729" spans="2:3">
      <c r="B5729" s="12"/>
      <c r="C5729" s="12"/>
    </row>
    <row r="5730" spans="2:3">
      <c r="B5730" s="12"/>
      <c r="C5730" s="12"/>
    </row>
    <row r="5731" spans="2:3">
      <c r="B5731" s="12"/>
      <c r="C5731" s="12"/>
    </row>
    <row r="5732" spans="2:3">
      <c r="B5732" s="12"/>
      <c r="C5732" s="12"/>
    </row>
    <row r="5733" spans="2:3">
      <c r="B5733" s="12"/>
      <c r="C5733" s="12"/>
    </row>
    <row r="5734" spans="2:3">
      <c r="B5734" s="12"/>
      <c r="C5734" s="12"/>
    </row>
    <row r="5735" spans="2:3">
      <c r="B5735" s="12"/>
      <c r="C5735" s="12"/>
    </row>
    <row r="5736" spans="2:3">
      <c r="B5736" s="12"/>
      <c r="C5736" s="12"/>
    </row>
    <row r="5737" spans="2:3">
      <c r="B5737" s="12"/>
      <c r="C5737" s="12"/>
    </row>
    <row r="5738" spans="2:3">
      <c r="B5738" s="12"/>
      <c r="C5738" s="12"/>
    </row>
    <row r="5739" spans="2:3">
      <c r="B5739" s="12"/>
      <c r="C5739" s="12"/>
    </row>
    <row r="5740" spans="2:3">
      <c r="B5740" s="12"/>
      <c r="C5740" s="12"/>
    </row>
    <row r="5741" spans="2:3">
      <c r="B5741" s="12"/>
      <c r="C5741" s="12"/>
    </row>
    <row r="5742" spans="2:3">
      <c r="B5742" s="12"/>
      <c r="C5742" s="12"/>
    </row>
    <row r="5743" spans="2:3">
      <c r="B5743" s="12"/>
      <c r="C5743" s="12"/>
    </row>
    <row r="5744" spans="2:3">
      <c r="B5744" s="12"/>
      <c r="C5744" s="12"/>
    </row>
    <row r="5745" spans="2:3">
      <c r="B5745" s="12"/>
      <c r="C5745" s="12"/>
    </row>
    <row r="5746" spans="2:3">
      <c r="B5746" s="12"/>
      <c r="C5746" s="12"/>
    </row>
    <row r="5747" spans="2:3">
      <c r="B5747" s="12"/>
      <c r="C5747" s="12"/>
    </row>
    <row r="5748" spans="2:3">
      <c r="B5748" s="12"/>
      <c r="C5748" s="12"/>
    </row>
    <row r="5749" spans="2:3">
      <c r="B5749" s="12"/>
      <c r="C5749" s="12"/>
    </row>
    <row r="5750" spans="2:3">
      <c r="B5750" s="12"/>
      <c r="C5750" s="12"/>
    </row>
    <row r="5751" spans="2:3">
      <c r="B5751" s="12"/>
      <c r="C5751" s="12"/>
    </row>
    <row r="5752" spans="2:3">
      <c r="B5752" s="12"/>
      <c r="C5752" s="12"/>
    </row>
    <row r="5753" spans="2:3">
      <c r="B5753" s="12"/>
      <c r="C5753" s="12"/>
    </row>
    <row r="5754" spans="2:3">
      <c r="B5754" s="12"/>
      <c r="C5754" s="12"/>
    </row>
    <row r="5755" spans="2:3">
      <c r="B5755" s="12"/>
      <c r="C5755" s="12"/>
    </row>
    <row r="5756" spans="2:3">
      <c r="B5756" s="12"/>
      <c r="C5756" s="12"/>
    </row>
    <row r="5757" spans="2:3">
      <c r="B5757" s="12"/>
      <c r="C5757" s="12"/>
    </row>
    <row r="5758" spans="2:3">
      <c r="B5758" s="12"/>
      <c r="C5758" s="12"/>
    </row>
    <row r="5759" spans="2:3">
      <c r="B5759" s="12"/>
      <c r="C5759" s="12"/>
    </row>
    <row r="5760" spans="2:3">
      <c r="B5760" s="12"/>
      <c r="C5760" s="12"/>
    </row>
    <row r="5761" spans="2:3">
      <c r="B5761" s="12"/>
      <c r="C5761" s="12"/>
    </row>
    <row r="5762" spans="2:3">
      <c r="B5762" s="12"/>
      <c r="C5762" s="12"/>
    </row>
    <row r="5763" spans="2:3">
      <c r="B5763" s="12"/>
      <c r="C5763" s="12"/>
    </row>
    <row r="5764" spans="2:3">
      <c r="B5764" s="12"/>
      <c r="C5764" s="12"/>
    </row>
    <row r="5765" spans="2:3">
      <c r="B5765" s="12"/>
      <c r="C5765" s="12"/>
    </row>
    <row r="5766" spans="2:3">
      <c r="B5766" s="12"/>
      <c r="C5766" s="12"/>
    </row>
    <row r="5767" spans="2:3">
      <c r="B5767" s="12"/>
      <c r="C5767" s="12"/>
    </row>
    <row r="5768" spans="2:3">
      <c r="B5768" s="12"/>
      <c r="C5768" s="12"/>
    </row>
    <row r="5769" spans="2:3">
      <c r="B5769" s="12"/>
      <c r="C5769" s="12"/>
    </row>
    <row r="5770" spans="2:3">
      <c r="B5770" s="12"/>
      <c r="C5770" s="12"/>
    </row>
    <row r="5771" spans="2:3">
      <c r="B5771" s="12"/>
      <c r="C5771" s="12"/>
    </row>
    <row r="5772" spans="2:3">
      <c r="B5772" s="12"/>
      <c r="C5772" s="12"/>
    </row>
    <row r="5773" spans="2:3">
      <c r="B5773" s="12"/>
      <c r="C5773" s="12"/>
    </row>
    <row r="5774" spans="2:3">
      <c r="B5774" s="12"/>
      <c r="C5774" s="12"/>
    </row>
    <row r="5775" spans="2:3">
      <c r="B5775" s="12"/>
      <c r="C5775" s="12"/>
    </row>
    <row r="5776" spans="2:3">
      <c r="B5776" s="12"/>
      <c r="C5776" s="12"/>
    </row>
    <row r="5777" spans="2:3">
      <c r="B5777" s="12"/>
      <c r="C5777" s="12"/>
    </row>
    <row r="5778" spans="2:3">
      <c r="B5778" s="12"/>
      <c r="C5778" s="12"/>
    </row>
    <row r="5779" spans="2:3">
      <c r="B5779" s="12"/>
      <c r="C5779" s="12"/>
    </row>
    <row r="5780" spans="2:3">
      <c r="B5780" s="12"/>
      <c r="C5780" s="12"/>
    </row>
    <row r="5781" spans="2:3">
      <c r="B5781" s="12"/>
      <c r="C5781" s="12"/>
    </row>
    <row r="5782" spans="2:3">
      <c r="B5782" s="12"/>
      <c r="C5782" s="12"/>
    </row>
    <row r="5783" spans="2:3">
      <c r="B5783" s="12"/>
      <c r="C5783" s="12"/>
    </row>
    <row r="5784" spans="2:3">
      <c r="B5784" s="12"/>
      <c r="C5784" s="12"/>
    </row>
    <row r="5785" spans="2:3">
      <c r="B5785" s="12"/>
      <c r="C5785" s="12"/>
    </row>
    <row r="5786" spans="2:3">
      <c r="B5786" s="12"/>
      <c r="C5786" s="12"/>
    </row>
    <row r="5787" spans="2:3">
      <c r="B5787" s="12"/>
      <c r="C5787" s="12"/>
    </row>
    <row r="5788" spans="2:3">
      <c r="B5788" s="12"/>
      <c r="C5788" s="12"/>
    </row>
    <row r="5789" spans="2:3">
      <c r="B5789" s="12"/>
      <c r="C5789" s="12"/>
    </row>
    <row r="5790" spans="2:3">
      <c r="B5790" s="12"/>
      <c r="C5790" s="12"/>
    </row>
    <row r="5791" spans="2:3">
      <c r="B5791" s="12"/>
      <c r="C5791" s="12"/>
    </row>
    <row r="5792" spans="2:3">
      <c r="B5792" s="12"/>
      <c r="C5792" s="12"/>
    </row>
    <row r="5793" spans="2:3">
      <c r="B5793" s="12"/>
      <c r="C5793" s="12"/>
    </row>
    <row r="5794" spans="2:3">
      <c r="B5794" s="12"/>
      <c r="C5794" s="12"/>
    </row>
    <row r="5795" spans="2:3">
      <c r="B5795" s="12"/>
      <c r="C5795" s="12"/>
    </row>
    <row r="5796" spans="2:3">
      <c r="B5796" s="12"/>
      <c r="C5796" s="12"/>
    </row>
    <row r="5797" spans="2:3">
      <c r="B5797" s="12"/>
      <c r="C5797" s="12"/>
    </row>
    <row r="5798" spans="2:3">
      <c r="B5798" s="12"/>
      <c r="C5798" s="12"/>
    </row>
    <row r="5799" spans="2:3">
      <c r="B5799" s="12"/>
      <c r="C5799" s="12"/>
    </row>
    <row r="5800" spans="2:3">
      <c r="B5800" s="12"/>
      <c r="C5800" s="12"/>
    </row>
    <row r="5801" spans="2:3">
      <c r="B5801" s="12"/>
      <c r="C5801" s="12"/>
    </row>
    <row r="5802" spans="2:3">
      <c r="B5802" s="12"/>
      <c r="C5802" s="12"/>
    </row>
    <row r="5803" spans="2:3">
      <c r="B5803" s="12"/>
      <c r="C5803" s="12"/>
    </row>
    <row r="5804" spans="2:3">
      <c r="B5804" s="12"/>
      <c r="C5804" s="12"/>
    </row>
    <row r="5805" spans="2:3">
      <c r="B5805" s="12"/>
      <c r="C5805" s="12"/>
    </row>
    <row r="5806" spans="2:3">
      <c r="B5806" s="12"/>
      <c r="C5806" s="12"/>
    </row>
    <row r="5807" spans="2:3">
      <c r="B5807" s="12"/>
      <c r="C5807" s="12"/>
    </row>
    <row r="5808" spans="2:3">
      <c r="B5808" s="12"/>
      <c r="C5808" s="12"/>
    </row>
    <row r="5809" spans="2:3">
      <c r="B5809" s="12"/>
      <c r="C5809" s="12"/>
    </row>
    <row r="5810" spans="2:3">
      <c r="B5810" s="12"/>
      <c r="C5810" s="12"/>
    </row>
    <row r="5811" spans="2:3">
      <c r="B5811" s="12"/>
      <c r="C5811" s="12"/>
    </row>
    <row r="5812" spans="2:3">
      <c r="B5812" s="12"/>
      <c r="C5812" s="12"/>
    </row>
    <row r="5813" spans="2:3">
      <c r="B5813" s="12"/>
      <c r="C5813" s="12"/>
    </row>
    <row r="5814" spans="2:3">
      <c r="B5814" s="12"/>
      <c r="C5814" s="12"/>
    </row>
    <row r="5815" spans="2:3">
      <c r="B5815" s="12"/>
      <c r="C5815" s="12"/>
    </row>
    <row r="5816" spans="2:3">
      <c r="B5816" s="12"/>
      <c r="C5816" s="12"/>
    </row>
    <row r="5817" spans="2:3">
      <c r="B5817" s="12"/>
      <c r="C5817" s="12"/>
    </row>
    <row r="5818" spans="2:3">
      <c r="B5818" s="12"/>
      <c r="C5818" s="12"/>
    </row>
    <row r="5819" spans="2:3">
      <c r="B5819" s="12"/>
      <c r="C5819" s="12"/>
    </row>
    <row r="5820" spans="2:3">
      <c r="B5820" s="12"/>
      <c r="C5820" s="12"/>
    </row>
    <row r="5821" spans="2:3">
      <c r="B5821" s="12"/>
      <c r="C5821" s="12"/>
    </row>
    <row r="5822" spans="2:3">
      <c r="B5822" s="12"/>
      <c r="C5822" s="12"/>
    </row>
    <row r="5823" spans="2:3">
      <c r="B5823" s="12"/>
      <c r="C5823" s="12"/>
    </row>
    <row r="5824" spans="2:3">
      <c r="B5824" s="12"/>
      <c r="C5824" s="12"/>
    </row>
    <row r="5825" spans="2:3">
      <c r="B5825" s="12"/>
      <c r="C5825" s="12"/>
    </row>
    <row r="5826" spans="2:3">
      <c r="B5826" s="12"/>
      <c r="C5826" s="12"/>
    </row>
    <row r="5827" spans="2:3">
      <c r="B5827" s="12"/>
      <c r="C5827" s="12"/>
    </row>
    <row r="5828" spans="2:3">
      <c r="B5828" s="12"/>
      <c r="C5828" s="12"/>
    </row>
    <row r="5829" spans="2:3">
      <c r="B5829" s="12"/>
      <c r="C5829" s="12"/>
    </row>
    <row r="5830" spans="2:3">
      <c r="B5830" s="12"/>
      <c r="C5830" s="12"/>
    </row>
    <row r="5831" spans="2:3">
      <c r="B5831" s="12"/>
      <c r="C5831" s="12"/>
    </row>
    <row r="5832" spans="2:3">
      <c r="B5832" s="12"/>
      <c r="C5832" s="12"/>
    </row>
    <row r="5833" spans="2:3">
      <c r="B5833" s="12"/>
      <c r="C5833" s="12"/>
    </row>
    <row r="5834" spans="2:3">
      <c r="B5834" s="12"/>
      <c r="C5834" s="12"/>
    </row>
    <row r="5835" spans="2:3">
      <c r="B5835" s="12"/>
      <c r="C5835" s="12"/>
    </row>
    <row r="5836" spans="2:3">
      <c r="B5836" s="12"/>
      <c r="C5836" s="12"/>
    </row>
    <row r="5837" spans="2:3">
      <c r="B5837" s="12"/>
      <c r="C5837" s="12"/>
    </row>
    <row r="5838" spans="2:3">
      <c r="B5838" s="12"/>
      <c r="C5838" s="12"/>
    </row>
    <row r="5839" spans="2:3">
      <c r="B5839" s="12"/>
      <c r="C5839" s="12"/>
    </row>
    <row r="5840" spans="2:3">
      <c r="B5840" s="12"/>
      <c r="C5840" s="12"/>
    </row>
    <row r="5841" spans="2:3">
      <c r="B5841" s="12"/>
      <c r="C5841" s="12"/>
    </row>
    <row r="5842" spans="2:3">
      <c r="B5842" s="12"/>
      <c r="C5842" s="12"/>
    </row>
    <row r="5843" spans="2:3">
      <c r="B5843" s="12"/>
      <c r="C5843" s="12"/>
    </row>
    <row r="5844" spans="2:3">
      <c r="B5844" s="12"/>
      <c r="C5844" s="12"/>
    </row>
    <row r="5845" spans="2:3">
      <c r="B5845" s="12"/>
      <c r="C5845" s="12"/>
    </row>
    <row r="5846" spans="2:3">
      <c r="B5846" s="12"/>
      <c r="C5846" s="12"/>
    </row>
    <row r="5847" spans="2:3">
      <c r="B5847" s="12"/>
      <c r="C5847" s="12"/>
    </row>
    <row r="5848" spans="2:3">
      <c r="B5848" s="12"/>
      <c r="C5848" s="12"/>
    </row>
    <row r="5849" spans="2:3">
      <c r="B5849" s="12"/>
      <c r="C5849" s="12"/>
    </row>
    <row r="5850" spans="2:3">
      <c r="B5850" s="12"/>
      <c r="C5850" s="12"/>
    </row>
    <row r="5851" spans="2:3">
      <c r="B5851" s="12"/>
      <c r="C5851" s="12"/>
    </row>
    <row r="5852" spans="2:3">
      <c r="B5852" s="12"/>
      <c r="C5852" s="12"/>
    </row>
    <row r="5853" spans="2:3">
      <c r="B5853" s="12"/>
      <c r="C5853" s="12"/>
    </row>
    <row r="5854" spans="2:3">
      <c r="B5854" s="12"/>
      <c r="C5854" s="12"/>
    </row>
    <row r="5855" spans="2:3">
      <c r="B5855" s="12"/>
      <c r="C5855" s="12"/>
    </row>
    <row r="5856" spans="2:3">
      <c r="B5856" s="12"/>
      <c r="C5856" s="12"/>
    </row>
    <row r="5857" spans="2:3">
      <c r="B5857" s="12"/>
      <c r="C5857" s="12"/>
    </row>
    <row r="5858" spans="2:3">
      <c r="B5858" s="12"/>
      <c r="C5858" s="12"/>
    </row>
    <row r="5859" spans="2:3">
      <c r="B5859" s="12"/>
      <c r="C5859" s="12"/>
    </row>
    <row r="5860" spans="2:3">
      <c r="B5860" s="12"/>
      <c r="C5860" s="12"/>
    </row>
    <row r="5861" spans="2:3">
      <c r="B5861" s="12"/>
      <c r="C5861" s="12"/>
    </row>
    <row r="5862" spans="2:3">
      <c r="B5862" s="12"/>
      <c r="C5862" s="12"/>
    </row>
    <row r="5863" spans="2:3">
      <c r="B5863" s="12"/>
      <c r="C5863" s="12"/>
    </row>
    <row r="5864" spans="2:3">
      <c r="B5864" s="12"/>
      <c r="C5864" s="12"/>
    </row>
    <row r="5865" spans="2:3">
      <c r="B5865" s="12"/>
      <c r="C5865" s="12"/>
    </row>
    <row r="5866" spans="2:3">
      <c r="B5866" s="12"/>
      <c r="C5866" s="12"/>
    </row>
    <row r="5867" spans="2:3">
      <c r="B5867" s="12"/>
      <c r="C5867" s="12"/>
    </row>
    <row r="5868" spans="2:3">
      <c r="B5868" s="12"/>
      <c r="C5868" s="12"/>
    </row>
    <row r="5869" spans="2:3">
      <c r="B5869" s="12"/>
      <c r="C5869" s="12"/>
    </row>
    <row r="5870" spans="2:3">
      <c r="B5870" s="12"/>
      <c r="C5870" s="12"/>
    </row>
    <row r="5871" spans="2:3">
      <c r="B5871" s="12"/>
      <c r="C5871" s="12"/>
    </row>
    <row r="5872" spans="2:3">
      <c r="B5872" s="12"/>
      <c r="C5872" s="12"/>
    </row>
    <row r="5873" spans="2:3">
      <c r="B5873" s="12"/>
      <c r="C5873" s="12"/>
    </row>
    <row r="5874" spans="2:3">
      <c r="B5874" s="12"/>
      <c r="C5874" s="12"/>
    </row>
    <row r="5875" spans="2:3">
      <c r="B5875" s="12"/>
      <c r="C5875" s="12"/>
    </row>
    <row r="5876" spans="2:3">
      <c r="B5876" s="12"/>
      <c r="C5876" s="12"/>
    </row>
    <row r="5877" spans="2:3">
      <c r="B5877" s="12"/>
      <c r="C5877" s="12"/>
    </row>
    <row r="5878" spans="2:3">
      <c r="B5878" s="12"/>
      <c r="C5878" s="12"/>
    </row>
    <row r="5879" spans="2:3">
      <c r="B5879" s="12"/>
      <c r="C5879" s="12"/>
    </row>
    <row r="5880" spans="2:3">
      <c r="B5880" s="12"/>
      <c r="C5880" s="12"/>
    </row>
    <row r="5881" spans="2:3">
      <c r="B5881" s="12"/>
      <c r="C5881" s="12"/>
    </row>
    <row r="5882" spans="2:3">
      <c r="B5882" s="12"/>
      <c r="C5882" s="12"/>
    </row>
    <row r="5883" spans="2:3">
      <c r="B5883" s="12"/>
      <c r="C5883" s="12"/>
    </row>
    <row r="5884" spans="2:3">
      <c r="B5884" s="12"/>
      <c r="C5884" s="12"/>
    </row>
    <row r="5885" spans="2:3">
      <c r="B5885" s="12"/>
      <c r="C5885" s="12"/>
    </row>
    <row r="5886" spans="2:3">
      <c r="B5886" s="12"/>
      <c r="C5886" s="12"/>
    </row>
    <row r="5887" spans="2:3">
      <c r="B5887" s="12"/>
      <c r="C5887" s="12"/>
    </row>
    <row r="5888" spans="2:3">
      <c r="B5888" s="12"/>
      <c r="C5888" s="12"/>
    </row>
    <row r="5889" spans="2:3">
      <c r="B5889" s="12"/>
      <c r="C5889" s="12"/>
    </row>
    <row r="5890" spans="2:3">
      <c r="B5890" s="12"/>
      <c r="C5890" s="12"/>
    </row>
    <row r="5891" spans="2:3">
      <c r="B5891" s="12"/>
      <c r="C5891" s="12"/>
    </row>
    <row r="5892" spans="2:3">
      <c r="B5892" s="12"/>
      <c r="C5892" s="12"/>
    </row>
    <row r="5893" spans="2:3">
      <c r="B5893" s="12"/>
      <c r="C5893" s="12"/>
    </row>
    <row r="5894" spans="2:3">
      <c r="B5894" s="12"/>
      <c r="C5894" s="12"/>
    </row>
    <row r="5895" spans="2:3">
      <c r="B5895" s="12"/>
      <c r="C5895" s="12"/>
    </row>
    <row r="5896" spans="2:3">
      <c r="B5896" s="12"/>
      <c r="C5896" s="12"/>
    </row>
    <row r="5897" spans="2:3">
      <c r="B5897" s="12"/>
      <c r="C5897" s="12"/>
    </row>
    <row r="5898" spans="2:3">
      <c r="B5898" s="12"/>
      <c r="C5898" s="12"/>
    </row>
    <row r="5899" spans="2:3">
      <c r="B5899" s="12"/>
      <c r="C5899" s="12"/>
    </row>
    <row r="5900" spans="2:3">
      <c r="B5900" s="12"/>
      <c r="C5900" s="12"/>
    </row>
    <row r="5901" spans="2:3">
      <c r="B5901" s="12"/>
      <c r="C5901" s="12"/>
    </row>
    <row r="5902" spans="2:3">
      <c r="B5902" s="12"/>
      <c r="C5902" s="12"/>
    </row>
    <row r="5903" spans="2:3">
      <c r="B5903" s="12"/>
      <c r="C5903" s="12"/>
    </row>
    <row r="5904" spans="2:3">
      <c r="B5904" s="12"/>
      <c r="C5904" s="12"/>
    </row>
    <row r="5905" spans="2:3">
      <c r="B5905" s="12"/>
      <c r="C5905" s="12"/>
    </row>
    <row r="5906" spans="2:3">
      <c r="B5906" s="12"/>
      <c r="C5906" s="12"/>
    </row>
    <row r="5907" spans="2:3">
      <c r="B5907" s="12"/>
      <c r="C5907" s="12"/>
    </row>
    <row r="5908" spans="2:3">
      <c r="B5908" s="12"/>
      <c r="C5908" s="12"/>
    </row>
    <row r="5909" spans="2:3">
      <c r="B5909" s="12"/>
      <c r="C5909" s="12"/>
    </row>
    <row r="5910" spans="2:3">
      <c r="B5910" s="12"/>
      <c r="C5910" s="12"/>
    </row>
    <row r="5911" spans="2:3">
      <c r="B5911" s="12"/>
      <c r="C5911" s="12"/>
    </row>
    <row r="5912" spans="2:3">
      <c r="B5912" s="12"/>
      <c r="C5912" s="12"/>
    </row>
    <row r="5913" spans="2:3">
      <c r="B5913" s="12"/>
      <c r="C5913" s="12"/>
    </row>
    <row r="5914" spans="2:3">
      <c r="B5914" s="12"/>
      <c r="C5914" s="12"/>
    </row>
    <row r="5915" spans="2:3">
      <c r="B5915" s="12"/>
      <c r="C5915" s="12"/>
    </row>
    <row r="5916" spans="2:3">
      <c r="B5916" s="12"/>
      <c r="C5916" s="12"/>
    </row>
    <row r="5917" spans="2:3">
      <c r="B5917" s="12"/>
      <c r="C5917" s="12"/>
    </row>
    <row r="5918" spans="2:3">
      <c r="B5918" s="12"/>
      <c r="C5918" s="12"/>
    </row>
    <row r="5919" spans="2:3">
      <c r="B5919" s="12"/>
      <c r="C5919" s="12"/>
    </row>
    <row r="5920" spans="2:3">
      <c r="B5920" s="12"/>
      <c r="C5920" s="12"/>
    </row>
    <row r="5921" spans="2:3">
      <c r="B5921" s="12"/>
      <c r="C5921" s="12"/>
    </row>
    <row r="5922" spans="2:3">
      <c r="B5922" s="12"/>
      <c r="C5922" s="12"/>
    </row>
    <row r="5923" spans="2:3">
      <c r="B5923" s="12"/>
      <c r="C5923" s="12"/>
    </row>
    <row r="5924" spans="2:3">
      <c r="B5924" s="12"/>
      <c r="C5924" s="12"/>
    </row>
    <row r="5925" spans="2:3">
      <c r="B5925" s="12"/>
      <c r="C5925" s="12"/>
    </row>
    <row r="5926" spans="2:3">
      <c r="B5926" s="12"/>
      <c r="C5926" s="12"/>
    </row>
    <row r="5927" spans="2:3">
      <c r="B5927" s="12"/>
      <c r="C5927" s="12"/>
    </row>
    <row r="5928" spans="2:3">
      <c r="B5928" s="12"/>
      <c r="C5928" s="12"/>
    </row>
    <row r="5929" spans="2:3">
      <c r="B5929" s="12"/>
      <c r="C5929" s="12"/>
    </row>
    <row r="5930" spans="2:3">
      <c r="B5930" s="12"/>
      <c r="C5930" s="12"/>
    </row>
    <row r="5931" spans="2:3">
      <c r="B5931" s="12"/>
      <c r="C5931" s="12"/>
    </row>
    <row r="5932" spans="2:3">
      <c r="B5932" s="12"/>
      <c r="C5932" s="12"/>
    </row>
    <row r="5933" spans="2:3">
      <c r="B5933" s="12"/>
      <c r="C5933" s="12"/>
    </row>
    <row r="5934" spans="2:3">
      <c r="B5934" s="12"/>
      <c r="C5934" s="12"/>
    </row>
    <row r="5935" spans="2:3">
      <c r="B5935" s="12"/>
      <c r="C5935" s="12"/>
    </row>
    <row r="5936" spans="2:3">
      <c r="B5936" s="12"/>
      <c r="C5936" s="12"/>
    </row>
    <row r="5937" spans="2:3">
      <c r="B5937" s="12"/>
      <c r="C5937" s="12"/>
    </row>
    <row r="5938" spans="2:3">
      <c r="B5938" s="12"/>
      <c r="C5938" s="12"/>
    </row>
    <row r="5939" spans="2:3">
      <c r="B5939" s="12"/>
      <c r="C5939" s="12"/>
    </row>
    <row r="5940" spans="2:3">
      <c r="B5940" s="12"/>
      <c r="C5940" s="12"/>
    </row>
    <row r="5941" spans="2:3">
      <c r="B5941" s="12"/>
      <c r="C5941" s="12"/>
    </row>
    <row r="5942" spans="2:3">
      <c r="B5942" s="12"/>
      <c r="C5942" s="12"/>
    </row>
    <row r="5943" spans="2:3">
      <c r="B5943" s="12"/>
      <c r="C5943" s="12"/>
    </row>
    <row r="5944" spans="2:3">
      <c r="B5944" s="12"/>
      <c r="C5944" s="12"/>
    </row>
    <row r="5945" spans="2:3">
      <c r="B5945" s="12"/>
      <c r="C5945" s="12"/>
    </row>
    <row r="5946" spans="2:3">
      <c r="B5946" s="12"/>
      <c r="C5946" s="12"/>
    </row>
    <row r="5947" spans="2:3">
      <c r="B5947" s="12"/>
      <c r="C5947" s="12"/>
    </row>
    <row r="5948" spans="2:3">
      <c r="B5948" s="12"/>
      <c r="C5948" s="12"/>
    </row>
    <row r="5949" spans="2:3">
      <c r="B5949" s="12"/>
      <c r="C5949" s="12"/>
    </row>
    <row r="5950" spans="2:3">
      <c r="B5950" s="12"/>
      <c r="C5950" s="12"/>
    </row>
    <row r="5951" spans="2:3">
      <c r="B5951" s="12"/>
      <c r="C5951" s="12"/>
    </row>
    <row r="5952" spans="2:3">
      <c r="B5952" s="12"/>
      <c r="C5952" s="12"/>
    </row>
    <row r="5953" spans="2:3">
      <c r="B5953" s="12"/>
      <c r="C5953" s="12"/>
    </row>
    <row r="5954" spans="2:3">
      <c r="B5954" s="12"/>
      <c r="C5954" s="12"/>
    </row>
    <row r="5955" spans="2:3">
      <c r="B5955" s="12"/>
      <c r="C5955" s="12"/>
    </row>
    <row r="5956" spans="2:3">
      <c r="B5956" s="12"/>
      <c r="C5956" s="12"/>
    </row>
    <row r="5957" spans="2:3">
      <c r="B5957" s="12"/>
      <c r="C5957" s="12"/>
    </row>
    <row r="5958" spans="2:3">
      <c r="B5958" s="12"/>
      <c r="C5958" s="12"/>
    </row>
    <row r="5959" spans="2:3">
      <c r="B5959" s="12"/>
      <c r="C5959" s="12"/>
    </row>
    <row r="5960" spans="2:3">
      <c r="B5960" s="12"/>
      <c r="C5960" s="12"/>
    </row>
    <row r="5961" spans="2:3">
      <c r="B5961" s="12"/>
      <c r="C5961" s="12"/>
    </row>
    <row r="5962" spans="2:3">
      <c r="B5962" s="12"/>
      <c r="C5962" s="12"/>
    </row>
    <row r="5963" spans="2:3">
      <c r="B5963" s="12"/>
      <c r="C5963" s="12"/>
    </row>
    <row r="5964" spans="2:3">
      <c r="B5964" s="12"/>
      <c r="C5964" s="12"/>
    </row>
    <row r="5965" spans="2:3">
      <c r="B5965" s="12"/>
      <c r="C5965" s="12"/>
    </row>
    <row r="5966" spans="2:3">
      <c r="B5966" s="12"/>
      <c r="C5966" s="12"/>
    </row>
    <row r="5967" spans="2:3">
      <c r="B5967" s="12"/>
      <c r="C5967" s="12"/>
    </row>
    <row r="5968" spans="2:3">
      <c r="B5968" s="12"/>
      <c r="C5968" s="12"/>
    </row>
    <row r="5969" spans="2:3">
      <c r="B5969" s="12"/>
      <c r="C5969" s="12"/>
    </row>
    <row r="5970" spans="2:3">
      <c r="B5970" s="12"/>
      <c r="C5970" s="12"/>
    </row>
    <row r="5971" spans="2:3">
      <c r="B5971" s="12"/>
      <c r="C5971" s="12"/>
    </row>
    <row r="5972" spans="2:3">
      <c r="B5972" s="12"/>
      <c r="C5972" s="12"/>
    </row>
    <row r="5973" spans="2:3">
      <c r="B5973" s="12"/>
      <c r="C5973" s="12"/>
    </row>
    <row r="5974" spans="2:3">
      <c r="B5974" s="12"/>
      <c r="C5974" s="12"/>
    </row>
    <row r="5975" spans="2:3">
      <c r="B5975" s="12"/>
      <c r="C5975" s="12"/>
    </row>
    <row r="5976" spans="2:3">
      <c r="B5976" s="12"/>
      <c r="C5976" s="12"/>
    </row>
    <row r="5977" spans="2:3">
      <c r="B5977" s="12"/>
      <c r="C5977" s="12"/>
    </row>
    <row r="5978" spans="2:3">
      <c r="B5978" s="12"/>
      <c r="C5978" s="12"/>
    </row>
    <row r="5979" spans="2:3">
      <c r="B5979" s="12"/>
      <c r="C5979" s="12"/>
    </row>
    <row r="5980" spans="2:3">
      <c r="B5980" s="12"/>
      <c r="C5980" s="12"/>
    </row>
    <row r="5981" spans="2:3">
      <c r="B5981" s="12"/>
      <c r="C5981" s="12"/>
    </row>
    <row r="5982" spans="2:3">
      <c r="B5982" s="12"/>
      <c r="C5982" s="12"/>
    </row>
    <row r="5983" spans="2:3">
      <c r="B5983" s="12"/>
      <c r="C5983" s="12"/>
    </row>
    <row r="5984" spans="2:3">
      <c r="B5984" s="12"/>
      <c r="C5984" s="12"/>
    </row>
    <row r="5985" spans="2:3">
      <c r="B5985" s="12"/>
      <c r="C5985" s="12"/>
    </row>
    <row r="5986" spans="2:3">
      <c r="B5986" s="12"/>
      <c r="C5986" s="12"/>
    </row>
    <row r="5987" spans="2:3">
      <c r="B5987" s="12"/>
      <c r="C5987" s="12"/>
    </row>
    <row r="5988" spans="2:3">
      <c r="B5988" s="12"/>
      <c r="C5988" s="12"/>
    </row>
    <row r="5989" spans="2:3">
      <c r="B5989" s="12"/>
      <c r="C5989" s="12"/>
    </row>
    <row r="5990" spans="2:3">
      <c r="B5990" s="12"/>
      <c r="C5990" s="12"/>
    </row>
    <row r="5991" spans="2:3">
      <c r="B5991" s="12"/>
      <c r="C5991" s="12"/>
    </row>
    <row r="5992" spans="2:3">
      <c r="B5992" s="12"/>
      <c r="C5992" s="12"/>
    </row>
    <row r="5993" spans="2:3">
      <c r="B5993" s="12"/>
      <c r="C5993" s="12"/>
    </row>
    <row r="5994" spans="2:3">
      <c r="B5994" s="12"/>
      <c r="C5994" s="12"/>
    </row>
    <row r="5995" spans="2:3">
      <c r="B5995" s="12"/>
      <c r="C5995" s="12"/>
    </row>
    <row r="5996" spans="2:3">
      <c r="B5996" s="12"/>
      <c r="C5996" s="12"/>
    </row>
    <row r="5997" spans="2:3">
      <c r="B5997" s="12"/>
      <c r="C5997" s="12"/>
    </row>
    <row r="5998" spans="2:3">
      <c r="B5998" s="12"/>
      <c r="C5998" s="12"/>
    </row>
    <row r="5999" spans="2:3">
      <c r="B5999" s="12"/>
      <c r="C5999" s="12"/>
    </row>
    <row r="6000" spans="2:3">
      <c r="B6000" s="12"/>
      <c r="C6000" s="12"/>
    </row>
    <row r="6001" spans="2:3">
      <c r="B6001" s="12"/>
      <c r="C6001" s="12"/>
    </row>
    <row r="6002" spans="2:3">
      <c r="B6002" s="12"/>
      <c r="C6002" s="12"/>
    </row>
    <row r="6003" spans="2:3">
      <c r="B6003" s="12"/>
      <c r="C6003" s="12"/>
    </row>
    <row r="6004" spans="2:3">
      <c r="B6004" s="12"/>
      <c r="C6004" s="12"/>
    </row>
    <row r="6005" spans="2:3">
      <c r="B6005" s="12"/>
      <c r="C6005" s="12"/>
    </row>
    <row r="6006" spans="2:3">
      <c r="B6006" s="12"/>
      <c r="C6006" s="12"/>
    </row>
    <row r="6007" spans="2:3">
      <c r="B6007" s="12"/>
      <c r="C6007" s="12"/>
    </row>
    <row r="6008" spans="2:3">
      <c r="B6008" s="12"/>
      <c r="C6008" s="12"/>
    </row>
    <row r="6009" spans="2:3">
      <c r="B6009" s="12"/>
      <c r="C6009" s="12"/>
    </row>
    <row r="6010" spans="2:3">
      <c r="B6010" s="12"/>
      <c r="C6010" s="12"/>
    </row>
    <row r="6011" spans="2:3">
      <c r="B6011" s="12"/>
      <c r="C6011" s="12"/>
    </row>
    <row r="6012" spans="2:3">
      <c r="B6012" s="12"/>
      <c r="C6012" s="12"/>
    </row>
    <row r="6013" spans="2:3">
      <c r="B6013" s="12"/>
      <c r="C6013" s="12"/>
    </row>
    <row r="6014" spans="2:3">
      <c r="B6014" s="12"/>
      <c r="C6014" s="12"/>
    </row>
    <row r="6015" spans="2:3">
      <c r="B6015" s="12"/>
      <c r="C6015" s="12"/>
    </row>
    <row r="6016" spans="2:3">
      <c r="B6016" s="12"/>
      <c r="C6016" s="12"/>
    </row>
    <row r="6017" spans="2:3">
      <c r="B6017" s="12"/>
      <c r="C6017" s="12"/>
    </row>
    <row r="6018" spans="2:3">
      <c r="B6018" s="12"/>
      <c r="C6018" s="12"/>
    </row>
    <row r="6019" spans="2:3">
      <c r="B6019" s="12"/>
      <c r="C6019" s="12"/>
    </row>
    <row r="6020" spans="2:3">
      <c r="B6020" s="12"/>
      <c r="C6020" s="12"/>
    </row>
    <row r="6021" spans="2:3">
      <c r="B6021" s="12"/>
      <c r="C6021" s="12"/>
    </row>
    <row r="6022" spans="2:3">
      <c r="B6022" s="12"/>
      <c r="C6022" s="12"/>
    </row>
    <row r="6023" spans="2:3">
      <c r="B6023" s="12"/>
      <c r="C6023" s="12"/>
    </row>
    <row r="6024" spans="2:3">
      <c r="B6024" s="12"/>
      <c r="C6024" s="12"/>
    </row>
    <row r="6025" spans="2:3">
      <c r="B6025" s="12"/>
      <c r="C6025" s="12"/>
    </row>
    <row r="6026" spans="2:3">
      <c r="B6026" s="12"/>
      <c r="C6026" s="12"/>
    </row>
    <row r="6027" spans="2:3">
      <c r="B6027" s="12"/>
      <c r="C6027" s="12"/>
    </row>
    <row r="6028" spans="2:3">
      <c r="B6028" s="12"/>
      <c r="C6028" s="12"/>
    </row>
    <row r="6029" spans="2:3">
      <c r="B6029" s="12"/>
      <c r="C6029" s="12"/>
    </row>
    <row r="6030" spans="2:3">
      <c r="B6030" s="12"/>
      <c r="C6030" s="12"/>
    </row>
    <row r="6031" spans="2:3">
      <c r="B6031" s="12"/>
      <c r="C6031" s="12"/>
    </row>
    <row r="6032" spans="2:3">
      <c r="B6032" s="12"/>
      <c r="C6032" s="12"/>
    </row>
    <row r="6033" spans="2:3">
      <c r="B6033" s="12"/>
      <c r="C6033" s="12"/>
    </row>
    <row r="6034" spans="2:3">
      <c r="B6034" s="12"/>
      <c r="C6034" s="12"/>
    </row>
    <row r="6035" spans="2:3">
      <c r="B6035" s="12"/>
      <c r="C6035" s="12"/>
    </row>
    <row r="6036" spans="2:3">
      <c r="B6036" s="12"/>
      <c r="C6036" s="12"/>
    </row>
    <row r="6037" spans="2:3">
      <c r="B6037" s="12"/>
      <c r="C6037" s="12"/>
    </row>
    <row r="6038" spans="2:3">
      <c r="B6038" s="12"/>
      <c r="C6038" s="12"/>
    </row>
    <row r="6039" spans="2:3">
      <c r="B6039" s="12"/>
      <c r="C6039" s="12"/>
    </row>
    <row r="6040" spans="2:3">
      <c r="B6040" s="12"/>
      <c r="C6040" s="12"/>
    </row>
    <row r="6041" spans="2:3">
      <c r="B6041" s="12"/>
      <c r="C6041" s="12"/>
    </row>
    <row r="6042" spans="2:3">
      <c r="B6042" s="12"/>
      <c r="C6042" s="12"/>
    </row>
    <row r="6043" spans="2:3">
      <c r="B6043" s="12"/>
      <c r="C6043" s="12"/>
    </row>
    <row r="6044" spans="2:3">
      <c r="B6044" s="12"/>
      <c r="C6044" s="12"/>
    </row>
    <row r="6045" spans="2:3">
      <c r="B6045" s="12"/>
      <c r="C6045" s="12"/>
    </row>
    <row r="6046" spans="2:3">
      <c r="B6046" s="12"/>
      <c r="C6046" s="12"/>
    </row>
    <row r="6047" spans="2:3">
      <c r="B6047" s="12"/>
      <c r="C6047" s="12"/>
    </row>
    <row r="6048" spans="2:3">
      <c r="B6048" s="12"/>
      <c r="C6048" s="12"/>
    </row>
    <row r="6049" spans="2:3">
      <c r="B6049" s="12"/>
      <c r="C6049" s="12"/>
    </row>
    <row r="6050" spans="2:3">
      <c r="B6050" s="12"/>
      <c r="C6050" s="12"/>
    </row>
    <row r="6051" spans="2:3">
      <c r="B6051" s="12"/>
      <c r="C6051" s="12"/>
    </row>
    <row r="6052" spans="2:3">
      <c r="B6052" s="12"/>
      <c r="C6052" s="12"/>
    </row>
    <row r="6053" spans="2:3">
      <c r="B6053" s="12"/>
      <c r="C6053" s="12"/>
    </row>
    <row r="6054" spans="2:3">
      <c r="B6054" s="12"/>
      <c r="C6054" s="12"/>
    </row>
    <row r="6055" spans="2:3">
      <c r="B6055" s="12"/>
      <c r="C6055" s="12"/>
    </row>
    <row r="6056" spans="2:3">
      <c r="B6056" s="12"/>
      <c r="C6056" s="12"/>
    </row>
    <row r="6057" spans="2:3">
      <c r="B6057" s="12"/>
      <c r="C6057" s="12"/>
    </row>
    <row r="6058" spans="2:3">
      <c r="B6058" s="12"/>
      <c r="C6058" s="12"/>
    </row>
    <row r="6059" spans="2:3">
      <c r="B6059" s="12"/>
      <c r="C6059" s="12"/>
    </row>
    <row r="6060" spans="2:3">
      <c r="B6060" s="12"/>
      <c r="C6060" s="12"/>
    </row>
    <row r="6061" spans="2:3">
      <c r="B6061" s="12"/>
      <c r="C6061" s="12"/>
    </row>
    <row r="6062" spans="2:3">
      <c r="B6062" s="12"/>
      <c r="C6062" s="12"/>
    </row>
    <row r="6063" spans="2:3">
      <c r="B6063" s="12"/>
      <c r="C6063" s="12"/>
    </row>
    <row r="6064" spans="2:3">
      <c r="B6064" s="12"/>
      <c r="C6064" s="12"/>
    </row>
    <row r="6065" spans="2:3">
      <c r="B6065" s="12"/>
      <c r="C6065" s="12"/>
    </row>
    <row r="6066" spans="2:3">
      <c r="B6066" s="12"/>
      <c r="C6066" s="12"/>
    </row>
    <row r="6067" spans="2:3">
      <c r="B6067" s="12"/>
      <c r="C6067" s="12"/>
    </row>
    <row r="6068" spans="2:3">
      <c r="B6068" s="12"/>
      <c r="C6068" s="12"/>
    </row>
    <row r="6069" spans="2:3">
      <c r="B6069" s="12"/>
      <c r="C6069" s="12"/>
    </row>
    <row r="6070" spans="2:3">
      <c r="B6070" s="12"/>
      <c r="C6070" s="12"/>
    </row>
    <row r="6071" spans="2:3">
      <c r="B6071" s="12"/>
      <c r="C6071" s="12"/>
    </row>
    <row r="6072" spans="2:3">
      <c r="B6072" s="12"/>
      <c r="C6072" s="12"/>
    </row>
    <row r="6073" spans="2:3">
      <c r="B6073" s="12"/>
      <c r="C6073" s="12"/>
    </row>
    <row r="6074" spans="2:3">
      <c r="B6074" s="12"/>
      <c r="C6074" s="12"/>
    </row>
    <row r="6075" spans="2:3">
      <c r="B6075" s="12"/>
      <c r="C6075" s="12"/>
    </row>
    <row r="6076" spans="2:3">
      <c r="B6076" s="12"/>
      <c r="C6076" s="12"/>
    </row>
    <row r="6077" spans="2:3">
      <c r="B6077" s="12"/>
      <c r="C6077" s="12"/>
    </row>
    <row r="6078" spans="2:3">
      <c r="B6078" s="12"/>
      <c r="C6078" s="12"/>
    </row>
    <row r="6079" spans="2:3">
      <c r="B6079" s="12"/>
      <c r="C6079" s="12"/>
    </row>
    <row r="6080" spans="2:3">
      <c r="B6080" s="12"/>
      <c r="C6080" s="12"/>
    </row>
    <row r="6081" spans="2:3">
      <c r="B6081" s="12"/>
      <c r="C6081" s="12"/>
    </row>
    <row r="6082" spans="2:3">
      <c r="B6082" s="12"/>
      <c r="C6082" s="12"/>
    </row>
    <row r="6083" spans="2:3">
      <c r="B6083" s="12"/>
      <c r="C6083" s="12"/>
    </row>
    <row r="6084" spans="2:3">
      <c r="B6084" s="12"/>
      <c r="C6084" s="12"/>
    </row>
    <row r="6085" spans="2:3">
      <c r="B6085" s="12"/>
      <c r="C6085" s="12"/>
    </row>
    <row r="6086" spans="2:3">
      <c r="B6086" s="12"/>
      <c r="C6086" s="12"/>
    </row>
    <row r="6087" spans="2:3">
      <c r="B6087" s="12"/>
      <c r="C6087" s="12"/>
    </row>
    <row r="6088" spans="2:3">
      <c r="B6088" s="12"/>
      <c r="C6088" s="12"/>
    </row>
    <row r="6089" spans="2:3">
      <c r="B6089" s="12"/>
      <c r="C6089" s="12"/>
    </row>
    <row r="6090" spans="2:3">
      <c r="B6090" s="12"/>
      <c r="C6090" s="12"/>
    </row>
    <row r="6091" spans="2:3">
      <c r="B6091" s="12"/>
      <c r="C6091" s="12"/>
    </row>
    <row r="6092" spans="2:3">
      <c r="B6092" s="12"/>
      <c r="C6092" s="12"/>
    </row>
    <row r="6093" spans="2:3">
      <c r="B6093" s="12"/>
      <c r="C6093" s="12"/>
    </row>
    <row r="6094" spans="2:3">
      <c r="B6094" s="12"/>
      <c r="C6094" s="12"/>
    </row>
    <row r="6095" spans="2:3">
      <c r="B6095" s="12"/>
      <c r="C6095" s="12"/>
    </row>
    <row r="6096" spans="2:3">
      <c r="B6096" s="12"/>
      <c r="C6096" s="12"/>
    </row>
    <row r="6097" spans="2:3">
      <c r="B6097" s="12"/>
      <c r="C6097" s="12"/>
    </row>
    <row r="6098" spans="2:3">
      <c r="B6098" s="12"/>
      <c r="C6098" s="12"/>
    </row>
    <row r="6099" spans="2:3">
      <c r="B6099" s="12"/>
      <c r="C6099" s="12"/>
    </row>
    <row r="6100" spans="2:3">
      <c r="B6100" s="12"/>
      <c r="C6100" s="12"/>
    </row>
    <row r="6101" spans="2:3">
      <c r="B6101" s="12"/>
      <c r="C6101" s="12"/>
    </row>
    <row r="6102" spans="2:3">
      <c r="B6102" s="12"/>
      <c r="C6102" s="12"/>
    </row>
    <row r="6103" spans="2:3">
      <c r="B6103" s="12"/>
      <c r="C6103" s="12"/>
    </row>
    <row r="6104" spans="2:3">
      <c r="B6104" s="12"/>
      <c r="C6104" s="12"/>
    </row>
    <row r="6105" spans="2:3">
      <c r="B6105" s="12"/>
      <c r="C6105" s="12"/>
    </row>
    <row r="6106" spans="2:3">
      <c r="B6106" s="12"/>
      <c r="C6106" s="12"/>
    </row>
    <row r="6107" spans="2:3">
      <c r="B6107" s="12"/>
      <c r="C6107" s="12"/>
    </row>
    <row r="6108" spans="2:3">
      <c r="B6108" s="12"/>
      <c r="C6108" s="12"/>
    </row>
    <row r="6109" spans="2:3">
      <c r="B6109" s="12"/>
      <c r="C6109" s="12"/>
    </row>
    <row r="6110" spans="2:3">
      <c r="B6110" s="12"/>
      <c r="C6110" s="12"/>
    </row>
    <row r="6111" spans="2:3">
      <c r="B6111" s="12"/>
      <c r="C6111" s="12"/>
    </row>
    <row r="6112" spans="2:3">
      <c r="B6112" s="12"/>
      <c r="C6112" s="12"/>
    </row>
    <row r="6113" spans="2:3">
      <c r="B6113" s="12"/>
      <c r="C6113" s="12"/>
    </row>
    <row r="6114" spans="2:3">
      <c r="B6114" s="12"/>
      <c r="C6114" s="12"/>
    </row>
    <row r="6115" spans="2:3">
      <c r="B6115" s="12"/>
      <c r="C6115" s="12"/>
    </row>
    <row r="6116" spans="2:3">
      <c r="B6116" s="12"/>
      <c r="C6116" s="12"/>
    </row>
    <row r="6117" spans="2:3">
      <c r="B6117" s="12"/>
      <c r="C6117" s="12"/>
    </row>
    <row r="6118" spans="2:3">
      <c r="B6118" s="12"/>
      <c r="C6118" s="12"/>
    </row>
    <row r="6119" spans="2:3">
      <c r="B6119" s="12"/>
      <c r="C6119" s="12"/>
    </row>
    <row r="6120" spans="2:3">
      <c r="B6120" s="12"/>
      <c r="C6120" s="12"/>
    </row>
    <row r="6121" spans="2:3">
      <c r="B6121" s="12"/>
      <c r="C6121" s="12"/>
    </row>
    <row r="6122" spans="2:3">
      <c r="B6122" s="12"/>
      <c r="C6122" s="12"/>
    </row>
    <row r="6123" spans="2:3">
      <c r="B6123" s="12"/>
      <c r="C6123" s="12"/>
    </row>
    <row r="6124" spans="2:3">
      <c r="B6124" s="12"/>
      <c r="C6124" s="12"/>
    </row>
    <row r="6125" spans="2:3">
      <c r="B6125" s="12"/>
      <c r="C6125" s="12"/>
    </row>
    <row r="6126" spans="2:3">
      <c r="B6126" s="12"/>
      <c r="C6126" s="12"/>
    </row>
    <row r="6127" spans="2:3">
      <c r="B6127" s="12"/>
      <c r="C6127" s="12"/>
    </row>
    <row r="6128" spans="2:3">
      <c r="B6128" s="12"/>
      <c r="C6128" s="12"/>
    </row>
    <row r="6129" spans="2:3">
      <c r="B6129" s="12"/>
      <c r="C6129" s="12"/>
    </row>
    <row r="6130" spans="2:3">
      <c r="B6130" s="12"/>
      <c r="C6130" s="12"/>
    </row>
    <row r="6131" spans="2:3">
      <c r="B6131" s="12"/>
      <c r="C6131" s="12"/>
    </row>
    <row r="6132" spans="2:3">
      <c r="B6132" s="12"/>
      <c r="C6132" s="12"/>
    </row>
    <row r="6133" spans="2:3">
      <c r="B6133" s="12"/>
      <c r="C6133" s="12"/>
    </row>
    <row r="6134" spans="2:3">
      <c r="B6134" s="12"/>
      <c r="C6134" s="12"/>
    </row>
    <row r="6135" spans="2:3">
      <c r="B6135" s="12"/>
      <c r="C6135" s="12"/>
    </row>
    <row r="6136" spans="2:3">
      <c r="B6136" s="12"/>
      <c r="C6136" s="12"/>
    </row>
    <row r="6137" spans="2:3">
      <c r="B6137" s="12"/>
      <c r="C6137" s="12"/>
    </row>
    <row r="6138" spans="2:3">
      <c r="B6138" s="12"/>
      <c r="C6138" s="12"/>
    </row>
    <row r="6139" spans="2:3">
      <c r="B6139" s="12"/>
      <c r="C6139" s="12"/>
    </row>
    <row r="6140" spans="2:3">
      <c r="B6140" s="12"/>
      <c r="C6140" s="12"/>
    </row>
    <row r="6141" spans="2:3">
      <c r="B6141" s="12"/>
      <c r="C6141" s="12"/>
    </row>
    <row r="6142" spans="2:3">
      <c r="B6142" s="12"/>
      <c r="C6142" s="12"/>
    </row>
    <row r="6143" spans="2:3">
      <c r="B6143" s="12"/>
      <c r="C6143" s="12"/>
    </row>
    <row r="6144" spans="2:3">
      <c r="B6144" s="12"/>
      <c r="C6144" s="12"/>
    </row>
    <row r="6145" spans="2:3">
      <c r="B6145" s="12"/>
      <c r="C6145" s="12"/>
    </row>
    <row r="6146" spans="2:3">
      <c r="B6146" s="12"/>
      <c r="C6146" s="12"/>
    </row>
    <row r="6147" spans="2:3">
      <c r="B6147" s="12"/>
      <c r="C6147" s="12"/>
    </row>
    <row r="6148" spans="2:3">
      <c r="B6148" s="12"/>
      <c r="C6148" s="12"/>
    </row>
    <row r="6149" spans="2:3">
      <c r="B6149" s="12"/>
      <c r="C6149" s="12"/>
    </row>
    <row r="6150" spans="2:3">
      <c r="B6150" s="12"/>
      <c r="C6150" s="12"/>
    </row>
    <row r="6151" spans="2:3">
      <c r="B6151" s="12"/>
      <c r="C6151" s="12"/>
    </row>
    <row r="6152" spans="2:3">
      <c r="B6152" s="12"/>
      <c r="C6152" s="12"/>
    </row>
    <row r="6153" spans="2:3">
      <c r="B6153" s="12"/>
      <c r="C6153" s="12"/>
    </row>
    <row r="6154" spans="2:3">
      <c r="B6154" s="12"/>
      <c r="C6154" s="12"/>
    </row>
    <row r="6155" spans="2:3">
      <c r="B6155" s="12"/>
      <c r="C6155" s="12"/>
    </row>
    <row r="6156" spans="2:3">
      <c r="B6156" s="12"/>
      <c r="C6156" s="12"/>
    </row>
    <row r="6157" spans="2:3">
      <c r="B6157" s="12"/>
      <c r="C6157" s="12"/>
    </row>
    <row r="6158" spans="2:3">
      <c r="B6158" s="12"/>
      <c r="C6158" s="12"/>
    </row>
    <row r="6159" spans="2:3">
      <c r="B6159" s="12"/>
      <c r="C6159" s="12"/>
    </row>
    <row r="6160" spans="2:3">
      <c r="B6160" s="12"/>
      <c r="C6160" s="12"/>
    </row>
    <row r="6161" spans="2:3">
      <c r="B6161" s="12"/>
      <c r="C6161" s="12"/>
    </row>
    <row r="6162" spans="2:3">
      <c r="B6162" s="12"/>
      <c r="C6162" s="12"/>
    </row>
    <row r="6163" spans="2:3">
      <c r="B6163" s="12"/>
      <c r="C6163" s="12"/>
    </row>
    <row r="6164" spans="2:3">
      <c r="B6164" s="12"/>
      <c r="C6164" s="12"/>
    </row>
    <row r="6165" spans="2:3">
      <c r="B6165" s="12"/>
      <c r="C6165" s="12"/>
    </row>
    <row r="6166" spans="2:3">
      <c r="B6166" s="12"/>
      <c r="C6166" s="12"/>
    </row>
    <row r="6167" spans="2:3">
      <c r="B6167" s="12"/>
      <c r="C6167" s="12"/>
    </row>
    <row r="6168" spans="2:3">
      <c r="B6168" s="12"/>
      <c r="C6168" s="12"/>
    </row>
    <row r="6169" spans="2:3">
      <c r="B6169" s="12"/>
      <c r="C6169" s="12"/>
    </row>
    <row r="6170" spans="2:3">
      <c r="B6170" s="12"/>
      <c r="C6170" s="12"/>
    </row>
    <row r="6171" spans="2:3">
      <c r="B6171" s="12"/>
      <c r="C6171" s="12"/>
    </row>
    <row r="6172" spans="2:3">
      <c r="B6172" s="12"/>
      <c r="C6172" s="12"/>
    </row>
    <row r="6173" spans="2:3">
      <c r="B6173" s="12"/>
      <c r="C6173" s="12"/>
    </row>
    <row r="6174" spans="2:3">
      <c r="B6174" s="12"/>
      <c r="C6174" s="12"/>
    </row>
    <row r="6175" spans="2:3">
      <c r="B6175" s="12"/>
      <c r="C6175" s="12"/>
    </row>
    <row r="6176" spans="2:3">
      <c r="B6176" s="12"/>
      <c r="C6176" s="12"/>
    </row>
    <row r="6177" spans="2:3">
      <c r="B6177" s="12"/>
      <c r="C6177" s="12"/>
    </row>
    <row r="6178" spans="2:3">
      <c r="B6178" s="12"/>
      <c r="C6178" s="12"/>
    </row>
    <row r="6179" spans="2:3">
      <c r="B6179" s="12"/>
      <c r="C6179" s="12"/>
    </row>
    <row r="6180" spans="2:3">
      <c r="B6180" s="12"/>
      <c r="C6180" s="12"/>
    </row>
    <row r="6181" spans="2:3">
      <c r="B6181" s="12"/>
      <c r="C6181" s="12"/>
    </row>
    <row r="6182" spans="2:3">
      <c r="B6182" s="12"/>
      <c r="C6182" s="12"/>
    </row>
    <row r="6183" spans="2:3">
      <c r="B6183" s="12"/>
      <c r="C6183" s="12"/>
    </row>
    <row r="6184" spans="2:3">
      <c r="B6184" s="12"/>
      <c r="C6184" s="12"/>
    </row>
    <row r="6185" spans="2:3">
      <c r="B6185" s="12"/>
      <c r="C6185" s="12"/>
    </row>
    <row r="6186" spans="2:3">
      <c r="B6186" s="12"/>
      <c r="C6186" s="12"/>
    </row>
    <row r="6187" spans="2:3">
      <c r="B6187" s="12"/>
      <c r="C6187" s="12"/>
    </row>
    <row r="6188" spans="2:3">
      <c r="B6188" s="12"/>
      <c r="C6188" s="12"/>
    </row>
    <row r="6189" spans="2:3">
      <c r="B6189" s="12"/>
      <c r="C6189" s="12"/>
    </row>
    <row r="6190" spans="2:3">
      <c r="B6190" s="12"/>
      <c r="C6190" s="12"/>
    </row>
    <row r="6191" spans="2:3">
      <c r="B6191" s="12"/>
      <c r="C6191" s="12"/>
    </row>
    <row r="6192" spans="2:3">
      <c r="B6192" s="12"/>
      <c r="C6192" s="12"/>
    </row>
    <row r="6193" spans="2:3">
      <c r="B6193" s="12"/>
      <c r="C6193" s="12"/>
    </row>
    <row r="6194" spans="2:3">
      <c r="B6194" s="12"/>
      <c r="C6194" s="12"/>
    </row>
    <row r="6195" spans="2:3">
      <c r="B6195" s="12"/>
      <c r="C6195" s="12"/>
    </row>
    <row r="6196" spans="2:3">
      <c r="B6196" s="12"/>
      <c r="C6196" s="12"/>
    </row>
    <row r="6197" spans="2:3">
      <c r="B6197" s="12"/>
      <c r="C6197" s="12"/>
    </row>
    <row r="6198" spans="2:3">
      <c r="B6198" s="12"/>
      <c r="C6198" s="12"/>
    </row>
    <row r="6199" spans="2:3">
      <c r="B6199" s="12"/>
      <c r="C6199" s="12"/>
    </row>
    <row r="6200" spans="2:3">
      <c r="B6200" s="12"/>
      <c r="C6200" s="12"/>
    </row>
    <row r="6201" spans="2:3">
      <c r="B6201" s="12"/>
      <c r="C6201" s="12"/>
    </row>
    <row r="6202" spans="2:3">
      <c r="B6202" s="12"/>
      <c r="C6202" s="12"/>
    </row>
    <row r="6203" spans="2:3">
      <c r="B6203" s="12"/>
      <c r="C6203" s="12"/>
    </row>
    <row r="6204" spans="2:3">
      <c r="B6204" s="12"/>
      <c r="C6204" s="12"/>
    </row>
    <row r="6205" spans="2:3">
      <c r="B6205" s="12"/>
      <c r="C6205" s="12"/>
    </row>
    <row r="6206" spans="2:3">
      <c r="B6206" s="12"/>
      <c r="C6206" s="12"/>
    </row>
    <row r="6207" spans="2:3">
      <c r="B6207" s="12"/>
      <c r="C6207" s="12"/>
    </row>
    <row r="6208" spans="2:3">
      <c r="B6208" s="12"/>
      <c r="C6208" s="12"/>
    </row>
    <row r="6209" spans="2:3">
      <c r="B6209" s="12"/>
      <c r="C6209" s="12"/>
    </row>
    <row r="6210" spans="2:3">
      <c r="B6210" s="12"/>
      <c r="C6210" s="12"/>
    </row>
    <row r="6211" spans="2:3">
      <c r="B6211" s="12"/>
      <c r="C6211" s="12"/>
    </row>
    <row r="6212" spans="2:3">
      <c r="B6212" s="12"/>
      <c r="C6212" s="12"/>
    </row>
    <row r="6213" spans="2:3">
      <c r="B6213" s="12"/>
      <c r="C6213" s="12"/>
    </row>
    <row r="6214" spans="2:3">
      <c r="B6214" s="12"/>
      <c r="C6214" s="12"/>
    </row>
    <row r="6215" spans="2:3">
      <c r="B6215" s="12"/>
      <c r="C6215" s="12"/>
    </row>
    <row r="6216" spans="2:3">
      <c r="B6216" s="12"/>
      <c r="C6216" s="12"/>
    </row>
    <row r="6217" spans="2:3">
      <c r="B6217" s="12"/>
      <c r="C6217" s="12"/>
    </row>
    <row r="6218" spans="2:3">
      <c r="B6218" s="12"/>
      <c r="C6218" s="12"/>
    </row>
    <row r="6219" spans="2:3">
      <c r="B6219" s="12"/>
      <c r="C6219" s="12"/>
    </row>
    <row r="6220" spans="2:3">
      <c r="B6220" s="12"/>
      <c r="C6220" s="12"/>
    </row>
    <row r="6221" spans="2:3">
      <c r="B6221" s="12"/>
      <c r="C6221" s="12"/>
    </row>
    <row r="6222" spans="2:3">
      <c r="B6222" s="12"/>
      <c r="C6222" s="12"/>
    </row>
    <row r="6223" spans="2:3">
      <c r="B6223" s="12"/>
      <c r="C6223" s="12"/>
    </row>
    <row r="6224" spans="2:3">
      <c r="B6224" s="12"/>
      <c r="C6224" s="12"/>
    </row>
    <row r="6225" spans="2:3">
      <c r="B6225" s="12"/>
      <c r="C6225" s="12"/>
    </row>
    <row r="6226" spans="2:3">
      <c r="B6226" s="12"/>
      <c r="C6226" s="12"/>
    </row>
    <row r="6227" spans="2:3">
      <c r="B6227" s="12"/>
      <c r="C6227" s="12"/>
    </row>
    <row r="6228" spans="2:3">
      <c r="B6228" s="12"/>
      <c r="C6228" s="12"/>
    </row>
    <row r="6229" spans="2:3">
      <c r="B6229" s="12"/>
      <c r="C6229" s="12"/>
    </row>
    <row r="6230" spans="2:3">
      <c r="B6230" s="12"/>
      <c r="C6230" s="12"/>
    </row>
    <row r="6231" spans="2:3">
      <c r="B6231" s="12"/>
      <c r="C6231" s="12"/>
    </row>
    <row r="6232" spans="2:3">
      <c r="B6232" s="12"/>
      <c r="C6232" s="12"/>
    </row>
    <row r="6233" spans="2:3">
      <c r="B6233" s="12"/>
      <c r="C6233" s="12"/>
    </row>
    <row r="6234" spans="2:3">
      <c r="B6234" s="12"/>
      <c r="C6234" s="12"/>
    </row>
    <row r="6235" spans="2:3">
      <c r="B6235" s="12"/>
      <c r="C6235" s="12"/>
    </row>
    <row r="6236" spans="2:3">
      <c r="B6236" s="12"/>
      <c r="C6236" s="12"/>
    </row>
    <row r="6237" spans="2:3">
      <c r="B6237" s="12"/>
      <c r="C6237" s="12"/>
    </row>
    <row r="6238" spans="2:3">
      <c r="B6238" s="12"/>
      <c r="C6238" s="12"/>
    </row>
    <row r="6239" spans="2:3">
      <c r="B6239" s="12"/>
      <c r="C6239" s="12"/>
    </row>
    <row r="6240" spans="2:3">
      <c r="B6240" s="12"/>
      <c r="C6240" s="12"/>
    </row>
    <row r="6241" spans="2:3">
      <c r="B6241" s="12"/>
      <c r="C6241" s="12"/>
    </row>
    <row r="6242" spans="2:3">
      <c r="B6242" s="12"/>
      <c r="C6242" s="12"/>
    </row>
    <row r="6243" spans="2:3">
      <c r="B6243" s="12"/>
      <c r="C6243" s="12"/>
    </row>
    <row r="6244" spans="2:3">
      <c r="B6244" s="12"/>
      <c r="C6244" s="12"/>
    </row>
    <row r="6245" spans="2:3">
      <c r="B6245" s="12"/>
      <c r="C6245" s="12"/>
    </row>
    <row r="6246" spans="2:3">
      <c r="B6246" s="12"/>
      <c r="C6246" s="12"/>
    </row>
    <row r="6247" spans="2:3">
      <c r="B6247" s="12"/>
      <c r="C6247" s="12"/>
    </row>
    <row r="6248" spans="2:3">
      <c r="B6248" s="12"/>
      <c r="C6248" s="12"/>
    </row>
    <row r="6249" spans="2:3">
      <c r="B6249" s="12"/>
      <c r="C6249" s="12"/>
    </row>
    <row r="6250" spans="2:3">
      <c r="B6250" s="12"/>
      <c r="C6250" s="12"/>
    </row>
    <row r="6251" spans="2:3">
      <c r="B6251" s="12"/>
      <c r="C6251" s="12"/>
    </row>
    <row r="6252" spans="2:3">
      <c r="B6252" s="12"/>
      <c r="C6252" s="12"/>
    </row>
    <row r="6253" spans="2:3">
      <c r="B6253" s="12"/>
      <c r="C6253" s="12"/>
    </row>
    <row r="6254" spans="2:3">
      <c r="B6254" s="12"/>
      <c r="C6254" s="12"/>
    </row>
    <row r="6255" spans="2:3">
      <c r="B6255" s="12"/>
      <c r="C6255" s="12"/>
    </row>
    <row r="6256" spans="2:3">
      <c r="B6256" s="12"/>
      <c r="C6256" s="12"/>
    </row>
    <row r="6257" spans="2:3">
      <c r="B6257" s="12"/>
      <c r="C6257" s="12"/>
    </row>
    <row r="6258" spans="2:3">
      <c r="B6258" s="12"/>
      <c r="C6258" s="12"/>
    </row>
    <row r="6259" spans="2:3">
      <c r="B6259" s="12"/>
      <c r="C6259" s="12"/>
    </row>
    <row r="6260" spans="2:3">
      <c r="B6260" s="12"/>
      <c r="C6260" s="12"/>
    </row>
    <row r="6261" spans="2:3">
      <c r="B6261" s="12"/>
      <c r="C6261" s="12"/>
    </row>
    <row r="6262" spans="2:3">
      <c r="B6262" s="12"/>
      <c r="C6262" s="12"/>
    </row>
    <row r="6263" spans="2:3">
      <c r="B6263" s="12"/>
      <c r="C6263" s="12"/>
    </row>
    <row r="6264" spans="2:3">
      <c r="B6264" s="12"/>
      <c r="C6264" s="12"/>
    </row>
    <row r="6265" spans="2:3">
      <c r="B6265" s="12"/>
      <c r="C6265" s="12"/>
    </row>
    <row r="6266" spans="2:3">
      <c r="B6266" s="12"/>
      <c r="C6266" s="12"/>
    </row>
    <row r="6267" spans="2:3">
      <c r="B6267" s="12"/>
      <c r="C6267" s="12"/>
    </row>
    <row r="6268" spans="2:3">
      <c r="B6268" s="12"/>
      <c r="C6268" s="12"/>
    </row>
    <row r="6269" spans="2:3">
      <c r="B6269" s="12"/>
      <c r="C6269" s="12"/>
    </row>
    <row r="6270" spans="2:3">
      <c r="B6270" s="12"/>
      <c r="C6270" s="12"/>
    </row>
    <row r="6271" spans="2:3">
      <c r="B6271" s="12"/>
      <c r="C6271" s="12"/>
    </row>
    <row r="6272" spans="2:3">
      <c r="B6272" s="12"/>
      <c r="C6272" s="12"/>
    </row>
    <row r="6273" spans="2:3">
      <c r="B6273" s="12"/>
      <c r="C6273" s="12"/>
    </row>
    <row r="6274" spans="2:3">
      <c r="B6274" s="12"/>
      <c r="C6274" s="12"/>
    </row>
    <row r="6275" spans="2:3">
      <c r="B6275" s="12"/>
      <c r="C6275" s="12"/>
    </row>
    <row r="6276" spans="2:3">
      <c r="B6276" s="12"/>
      <c r="C6276" s="12"/>
    </row>
    <row r="6277" spans="2:3">
      <c r="B6277" s="12"/>
      <c r="C6277" s="12"/>
    </row>
    <row r="6278" spans="2:3">
      <c r="B6278" s="12"/>
      <c r="C6278" s="12"/>
    </row>
    <row r="6279" spans="2:3">
      <c r="B6279" s="12"/>
      <c r="C6279" s="12"/>
    </row>
    <row r="6280" spans="2:3">
      <c r="B6280" s="12"/>
      <c r="C6280" s="12"/>
    </row>
    <row r="6281" spans="2:3">
      <c r="B6281" s="12"/>
      <c r="C6281" s="12"/>
    </row>
    <row r="6282" spans="2:3">
      <c r="B6282" s="12"/>
      <c r="C6282" s="12"/>
    </row>
    <row r="6283" spans="2:3">
      <c r="B6283" s="12"/>
      <c r="C6283" s="12"/>
    </row>
    <row r="6284" spans="2:3">
      <c r="B6284" s="12"/>
      <c r="C6284" s="12"/>
    </row>
    <row r="6285" spans="2:3">
      <c r="B6285" s="12"/>
      <c r="C6285" s="12"/>
    </row>
    <row r="6286" spans="2:3">
      <c r="B6286" s="12"/>
      <c r="C6286" s="12"/>
    </row>
    <row r="6287" spans="2:3">
      <c r="B6287" s="12"/>
      <c r="C6287" s="12"/>
    </row>
    <row r="6288" spans="2:3">
      <c r="B6288" s="12"/>
      <c r="C6288" s="12"/>
    </row>
    <row r="6289" spans="2:3">
      <c r="B6289" s="12"/>
      <c r="C6289" s="12"/>
    </row>
    <row r="6290" spans="2:3">
      <c r="B6290" s="12"/>
      <c r="C6290" s="12"/>
    </row>
    <row r="6291" spans="2:3">
      <c r="B6291" s="12"/>
      <c r="C6291" s="12"/>
    </row>
    <row r="6292" spans="2:3">
      <c r="B6292" s="12"/>
      <c r="C6292" s="12"/>
    </row>
    <row r="6293" spans="2:3">
      <c r="B6293" s="12"/>
      <c r="C6293" s="12"/>
    </row>
    <row r="6294" spans="2:3">
      <c r="B6294" s="12"/>
      <c r="C6294" s="12"/>
    </row>
    <row r="6295" spans="2:3">
      <c r="B6295" s="12"/>
      <c r="C6295" s="12"/>
    </row>
    <row r="6296" spans="2:3">
      <c r="B6296" s="12"/>
      <c r="C6296" s="12"/>
    </row>
    <row r="6297" spans="2:3">
      <c r="B6297" s="12"/>
      <c r="C6297" s="12"/>
    </row>
    <row r="6298" spans="2:3">
      <c r="B6298" s="12"/>
      <c r="C6298" s="12"/>
    </row>
    <row r="6299" spans="2:3">
      <c r="B6299" s="12"/>
      <c r="C6299" s="12"/>
    </row>
    <row r="6300" spans="2:3">
      <c r="B6300" s="12"/>
      <c r="C6300" s="12"/>
    </row>
    <row r="6301" spans="2:3">
      <c r="B6301" s="12"/>
      <c r="C6301" s="12"/>
    </row>
    <row r="6302" spans="2:3">
      <c r="B6302" s="12"/>
      <c r="C6302" s="12"/>
    </row>
    <row r="6303" spans="2:3">
      <c r="B6303" s="12"/>
      <c r="C6303" s="12"/>
    </row>
    <row r="6304" spans="2:3">
      <c r="B6304" s="12"/>
      <c r="C6304" s="12"/>
    </row>
    <row r="6305" spans="2:3">
      <c r="B6305" s="12"/>
      <c r="C6305" s="12"/>
    </row>
    <row r="6306" spans="2:3">
      <c r="B6306" s="12"/>
      <c r="C6306" s="12"/>
    </row>
    <row r="6307" spans="2:3">
      <c r="B6307" s="12"/>
      <c r="C6307" s="12"/>
    </row>
    <row r="6308" spans="2:3">
      <c r="B6308" s="12"/>
      <c r="C6308" s="12"/>
    </row>
    <row r="6309" spans="2:3">
      <c r="B6309" s="12"/>
      <c r="C6309" s="12"/>
    </row>
    <row r="6310" spans="2:3">
      <c r="B6310" s="12"/>
      <c r="C6310" s="12"/>
    </row>
    <row r="6311" spans="2:3">
      <c r="B6311" s="12"/>
      <c r="C6311" s="12"/>
    </row>
    <row r="6312" spans="2:3">
      <c r="B6312" s="12"/>
      <c r="C6312" s="12"/>
    </row>
    <row r="6313" spans="2:3">
      <c r="B6313" s="12"/>
      <c r="C6313" s="12"/>
    </row>
    <row r="6314" spans="2:3">
      <c r="B6314" s="12"/>
      <c r="C6314" s="12"/>
    </row>
    <row r="6315" spans="2:3">
      <c r="B6315" s="12"/>
      <c r="C6315" s="12"/>
    </row>
    <row r="6316" spans="2:3">
      <c r="B6316" s="12"/>
      <c r="C6316" s="12"/>
    </row>
    <row r="6317" spans="2:3">
      <c r="B6317" s="12"/>
      <c r="C6317" s="12"/>
    </row>
    <row r="6318" spans="2:3">
      <c r="B6318" s="12"/>
      <c r="C6318" s="12"/>
    </row>
    <row r="6319" spans="2:3">
      <c r="B6319" s="12"/>
      <c r="C6319" s="12"/>
    </row>
    <row r="6320" spans="2:3">
      <c r="B6320" s="12"/>
      <c r="C6320" s="12"/>
    </row>
    <row r="6321" spans="2:3">
      <c r="B6321" s="12"/>
      <c r="C6321" s="12"/>
    </row>
    <row r="6322" spans="2:3">
      <c r="B6322" s="12"/>
      <c r="C6322" s="12"/>
    </row>
    <row r="6323" spans="2:3">
      <c r="B6323" s="12"/>
      <c r="C6323" s="12"/>
    </row>
    <row r="6324" spans="2:3">
      <c r="B6324" s="12"/>
      <c r="C6324" s="12"/>
    </row>
    <row r="6325" spans="2:3">
      <c r="B6325" s="12"/>
      <c r="C6325" s="12"/>
    </row>
    <row r="6326" spans="2:3">
      <c r="B6326" s="12"/>
      <c r="C6326" s="12"/>
    </row>
    <row r="6327" spans="2:3">
      <c r="B6327" s="12"/>
      <c r="C6327" s="12"/>
    </row>
    <row r="6328" spans="2:3">
      <c r="B6328" s="12"/>
      <c r="C6328" s="12"/>
    </row>
    <row r="6329" spans="2:3">
      <c r="B6329" s="12"/>
      <c r="C6329" s="12"/>
    </row>
    <row r="6330" spans="2:3">
      <c r="B6330" s="12"/>
      <c r="C6330" s="12"/>
    </row>
    <row r="6331" spans="2:3">
      <c r="B6331" s="12"/>
      <c r="C6331" s="12"/>
    </row>
    <row r="6332" spans="2:3">
      <c r="B6332" s="12"/>
      <c r="C6332" s="12"/>
    </row>
    <row r="6333" spans="2:3">
      <c r="B6333" s="12"/>
      <c r="C6333" s="12"/>
    </row>
    <row r="6334" spans="2:3">
      <c r="B6334" s="12"/>
      <c r="C6334" s="12"/>
    </row>
    <row r="6335" spans="2:3">
      <c r="B6335" s="12"/>
      <c r="C6335" s="12"/>
    </row>
    <row r="6336" spans="2:3">
      <c r="B6336" s="12"/>
      <c r="C6336" s="12"/>
    </row>
    <row r="6337" spans="2:3">
      <c r="B6337" s="12"/>
      <c r="C6337" s="12"/>
    </row>
    <row r="6338" spans="2:3">
      <c r="B6338" s="12"/>
      <c r="C6338" s="12"/>
    </row>
    <row r="6339" spans="2:3">
      <c r="B6339" s="12"/>
      <c r="C6339" s="12"/>
    </row>
    <row r="6340" spans="2:3">
      <c r="B6340" s="12"/>
      <c r="C6340" s="12"/>
    </row>
    <row r="6341" spans="2:3">
      <c r="B6341" s="12"/>
      <c r="C6341" s="12"/>
    </row>
    <row r="6342" spans="2:3">
      <c r="B6342" s="12"/>
      <c r="C6342" s="12"/>
    </row>
    <row r="6343" spans="2:3">
      <c r="B6343" s="12"/>
      <c r="C6343" s="12"/>
    </row>
    <row r="6344" spans="2:3">
      <c r="B6344" s="12"/>
      <c r="C6344" s="12"/>
    </row>
    <row r="6345" spans="2:3">
      <c r="B6345" s="12"/>
      <c r="C6345" s="12"/>
    </row>
    <row r="6346" spans="2:3">
      <c r="B6346" s="12"/>
      <c r="C6346" s="12"/>
    </row>
    <row r="6347" spans="2:3">
      <c r="B6347" s="12"/>
      <c r="C6347" s="12"/>
    </row>
    <row r="6348" spans="2:3">
      <c r="B6348" s="12"/>
      <c r="C6348" s="12"/>
    </row>
    <row r="6349" spans="2:3">
      <c r="B6349" s="12"/>
      <c r="C6349" s="12"/>
    </row>
    <row r="6350" spans="2:3">
      <c r="B6350" s="12"/>
      <c r="C6350" s="12"/>
    </row>
    <row r="6351" spans="2:3">
      <c r="B6351" s="12"/>
      <c r="C6351" s="12"/>
    </row>
    <row r="6352" spans="2:3">
      <c r="B6352" s="12"/>
      <c r="C6352" s="12"/>
    </row>
    <row r="6353" spans="2:3">
      <c r="B6353" s="12"/>
      <c r="C6353" s="12"/>
    </row>
    <row r="6354" spans="2:3">
      <c r="B6354" s="12"/>
      <c r="C6354" s="12"/>
    </row>
    <row r="6355" spans="2:3">
      <c r="B6355" s="12"/>
      <c r="C6355" s="12"/>
    </row>
    <row r="6356" spans="2:3">
      <c r="B6356" s="12"/>
      <c r="C6356" s="12"/>
    </row>
    <row r="6357" spans="2:3">
      <c r="B6357" s="12"/>
      <c r="C6357" s="12"/>
    </row>
    <row r="6358" spans="2:3">
      <c r="B6358" s="12"/>
      <c r="C6358" s="12"/>
    </row>
    <row r="6359" spans="2:3">
      <c r="B6359" s="12"/>
      <c r="C6359" s="12"/>
    </row>
    <row r="6360" spans="2:3">
      <c r="B6360" s="12"/>
      <c r="C6360" s="12"/>
    </row>
    <row r="6361" spans="2:3">
      <c r="B6361" s="12"/>
      <c r="C6361" s="12"/>
    </row>
    <row r="6362" spans="2:3">
      <c r="B6362" s="12"/>
      <c r="C6362" s="12"/>
    </row>
    <row r="6363" spans="2:3">
      <c r="B6363" s="12"/>
      <c r="C6363" s="12"/>
    </row>
    <row r="6364" spans="2:3">
      <c r="B6364" s="12"/>
      <c r="C6364" s="12"/>
    </row>
    <row r="6365" spans="2:3">
      <c r="B6365" s="12"/>
      <c r="C6365" s="12"/>
    </row>
    <row r="6366" spans="2:3">
      <c r="B6366" s="12"/>
      <c r="C6366" s="12"/>
    </row>
    <row r="6367" spans="2:3">
      <c r="B6367" s="12"/>
      <c r="C6367" s="12"/>
    </row>
    <row r="6368" spans="2:3">
      <c r="B6368" s="12"/>
      <c r="C6368" s="12"/>
    </row>
    <row r="6369" spans="2:3">
      <c r="B6369" s="12"/>
      <c r="C6369" s="12"/>
    </row>
    <row r="6370" spans="2:3">
      <c r="B6370" s="12"/>
      <c r="C6370" s="12"/>
    </row>
    <row r="6371" spans="2:3">
      <c r="B6371" s="12"/>
      <c r="C6371" s="12"/>
    </row>
    <row r="6372" spans="2:3">
      <c r="B6372" s="12"/>
      <c r="C6372" s="12"/>
    </row>
    <row r="6373" spans="2:3">
      <c r="B6373" s="12"/>
      <c r="C6373" s="12"/>
    </row>
    <row r="6374" spans="2:3">
      <c r="B6374" s="12"/>
      <c r="C6374" s="12"/>
    </row>
    <row r="6375" spans="2:3">
      <c r="B6375" s="12"/>
      <c r="C6375" s="12"/>
    </row>
    <row r="6376" spans="2:3">
      <c r="B6376" s="12"/>
      <c r="C6376" s="12"/>
    </row>
    <row r="6377" spans="2:3">
      <c r="B6377" s="12"/>
      <c r="C6377" s="12"/>
    </row>
    <row r="6378" spans="2:3">
      <c r="B6378" s="12"/>
      <c r="C6378" s="12"/>
    </row>
    <row r="6379" spans="2:3">
      <c r="B6379" s="12"/>
      <c r="C6379" s="12"/>
    </row>
    <row r="6380" spans="2:3">
      <c r="B6380" s="12"/>
      <c r="C6380" s="12"/>
    </row>
    <row r="6381" spans="2:3">
      <c r="B6381" s="12"/>
      <c r="C6381" s="12"/>
    </row>
    <row r="6382" spans="2:3">
      <c r="B6382" s="12"/>
      <c r="C6382" s="12"/>
    </row>
    <row r="6383" spans="2:3">
      <c r="B6383" s="12"/>
      <c r="C6383" s="12"/>
    </row>
    <row r="6384" spans="2:3">
      <c r="B6384" s="12"/>
      <c r="C6384" s="12"/>
    </row>
    <row r="6385" spans="2:3">
      <c r="B6385" s="12"/>
      <c r="C6385" s="12"/>
    </row>
    <row r="6386" spans="2:3">
      <c r="B6386" s="12"/>
      <c r="C6386" s="12"/>
    </row>
    <row r="6387" spans="2:3">
      <c r="B6387" s="12"/>
      <c r="C6387" s="12"/>
    </row>
    <row r="6388" spans="2:3">
      <c r="B6388" s="12"/>
      <c r="C6388" s="12"/>
    </row>
    <row r="6389" spans="2:3">
      <c r="B6389" s="12"/>
      <c r="C6389" s="12"/>
    </row>
    <row r="6390" spans="2:3">
      <c r="B6390" s="12"/>
      <c r="C6390" s="12"/>
    </row>
    <row r="6391" spans="2:3">
      <c r="B6391" s="12"/>
      <c r="C6391" s="12"/>
    </row>
    <row r="6392" spans="2:3">
      <c r="B6392" s="12"/>
      <c r="C6392" s="12"/>
    </row>
    <row r="6393" spans="2:3">
      <c r="B6393" s="12"/>
      <c r="C6393" s="12"/>
    </row>
    <row r="6394" spans="2:3">
      <c r="B6394" s="12"/>
      <c r="C6394" s="12"/>
    </row>
    <row r="6395" spans="2:3">
      <c r="B6395" s="12"/>
      <c r="C6395" s="12"/>
    </row>
    <row r="6396" spans="2:3">
      <c r="B6396" s="12"/>
      <c r="C6396" s="12"/>
    </row>
    <row r="6397" spans="2:3">
      <c r="B6397" s="12"/>
      <c r="C6397" s="12"/>
    </row>
    <row r="6398" spans="2:3">
      <c r="B6398" s="12"/>
      <c r="C6398" s="12"/>
    </row>
    <row r="6399" spans="2:3">
      <c r="B6399" s="12"/>
      <c r="C6399" s="12"/>
    </row>
    <row r="6400" spans="2:3">
      <c r="B6400" s="12"/>
      <c r="C6400" s="12"/>
    </row>
    <row r="6401" spans="2:3">
      <c r="B6401" s="12"/>
      <c r="C6401" s="12"/>
    </row>
    <row r="6402" spans="2:3">
      <c r="B6402" s="12"/>
      <c r="C6402" s="12"/>
    </row>
    <row r="6403" spans="2:3">
      <c r="B6403" s="12"/>
      <c r="C6403" s="12"/>
    </row>
    <row r="6404" spans="2:3">
      <c r="B6404" s="12"/>
      <c r="C6404" s="12"/>
    </row>
    <row r="6405" spans="2:3">
      <c r="B6405" s="12"/>
      <c r="C6405" s="12"/>
    </row>
    <row r="6406" spans="2:3">
      <c r="B6406" s="12"/>
      <c r="C6406" s="12"/>
    </row>
    <row r="6407" spans="2:3">
      <c r="B6407" s="12"/>
      <c r="C6407" s="12"/>
    </row>
    <row r="6408" spans="2:3">
      <c r="B6408" s="12"/>
      <c r="C6408" s="12"/>
    </row>
    <row r="6409" spans="2:3">
      <c r="B6409" s="12"/>
      <c r="C6409" s="12"/>
    </row>
    <row r="6410" spans="2:3">
      <c r="B6410" s="12"/>
      <c r="C6410" s="12"/>
    </row>
    <row r="6411" spans="2:3">
      <c r="B6411" s="12"/>
      <c r="C6411" s="12"/>
    </row>
    <row r="6412" spans="2:3">
      <c r="B6412" s="12"/>
      <c r="C6412" s="12"/>
    </row>
    <row r="6413" spans="2:3">
      <c r="B6413" s="12"/>
      <c r="C6413" s="12"/>
    </row>
    <row r="6414" spans="2:3">
      <c r="B6414" s="12"/>
      <c r="C6414" s="12"/>
    </row>
    <row r="6415" spans="2:3">
      <c r="B6415" s="12"/>
      <c r="C6415" s="12"/>
    </row>
    <row r="6416" spans="2:3">
      <c r="B6416" s="12"/>
      <c r="C6416" s="12"/>
    </row>
    <row r="6417" spans="2:3">
      <c r="B6417" s="12"/>
      <c r="C6417" s="12"/>
    </row>
    <row r="6418" spans="2:3">
      <c r="B6418" s="12"/>
      <c r="C6418" s="12"/>
    </row>
    <row r="6419" spans="2:3">
      <c r="B6419" s="12"/>
      <c r="C6419" s="12"/>
    </row>
    <row r="6420" spans="2:3">
      <c r="B6420" s="12"/>
      <c r="C6420" s="12"/>
    </row>
    <row r="6421" spans="2:3">
      <c r="B6421" s="12"/>
      <c r="C6421" s="12"/>
    </row>
    <row r="6422" spans="2:3">
      <c r="B6422" s="12"/>
      <c r="C6422" s="12"/>
    </row>
    <row r="6423" spans="2:3">
      <c r="B6423" s="12"/>
      <c r="C6423" s="12"/>
    </row>
    <row r="6424" spans="2:3">
      <c r="B6424" s="12"/>
      <c r="C6424" s="12"/>
    </row>
    <row r="6425" spans="2:3">
      <c r="B6425" s="12"/>
      <c r="C6425" s="12"/>
    </row>
    <row r="6426" spans="2:3">
      <c r="B6426" s="12"/>
      <c r="C6426" s="12"/>
    </row>
    <row r="6427" spans="2:3">
      <c r="B6427" s="12"/>
      <c r="C6427" s="12"/>
    </row>
    <row r="6428" spans="2:3">
      <c r="B6428" s="12"/>
      <c r="C6428" s="12"/>
    </row>
    <row r="6429" spans="2:3">
      <c r="B6429" s="12"/>
      <c r="C6429" s="12"/>
    </row>
    <row r="6430" spans="2:3">
      <c r="B6430" s="12"/>
      <c r="C6430" s="12"/>
    </row>
    <row r="6431" spans="2:3">
      <c r="B6431" s="12"/>
      <c r="C6431" s="12"/>
    </row>
    <row r="6432" spans="2:3">
      <c r="B6432" s="12"/>
      <c r="C6432" s="12"/>
    </row>
    <row r="6433" spans="2:3">
      <c r="B6433" s="12"/>
      <c r="C6433" s="12"/>
    </row>
    <row r="6434" spans="2:3">
      <c r="B6434" s="12"/>
      <c r="C6434" s="12"/>
    </row>
    <row r="6435" spans="2:3">
      <c r="B6435" s="12"/>
      <c r="C6435" s="12"/>
    </row>
    <row r="6436" spans="2:3">
      <c r="B6436" s="12"/>
      <c r="C6436" s="12"/>
    </row>
    <row r="6437" spans="2:3">
      <c r="B6437" s="12"/>
      <c r="C6437" s="12"/>
    </row>
    <row r="6438" spans="2:3">
      <c r="B6438" s="12"/>
      <c r="C6438" s="12"/>
    </row>
    <row r="6439" spans="2:3">
      <c r="B6439" s="12"/>
      <c r="C6439" s="12"/>
    </row>
    <row r="6440" spans="2:3">
      <c r="B6440" s="12"/>
      <c r="C6440" s="12"/>
    </row>
    <row r="6441" spans="2:3">
      <c r="B6441" s="12"/>
      <c r="C6441" s="12"/>
    </row>
    <row r="6442" spans="2:3">
      <c r="B6442" s="12"/>
      <c r="C6442" s="12"/>
    </row>
    <row r="6443" spans="2:3">
      <c r="B6443" s="12"/>
      <c r="C6443" s="12"/>
    </row>
    <row r="6444" spans="2:3">
      <c r="B6444" s="12"/>
      <c r="C6444" s="12"/>
    </row>
    <row r="6445" spans="2:3">
      <c r="B6445" s="12"/>
      <c r="C6445" s="12"/>
    </row>
    <row r="6446" spans="2:3">
      <c r="B6446" s="12"/>
      <c r="C6446" s="12"/>
    </row>
    <row r="6447" spans="2:3">
      <c r="B6447" s="12"/>
      <c r="C6447" s="12"/>
    </row>
    <row r="6448" spans="2:3">
      <c r="B6448" s="12"/>
      <c r="C6448" s="12"/>
    </row>
    <row r="6449" spans="2:3">
      <c r="B6449" s="12"/>
      <c r="C6449" s="12"/>
    </row>
    <row r="6450" spans="2:3">
      <c r="B6450" s="12"/>
      <c r="C6450" s="12"/>
    </row>
    <row r="6451" spans="2:3">
      <c r="B6451" s="12"/>
      <c r="C6451" s="12"/>
    </row>
    <row r="6452" spans="2:3">
      <c r="B6452" s="12"/>
      <c r="C6452" s="12"/>
    </row>
    <row r="6453" spans="2:3">
      <c r="B6453" s="12"/>
      <c r="C6453" s="12"/>
    </row>
    <row r="6454" spans="2:3">
      <c r="B6454" s="12"/>
      <c r="C6454" s="12"/>
    </row>
    <row r="6455" spans="2:3">
      <c r="B6455" s="12"/>
      <c r="C6455" s="12"/>
    </row>
    <row r="6456" spans="2:3">
      <c r="B6456" s="12"/>
      <c r="C6456" s="12"/>
    </row>
    <row r="6457" spans="2:3">
      <c r="B6457" s="12"/>
      <c r="C6457" s="12"/>
    </row>
    <row r="6458" spans="2:3">
      <c r="B6458" s="12"/>
      <c r="C6458" s="12"/>
    </row>
    <row r="6459" spans="2:3">
      <c r="B6459" s="12"/>
      <c r="C6459" s="12"/>
    </row>
    <row r="6460" spans="2:3">
      <c r="B6460" s="12"/>
      <c r="C6460" s="12"/>
    </row>
    <row r="6461" spans="2:3">
      <c r="B6461" s="12"/>
      <c r="C6461" s="12"/>
    </row>
    <row r="6462" spans="2:3">
      <c r="B6462" s="12"/>
      <c r="C6462" s="12"/>
    </row>
    <row r="6463" spans="2:3">
      <c r="B6463" s="12"/>
      <c r="C6463" s="12"/>
    </row>
    <row r="6464" spans="2:3">
      <c r="B6464" s="12"/>
      <c r="C6464" s="12"/>
    </row>
    <row r="6465" spans="2:3">
      <c r="B6465" s="12"/>
      <c r="C6465" s="12"/>
    </row>
    <row r="6466" spans="2:3">
      <c r="B6466" s="12"/>
      <c r="C6466" s="12"/>
    </row>
    <row r="6467" spans="2:3">
      <c r="B6467" s="12"/>
      <c r="C6467" s="12"/>
    </row>
    <row r="6468" spans="2:3">
      <c r="B6468" s="12"/>
      <c r="C6468" s="12"/>
    </row>
    <row r="6469" spans="2:3">
      <c r="B6469" s="12"/>
      <c r="C6469" s="12"/>
    </row>
    <row r="6470" spans="2:3">
      <c r="B6470" s="12"/>
      <c r="C6470" s="12"/>
    </row>
    <row r="6471" spans="2:3">
      <c r="B6471" s="12"/>
      <c r="C6471" s="12"/>
    </row>
    <row r="6472" spans="2:3">
      <c r="B6472" s="12"/>
      <c r="C6472" s="12"/>
    </row>
    <row r="6473" spans="2:3">
      <c r="B6473" s="12"/>
      <c r="C6473" s="12"/>
    </row>
    <row r="6474" spans="2:3">
      <c r="B6474" s="12"/>
      <c r="C6474" s="12"/>
    </row>
    <row r="6475" spans="2:3">
      <c r="B6475" s="12"/>
      <c r="C6475" s="12"/>
    </row>
    <row r="6476" spans="2:3">
      <c r="B6476" s="12"/>
      <c r="C6476" s="12"/>
    </row>
    <row r="6477" spans="2:3">
      <c r="B6477" s="12"/>
      <c r="C6477" s="12"/>
    </row>
    <row r="6478" spans="2:3">
      <c r="B6478" s="12"/>
      <c r="C6478" s="12"/>
    </row>
    <row r="6479" spans="2:3">
      <c r="B6479" s="12"/>
      <c r="C6479" s="12"/>
    </row>
    <row r="6480" spans="2:3">
      <c r="B6480" s="12"/>
      <c r="C6480" s="12"/>
    </row>
    <row r="6481" spans="2:3">
      <c r="B6481" s="12"/>
      <c r="C6481" s="12"/>
    </row>
    <row r="6482" spans="2:3">
      <c r="B6482" s="12"/>
      <c r="C6482" s="12"/>
    </row>
    <row r="6483" spans="2:3">
      <c r="B6483" s="12"/>
      <c r="C6483" s="12"/>
    </row>
    <row r="6484" spans="2:3">
      <c r="B6484" s="12"/>
      <c r="C6484" s="12"/>
    </row>
    <row r="6485" spans="2:3">
      <c r="B6485" s="12"/>
      <c r="C6485" s="12"/>
    </row>
    <row r="6486" spans="2:3">
      <c r="B6486" s="12"/>
      <c r="C6486" s="12"/>
    </row>
    <row r="6487" spans="2:3">
      <c r="B6487" s="12"/>
      <c r="C6487" s="12"/>
    </row>
    <row r="6488" spans="2:3">
      <c r="B6488" s="12"/>
      <c r="C6488" s="12"/>
    </row>
    <row r="6489" spans="2:3">
      <c r="B6489" s="12"/>
      <c r="C6489" s="12"/>
    </row>
    <row r="6490" spans="2:3">
      <c r="B6490" s="12"/>
      <c r="C6490" s="12"/>
    </row>
    <row r="6491" spans="2:3">
      <c r="B6491" s="12"/>
      <c r="C6491" s="12"/>
    </row>
    <row r="6492" spans="2:3">
      <c r="B6492" s="12"/>
      <c r="C6492" s="12"/>
    </row>
    <row r="6493" spans="2:3">
      <c r="B6493" s="12"/>
      <c r="C6493" s="12"/>
    </row>
    <row r="6494" spans="2:3">
      <c r="B6494" s="12"/>
      <c r="C6494" s="12"/>
    </row>
    <row r="6495" spans="2:3">
      <c r="B6495" s="12"/>
      <c r="C6495" s="12"/>
    </row>
    <row r="6496" spans="2:3">
      <c r="B6496" s="12"/>
      <c r="C6496" s="12"/>
    </row>
    <row r="6497" spans="2:3">
      <c r="B6497" s="12"/>
      <c r="C6497" s="12"/>
    </row>
    <row r="6498" spans="2:3">
      <c r="B6498" s="12"/>
      <c r="C6498" s="12"/>
    </row>
    <row r="6499" spans="2:3">
      <c r="B6499" s="12"/>
      <c r="C6499" s="12"/>
    </row>
    <row r="6500" spans="2:3">
      <c r="B6500" s="12"/>
      <c r="C6500" s="12"/>
    </row>
    <row r="6501" spans="2:3">
      <c r="B6501" s="12"/>
      <c r="C6501" s="12"/>
    </row>
    <row r="6502" spans="2:3">
      <c r="B6502" s="12"/>
      <c r="C6502" s="12"/>
    </row>
    <row r="6503" spans="2:3">
      <c r="B6503" s="12"/>
      <c r="C6503" s="12"/>
    </row>
    <row r="6504" spans="2:3">
      <c r="B6504" s="12"/>
      <c r="C6504" s="12"/>
    </row>
    <row r="6505" spans="2:3">
      <c r="B6505" s="12"/>
      <c r="C6505" s="12"/>
    </row>
    <row r="6506" spans="2:3">
      <c r="B6506" s="12"/>
      <c r="C6506" s="12"/>
    </row>
    <row r="6507" spans="2:3">
      <c r="B6507" s="12"/>
      <c r="C6507" s="12"/>
    </row>
    <row r="6508" spans="2:3">
      <c r="B6508" s="12"/>
      <c r="C6508" s="12"/>
    </row>
    <row r="6509" spans="2:3">
      <c r="B6509" s="12"/>
      <c r="C6509" s="12"/>
    </row>
    <row r="6510" spans="2:3">
      <c r="B6510" s="12"/>
      <c r="C6510" s="12"/>
    </row>
    <row r="6511" spans="2:3">
      <c r="B6511" s="12"/>
      <c r="C6511" s="12"/>
    </row>
    <row r="6512" spans="2:3">
      <c r="B6512" s="12"/>
      <c r="C6512" s="12"/>
    </row>
    <row r="6513" spans="2:3">
      <c r="B6513" s="12"/>
      <c r="C6513" s="12"/>
    </row>
    <row r="6514" spans="2:3">
      <c r="B6514" s="12"/>
      <c r="C6514" s="12"/>
    </row>
    <row r="6515" spans="2:3">
      <c r="B6515" s="12"/>
      <c r="C6515" s="12"/>
    </row>
    <row r="6516" spans="2:3">
      <c r="B6516" s="12"/>
      <c r="C6516" s="12"/>
    </row>
    <row r="6517" spans="2:3">
      <c r="B6517" s="12"/>
      <c r="C6517" s="12"/>
    </row>
    <row r="6518" spans="2:3">
      <c r="B6518" s="12"/>
      <c r="C6518" s="12"/>
    </row>
    <row r="6519" spans="2:3">
      <c r="B6519" s="12"/>
      <c r="C6519" s="12"/>
    </row>
    <row r="6520" spans="2:3">
      <c r="B6520" s="12"/>
      <c r="C6520" s="12"/>
    </row>
    <row r="6521" spans="2:3">
      <c r="B6521" s="12"/>
      <c r="C6521" s="12"/>
    </row>
    <row r="6522" spans="2:3">
      <c r="B6522" s="12"/>
      <c r="C6522" s="12"/>
    </row>
    <row r="6523" spans="2:3">
      <c r="B6523" s="12"/>
      <c r="C6523" s="12"/>
    </row>
    <row r="6524" spans="2:3">
      <c r="B6524" s="12"/>
      <c r="C6524" s="12"/>
    </row>
    <row r="6525" spans="2:3">
      <c r="B6525" s="12"/>
      <c r="C6525" s="12"/>
    </row>
    <row r="6526" spans="2:3">
      <c r="B6526" s="12"/>
      <c r="C6526" s="12"/>
    </row>
    <row r="6527" spans="2:3">
      <c r="B6527" s="12"/>
      <c r="C6527" s="12"/>
    </row>
    <row r="6528" spans="2:3">
      <c r="B6528" s="12"/>
      <c r="C6528" s="12"/>
    </row>
    <row r="6529" spans="2:3">
      <c r="B6529" s="12"/>
      <c r="C6529" s="12"/>
    </row>
    <row r="6530" spans="2:3">
      <c r="B6530" s="12"/>
      <c r="C6530" s="12"/>
    </row>
    <row r="6531" spans="2:3">
      <c r="B6531" s="12"/>
      <c r="C6531" s="12"/>
    </row>
    <row r="6532" spans="2:3">
      <c r="B6532" s="12"/>
      <c r="C6532" s="12"/>
    </row>
    <row r="6533" spans="2:3">
      <c r="B6533" s="12"/>
      <c r="C6533" s="12"/>
    </row>
    <row r="6534" spans="2:3">
      <c r="B6534" s="12"/>
      <c r="C6534" s="12"/>
    </row>
    <row r="6535" spans="2:3">
      <c r="B6535" s="12"/>
      <c r="C6535" s="12"/>
    </row>
    <row r="6536" spans="2:3">
      <c r="B6536" s="12"/>
      <c r="C6536" s="12"/>
    </row>
    <row r="6537" spans="2:3">
      <c r="B6537" s="12"/>
      <c r="C6537" s="12"/>
    </row>
    <row r="6538" spans="2:3">
      <c r="B6538" s="12"/>
      <c r="C6538" s="12"/>
    </row>
    <row r="6539" spans="2:3">
      <c r="B6539" s="12"/>
      <c r="C6539" s="12"/>
    </row>
    <row r="6540" spans="2:3">
      <c r="B6540" s="12"/>
      <c r="C6540" s="12"/>
    </row>
    <row r="6541" spans="2:3">
      <c r="B6541" s="12"/>
      <c r="C6541" s="12"/>
    </row>
    <row r="6542" spans="2:3">
      <c r="B6542" s="12"/>
      <c r="C6542" s="12"/>
    </row>
    <row r="6543" spans="2:3">
      <c r="B6543" s="12"/>
      <c r="C6543" s="12"/>
    </row>
    <row r="6544" spans="2:3">
      <c r="B6544" s="12"/>
      <c r="C6544" s="12"/>
    </row>
    <row r="6545" spans="2:3">
      <c r="B6545" s="12"/>
      <c r="C6545" s="12"/>
    </row>
    <row r="6546" spans="2:3">
      <c r="B6546" s="12"/>
      <c r="C6546" s="12"/>
    </row>
    <row r="6547" spans="2:3">
      <c r="B6547" s="12"/>
      <c r="C6547" s="12"/>
    </row>
    <row r="6548" spans="2:3">
      <c r="B6548" s="12"/>
      <c r="C6548" s="12"/>
    </row>
    <row r="6549" spans="2:3">
      <c r="B6549" s="12"/>
      <c r="C6549" s="12"/>
    </row>
    <row r="6550" spans="2:3">
      <c r="B6550" s="12"/>
      <c r="C6550" s="12"/>
    </row>
    <row r="6551" spans="2:3">
      <c r="B6551" s="12"/>
      <c r="C6551" s="12"/>
    </row>
    <row r="6552" spans="2:3">
      <c r="B6552" s="12"/>
      <c r="C6552" s="12"/>
    </row>
    <row r="6553" spans="2:3">
      <c r="B6553" s="12"/>
      <c r="C6553" s="12"/>
    </row>
    <row r="6554" spans="2:3">
      <c r="B6554" s="12"/>
      <c r="C6554" s="12"/>
    </row>
    <row r="6555" spans="2:3">
      <c r="B6555" s="12"/>
      <c r="C6555" s="12"/>
    </row>
    <row r="6556" spans="2:3">
      <c r="B6556" s="12"/>
      <c r="C6556" s="12"/>
    </row>
    <row r="6557" spans="2:3">
      <c r="B6557" s="12"/>
      <c r="C6557" s="12"/>
    </row>
    <row r="6558" spans="2:3">
      <c r="B6558" s="12"/>
      <c r="C6558" s="12"/>
    </row>
    <row r="6559" spans="2:3">
      <c r="B6559" s="12"/>
      <c r="C6559" s="12"/>
    </row>
    <row r="6560" spans="2:3">
      <c r="B6560" s="12"/>
      <c r="C6560" s="12"/>
    </row>
    <row r="6561" spans="2:3">
      <c r="B6561" s="12"/>
      <c r="C6561" s="12"/>
    </row>
    <row r="6562" spans="2:3">
      <c r="B6562" s="12"/>
      <c r="C6562" s="12"/>
    </row>
    <row r="6563" spans="2:3">
      <c r="B6563" s="12"/>
      <c r="C6563" s="12"/>
    </row>
    <row r="6564" spans="2:3">
      <c r="B6564" s="12"/>
      <c r="C6564" s="12"/>
    </row>
    <row r="6565" spans="2:3">
      <c r="B6565" s="12"/>
      <c r="C6565" s="12"/>
    </row>
    <row r="6566" spans="2:3">
      <c r="B6566" s="12"/>
      <c r="C6566" s="12"/>
    </row>
    <row r="6567" spans="2:3">
      <c r="B6567" s="12"/>
      <c r="C6567" s="12"/>
    </row>
    <row r="6568" spans="2:3">
      <c r="B6568" s="12"/>
      <c r="C6568" s="12"/>
    </row>
    <row r="6569" spans="2:3">
      <c r="B6569" s="12"/>
      <c r="C6569" s="12"/>
    </row>
    <row r="6570" spans="2:3">
      <c r="B6570" s="12"/>
      <c r="C6570" s="12"/>
    </row>
    <row r="6571" spans="2:3">
      <c r="B6571" s="12"/>
      <c r="C6571" s="12"/>
    </row>
    <row r="6572" spans="2:3">
      <c r="B6572" s="12"/>
      <c r="C6572" s="12"/>
    </row>
    <row r="6573" spans="2:3">
      <c r="B6573" s="12"/>
      <c r="C6573" s="12"/>
    </row>
    <row r="6574" spans="2:3">
      <c r="B6574" s="12"/>
      <c r="C6574" s="12"/>
    </row>
    <row r="6575" spans="2:3">
      <c r="B6575" s="12"/>
      <c r="C6575" s="12"/>
    </row>
    <row r="6576" spans="2:3">
      <c r="B6576" s="12"/>
      <c r="C6576" s="12"/>
    </row>
    <row r="6577" spans="2:3">
      <c r="B6577" s="12"/>
      <c r="C6577" s="12"/>
    </row>
    <row r="6578" spans="2:3">
      <c r="B6578" s="12"/>
      <c r="C6578" s="12"/>
    </row>
    <row r="6579" spans="2:3">
      <c r="B6579" s="12"/>
      <c r="C6579" s="12"/>
    </row>
    <row r="6580" spans="2:3">
      <c r="B6580" s="12"/>
      <c r="C6580" s="12"/>
    </row>
    <row r="6581" spans="2:3">
      <c r="B6581" s="12"/>
      <c r="C6581" s="12"/>
    </row>
    <row r="6582" spans="2:3">
      <c r="B6582" s="12"/>
      <c r="C6582" s="12"/>
    </row>
    <row r="6583" spans="2:3">
      <c r="B6583" s="12"/>
      <c r="C6583" s="12"/>
    </row>
    <row r="6584" spans="2:3">
      <c r="B6584" s="12"/>
      <c r="C6584" s="12"/>
    </row>
    <row r="6585" spans="2:3">
      <c r="B6585" s="12"/>
      <c r="C6585" s="12"/>
    </row>
    <row r="6586" spans="2:3">
      <c r="B6586" s="12"/>
      <c r="C6586" s="12"/>
    </row>
    <row r="6587" spans="2:3">
      <c r="B6587" s="12"/>
      <c r="C6587" s="12"/>
    </row>
    <row r="6588" spans="2:3">
      <c r="B6588" s="12"/>
      <c r="C6588" s="12"/>
    </row>
    <row r="6589" spans="2:3">
      <c r="B6589" s="12"/>
      <c r="C6589" s="12"/>
    </row>
    <row r="6590" spans="2:3">
      <c r="B6590" s="12"/>
      <c r="C6590" s="12"/>
    </row>
    <row r="6591" spans="2:3">
      <c r="B6591" s="12"/>
      <c r="C6591" s="12"/>
    </row>
    <row r="6592" spans="2:3">
      <c r="B6592" s="12"/>
      <c r="C6592" s="12"/>
    </row>
    <row r="6593" spans="2:3">
      <c r="B6593" s="12"/>
      <c r="C6593" s="12"/>
    </row>
    <row r="6594" spans="2:3">
      <c r="B6594" s="12"/>
      <c r="C6594" s="12"/>
    </row>
    <row r="6595" spans="2:3">
      <c r="B6595" s="12"/>
      <c r="C6595" s="12"/>
    </row>
    <row r="6596" spans="2:3">
      <c r="B6596" s="12"/>
      <c r="C6596" s="12"/>
    </row>
    <row r="6597" spans="2:3">
      <c r="B6597" s="12"/>
      <c r="C6597" s="12"/>
    </row>
    <row r="6598" spans="2:3">
      <c r="B6598" s="12"/>
      <c r="C6598" s="12"/>
    </row>
    <row r="6599" spans="2:3">
      <c r="B6599" s="12"/>
      <c r="C6599" s="12"/>
    </row>
    <row r="6600" spans="2:3">
      <c r="B6600" s="12"/>
      <c r="C6600" s="12"/>
    </row>
    <row r="6601" spans="2:3">
      <c r="B6601" s="12"/>
      <c r="C6601" s="12"/>
    </row>
    <row r="6602" spans="2:3">
      <c r="B6602" s="12"/>
      <c r="C6602" s="12"/>
    </row>
    <row r="6603" spans="2:3">
      <c r="B6603" s="12"/>
      <c r="C6603" s="12"/>
    </row>
    <row r="6604" spans="2:3">
      <c r="B6604" s="12"/>
      <c r="C6604" s="12"/>
    </row>
    <row r="6605" spans="2:3">
      <c r="B6605" s="12"/>
      <c r="C6605" s="12"/>
    </row>
    <row r="6606" spans="2:3">
      <c r="B6606" s="12"/>
      <c r="C6606" s="12"/>
    </row>
    <row r="6607" spans="2:3">
      <c r="B6607" s="12"/>
      <c r="C6607" s="12"/>
    </row>
    <row r="6608" spans="2:3">
      <c r="B6608" s="12"/>
      <c r="C6608" s="12"/>
    </row>
    <row r="6609" spans="2:3">
      <c r="B6609" s="12"/>
      <c r="C6609" s="12"/>
    </row>
    <row r="6610" spans="2:3">
      <c r="B6610" s="12"/>
      <c r="C6610" s="12"/>
    </row>
    <row r="6611" spans="2:3">
      <c r="B6611" s="12"/>
      <c r="C6611" s="12"/>
    </row>
    <row r="6612" spans="2:3">
      <c r="B6612" s="12"/>
      <c r="C6612" s="12"/>
    </row>
    <row r="6613" spans="2:3">
      <c r="B6613" s="12"/>
      <c r="C6613" s="12"/>
    </row>
    <row r="6614" spans="2:3">
      <c r="B6614" s="12"/>
      <c r="C6614" s="12"/>
    </row>
    <row r="6615" spans="2:3">
      <c r="B6615" s="12"/>
      <c r="C6615" s="12"/>
    </row>
    <row r="6616" spans="2:3">
      <c r="B6616" s="12"/>
      <c r="C6616" s="12"/>
    </row>
    <row r="6617" spans="2:3">
      <c r="B6617" s="12"/>
      <c r="C6617" s="12"/>
    </row>
    <row r="6618" spans="2:3">
      <c r="B6618" s="12"/>
      <c r="C6618" s="12"/>
    </row>
    <row r="6619" spans="2:3">
      <c r="B6619" s="12"/>
      <c r="C6619" s="12"/>
    </row>
    <row r="6620" spans="2:3">
      <c r="B6620" s="12"/>
      <c r="C6620" s="12"/>
    </row>
    <row r="6621" spans="2:3">
      <c r="B6621" s="12"/>
      <c r="C6621" s="12"/>
    </row>
    <row r="6622" spans="2:3">
      <c r="B6622" s="12"/>
      <c r="C6622" s="12"/>
    </row>
    <row r="6623" spans="2:3">
      <c r="B6623" s="12"/>
      <c r="C6623" s="12"/>
    </row>
    <row r="6624" spans="2:3">
      <c r="B6624" s="12"/>
      <c r="C6624" s="12"/>
    </row>
    <row r="6625" spans="2:3">
      <c r="B6625" s="12"/>
      <c r="C6625" s="12"/>
    </row>
    <row r="6626" spans="2:3">
      <c r="B6626" s="12"/>
      <c r="C6626" s="12"/>
    </row>
    <row r="6627" spans="2:3">
      <c r="B6627" s="12"/>
      <c r="C6627" s="12"/>
    </row>
    <row r="6628" spans="2:3">
      <c r="B6628" s="12"/>
      <c r="C6628" s="12"/>
    </row>
    <row r="6629" spans="2:3">
      <c r="B6629" s="12"/>
      <c r="C6629" s="12"/>
    </row>
    <row r="6630" spans="2:3">
      <c r="B6630" s="12"/>
      <c r="C6630" s="12"/>
    </row>
    <row r="6631" spans="2:3">
      <c r="B6631" s="12"/>
      <c r="C6631" s="12"/>
    </row>
    <row r="6632" spans="2:3">
      <c r="B6632" s="12"/>
      <c r="C6632" s="12"/>
    </row>
    <row r="6633" spans="2:3">
      <c r="B6633" s="12"/>
      <c r="C6633" s="12"/>
    </row>
    <row r="6634" spans="2:3">
      <c r="B6634" s="12"/>
      <c r="C6634" s="12"/>
    </row>
    <row r="6635" spans="2:3">
      <c r="B6635" s="12"/>
      <c r="C6635" s="12"/>
    </row>
    <row r="6636" spans="2:3">
      <c r="B6636" s="12"/>
      <c r="C6636" s="12"/>
    </row>
    <row r="6637" spans="2:3">
      <c r="B6637" s="12"/>
      <c r="C6637" s="12"/>
    </row>
    <row r="6638" spans="2:3">
      <c r="B6638" s="12"/>
      <c r="C6638" s="12"/>
    </row>
    <row r="6639" spans="2:3">
      <c r="B6639" s="12"/>
      <c r="C6639" s="12"/>
    </row>
    <row r="6640" spans="2:3">
      <c r="B6640" s="12"/>
      <c r="C6640" s="12"/>
    </row>
    <row r="6641" spans="2:3">
      <c r="B6641" s="12"/>
      <c r="C6641" s="12"/>
    </row>
    <row r="6642" spans="2:3">
      <c r="B6642" s="12"/>
      <c r="C6642" s="12"/>
    </row>
    <row r="6643" spans="2:3">
      <c r="B6643" s="12"/>
      <c r="C6643" s="12"/>
    </row>
    <row r="6644" spans="2:3">
      <c r="B6644" s="12"/>
      <c r="C6644" s="12"/>
    </row>
    <row r="6645" spans="2:3">
      <c r="B6645" s="12"/>
      <c r="C6645" s="12"/>
    </row>
    <row r="6646" spans="2:3">
      <c r="B6646" s="12"/>
      <c r="C6646" s="12"/>
    </row>
    <row r="6647" spans="2:3">
      <c r="B6647" s="12"/>
      <c r="C6647" s="12"/>
    </row>
    <row r="6648" spans="2:3">
      <c r="B6648" s="12"/>
      <c r="C6648" s="12"/>
    </row>
    <row r="6649" spans="2:3">
      <c r="B6649" s="12"/>
      <c r="C6649" s="12"/>
    </row>
    <row r="6650" spans="2:3">
      <c r="B6650" s="12"/>
      <c r="C6650" s="12"/>
    </row>
    <row r="6651" spans="2:3">
      <c r="B6651" s="12"/>
      <c r="C6651" s="12"/>
    </row>
    <row r="6652" spans="2:3">
      <c r="B6652" s="12"/>
      <c r="C6652" s="12"/>
    </row>
    <row r="6653" spans="2:3">
      <c r="B6653" s="12"/>
      <c r="C6653" s="12"/>
    </row>
    <row r="6654" spans="2:3">
      <c r="B6654" s="12"/>
      <c r="C6654" s="12"/>
    </row>
    <row r="6655" spans="2:3">
      <c r="B6655" s="12"/>
      <c r="C6655" s="12"/>
    </row>
    <row r="6656" spans="2:3">
      <c r="B6656" s="12"/>
      <c r="C6656" s="12"/>
    </row>
    <row r="6657" spans="2:3">
      <c r="B6657" s="12"/>
      <c r="C6657" s="12"/>
    </row>
    <row r="6658" spans="2:3">
      <c r="B6658" s="12"/>
      <c r="C6658" s="12"/>
    </row>
    <row r="6659" spans="2:3">
      <c r="B6659" s="12"/>
      <c r="C6659" s="12"/>
    </row>
    <row r="6660" spans="2:3">
      <c r="B6660" s="12"/>
      <c r="C6660" s="12"/>
    </row>
    <row r="6661" spans="2:3">
      <c r="B6661" s="12"/>
      <c r="C6661" s="12"/>
    </row>
    <row r="6662" spans="2:3">
      <c r="B6662" s="12"/>
      <c r="C6662" s="12"/>
    </row>
    <row r="6663" spans="2:3">
      <c r="B6663" s="12"/>
      <c r="C6663" s="12"/>
    </row>
    <row r="6664" spans="2:3">
      <c r="B6664" s="12"/>
      <c r="C6664" s="12"/>
    </row>
    <row r="6665" spans="2:3">
      <c r="B6665" s="12"/>
      <c r="C6665" s="12"/>
    </row>
    <row r="6666" spans="2:3">
      <c r="B6666" s="12"/>
      <c r="C6666" s="12"/>
    </row>
    <row r="6667" spans="2:3">
      <c r="B6667" s="12"/>
      <c r="C6667" s="12"/>
    </row>
    <row r="6668" spans="2:3">
      <c r="B6668" s="12"/>
      <c r="C6668" s="12"/>
    </row>
    <row r="6669" spans="2:3">
      <c r="B6669" s="12"/>
      <c r="C6669" s="12"/>
    </row>
    <row r="6670" spans="2:3">
      <c r="B6670" s="12"/>
      <c r="C6670" s="12"/>
    </row>
    <row r="6671" spans="2:3">
      <c r="B6671" s="12"/>
      <c r="C6671" s="12"/>
    </row>
    <row r="6672" spans="2:3">
      <c r="B6672" s="12"/>
      <c r="C6672" s="12"/>
    </row>
    <row r="6673" spans="2:3">
      <c r="B6673" s="12"/>
      <c r="C6673" s="12"/>
    </row>
    <row r="6674" spans="2:3">
      <c r="B6674" s="12"/>
      <c r="C6674" s="12"/>
    </row>
    <row r="6675" spans="2:3">
      <c r="B6675" s="12"/>
      <c r="C6675" s="12"/>
    </row>
    <row r="6676" spans="2:3">
      <c r="B6676" s="12"/>
      <c r="C6676" s="12"/>
    </row>
    <row r="6677" spans="2:3">
      <c r="B6677" s="12"/>
      <c r="C6677" s="12"/>
    </row>
    <row r="6678" spans="2:3">
      <c r="B6678" s="12"/>
      <c r="C6678" s="12"/>
    </row>
    <row r="6679" spans="2:3">
      <c r="B6679" s="12"/>
      <c r="C6679" s="12"/>
    </row>
    <row r="6680" spans="2:3">
      <c r="B6680" s="12"/>
      <c r="C6680" s="12"/>
    </row>
    <row r="6681" spans="2:3">
      <c r="B6681" s="12"/>
      <c r="C6681" s="12"/>
    </row>
    <row r="6682" spans="2:3">
      <c r="B6682" s="12"/>
      <c r="C6682" s="12"/>
    </row>
    <row r="6683" spans="2:3">
      <c r="B6683" s="12"/>
      <c r="C6683" s="12"/>
    </row>
    <row r="6684" spans="2:3">
      <c r="B6684" s="12"/>
      <c r="C6684" s="12"/>
    </row>
    <row r="6685" spans="2:3">
      <c r="B6685" s="12"/>
      <c r="C6685" s="12"/>
    </row>
    <row r="6686" spans="2:3">
      <c r="B6686" s="12"/>
      <c r="C6686" s="12"/>
    </row>
    <row r="6687" spans="2:3">
      <c r="B6687" s="12"/>
      <c r="C6687" s="12"/>
    </row>
    <row r="6688" spans="2:3">
      <c r="B6688" s="12"/>
      <c r="C6688" s="12"/>
    </row>
    <row r="6689" spans="2:3">
      <c r="B6689" s="12"/>
      <c r="C6689" s="12"/>
    </row>
    <row r="6690" spans="2:3">
      <c r="B6690" s="12"/>
      <c r="C6690" s="12"/>
    </row>
    <row r="6691" spans="2:3">
      <c r="B6691" s="12"/>
      <c r="C6691" s="12"/>
    </row>
    <row r="6692" spans="2:3">
      <c r="B6692" s="12"/>
      <c r="C6692" s="12"/>
    </row>
    <row r="6693" spans="2:3">
      <c r="B6693" s="12"/>
      <c r="C6693" s="12"/>
    </row>
    <row r="6694" spans="2:3">
      <c r="B6694" s="12"/>
      <c r="C6694" s="12"/>
    </row>
    <row r="6695" spans="2:3">
      <c r="B6695" s="12"/>
      <c r="C6695" s="12"/>
    </row>
    <row r="6696" spans="2:3">
      <c r="B6696" s="12"/>
      <c r="C6696" s="12"/>
    </row>
    <row r="6697" spans="2:3">
      <c r="B6697" s="12"/>
      <c r="C6697" s="12"/>
    </row>
    <row r="6698" spans="2:3">
      <c r="B6698" s="12"/>
      <c r="C6698" s="12"/>
    </row>
    <row r="6699" spans="2:3">
      <c r="B6699" s="12"/>
      <c r="C6699" s="12"/>
    </row>
    <row r="6700" spans="2:3">
      <c r="B6700" s="12"/>
      <c r="C6700" s="12"/>
    </row>
    <row r="6701" spans="2:3">
      <c r="B6701" s="12"/>
      <c r="C6701" s="12"/>
    </row>
    <row r="6702" spans="2:3">
      <c r="B6702" s="12"/>
      <c r="C6702" s="12"/>
    </row>
    <row r="6703" spans="2:3">
      <c r="B6703" s="12"/>
      <c r="C6703" s="12"/>
    </row>
    <row r="6704" spans="2:3">
      <c r="B6704" s="12"/>
      <c r="C6704" s="12"/>
    </row>
    <row r="6705" spans="2:3">
      <c r="B6705" s="12"/>
      <c r="C6705" s="12"/>
    </row>
    <row r="6706" spans="2:3">
      <c r="B6706" s="12"/>
      <c r="C6706" s="12"/>
    </row>
    <row r="6707" spans="2:3">
      <c r="B6707" s="12"/>
      <c r="C6707" s="12"/>
    </row>
    <row r="6708" spans="2:3">
      <c r="B6708" s="12"/>
      <c r="C6708" s="12"/>
    </row>
    <row r="6709" spans="2:3">
      <c r="B6709" s="12"/>
      <c r="C6709" s="12"/>
    </row>
    <row r="6710" spans="2:3">
      <c r="B6710" s="12"/>
      <c r="C6710" s="12"/>
    </row>
    <row r="6711" spans="2:3">
      <c r="B6711" s="12"/>
      <c r="C6711" s="12"/>
    </row>
    <row r="6712" spans="2:3">
      <c r="B6712" s="12"/>
      <c r="C6712" s="12"/>
    </row>
    <row r="6713" spans="2:3">
      <c r="B6713" s="12"/>
      <c r="C6713" s="12"/>
    </row>
    <row r="6714" spans="2:3">
      <c r="B6714" s="12"/>
      <c r="C6714" s="12"/>
    </row>
    <row r="6715" spans="2:3">
      <c r="B6715" s="12"/>
      <c r="C6715" s="12"/>
    </row>
    <row r="6716" spans="2:3">
      <c r="B6716" s="12"/>
      <c r="C6716" s="12"/>
    </row>
    <row r="6717" spans="2:3">
      <c r="B6717" s="12"/>
      <c r="C6717" s="12"/>
    </row>
    <row r="6718" spans="2:3">
      <c r="B6718" s="12"/>
      <c r="C6718" s="12"/>
    </row>
    <row r="6719" spans="2:3">
      <c r="B6719" s="12"/>
      <c r="C6719" s="12"/>
    </row>
    <row r="6720" spans="2:3">
      <c r="B6720" s="12"/>
      <c r="C6720" s="12"/>
    </row>
    <row r="6721" spans="2:3">
      <c r="B6721" s="12"/>
      <c r="C6721" s="12"/>
    </row>
    <row r="6722" spans="2:3">
      <c r="B6722" s="12"/>
      <c r="C6722" s="12"/>
    </row>
    <row r="6723" spans="2:3">
      <c r="B6723" s="12"/>
      <c r="C6723" s="12"/>
    </row>
    <row r="6724" spans="2:3">
      <c r="B6724" s="12"/>
      <c r="C6724" s="12"/>
    </row>
    <row r="6725" spans="2:3">
      <c r="B6725" s="12"/>
      <c r="C6725" s="12"/>
    </row>
    <row r="6726" spans="2:3">
      <c r="B6726" s="12"/>
      <c r="C6726" s="12"/>
    </row>
    <row r="6727" spans="2:3">
      <c r="B6727" s="12"/>
      <c r="C6727" s="12"/>
    </row>
    <row r="6728" spans="2:3">
      <c r="B6728" s="12"/>
      <c r="C6728" s="12"/>
    </row>
    <row r="6729" spans="2:3">
      <c r="B6729" s="12"/>
      <c r="C6729" s="12"/>
    </row>
    <row r="6730" spans="2:3">
      <c r="B6730" s="12"/>
      <c r="C6730" s="12"/>
    </row>
    <row r="6731" spans="2:3">
      <c r="B6731" s="12"/>
      <c r="C6731" s="12"/>
    </row>
    <row r="6732" spans="2:3">
      <c r="B6732" s="12"/>
      <c r="C6732" s="12"/>
    </row>
    <row r="6733" spans="2:3">
      <c r="B6733" s="12"/>
      <c r="C6733" s="12"/>
    </row>
    <row r="6734" spans="2:3">
      <c r="B6734" s="12"/>
      <c r="C6734" s="12"/>
    </row>
    <row r="6735" spans="2:3">
      <c r="B6735" s="12"/>
      <c r="C6735" s="12"/>
    </row>
    <row r="6736" spans="2:3">
      <c r="B6736" s="12"/>
      <c r="C6736" s="12"/>
    </row>
    <row r="6737" spans="2:3">
      <c r="B6737" s="12"/>
      <c r="C6737" s="12"/>
    </row>
    <row r="6738" spans="2:3">
      <c r="B6738" s="12"/>
      <c r="C6738" s="12"/>
    </row>
    <row r="6739" spans="2:3">
      <c r="B6739" s="12"/>
      <c r="C6739" s="12"/>
    </row>
    <row r="6740" spans="2:3">
      <c r="B6740" s="12"/>
      <c r="C6740" s="12"/>
    </row>
    <row r="6741" spans="2:3">
      <c r="B6741" s="12"/>
      <c r="C6741" s="12"/>
    </row>
    <row r="6742" spans="2:3">
      <c r="B6742" s="12"/>
      <c r="C6742" s="12"/>
    </row>
    <row r="6743" spans="2:3">
      <c r="B6743" s="12"/>
      <c r="C6743" s="12"/>
    </row>
    <row r="6744" spans="2:3">
      <c r="B6744" s="12"/>
      <c r="C6744" s="12"/>
    </row>
    <row r="6745" spans="2:3">
      <c r="B6745" s="12"/>
      <c r="C6745" s="12"/>
    </row>
    <row r="6746" spans="2:3">
      <c r="B6746" s="12"/>
      <c r="C6746" s="12"/>
    </row>
    <row r="6747" spans="2:3">
      <c r="B6747" s="12"/>
      <c r="C6747" s="12"/>
    </row>
    <row r="6748" spans="2:3">
      <c r="B6748" s="12"/>
      <c r="C6748" s="12"/>
    </row>
    <row r="6749" spans="2:3">
      <c r="B6749" s="12"/>
      <c r="C6749" s="12"/>
    </row>
    <row r="6750" spans="2:3">
      <c r="B6750" s="12"/>
      <c r="C6750" s="12"/>
    </row>
    <row r="6751" spans="2:3">
      <c r="B6751" s="12"/>
      <c r="C6751" s="12"/>
    </row>
    <row r="6752" spans="2:3">
      <c r="B6752" s="12"/>
      <c r="C6752" s="12"/>
    </row>
    <row r="6753" spans="2:3">
      <c r="B6753" s="12"/>
      <c r="C6753" s="12"/>
    </row>
    <row r="6754" spans="2:3">
      <c r="B6754" s="12"/>
      <c r="C6754" s="12"/>
    </row>
    <row r="6755" spans="2:3">
      <c r="B6755" s="12"/>
      <c r="C6755" s="12"/>
    </row>
    <row r="6756" spans="2:3">
      <c r="B6756" s="12"/>
      <c r="C6756" s="12"/>
    </row>
    <row r="6757" spans="2:3">
      <c r="B6757" s="12"/>
      <c r="C6757" s="12"/>
    </row>
    <row r="6758" spans="2:3">
      <c r="B6758" s="12"/>
      <c r="C6758" s="12"/>
    </row>
    <row r="6759" spans="2:3">
      <c r="B6759" s="12"/>
      <c r="C6759" s="12"/>
    </row>
    <row r="6760" spans="2:3">
      <c r="B6760" s="12"/>
      <c r="C6760" s="12"/>
    </row>
    <row r="6761" spans="2:3">
      <c r="B6761" s="12"/>
      <c r="C6761" s="12"/>
    </row>
    <row r="6762" spans="2:3">
      <c r="B6762" s="12"/>
      <c r="C6762" s="12"/>
    </row>
    <row r="6763" spans="2:3">
      <c r="B6763" s="12"/>
      <c r="C6763" s="12"/>
    </row>
    <row r="6764" spans="2:3">
      <c r="B6764" s="12"/>
      <c r="C6764" s="12"/>
    </row>
    <row r="6765" spans="2:3">
      <c r="B6765" s="12"/>
      <c r="C6765" s="12"/>
    </row>
    <row r="6766" spans="2:3">
      <c r="B6766" s="12"/>
      <c r="C6766" s="12"/>
    </row>
    <row r="6767" spans="2:3">
      <c r="B6767" s="12"/>
      <c r="C6767" s="12"/>
    </row>
    <row r="6768" spans="2:3">
      <c r="B6768" s="12"/>
      <c r="C6768" s="12"/>
    </row>
    <row r="6769" spans="2:3">
      <c r="B6769" s="12"/>
      <c r="C6769" s="12"/>
    </row>
    <row r="6770" spans="2:3">
      <c r="B6770" s="12"/>
      <c r="C6770" s="12"/>
    </row>
    <row r="6771" spans="2:3">
      <c r="B6771" s="12"/>
      <c r="C6771" s="12"/>
    </row>
    <row r="6772" spans="2:3">
      <c r="B6772" s="12"/>
      <c r="C6772" s="12"/>
    </row>
    <row r="6773" spans="2:3">
      <c r="B6773" s="12"/>
      <c r="C6773" s="12"/>
    </row>
    <row r="6774" spans="2:3">
      <c r="B6774" s="12"/>
      <c r="C6774" s="12"/>
    </row>
    <row r="6775" spans="2:3">
      <c r="B6775" s="12"/>
      <c r="C6775" s="12"/>
    </row>
    <row r="6776" spans="2:3">
      <c r="B6776" s="12"/>
      <c r="C6776" s="12"/>
    </row>
    <row r="6777" spans="2:3">
      <c r="B6777" s="12"/>
      <c r="C6777" s="12"/>
    </row>
    <row r="6778" spans="2:3">
      <c r="B6778" s="12"/>
      <c r="C6778" s="12"/>
    </row>
    <row r="6779" spans="2:3">
      <c r="B6779" s="12"/>
      <c r="C6779" s="12"/>
    </row>
    <row r="6780" spans="2:3">
      <c r="B6780" s="12"/>
      <c r="C6780" s="12"/>
    </row>
    <row r="6781" spans="2:3">
      <c r="B6781" s="12"/>
      <c r="C6781" s="12"/>
    </row>
    <row r="6782" spans="2:3">
      <c r="B6782" s="12"/>
      <c r="C6782" s="12"/>
    </row>
    <row r="6783" spans="2:3">
      <c r="B6783" s="12"/>
      <c r="C6783" s="12"/>
    </row>
    <row r="6784" spans="2:3">
      <c r="B6784" s="12"/>
      <c r="C6784" s="12"/>
    </row>
    <row r="6785" spans="2:3">
      <c r="B6785" s="12"/>
      <c r="C6785" s="12"/>
    </row>
    <row r="6786" spans="2:3">
      <c r="B6786" s="12"/>
      <c r="C6786" s="12"/>
    </row>
    <row r="6787" spans="2:3">
      <c r="B6787" s="12"/>
      <c r="C6787" s="12"/>
    </row>
    <row r="6788" spans="2:3">
      <c r="B6788" s="12"/>
      <c r="C6788" s="12"/>
    </row>
    <row r="6789" spans="2:3">
      <c r="B6789" s="12"/>
      <c r="C6789" s="12"/>
    </row>
    <row r="6790" spans="2:3">
      <c r="B6790" s="12"/>
      <c r="C6790" s="12"/>
    </row>
    <row r="6791" spans="2:3">
      <c r="B6791" s="12"/>
      <c r="C6791" s="12"/>
    </row>
    <row r="6792" spans="2:3">
      <c r="B6792" s="12"/>
      <c r="C6792" s="12"/>
    </row>
    <row r="6793" spans="2:3">
      <c r="B6793" s="12"/>
      <c r="C6793" s="12"/>
    </row>
    <row r="6794" spans="2:3">
      <c r="B6794" s="12"/>
      <c r="C6794" s="12"/>
    </row>
    <row r="6795" spans="2:3">
      <c r="B6795" s="12"/>
      <c r="C6795" s="12"/>
    </row>
    <row r="6796" spans="2:3">
      <c r="B6796" s="12"/>
      <c r="C6796" s="12"/>
    </row>
    <row r="6797" spans="2:3">
      <c r="B6797" s="12"/>
      <c r="C6797" s="12"/>
    </row>
    <row r="6798" spans="2:3">
      <c r="B6798" s="12"/>
      <c r="C6798" s="12"/>
    </row>
    <row r="6799" spans="2:3">
      <c r="B6799" s="12"/>
      <c r="C6799" s="12"/>
    </row>
    <row r="6800" spans="2:3">
      <c r="B6800" s="12"/>
      <c r="C6800" s="12"/>
    </row>
    <row r="6801" spans="2:3">
      <c r="B6801" s="12"/>
      <c r="C6801" s="12"/>
    </row>
    <row r="6802" spans="2:3">
      <c r="B6802" s="12"/>
      <c r="C6802" s="12"/>
    </row>
    <row r="6803" spans="2:3">
      <c r="B6803" s="12"/>
      <c r="C6803" s="12"/>
    </row>
    <row r="6804" spans="2:3">
      <c r="B6804" s="12"/>
      <c r="C6804" s="12"/>
    </row>
    <row r="6805" spans="2:3">
      <c r="B6805" s="12"/>
      <c r="C6805" s="12"/>
    </row>
    <row r="6806" spans="2:3">
      <c r="B6806" s="12"/>
      <c r="C6806" s="12"/>
    </row>
    <row r="6807" spans="2:3">
      <c r="B6807" s="12"/>
      <c r="C6807" s="12"/>
    </row>
    <row r="6808" spans="2:3">
      <c r="B6808" s="12"/>
      <c r="C6808" s="12"/>
    </row>
    <row r="6809" spans="2:3">
      <c r="B6809" s="12"/>
      <c r="C6809" s="12"/>
    </row>
    <row r="6810" spans="2:3">
      <c r="B6810" s="12"/>
      <c r="C6810" s="12"/>
    </row>
    <row r="6811" spans="2:3">
      <c r="B6811" s="12"/>
      <c r="C6811" s="12"/>
    </row>
    <row r="6812" spans="2:3">
      <c r="B6812" s="12"/>
      <c r="C6812" s="12"/>
    </row>
    <row r="6813" spans="2:3">
      <c r="B6813" s="12"/>
      <c r="C6813" s="12"/>
    </row>
    <row r="6814" spans="2:3">
      <c r="B6814" s="12"/>
      <c r="C6814" s="12"/>
    </row>
    <row r="6815" spans="2:3">
      <c r="B6815" s="12"/>
      <c r="C6815" s="12"/>
    </row>
    <row r="6816" spans="2:3">
      <c r="B6816" s="12"/>
      <c r="C6816" s="12"/>
    </row>
    <row r="6817" spans="2:3">
      <c r="B6817" s="12"/>
      <c r="C6817" s="12"/>
    </row>
    <row r="6818" spans="2:3">
      <c r="B6818" s="12"/>
      <c r="C6818" s="12"/>
    </row>
    <row r="6819" spans="2:3">
      <c r="B6819" s="12"/>
      <c r="C6819" s="12"/>
    </row>
    <row r="6820" spans="2:3">
      <c r="B6820" s="12"/>
      <c r="C6820" s="12"/>
    </row>
    <row r="6821" spans="2:3">
      <c r="B6821" s="12"/>
      <c r="C6821" s="12"/>
    </row>
    <row r="6822" spans="2:3">
      <c r="B6822" s="12"/>
      <c r="C6822" s="12"/>
    </row>
    <row r="6823" spans="2:3">
      <c r="B6823" s="12"/>
      <c r="C6823" s="12"/>
    </row>
    <row r="6824" spans="2:3">
      <c r="B6824" s="12"/>
      <c r="C6824" s="12"/>
    </row>
    <row r="6825" spans="2:3">
      <c r="B6825" s="12"/>
      <c r="C6825" s="12"/>
    </row>
    <row r="6826" spans="2:3">
      <c r="B6826" s="12"/>
      <c r="C6826" s="12"/>
    </row>
    <row r="6827" spans="2:3">
      <c r="B6827" s="12"/>
      <c r="C6827" s="12"/>
    </row>
    <row r="6828" spans="2:3">
      <c r="B6828" s="12"/>
      <c r="C6828" s="12"/>
    </row>
    <row r="6829" spans="2:3">
      <c r="B6829" s="12"/>
      <c r="C6829" s="12"/>
    </row>
    <row r="6830" spans="2:3">
      <c r="B6830" s="12"/>
      <c r="C6830" s="12"/>
    </row>
    <row r="6831" spans="2:3">
      <c r="B6831" s="12"/>
      <c r="C6831" s="12"/>
    </row>
    <row r="6832" spans="2:3">
      <c r="B6832" s="12"/>
      <c r="C6832" s="12"/>
    </row>
    <row r="6833" spans="2:3">
      <c r="B6833" s="12"/>
      <c r="C6833" s="12"/>
    </row>
    <row r="6834" spans="2:3">
      <c r="B6834" s="12"/>
      <c r="C6834" s="12"/>
    </row>
    <row r="6835" spans="2:3">
      <c r="B6835" s="12"/>
      <c r="C6835" s="12"/>
    </row>
    <row r="6836" spans="2:3">
      <c r="B6836" s="12"/>
      <c r="C6836" s="12"/>
    </row>
    <row r="6837" spans="2:3">
      <c r="B6837" s="12"/>
      <c r="C6837" s="12"/>
    </row>
    <row r="6838" spans="2:3">
      <c r="B6838" s="12"/>
      <c r="C6838" s="12"/>
    </row>
    <row r="6839" spans="2:3">
      <c r="B6839" s="12"/>
      <c r="C6839" s="12"/>
    </row>
    <row r="6840" spans="2:3">
      <c r="B6840" s="12"/>
      <c r="C6840" s="12"/>
    </row>
    <row r="6841" spans="2:3">
      <c r="B6841" s="12"/>
      <c r="C6841" s="12"/>
    </row>
    <row r="6842" spans="2:3">
      <c r="B6842" s="12"/>
      <c r="C6842" s="12"/>
    </row>
    <row r="6843" spans="2:3">
      <c r="B6843" s="12"/>
      <c r="C6843" s="12"/>
    </row>
    <row r="6844" spans="2:3">
      <c r="B6844" s="12"/>
      <c r="C6844" s="12"/>
    </row>
    <row r="6845" spans="2:3">
      <c r="B6845" s="12"/>
      <c r="C6845" s="12"/>
    </row>
    <row r="6846" spans="2:3">
      <c r="B6846" s="12"/>
      <c r="C6846" s="12"/>
    </row>
    <row r="6847" spans="2:3">
      <c r="B6847" s="12"/>
      <c r="C6847" s="12"/>
    </row>
    <row r="6848" spans="2:3">
      <c r="B6848" s="12"/>
      <c r="C6848" s="12"/>
    </row>
    <row r="6849" spans="2:3">
      <c r="B6849" s="12"/>
      <c r="C6849" s="12"/>
    </row>
    <row r="6850" spans="2:3">
      <c r="B6850" s="12"/>
      <c r="C6850" s="12"/>
    </row>
    <row r="6851" spans="2:3">
      <c r="B6851" s="12"/>
      <c r="C6851" s="12"/>
    </row>
    <row r="6852" spans="2:3">
      <c r="B6852" s="12"/>
      <c r="C6852" s="12"/>
    </row>
    <row r="6853" spans="2:3">
      <c r="B6853" s="12"/>
      <c r="C6853" s="12"/>
    </row>
    <row r="6854" spans="2:3">
      <c r="B6854" s="12"/>
      <c r="C6854" s="12"/>
    </row>
    <row r="6855" spans="2:3">
      <c r="B6855" s="12"/>
      <c r="C6855" s="12"/>
    </row>
    <row r="6856" spans="2:3">
      <c r="B6856" s="12"/>
      <c r="C6856" s="12"/>
    </row>
    <row r="6857" spans="2:3">
      <c r="B6857" s="12"/>
      <c r="C6857" s="12"/>
    </row>
    <row r="6858" spans="2:3">
      <c r="B6858" s="12"/>
      <c r="C6858" s="12"/>
    </row>
    <row r="6859" spans="2:3">
      <c r="B6859" s="12"/>
      <c r="C6859" s="12"/>
    </row>
    <row r="6860" spans="2:3">
      <c r="B6860" s="12"/>
      <c r="C6860" s="12"/>
    </row>
    <row r="6861" spans="2:3">
      <c r="B6861" s="12"/>
      <c r="C6861" s="12"/>
    </row>
    <row r="6862" spans="2:3">
      <c r="B6862" s="12"/>
      <c r="C6862" s="12"/>
    </row>
    <row r="6863" spans="2:3">
      <c r="B6863" s="12"/>
      <c r="C6863" s="12"/>
    </row>
    <row r="6864" spans="2:3">
      <c r="B6864" s="12"/>
      <c r="C6864" s="12"/>
    </row>
    <row r="6865" spans="2:3">
      <c r="B6865" s="12"/>
      <c r="C6865" s="12"/>
    </row>
    <row r="6866" spans="2:3">
      <c r="B6866" s="12"/>
      <c r="C6866" s="12"/>
    </row>
    <row r="6867" spans="2:3">
      <c r="B6867" s="12"/>
      <c r="C6867" s="12"/>
    </row>
    <row r="6868" spans="2:3">
      <c r="B6868" s="12"/>
      <c r="C6868" s="12"/>
    </row>
    <row r="6869" spans="2:3">
      <c r="B6869" s="12"/>
      <c r="C6869" s="12"/>
    </row>
    <row r="6870" spans="2:3">
      <c r="B6870" s="12"/>
      <c r="C6870" s="12"/>
    </row>
    <row r="6871" spans="2:3">
      <c r="B6871" s="12"/>
      <c r="C6871" s="12"/>
    </row>
    <row r="6872" spans="2:3">
      <c r="B6872" s="12"/>
      <c r="C6872" s="12"/>
    </row>
    <row r="6873" spans="2:3">
      <c r="B6873" s="12"/>
      <c r="C6873" s="12"/>
    </row>
    <row r="6874" spans="2:3">
      <c r="B6874" s="12"/>
      <c r="C6874" s="12"/>
    </row>
    <row r="6875" spans="2:3">
      <c r="B6875" s="12"/>
      <c r="C6875" s="12"/>
    </row>
    <row r="6876" spans="2:3">
      <c r="B6876" s="12"/>
      <c r="C6876" s="12"/>
    </row>
    <row r="6877" spans="2:3">
      <c r="B6877" s="12"/>
      <c r="C6877" s="12"/>
    </row>
    <row r="6878" spans="2:3">
      <c r="B6878" s="12"/>
      <c r="C6878" s="12"/>
    </row>
    <row r="6879" spans="2:3">
      <c r="B6879" s="12"/>
      <c r="C6879" s="12"/>
    </row>
    <row r="6880" spans="2:3">
      <c r="B6880" s="12"/>
      <c r="C6880" s="12"/>
    </row>
    <row r="6881" spans="2:3">
      <c r="B6881" s="12"/>
      <c r="C6881" s="12"/>
    </row>
    <row r="6882" spans="2:3">
      <c r="B6882" s="12"/>
      <c r="C6882" s="12"/>
    </row>
    <row r="6883" spans="2:3">
      <c r="B6883" s="12"/>
      <c r="C6883" s="12"/>
    </row>
    <row r="6884" spans="2:3">
      <c r="B6884" s="12"/>
      <c r="C6884" s="12"/>
    </row>
    <row r="6885" spans="2:3">
      <c r="B6885" s="12"/>
      <c r="C6885" s="12"/>
    </row>
    <row r="6886" spans="2:3">
      <c r="B6886" s="12"/>
      <c r="C6886" s="12"/>
    </row>
    <row r="6887" spans="2:3">
      <c r="B6887" s="12"/>
      <c r="C6887" s="12"/>
    </row>
    <row r="6888" spans="2:3">
      <c r="B6888" s="12"/>
      <c r="C6888" s="12"/>
    </row>
    <row r="6889" spans="2:3">
      <c r="B6889" s="12"/>
      <c r="C6889" s="12"/>
    </row>
    <row r="6890" spans="2:3">
      <c r="B6890" s="12"/>
      <c r="C6890" s="12"/>
    </row>
    <row r="6891" spans="2:3">
      <c r="B6891" s="12"/>
      <c r="C6891" s="12"/>
    </row>
    <row r="6892" spans="2:3">
      <c r="B6892" s="12"/>
      <c r="C6892" s="12"/>
    </row>
    <row r="6893" spans="2:3">
      <c r="B6893" s="12"/>
      <c r="C6893" s="12"/>
    </row>
    <row r="6894" spans="2:3">
      <c r="B6894" s="12"/>
      <c r="C6894" s="12"/>
    </row>
    <row r="6895" spans="2:3">
      <c r="B6895" s="12"/>
      <c r="C6895" s="12"/>
    </row>
    <row r="6896" spans="2:3">
      <c r="B6896" s="12"/>
      <c r="C6896" s="12"/>
    </row>
    <row r="6897" spans="2:3">
      <c r="B6897" s="12"/>
      <c r="C6897" s="12"/>
    </row>
    <row r="6898" spans="2:3">
      <c r="B6898" s="12"/>
      <c r="C6898" s="12"/>
    </row>
    <row r="6899" spans="2:3">
      <c r="B6899" s="12"/>
      <c r="C6899" s="12"/>
    </row>
    <row r="6900" spans="2:3">
      <c r="B6900" s="12"/>
      <c r="C6900" s="12"/>
    </row>
    <row r="6901" spans="2:3">
      <c r="B6901" s="12"/>
      <c r="C6901" s="12"/>
    </row>
    <row r="6902" spans="2:3">
      <c r="B6902" s="12"/>
      <c r="C6902" s="12"/>
    </row>
    <row r="6903" spans="2:3">
      <c r="B6903" s="12"/>
      <c r="C6903" s="12"/>
    </row>
    <row r="6904" spans="2:3">
      <c r="B6904" s="12"/>
      <c r="C6904" s="12"/>
    </row>
    <row r="6905" spans="2:3">
      <c r="B6905" s="12"/>
      <c r="C6905" s="12"/>
    </row>
    <row r="6906" spans="2:3">
      <c r="B6906" s="12"/>
      <c r="C6906" s="12"/>
    </row>
    <row r="6907" spans="2:3">
      <c r="B6907" s="12"/>
      <c r="C6907" s="12"/>
    </row>
    <row r="6908" spans="2:3">
      <c r="B6908" s="12"/>
      <c r="C6908" s="12"/>
    </row>
    <row r="6909" spans="2:3">
      <c r="B6909" s="12"/>
      <c r="C6909" s="12"/>
    </row>
    <row r="6910" spans="2:3">
      <c r="B6910" s="12"/>
      <c r="C6910" s="12"/>
    </row>
    <row r="6911" spans="2:3">
      <c r="B6911" s="12"/>
      <c r="C6911" s="12"/>
    </row>
    <row r="6912" spans="2:3">
      <c r="B6912" s="12"/>
      <c r="C6912" s="12"/>
    </row>
    <row r="6913" spans="2:3">
      <c r="B6913" s="12"/>
      <c r="C6913" s="12"/>
    </row>
    <row r="6914" spans="2:3">
      <c r="B6914" s="12"/>
      <c r="C6914" s="12"/>
    </row>
    <row r="6915" spans="2:3">
      <c r="B6915" s="12"/>
      <c r="C6915" s="12"/>
    </row>
    <row r="6916" spans="2:3">
      <c r="B6916" s="12"/>
      <c r="C6916" s="12"/>
    </row>
    <row r="6917" spans="2:3">
      <c r="B6917" s="12"/>
      <c r="C6917" s="12"/>
    </row>
    <row r="6918" spans="2:3">
      <c r="B6918" s="12"/>
      <c r="C6918" s="12"/>
    </row>
    <row r="6919" spans="2:3">
      <c r="B6919" s="12"/>
      <c r="C6919" s="12"/>
    </row>
    <row r="6920" spans="2:3">
      <c r="B6920" s="12"/>
      <c r="C6920" s="12"/>
    </row>
    <row r="6921" spans="2:3">
      <c r="B6921" s="12"/>
      <c r="C6921" s="12"/>
    </row>
    <row r="6922" spans="2:3">
      <c r="B6922" s="12"/>
      <c r="C6922" s="12"/>
    </row>
    <row r="6923" spans="2:3">
      <c r="B6923" s="12"/>
      <c r="C6923" s="12"/>
    </row>
    <row r="6924" spans="2:3">
      <c r="B6924" s="12"/>
      <c r="C6924" s="12"/>
    </row>
    <row r="6925" spans="2:3">
      <c r="B6925" s="12"/>
      <c r="C6925" s="12"/>
    </row>
    <row r="6926" spans="2:3">
      <c r="B6926" s="12"/>
      <c r="C6926" s="12"/>
    </row>
    <row r="6927" spans="2:3">
      <c r="B6927" s="12"/>
      <c r="C6927" s="12"/>
    </row>
    <row r="6928" spans="2:3">
      <c r="B6928" s="12"/>
      <c r="C6928" s="12"/>
    </row>
    <row r="6929" spans="2:3">
      <c r="B6929" s="12"/>
      <c r="C6929" s="12"/>
    </row>
    <row r="6930" spans="2:3">
      <c r="B6930" s="12"/>
      <c r="C6930" s="12"/>
    </row>
    <row r="6931" spans="2:3">
      <c r="B6931" s="12"/>
      <c r="C6931" s="12"/>
    </row>
    <row r="6932" spans="2:3">
      <c r="B6932" s="12"/>
      <c r="C6932" s="12"/>
    </row>
    <row r="6933" spans="2:3">
      <c r="B6933" s="12"/>
      <c r="C6933" s="12"/>
    </row>
    <row r="6934" spans="2:3">
      <c r="B6934" s="12"/>
      <c r="C6934" s="12"/>
    </row>
    <row r="6935" spans="2:3">
      <c r="B6935" s="12"/>
      <c r="C6935" s="12"/>
    </row>
    <row r="6936" spans="2:3">
      <c r="B6936" s="12"/>
      <c r="C6936" s="12"/>
    </row>
    <row r="6937" spans="2:3">
      <c r="B6937" s="12"/>
      <c r="C6937" s="12"/>
    </row>
    <row r="6938" spans="2:3">
      <c r="B6938" s="12"/>
      <c r="C6938" s="12"/>
    </row>
    <row r="6939" spans="2:3">
      <c r="B6939" s="12"/>
      <c r="C6939" s="12"/>
    </row>
    <row r="6940" spans="2:3">
      <c r="B6940" s="12"/>
      <c r="C6940" s="12"/>
    </row>
    <row r="6941" spans="2:3">
      <c r="B6941" s="12"/>
      <c r="C6941" s="12"/>
    </row>
    <row r="6942" spans="2:3">
      <c r="B6942" s="12"/>
      <c r="C6942" s="12"/>
    </row>
    <row r="6943" spans="2:3">
      <c r="B6943" s="12"/>
      <c r="C6943" s="12"/>
    </row>
    <row r="6944" spans="2:3">
      <c r="B6944" s="12"/>
      <c r="C6944" s="12"/>
    </row>
    <row r="6945" spans="2:3">
      <c r="B6945" s="12"/>
      <c r="C6945" s="12"/>
    </row>
    <row r="6946" spans="2:3">
      <c r="B6946" s="12"/>
      <c r="C6946" s="12"/>
    </row>
    <row r="6947" spans="2:3">
      <c r="B6947" s="12"/>
      <c r="C6947" s="12"/>
    </row>
    <row r="6948" spans="2:3">
      <c r="B6948" s="12"/>
      <c r="C6948" s="12"/>
    </row>
    <row r="6949" spans="2:3">
      <c r="B6949" s="12"/>
      <c r="C6949" s="12"/>
    </row>
    <row r="6950" spans="2:3">
      <c r="B6950" s="12"/>
      <c r="C6950" s="12"/>
    </row>
    <row r="6951" spans="2:3">
      <c r="B6951" s="12"/>
      <c r="C6951" s="12"/>
    </row>
    <row r="6952" spans="2:3">
      <c r="B6952" s="12"/>
      <c r="C6952" s="12"/>
    </row>
    <row r="6953" spans="2:3">
      <c r="B6953" s="12"/>
      <c r="C6953" s="12"/>
    </row>
    <row r="6954" spans="2:3">
      <c r="B6954" s="12"/>
      <c r="C6954" s="12"/>
    </row>
    <row r="6955" spans="2:3">
      <c r="B6955" s="12"/>
      <c r="C6955" s="12"/>
    </row>
    <row r="6956" spans="2:3">
      <c r="B6956" s="12"/>
      <c r="C6956" s="12"/>
    </row>
    <row r="6957" spans="2:3">
      <c r="B6957" s="12"/>
      <c r="C6957" s="12"/>
    </row>
    <row r="6958" spans="2:3">
      <c r="B6958" s="12"/>
      <c r="C6958" s="12"/>
    </row>
    <row r="6959" spans="2:3">
      <c r="B6959" s="12"/>
      <c r="C6959" s="12"/>
    </row>
    <row r="6960" spans="2:3">
      <c r="B6960" s="12"/>
      <c r="C6960" s="12"/>
    </row>
    <row r="6961" spans="2:3">
      <c r="B6961" s="12"/>
      <c r="C6961" s="12"/>
    </row>
    <row r="6962" spans="2:3">
      <c r="B6962" s="12"/>
      <c r="C6962" s="12"/>
    </row>
    <row r="6963" spans="2:3">
      <c r="B6963" s="12"/>
      <c r="C6963" s="12"/>
    </row>
    <row r="6964" spans="2:3">
      <c r="B6964" s="12"/>
      <c r="C6964" s="12"/>
    </row>
    <row r="6965" spans="2:3">
      <c r="B6965" s="12"/>
      <c r="C6965" s="12"/>
    </row>
    <row r="6966" spans="2:3">
      <c r="B6966" s="12"/>
      <c r="C6966" s="12"/>
    </row>
    <row r="6967" spans="2:3">
      <c r="B6967" s="12"/>
      <c r="C6967" s="12"/>
    </row>
    <row r="6968" spans="2:3">
      <c r="B6968" s="12"/>
      <c r="C6968" s="12"/>
    </row>
    <row r="6969" spans="2:3">
      <c r="B6969" s="12"/>
      <c r="C6969" s="12"/>
    </row>
    <row r="6970" spans="2:3">
      <c r="B6970" s="12"/>
      <c r="C6970" s="12"/>
    </row>
    <row r="6971" spans="2:3">
      <c r="B6971" s="12"/>
      <c r="C6971" s="12"/>
    </row>
    <row r="6972" spans="2:3">
      <c r="B6972" s="12"/>
      <c r="C6972" s="12"/>
    </row>
    <row r="6973" spans="2:3">
      <c r="B6973" s="12"/>
      <c r="C6973" s="12"/>
    </row>
    <row r="6974" spans="2:3">
      <c r="B6974" s="12"/>
      <c r="C6974" s="12"/>
    </row>
    <row r="6975" spans="2:3">
      <c r="B6975" s="12"/>
      <c r="C6975" s="12"/>
    </row>
    <row r="6976" spans="2:3">
      <c r="B6976" s="12"/>
      <c r="C6976" s="12"/>
    </row>
    <row r="6977" spans="2:3">
      <c r="B6977" s="12"/>
      <c r="C6977" s="12"/>
    </row>
    <row r="6978" spans="2:3">
      <c r="B6978" s="12"/>
      <c r="C6978" s="12"/>
    </row>
    <row r="6979" spans="2:3">
      <c r="B6979" s="12"/>
      <c r="C6979" s="12"/>
    </row>
    <row r="6980" spans="2:3">
      <c r="B6980" s="12"/>
      <c r="C6980" s="12"/>
    </row>
    <row r="6981" spans="2:3">
      <c r="B6981" s="12"/>
      <c r="C6981" s="12"/>
    </row>
    <row r="6982" spans="2:3">
      <c r="B6982" s="12"/>
      <c r="C6982" s="12"/>
    </row>
    <row r="6983" spans="2:3">
      <c r="B6983" s="12"/>
      <c r="C6983" s="12"/>
    </row>
    <row r="6984" spans="2:3">
      <c r="B6984" s="12"/>
      <c r="C6984" s="12"/>
    </row>
    <row r="6985" spans="2:3">
      <c r="B6985" s="12"/>
      <c r="C6985" s="12"/>
    </row>
    <row r="6986" spans="2:3">
      <c r="B6986" s="12"/>
      <c r="C6986" s="12"/>
    </row>
    <row r="6987" spans="2:3">
      <c r="B6987" s="12"/>
      <c r="C6987" s="12"/>
    </row>
    <row r="6988" spans="2:3">
      <c r="B6988" s="12"/>
      <c r="C6988" s="12"/>
    </row>
    <row r="6989" spans="2:3">
      <c r="B6989" s="12"/>
      <c r="C6989" s="12"/>
    </row>
    <row r="6990" spans="2:3">
      <c r="B6990" s="12"/>
      <c r="C6990" s="12"/>
    </row>
    <row r="6991" spans="2:3">
      <c r="B6991" s="12"/>
      <c r="C6991" s="12"/>
    </row>
    <row r="6992" spans="2:3">
      <c r="B6992" s="12"/>
      <c r="C6992" s="12"/>
    </row>
    <row r="6993" spans="2:3">
      <c r="B6993" s="12"/>
      <c r="C6993" s="12"/>
    </row>
    <row r="6994" spans="2:3">
      <c r="B6994" s="12"/>
      <c r="C6994" s="12"/>
    </row>
    <row r="6995" spans="2:3">
      <c r="B6995" s="12"/>
      <c r="C6995" s="12"/>
    </row>
    <row r="6996" spans="2:3">
      <c r="B6996" s="12"/>
      <c r="C6996" s="12"/>
    </row>
    <row r="6997" spans="2:3">
      <c r="B6997" s="12"/>
      <c r="C6997" s="12"/>
    </row>
    <row r="6998" spans="2:3">
      <c r="B6998" s="12"/>
      <c r="C6998" s="12"/>
    </row>
    <row r="6999" spans="2:3">
      <c r="B6999" s="12"/>
      <c r="C6999" s="12"/>
    </row>
    <row r="7000" spans="2:3">
      <c r="B7000" s="12"/>
      <c r="C7000" s="12"/>
    </row>
    <row r="7001" spans="2:3">
      <c r="B7001" s="12"/>
      <c r="C7001" s="12"/>
    </row>
    <row r="7002" spans="2:3">
      <c r="B7002" s="12"/>
      <c r="C7002" s="12"/>
    </row>
    <row r="7003" spans="2:3">
      <c r="B7003" s="12"/>
      <c r="C7003" s="12"/>
    </row>
    <row r="7004" spans="2:3">
      <c r="B7004" s="12"/>
      <c r="C7004" s="12"/>
    </row>
    <row r="7005" spans="2:3">
      <c r="B7005" s="12"/>
      <c r="C7005" s="12"/>
    </row>
    <row r="7006" spans="2:3">
      <c r="B7006" s="12"/>
      <c r="C7006" s="12"/>
    </row>
    <row r="7007" spans="2:3">
      <c r="B7007" s="12"/>
      <c r="C7007" s="12"/>
    </row>
    <row r="7008" spans="2:3">
      <c r="B7008" s="12"/>
      <c r="C7008" s="12"/>
    </row>
    <row r="7009" spans="2:3">
      <c r="B7009" s="12"/>
      <c r="C7009" s="12"/>
    </row>
    <row r="7010" spans="2:3">
      <c r="B7010" s="12"/>
      <c r="C7010" s="12"/>
    </row>
    <row r="7011" spans="2:3">
      <c r="B7011" s="12"/>
      <c r="C7011" s="12"/>
    </row>
    <row r="7012" spans="2:3">
      <c r="B7012" s="12"/>
      <c r="C7012" s="12"/>
    </row>
    <row r="7013" spans="2:3">
      <c r="B7013" s="12"/>
      <c r="C7013" s="12"/>
    </row>
    <row r="7014" spans="2:3">
      <c r="B7014" s="12"/>
      <c r="C7014" s="12"/>
    </row>
    <row r="7015" spans="2:3">
      <c r="B7015" s="12"/>
      <c r="C7015" s="12"/>
    </row>
    <row r="7016" spans="2:3">
      <c r="B7016" s="12"/>
      <c r="C7016" s="12"/>
    </row>
    <row r="7017" spans="2:3">
      <c r="B7017" s="12"/>
      <c r="C7017" s="12"/>
    </row>
    <row r="7018" spans="2:3">
      <c r="B7018" s="12"/>
      <c r="C7018" s="12"/>
    </row>
    <row r="7019" spans="2:3">
      <c r="B7019" s="12"/>
      <c r="C7019" s="12"/>
    </row>
    <row r="7020" spans="2:3">
      <c r="B7020" s="12"/>
      <c r="C7020" s="12"/>
    </row>
    <row r="7021" spans="2:3">
      <c r="B7021" s="12"/>
      <c r="C7021" s="12"/>
    </row>
    <row r="7022" spans="2:3">
      <c r="B7022" s="12"/>
      <c r="C7022" s="12"/>
    </row>
    <row r="7023" spans="2:3">
      <c r="B7023" s="12"/>
      <c r="C7023" s="12"/>
    </row>
    <row r="7024" spans="2:3">
      <c r="B7024" s="12"/>
      <c r="C7024" s="12"/>
    </row>
    <row r="7025" spans="2:3">
      <c r="B7025" s="12"/>
      <c r="C7025" s="12"/>
    </row>
    <row r="7026" spans="2:3">
      <c r="B7026" s="12"/>
      <c r="C7026" s="12"/>
    </row>
    <row r="7027" spans="2:3">
      <c r="B7027" s="12"/>
      <c r="C7027" s="12"/>
    </row>
    <row r="7028" spans="2:3">
      <c r="B7028" s="12"/>
      <c r="C7028" s="12"/>
    </row>
    <row r="7029" spans="2:3">
      <c r="B7029" s="12"/>
      <c r="C7029" s="12"/>
    </row>
    <row r="7030" spans="2:3">
      <c r="B7030" s="12"/>
      <c r="C7030" s="12"/>
    </row>
    <row r="7031" spans="2:3">
      <c r="B7031" s="12"/>
      <c r="C7031" s="12"/>
    </row>
    <row r="7032" spans="2:3">
      <c r="B7032" s="12"/>
      <c r="C7032" s="12"/>
    </row>
    <row r="7033" spans="2:3">
      <c r="B7033" s="12"/>
      <c r="C7033" s="12"/>
    </row>
    <row r="7034" spans="2:3">
      <c r="B7034" s="12"/>
      <c r="C7034" s="12"/>
    </row>
    <row r="7035" spans="2:3">
      <c r="B7035" s="12"/>
      <c r="C7035" s="12"/>
    </row>
    <row r="7036" spans="2:3">
      <c r="B7036" s="12"/>
      <c r="C7036" s="12"/>
    </row>
    <row r="7037" spans="2:3">
      <c r="B7037" s="12"/>
      <c r="C7037" s="12"/>
    </row>
    <row r="7038" spans="2:3">
      <c r="B7038" s="12"/>
      <c r="C7038" s="12"/>
    </row>
    <row r="7039" spans="2:3">
      <c r="B7039" s="12"/>
      <c r="C7039" s="12"/>
    </row>
    <row r="7040" spans="2:3">
      <c r="B7040" s="12"/>
      <c r="C7040" s="12"/>
    </row>
    <row r="7041" spans="2:3">
      <c r="B7041" s="12"/>
      <c r="C7041" s="12"/>
    </row>
    <row r="7042" spans="2:3">
      <c r="B7042" s="12"/>
      <c r="C7042" s="12"/>
    </row>
    <row r="7043" spans="2:3">
      <c r="B7043" s="12"/>
      <c r="C7043" s="12"/>
    </row>
    <row r="7044" spans="2:3">
      <c r="B7044" s="12"/>
      <c r="C7044" s="12"/>
    </row>
    <row r="7045" spans="2:3">
      <c r="B7045" s="12"/>
      <c r="C7045" s="12"/>
    </row>
    <row r="7046" spans="2:3">
      <c r="B7046" s="12"/>
      <c r="C7046" s="12"/>
    </row>
    <row r="7047" spans="2:3">
      <c r="B7047" s="12"/>
      <c r="C7047" s="12"/>
    </row>
    <row r="7048" spans="2:3">
      <c r="B7048" s="12"/>
      <c r="C7048" s="12"/>
    </row>
    <row r="7049" spans="2:3">
      <c r="B7049" s="12"/>
      <c r="C7049" s="12"/>
    </row>
    <row r="7050" spans="2:3">
      <c r="B7050" s="12"/>
      <c r="C7050" s="12"/>
    </row>
    <row r="7051" spans="2:3">
      <c r="B7051" s="12"/>
      <c r="C7051" s="12"/>
    </row>
    <row r="7052" spans="2:3">
      <c r="B7052" s="12"/>
      <c r="C7052" s="12"/>
    </row>
    <row r="7053" spans="2:3">
      <c r="B7053" s="12"/>
      <c r="C7053" s="12"/>
    </row>
    <row r="7054" spans="2:3">
      <c r="B7054" s="12"/>
      <c r="C7054" s="12"/>
    </row>
    <row r="7055" spans="2:3">
      <c r="B7055" s="12"/>
      <c r="C7055" s="12"/>
    </row>
    <row r="7056" spans="2:3">
      <c r="B7056" s="12"/>
      <c r="C7056" s="12"/>
    </row>
    <row r="7057" spans="2:3">
      <c r="B7057" s="12"/>
      <c r="C7057" s="12"/>
    </row>
    <row r="7058" spans="2:3">
      <c r="B7058" s="12"/>
      <c r="C7058" s="12"/>
    </row>
    <row r="7059" spans="2:3">
      <c r="B7059" s="12"/>
      <c r="C7059" s="12"/>
    </row>
    <row r="7060" spans="2:3">
      <c r="B7060" s="12"/>
      <c r="C7060" s="12"/>
    </row>
    <row r="7061" spans="2:3">
      <c r="B7061" s="12"/>
      <c r="C7061" s="12"/>
    </row>
    <row r="7062" spans="2:3">
      <c r="B7062" s="12"/>
      <c r="C7062" s="12"/>
    </row>
    <row r="7063" spans="2:3">
      <c r="B7063" s="12"/>
      <c r="C7063" s="12"/>
    </row>
    <row r="7064" spans="2:3">
      <c r="B7064" s="12"/>
      <c r="C7064" s="12"/>
    </row>
    <row r="7065" spans="2:3">
      <c r="B7065" s="12"/>
      <c r="C7065" s="12"/>
    </row>
    <row r="7066" spans="2:3">
      <c r="B7066" s="12"/>
      <c r="C7066" s="12"/>
    </row>
    <row r="7067" spans="2:3">
      <c r="B7067" s="12"/>
      <c r="C7067" s="12"/>
    </row>
    <row r="7068" spans="2:3">
      <c r="B7068" s="12"/>
      <c r="C7068" s="12"/>
    </row>
    <row r="7069" spans="2:3">
      <c r="B7069" s="12"/>
      <c r="C7069" s="12"/>
    </row>
    <row r="7070" spans="2:3">
      <c r="B7070" s="12"/>
      <c r="C7070" s="12"/>
    </row>
    <row r="7071" spans="2:3">
      <c r="B7071" s="12"/>
      <c r="C7071" s="12"/>
    </row>
    <row r="7072" spans="2:3">
      <c r="B7072" s="12"/>
      <c r="C7072" s="12"/>
    </row>
    <row r="7073" spans="2:3">
      <c r="B7073" s="12"/>
      <c r="C7073" s="12"/>
    </row>
    <row r="7074" spans="2:3">
      <c r="B7074" s="12"/>
      <c r="C7074" s="12"/>
    </row>
    <row r="7075" spans="2:3">
      <c r="B7075" s="12"/>
      <c r="C7075" s="12"/>
    </row>
    <row r="7076" spans="2:3">
      <c r="B7076" s="12"/>
      <c r="C7076" s="12"/>
    </row>
    <row r="7077" spans="2:3">
      <c r="B7077" s="12"/>
      <c r="C7077" s="12"/>
    </row>
    <row r="7078" spans="2:3">
      <c r="B7078" s="12"/>
      <c r="C7078" s="12"/>
    </row>
    <row r="7079" spans="2:3">
      <c r="B7079" s="12"/>
      <c r="C7079" s="12"/>
    </row>
    <row r="7080" spans="2:3">
      <c r="B7080" s="12"/>
      <c r="C7080" s="12"/>
    </row>
    <row r="7081" spans="2:3">
      <c r="B7081" s="12"/>
      <c r="C7081" s="12"/>
    </row>
    <row r="7082" spans="2:3">
      <c r="B7082" s="12"/>
      <c r="C7082" s="12"/>
    </row>
    <row r="7083" spans="2:3">
      <c r="B7083" s="12"/>
      <c r="C7083" s="12"/>
    </row>
    <row r="7084" spans="2:3">
      <c r="B7084" s="12"/>
      <c r="C7084" s="12"/>
    </row>
    <row r="7085" spans="2:3">
      <c r="B7085" s="12"/>
      <c r="C7085" s="12"/>
    </row>
    <row r="7086" spans="2:3">
      <c r="B7086" s="12"/>
      <c r="C7086" s="12"/>
    </row>
    <row r="7087" spans="2:3">
      <c r="B7087" s="12"/>
      <c r="C7087" s="12"/>
    </row>
    <row r="7088" spans="2:3">
      <c r="B7088" s="12"/>
      <c r="C7088" s="12"/>
    </row>
    <row r="7089" spans="2:3">
      <c r="B7089" s="12"/>
      <c r="C7089" s="12"/>
    </row>
    <row r="7090" spans="2:3">
      <c r="B7090" s="12"/>
      <c r="C7090" s="12"/>
    </row>
    <row r="7091" spans="2:3">
      <c r="B7091" s="12"/>
      <c r="C7091" s="12"/>
    </row>
    <row r="7092" spans="2:3">
      <c r="B7092" s="12"/>
      <c r="C7092" s="12"/>
    </row>
    <row r="7093" spans="2:3">
      <c r="B7093" s="12"/>
      <c r="C7093" s="12"/>
    </row>
    <row r="7094" spans="2:3">
      <c r="B7094" s="12"/>
      <c r="C7094" s="12"/>
    </row>
    <row r="7095" spans="2:3">
      <c r="B7095" s="12"/>
      <c r="C7095" s="12"/>
    </row>
    <row r="7096" spans="2:3">
      <c r="B7096" s="12"/>
      <c r="C7096" s="12"/>
    </row>
    <row r="7097" spans="2:3">
      <c r="B7097" s="12"/>
      <c r="C7097" s="12"/>
    </row>
    <row r="7098" spans="2:3">
      <c r="B7098" s="12"/>
      <c r="C7098" s="12"/>
    </row>
    <row r="7099" spans="2:3">
      <c r="B7099" s="12"/>
      <c r="C7099" s="12"/>
    </row>
    <row r="7100" spans="2:3">
      <c r="B7100" s="12"/>
      <c r="C7100" s="12"/>
    </row>
    <row r="7101" spans="2:3">
      <c r="B7101" s="12"/>
      <c r="C7101" s="12"/>
    </row>
    <row r="7102" spans="2:3">
      <c r="B7102" s="12"/>
      <c r="C7102" s="12"/>
    </row>
    <row r="7103" spans="2:3">
      <c r="B7103" s="12"/>
      <c r="C7103" s="12"/>
    </row>
    <row r="7104" spans="2:3">
      <c r="B7104" s="12"/>
      <c r="C7104" s="12"/>
    </row>
    <row r="7105" spans="2:3">
      <c r="B7105" s="12"/>
      <c r="C7105" s="12"/>
    </row>
    <row r="7106" spans="2:3">
      <c r="B7106" s="12"/>
      <c r="C7106" s="12"/>
    </row>
    <row r="7107" spans="2:3">
      <c r="B7107" s="12"/>
      <c r="C7107" s="12"/>
    </row>
    <row r="7108" spans="2:3">
      <c r="B7108" s="12"/>
      <c r="C7108" s="12"/>
    </row>
    <row r="7109" spans="2:3">
      <c r="B7109" s="12"/>
      <c r="C7109" s="12"/>
    </row>
    <row r="7110" spans="2:3">
      <c r="B7110" s="12"/>
      <c r="C7110" s="12"/>
    </row>
    <row r="7111" spans="2:3">
      <c r="B7111" s="12"/>
      <c r="C7111" s="12"/>
    </row>
    <row r="7112" spans="2:3">
      <c r="B7112" s="12"/>
      <c r="C7112" s="12"/>
    </row>
    <row r="7113" spans="2:3">
      <c r="B7113" s="12"/>
      <c r="C7113" s="12"/>
    </row>
    <row r="7114" spans="2:3">
      <c r="B7114" s="12"/>
      <c r="C7114" s="12"/>
    </row>
    <row r="7115" spans="2:3">
      <c r="B7115" s="12"/>
      <c r="C7115" s="12"/>
    </row>
    <row r="7116" spans="2:3">
      <c r="B7116" s="12"/>
      <c r="C7116" s="12"/>
    </row>
    <row r="7117" spans="2:3">
      <c r="B7117" s="12"/>
      <c r="C7117" s="12"/>
    </row>
    <row r="7118" spans="2:3">
      <c r="B7118" s="12"/>
      <c r="C7118" s="12"/>
    </row>
    <row r="7119" spans="2:3">
      <c r="B7119" s="12"/>
      <c r="C7119" s="12"/>
    </row>
    <row r="7120" spans="2:3">
      <c r="B7120" s="12"/>
      <c r="C7120" s="12"/>
    </row>
    <row r="7121" spans="2:3">
      <c r="B7121" s="12"/>
      <c r="C7121" s="12"/>
    </row>
    <row r="7122" spans="2:3">
      <c r="B7122" s="12"/>
      <c r="C7122" s="12"/>
    </row>
    <row r="7123" spans="2:3">
      <c r="B7123" s="12"/>
      <c r="C7123" s="12"/>
    </row>
    <row r="7124" spans="2:3">
      <c r="B7124" s="12"/>
      <c r="C7124" s="12"/>
    </row>
    <row r="7125" spans="2:3">
      <c r="B7125" s="12"/>
      <c r="C7125" s="12"/>
    </row>
    <row r="7126" spans="2:3">
      <c r="B7126" s="12"/>
      <c r="C7126" s="12"/>
    </row>
    <row r="7127" spans="2:3">
      <c r="B7127" s="12"/>
      <c r="C7127" s="12"/>
    </row>
    <row r="7128" spans="2:3">
      <c r="B7128" s="12"/>
      <c r="C7128" s="12"/>
    </row>
    <row r="7129" spans="2:3">
      <c r="B7129" s="12"/>
      <c r="C7129" s="12"/>
    </row>
    <row r="7130" spans="2:3">
      <c r="B7130" s="12"/>
      <c r="C7130" s="12"/>
    </row>
    <row r="7131" spans="2:3">
      <c r="B7131" s="12"/>
      <c r="C7131" s="12"/>
    </row>
    <row r="7132" spans="2:3">
      <c r="B7132" s="12"/>
      <c r="C7132" s="12"/>
    </row>
    <row r="7133" spans="2:3">
      <c r="B7133" s="12"/>
      <c r="C7133" s="12"/>
    </row>
    <row r="7134" spans="2:3">
      <c r="B7134" s="12"/>
      <c r="C7134" s="12"/>
    </row>
    <row r="7135" spans="2:3">
      <c r="B7135" s="12"/>
      <c r="C7135" s="12"/>
    </row>
    <row r="7136" spans="2:3">
      <c r="B7136" s="12"/>
      <c r="C7136" s="12"/>
    </row>
    <row r="7137" spans="2:3">
      <c r="B7137" s="12"/>
      <c r="C7137" s="12"/>
    </row>
    <row r="7138" spans="2:3">
      <c r="B7138" s="12"/>
      <c r="C7138" s="12"/>
    </row>
    <row r="7139" spans="2:3">
      <c r="B7139" s="12"/>
      <c r="C7139" s="12"/>
    </row>
    <row r="7140" spans="2:3">
      <c r="B7140" s="12"/>
      <c r="C7140" s="12"/>
    </row>
    <row r="7141" spans="2:3">
      <c r="B7141" s="12"/>
      <c r="C7141" s="12"/>
    </row>
    <row r="7142" spans="2:3">
      <c r="B7142" s="12"/>
      <c r="C7142" s="12"/>
    </row>
    <row r="7143" spans="2:3">
      <c r="B7143" s="12"/>
      <c r="C7143" s="12"/>
    </row>
    <row r="7144" spans="2:3">
      <c r="B7144" s="12"/>
      <c r="C7144" s="12"/>
    </row>
    <row r="7145" spans="2:3">
      <c r="B7145" s="12"/>
      <c r="C7145" s="12"/>
    </row>
    <row r="7146" spans="2:3">
      <c r="B7146" s="12"/>
      <c r="C7146" s="12"/>
    </row>
    <row r="7147" spans="2:3">
      <c r="B7147" s="12"/>
      <c r="C7147" s="12"/>
    </row>
    <row r="7148" spans="2:3">
      <c r="B7148" s="12"/>
      <c r="C7148" s="12"/>
    </row>
    <row r="7149" spans="2:3">
      <c r="B7149" s="12"/>
      <c r="C7149" s="12"/>
    </row>
    <row r="7150" spans="2:3">
      <c r="B7150" s="12"/>
      <c r="C7150" s="12"/>
    </row>
    <row r="7151" spans="2:3">
      <c r="B7151" s="12"/>
      <c r="C7151" s="12"/>
    </row>
    <row r="7152" spans="2:3">
      <c r="B7152" s="12"/>
      <c r="C7152" s="12"/>
    </row>
    <row r="7153" spans="2:3">
      <c r="B7153" s="12"/>
      <c r="C7153" s="12"/>
    </row>
    <row r="7154" spans="2:3">
      <c r="B7154" s="12"/>
      <c r="C7154" s="12"/>
    </row>
    <row r="7155" spans="2:3">
      <c r="B7155" s="12"/>
      <c r="C7155" s="12"/>
    </row>
    <row r="7156" spans="2:3">
      <c r="B7156" s="12"/>
      <c r="C7156" s="12"/>
    </row>
    <row r="7157" spans="2:3">
      <c r="B7157" s="12"/>
      <c r="C7157" s="12"/>
    </row>
    <row r="7158" spans="2:3">
      <c r="B7158" s="12"/>
      <c r="C7158" s="12"/>
    </row>
    <row r="7159" spans="2:3">
      <c r="B7159" s="12"/>
      <c r="C7159" s="12"/>
    </row>
    <row r="7160" spans="2:3">
      <c r="B7160" s="12"/>
      <c r="C7160" s="12"/>
    </row>
    <row r="7161" spans="2:3">
      <c r="B7161" s="12"/>
      <c r="C7161" s="12"/>
    </row>
    <row r="7162" spans="2:3">
      <c r="B7162" s="12"/>
      <c r="C7162" s="12"/>
    </row>
    <row r="7163" spans="2:3">
      <c r="B7163" s="12"/>
      <c r="C7163" s="12"/>
    </row>
    <row r="7164" spans="2:3">
      <c r="B7164" s="12"/>
      <c r="C7164" s="12"/>
    </row>
    <row r="7165" spans="2:3">
      <c r="B7165" s="12"/>
      <c r="C7165" s="12"/>
    </row>
    <row r="7166" spans="2:3">
      <c r="B7166" s="12"/>
      <c r="C7166" s="12"/>
    </row>
    <row r="7167" spans="2:3">
      <c r="B7167" s="12"/>
      <c r="C7167" s="12"/>
    </row>
    <row r="7168" spans="2:3">
      <c r="B7168" s="12"/>
      <c r="C7168" s="12"/>
    </row>
    <row r="7169" spans="2:3">
      <c r="B7169" s="12"/>
      <c r="C7169" s="12"/>
    </row>
    <row r="7170" spans="2:3">
      <c r="B7170" s="12"/>
      <c r="C7170" s="12"/>
    </row>
    <row r="7171" spans="2:3">
      <c r="B7171" s="12"/>
      <c r="C7171" s="12"/>
    </row>
    <row r="7172" spans="2:3">
      <c r="B7172" s="12"/>
      <c r="C7172" s="12"/>
    </row>
    <row r="7173" spans="2:3">
      <c r="B7173" s="12"/>
      <c r="C7173" s="12"/>
    </row>
    <row r="7174" spans="2:3">
      <c r="B7174" s="12"/>
      <c r="C7174" s="12"/>
    </row>
    <row r="7175" spans="2:3">
      <c r="B7175" s="12"/>
      <c r="C7175" s="12"/>
    </row>
    <row r="7176" spans="2:3">
      <c r="B7176" s="12"/>
      <c r="C7176" s="12"/>
    </row>
    <row r="7177" spans="2:3">
      <c r="B7177" s="12"/>
      <c r="C7177" s="12"/>
    </row>
    <row r="7178" spans="2:3">
      <c r="B7178" s="12"/>
      <c r="C7178" s="12"/>
    </row>
    <row r="7179" spans="2:3">
      <c r="B7179" s="12"/>
      <c r="C7179" s="12"/>
    </row>
    <row r="7180" spans="2:3">
      <c r="B7180" s="12"/>
      <c r="C7180" s="12"/>
    </row>
    <row r="7181" spans="2:3">
      <c r="B7181" s="12"/>
      <c r="C7181" s="12"/>
    </row>
    <row r="7182" spans="2:3">
      <c r="B7182" s="12"/>
      <c r="C7182" s="12"/>
    </row>
    <row r="7183" spans="2:3">
      <c r="B7183" s="12"/>
      <c r="C7183" s="12"/>
    </row>
    <row r="7184" spans="2:3">
      <c r="B7184" s="12"/>
      <c r="C7184" s="12"/>
    </row>
    <row r="7185" spans="2:3">
      <c r="B7185" s="12"/>
      <c r="C7185" s="12"/>
    </row>
    <row r="7186" spans="2:3">
      <c r="B7186" s="12"/>
      <c r="C7186" s="12"/>
    </row>
    <row r="7187" spans="2:3">
      <c r="B7187" s="12"/>
      <c r="C7187" s="12"/>
    </row>
    <row r="7188" spans="2:3">
      <c r="B7188" s="12"/>
      <c r="C7188" s="12"/>
    </row>
    <row r="7189" spans="2:3">
      <c r="B7189" s="12"/>
      <c r="C7189" s="12"/>
    </row>
    <row r="7190" spans="2:3">
      <c r="B7190" s="12"/>
      <c r="C7190" s="12"/>
    </row>
    <row r="7191" spans="2:3">
      <c r="B7191" s="12"/>
      <c r="C7191" s="12"/>
    </row>
    <row r="7192" spans="2:3">
      <c r="B7192" s="12"/>
      <c r="C7192" s="12"/>
    </row>
    <row r="7193" spans="2:3">
      <c r="B7193" s="12"/>
      <c r="C7193" s="12"/>
    </row>
    <row r="7194" spans="2:3">
      <c r="B7194" s="12"/>
      <c r="C7194" s="12"/>
    </row>
    <row r="7195" spans="2:3">
      <c r="B7195" s="12"/>
      <c r="C7195" s="12"/>
    </row>
    <row r="7196" spans="2:3">
      <c r="B7196" s="12"/>
      <c r="C7196" s="12"/>
    </row>
    <row r="7197" spans="2:3">
      <c r="B7197" s="12"/>
      <c r="C7197" s="12"/>
    </row>
    <row r="7198" spans="2:3">
      <c r="B7198" s="12"/>
      <c r="C7198" s="12"/>
    </row>
    <row r="7199" spans="2:3">
      <c r="B7199" s="12"/>
      <c r="C7199" s="12"/>
    </row>
    <row r="7200" spans="2:3">
      <c r="B7200" s="12"/>
      <c r="C7200" s="12"/>
    </row>
    <row r="7201" spans="2:3">
      <c r="B7201" s="12"/>
      <c r="C7201" s="12"/>
    </row>
    <row r="7202" spans="2:3">
      <c r="B7202" s="12"/>
      <c r="C7202" s="12"/>
    </row>
    <row r="7203" spans="2:3">
      <c r="B7203" s="12"/>
      <c r="C7203" s="12"/>
    </row>
    <row r="7204" spans="2:3">
      <c r="B7204" s="12"/>
      <c r="C7204" s="12"/>
    </row>
    <row r="7205" spans="2:3">
      <c r="B7205" s="12"/>
      <c r="C7205" s="12"/>
    </row>
    <row r="7206" spans="2:3">
      <c r="B7206" s="12"/>
      <c r="C7206" s="12"/>
    </row>
    <row r="7207" spans="2:3">
      <c r="B7207" s="12"/>
      <c r="C7207" s="12"/>
    </row>
    <row r="7208" spans="2:3">
      <c r="B7208" s="12"/>
      <c r="C7208" s="12"/>
    </row>
    <row r="7209" spans="2:3">
      <c r="B7209" s="12"/>
      <c r="C7209" s="12"/>
    </row>
    <row r="7210" spans="2:3">
      <c r="B7210" s="12"/>
      <c r="C7210" s="12"/>
    </row>
    <row r="7211" spans="2:3">
      <c r="B7211" s="12"/>
      <c r="C7211" s="12"/>
    </row>
    <row r="7212" spans="2:3">
      <c r="B7212" s="12"/>
      <c r="C7212" s="12"/>
    </row>
    <row r="7213" spans="2:3">
      <c r="B7213" s="12"/>
      <c r="C7213" s="12"/>
    </row>
    <row r="7214" spans="2:3">
      <c r="B7214" s="12"/>
      <c r="C7214" s="12"/>
    </row>
    <row r="7215" spans="2:3">
      <c r="B7215" s="12"/>
      <c r="C7215" s="12"/>
    </row>
    <row r="7216" spans="2:3">
      <c r="B7216" s="12"/>
      <c r="C7216" s="12"/>
    </row>
    <row r="7217" spans="2:3">
      <c r="B7217" s="12"/>
      <c r="C7217" s="12"/>
    </row>
    <row r="7218" spans="2:3">
      <c r="B7218" s="12"/>
      <c r="C7218" s="12"/>
    </row>
    <row r="7219" spans="2:3">
      <c r="B7219" s="12"/>
      <c r="C7219" s="12"/>
    </row>
    <row r="7220" spans="2:3">
      <c r="B7220" s="12"/>
      <c r="C7220" s="12"/>
    </row>
    <row r="7221" spans="2:3">
      <c r="B7221" s="12"/>
      <c r="C7221" s="12"/>
    </row>
    <row r="7222" spans="2:3">
      <c r="B7222" s="12"/>
      <c r="C7222" s="12"/>
    </row>
    <row r="7223" spans="2:3">
      <c r="B7223" s="12"/>
      <c r="C7223" s="12"/>
    </row>
    <row r="7224" spans="2:3">
      <c r="B7224" s="12"/>
      <c r="C7224" s="12"/>
    </row>
    <row r="7225" spans="2:3">
      <c r="B7225" s="12"/>
      <c r="C7225" s="12"/>
    </row>
    <row r="7226" spans="2:3">
      <c r="B7226" s="12"/>
      <c r="C7226" s="12"/>
    </row>
    <row r="7227" spans="2:3">
      <c r="B7227" s="12"/>
      <c r="C7227" s="12"/>
    </row>
    <row r="7228" spans="2:3">
      <c r="B7228" s="12"/>
      <c r="C7228" s="12"/>
    </row>
    <row r="7229" spans="2:3">
      <c r="B7229" s="12"/>
      <c r="C7229" s="12"/>
    </row>
    <row r="7230" spans="2:3">
      <c r="B7230" s="12"/>
      <c r="C7230" s="12"/>
    </row>
    <row r="7231" spans="2:3">
      <c r="B7231" s="12"/>
      <c r="C7231" s="12"/>
    </row>
    <row r="7232" spans="2:3">
      <c r="B7232" s="12"/>
      <c r="C7232" s="12"/>
    </row>
    <row r="7233" spans="2:3">
      <c r="B7233" s="12"/>
      <c r="C7233" s="12"/>
    </row>
    <row r="7234" spans="2:3">
      <c r="B7234" s="12"/>
      <c r="C7234" s="12"/>
    </row>
    <row r="7235" spans="2:3">
      <c r="B7235" s="12"/>
      <c r="C7235" s="12"/>
    </row>
    <row r="7236" spans="2:3">
      <c r="B7236" s="12"/>
      <c r="C7236" s="12"/>
    </row>
    <row r="7237" spans="2:3">
      <c r="B7237" s="12"/>
      <c r="C7237" s="12"/>
    </row>
    <row r="7238" spans="2:3">
      <c r="B7238" s="12"/>
      <c r="C7238" s="12"/>
    </row>
    <row r="7239" spans="2:3">
      <c r="B7239" s="12"/>
      <c r="C7239" s="12"/>
    </row>
    <row r="7240" spans="2:3">
      <c r="B7240" s="12"/>
      <c r="C7240" s="12"/>
    </row>
    <row r="7241" spans="2:3">
      <c r="B7241" s="12"/>
      <c r="C7241" s="12"/>
    </row>
    <row r="7242" spans="2:3">
      <c r="B7242" s="12"/>
      <c r="C7242" s="12"/>
    </row>
    <row r="7243" spans="2:3">
      <c r="B7243" s="12"/>
      <c r="C7243" s="12"/>
    </row>
    <row r="7244" spans="2:3">
      <c r="B7244" s="12"/>
      <c r="C7244" s="12"/>
    </row>
    <row r="7245" spans="2:3">
      <c r="B7245" s="12"/>
      <c r="C7245" s="12"/>
    </row>
    <row r="7246" spans="2:3">
      <c r="B7246" s="12"/>
      <c r="C7246" s="12"/>
    </row>
    <row r="7247" spans="2:3">
      <c r="B7247" s="12"/>
      <c r="C7247" s="12"/>
    </row>
    <row r="7248" spans="2:3">
      <c r="B7248" s="12"/>
      <c r="C7248" s="12"/>
    </row>
    <row r="7249" spans="2:3">
      <c r="B7249" s="12"/>
      <c r="C7249" s="12"/>
    </row>
    <row r="7250" spans="2:3">
      <c r="B7250" s="12"/>
      <c r="C7250" s="12"/>
    </row>
    <row r="7251" spans="2:3">
      <c r="B7251" s="12"/>
      <c r="C7251" s="12"/>
    </row>
    <row r="7252" spans="2:3">
      <c r="B7252" s="12"/>
      <c r="C7252" s="12"/>
    </row>
    <row r="7253" spans="2:3">
      <c r="B7253" s="12"/>
      <c r="C7253" s="12"/>
    </row>
    <row r="7254" spans="2:3">
      <c r="B7254" s="12"/>
      <c r="C7254" s="12"/>
    </row>
    <row r="7255" spans="2:3">
      <c r="B7255" s="12"/>
      <c r="C7255" s="12"/>
    </row>
    <row r="7256" spans="2:3">
      <c r="B7256" s="12"/>
      <c r="C7256" s="12"/>
    </row>
    <row r="7257" spans="2:3">
      <c r="B7257" s="12"/>
      <c r="C7257" s="12"/>
    </row>
    <row r="7258" spans="2:3">
      <c r="B7258" s="12"/>
      <c r="C7258" s="12"/>
    </row>
    <row r="7259" spans="2:3">
      <c r="B7259" s="12"/>
      <c r="C7259" s="12"/>
    </row>
    <row r="7260" spans="2:3">
      <c r="B7260" s="12"/>
      <c r="C7260" s="12"/>
    </row>
    <row r="7261" spans="2:3">
      <c r="B7261" s="12"/>
      <c r="C7261" s="12"/>
    </row>
    <row r="7262" spans="2:3">
      <c r="B7262" s="12"/>
      <c r="C7262" s="12"/>
    </row>
    <row r="7263" spans="2:3">
      <c r="B7263" s="12"/>
      <c r="C7263" s="12"/>
    </row>
    <row r="7264" spans="2:3">
      <c r="B7264" s="12"/>
      <c r="C7264" s="12"/>
    </row>
    <row r="7265" spans="2:3">
      <c r="B7265" s="12"/>
      <c r="C7265" s="12"/>
    </row>
    <row r="7266" spans="2:3">
      <c r="B7266" s="12"/>
      <c r="C7266" s="12"/>
    </row>
    <row r="7267" spans="2:3">
      <c r="B7267" s="12"/>
      <c r="C7267" s="12"/>
    </row>
    <row r="7268" spans="2:3">
      <c r="B7268" s="12"/>
      <c r="C7268" s="12"/>
    </row>
    <row r="7269" spans="2:3">
      <c r="B7269" s="12"/>
      <c r="C7269" s="12"/>
    </row>
    <row r="7270" spans="2:3">
      <c r="B7270" s="12"/>
      <c r="C7270" s="12"/>
    </row>
    <row r="7271" spans="2:3">
      <c r="B7271" s="12"/>
      <c r="C7271" s="12"/>
    </row>
    <row r="7272" spans="2:3">
      <c r="B7272" s="12"/>
      <c r="C7272" s="12"/>
    </row>
    <row r="7273" spans="2:3">
      <c r="B7273" s="12"/>
      <c r="C7273" s="12"/>
    </row>
    <row r="7274" spans="2:3">
      <c r="B7274" s="12"/>
      <c r="C7274" s="12"/>
    </row>
    <row r="7275" spans="2:3">
      <c r="B7275" s="12"/>
      <c r="C7275" s="12"/>
    </row>
    <row r="7276" spans="2:3">
      <c r="B7276" s="12"/>
      <c r="C7276" s="12"/>
    </row>
    <row r="7277" spans="2:3">
      <c r="B7277" s="12"/>
      <c r="C7277" s="12"/>
    </row>
    <row r="7278" spans="2:3">
      <c r="B7278" s="12"/>
      <c r="C7278" s="12"/>
    </row>
    <row r="7279" spans="2:3">
      <c r="B7279" s="12"/>
      <c r="C7279" s="12"/>
    </row>
    <row r="7280" spans="2:3">
      <c r="B7280" s="12"/>
      <c r="C7280" s="12"/>
    </row>
    <row r="7281" spans="2:3">
      <c r="B7281" s="12"/>
      <c r="C7281" s="12"/>
    </row>
    <row r="7282" spans="2:3">
      <c r="B7282" s="12"/>
      <c r="C7282" s="12"/>
    </row>
    <row r="7283" spans="2:3">
      <c r="B7283" s="12"/>
      <c r="C7283" s="12"/>
    </row>
    <row r="7284" spans="2:3">
      <c r="B7284" s="12"/>
      <c r="C7284" s="12"/>
    </row>
    <row r="7285" spans="2:3">
      <c r="B7285" s="12"/>
      <c r="C7285" s="12"/>
    </row>
    <row r="7286" spans="2:3">
      <c r="B7286" s="12"/>
      <c r="C7286" s="12"/>
    </row>
    <row r="7287" spans="2:3">
      <c r="B7287" s="12"/>
      <c r="C7287" s="12"/>
    </row>
    <row r="7288" spans="2:3">
      <c r="B7288" s="12"/>
      <c r="C7288" s="12"/>
    </row>
    <row r="7289" spans="2:3">
      <c r="B7289" s="12"/>
      <c r="C7289" s="12"/>
    </row>
    <row r="7290" spans="2:3">
      <c r="B7290" s="12"/>
      <c r="C7290" s="12"/>
    </row>
    <row r="7291" spans="2:3">
      <c r="B7291" s="12"/>
      <c r="C7291" s="12"/>
    </row>
    <row r="7292" spans="2:3">
      <c r="B7292" s="12"/>
      <c r="C7292" s="12"/>
    </row>
    <row r="7293" spans="2:3">
      <c r="B7293" s="12"/>
      <c r="C7293" s="12"/>
    </row>
    <row r="7294" spans="2:3">
      <c r="B7294" s="12"/>
      <c r="C7294" s="12"/>
    </row>
    <row r="7295" spans="2:3">
      <c r="B7295" s="12"/>
      <c r="C7295" s="12"/>
    </row>
    <row r="7296" spans="2:3">
      <c r="B7296" s="12"/>
      <c r="C7296" s="12"/>
    </row>
    <row r="7297" spans="2:3">
      <c r="B7297" s="12"/>
      <c r="C7297" s="12"/>
    </row>
    <row r="7298" spans="2:3">
      <c r="B7298" s="12"/>
      <c r="C7298" s="12"/>
    </row>
    <row r="7299" spans="2:3">
      <c r="B7299" s="12"/>
      <c r="C7299" s="12"/>
    </row>
    <row r="7300" spans="2:3">
      <c r="B7300" s="12"/>
      <c r="C7300" s="12"/>
    </row>
    <row r="7301" spans="2:3">
      <c r="B7301" s="12"/>
      <c r="C7301" s="12"/>
    </row>
    <row r="7302" spans="2:3">
      <c r="B7302" s="12"/>
      <c r="C7302" s="12"/>
    </row>
    <row r="7303" spans="2:3">
      <c r="B7303" s="12"/>
      <c r="C7303" s="12"/>
    </row>
    <row r="7304" spans="2:3">
      <c r="B7304" s="12"/>
      <c r="C7304" s="12"/>
    </row>
    <row r="7305" spans="2:3">
      <c r="B7305" s="12"/>
      <c r="C7305" s="12"/>
    </row>
    <row r="7306" spans="2:3">
      <c r="B7306" s="12"/>
      <c r="C7306" s="12"/>
    </row>
    <row r="7307" spans="2:3">
      <c r="B7307" s="12"/>
      <c r="C7307" s="12"/>
    </row>
    <row r="7308" spans="2:3">
      <c r="B7308" s="12"/>
      <c r="C7308" s="12"/>
    </row>
    <row r="7309" spans="2:3">
      <c r="B7309" s="12"/>
      <c r="C7309" s="12"/>
    </row>
    <row r="7310" spans="2:3">
      <c r="B7310" s="12"/>
      <c r="C7310" s="12"/>
    </row>
    <row r="7311" spans="2:3">
      <c r="B7311" s="12"/>
      <c r="C7311" s="12"/>
    </row>
    <row r="7312" spans="2:3">
      <c r="B7312" s="12"/>
      <c r="C7312" s="12"/>
    </row>
    <row r="7313" spans="2:3">
      <c r="B7313" s="12"/>
      <c r="C7313" s="12"/>
    </row>
    <row r="7314" spans="2:3">
      <c r="B7314" s="12"/>
      <c r="C7314" s="12"/>
    </row>
    <row r="7315" spans="2:3">
      <c r="B7315" s="12"/>
      <c r="C7315" s="12"/>
    </row>
    <row r="7316" spans="2:3">
      <c r="B7316" s="12"/>
      <c r="C7316" s="12"/>
    </row>
    <row r="7317" spans="2:3">
      <c r="B7317" s="12"/>
      <c r="C7317" s="12"/>
    </row>
    <row r="7318" spans="2:3">
      <c r="B7318" s="12"/>
      <c r="C7318" s="12"/>
    </row>
    <row r="7319" spans="2:3">
      <c r="B7319" s="12"/>
      <c r="C7319" s="12"/>
    </row>
    <row r="7320" spans="2:3">
      <c r="B7320" s="12"/>
      <c r="C7320" s="12"/>
    </row>
    <row r="7321" spans="2:3">
      <c r="B7321" s="12"/>
      <c r="C7321" s="12"/>
    </row>
    <row r="7322" spans="2:3">
      <c r="B7322" s="12"/>
      <c r="C7322" s="12"/>
    </row>
    <row r="7323" spans="2:3">
      <c r="B7323" s="12"/>
      <c r="C7323" s="12"/>
    </row>
    <row r="7324" spans="2:3">
      <c r="B7324" s="12"/>
      <c r="C7324" s="12"/>
    </row>
    <row r="7325" spans="2:3">
      <c r="B7325" s="12"/>
      <c r="C7325" s="12"/>
    </row>
    <row r="7326" spans="2:3">
      <c r="B7326" s="12"/>
      <c r="C7326" s="12"/>
    </row>
    <row r="7327" spans="2:3">
      <c r="B7327" s="12"/>
      <c r="C7327" s="12"/>
    </row>
    <row r="7328" spans="2:3">
      <c r="B7328" s="12"/>
      <c r="C7328" s="12"/>
    </row>
    <row r="7329" spans="2:3">
      <c r="B7329" s="12"/>
      <c r="C7329" s="12"/>
    </row>
    <row r="7330" spans="2:3">
      <c r="B7330" s="12"/>
      <c r="C7330" s="12"/>
    </row>
    <row r="7331" spans="2:3">
      <c r="B7331" s="12"/>
      <c r="C7331" s="12"/>
    </row>
    <row r="7332" spans="2:3">
      <c r="B7332" s="12"/>
      <c r="C7332" s="12"/>
    </row>
    <row r="7333" spans="2:3">
      <c r="B7333" s="12"/>
      <c r="C7333" s="12"/>
    </row>
    <row r="7334" spans="2:3">
      <c r="B7334" s="12"/>
      <c r="C7334" s="12"/>
    </row>
    <row r="7335" spans="2:3">
      <c r="B7335" s="12"/>
      <c r="C7335" s="12"/>
    </row>
    <row r="7336" spans="2:3">
      <c r="B7336" s="12"/>
      <c r="C7336" s="12"/>
    </row>
    <row r="7337" spans="2:3">
      <c r="B7337" s="12"/>
      <c r="C7337" s="12"/>
    </row>
    <row r="7338" spans="2:3">
      <c r="B7338" s="12"/>
      <c r="C7338" s="12"/>
    </row>
    <row r="7339" spans="2:3">
      <c r="B7339" s="12"/>
      <c r="C7339" s="12"/>
    </row>
    <row r="7340" spans="2:3">
      <c r="B7340" s="12"/>
      <c r="C7340" s="12"/>
    </row>
    <row r="7341" spans="2:3">
      <c r="B7341" s="12"/>
      <c r="C7341" s="12"/>
    </row>
    <row r="7342" spans="2:3">
      <c r="B7342" s="12"/>
      <c r="C7342" s="12"/>
    </row>
    <row r="7343" spans="2:3">
      <c r="B7343" s="12"/>
      <c r="C7343" s="12"/>
    </row>
    <row r="7344" spans="2:3">
      <c r="B7344" s="12"/>
      <c r="C7344" s="12"/>
    </row>
    <row r="7345" spans="2:3">
      <c r="B7345" s="12"/>
      <c r="C7345" s="12"/>
    </row>
    <row r="7346" spans="2:3">
      <c r="B7346" s="12"/>
      <c r="C7346" s="12"/>
    </row>
    <row r="7347" spans="2:3">
      <c r="B7347" s="12"/>
      <c r="C7347" s="12"/>
    </row>
    <row r="7348" spans="2:3">
      <c r="B7348" s="12"/>
      <c r="C7348" s="12"/>
    </row>
    <row r="7349" spans="2:3">
      <c r="B7349" s="12"/>
      <c r="C7349" s="12"/>
    </row>
    <row r="7350" spans="2:3">
      <c r="B7350" s="12"/>
      <c r="C7350" s="12"/>
    </row>
    <row r="7351" spans="2:3">
      <c r="B7351" s="12"/>
      <c r="C7351" s="12"/>
    </row>
    <row r="7352" spans="2:3">
      <c r="B7352" s="12"/>
      <c r="C7352" s="12"/>
    </row>
    <row r="7353" spans="2:3">
      <c r="B7353" s="12"/>
      <c r="C7353" s="12"/>
    </row>
    <row r="7354" spans="2:3">
      <c r="B7354" s="12"/>
      <c r="C7354" s="12"/>
    </row>
    <row r="7355" spans="2:3">
      <c r="B7355" s="12"/>
      <c r="C7355" s="12"/>
    </row>
    <row r="7356" spans="2:3">
      <c r="B7356" s="12"/>
      <c r="C7356" s="12"/>
    </row>
    <row r="7357" spans="2:3">
      <c r="B7357" s="12"/>
      <c r="C7357" s="12"/>
    </row>
    <row r="7358" spans="2:3">
      <c r="B7358" s="12"/>
      <c r="C7358" s="12"/>
    </row>
    <row r="7359" spans="2:3">
      <c r="B7359" s="12"/>
      <c r="C7359" s="12"/>
    </row>
    <row r="7360" spans="2:3">
      <c r="B7360" s="12"/>
      <c r="C7360" s="12"/>
    </row>
    <row r="7361" spans="2:3">
      <c r="B7361" s="12"/>
      <c r="C7361" s="12"/>
    </row>
    <row r="7362" spans="2:3">
      <c r="B7362" s="12"/>
      <c r="C7362" s="12"/>
    </row>
    <row r="7363" spans="2:3">
      <c r="B7363" s="12"/>
      <c r="C7363" s="12"/>
    </row>
    <row r="7364" spans="2:3">
      <c r="B7364" s="12"/>
      <c r="C7364" s="12"/>
    </row>
    <row r="7365" spans="2:3">
      <c r="B7365" s="12"/>
      <c r="C7365" s="12"/>
    </row>
    <row r="7366" spans="2:3">
      <c r="B7366" s="12"/>
      <c r="C7366" s="12"/>
    </row>
    <row r="7367" spans="2:3">
      <c r="B7367" s="12"/>
      <c r="C7367" s="12"/>
    </row>
    <row r="7368" spans="2:3">
      <c r="B7368" s="12"/>
      <c r="C7368" s="12"/>
    </row>
    <row r="7369" spans="2:3">
      <c r="B7369" s="12"/>
      <c r="C7369" s="12"/>
    </row>
    <row r="7370" spans="2:3">
      <c r="B7370" s="12"/>
      <c r="C7370" s="12"/>
    </row>
    <row r="7371" spans="2:3">
      <c r="B7371" s="12"/>
      <c r="C7371" s="12"/>
    </row>
    <row r="7372" spans="2:3">
      <c r="B7372" s="12"/>
      <c r="C7372" s="12"/>
    </row>
    <row r="7373" spans="2:3">
      <c r="B7373" s="12"/>
      <c r="C7373" s="12"/>
    </row>
    <row r="7374" spans="2:3">
      <c r="B7374" s="12"/>
      <c r="C7374" s="12"/>
    </row>
    <row r="7375" spans="2:3">
      <c r="B7375" s="12"/>
      <c r="C7375" s="12"/>
    </row>
    <row r="7376" spans="2:3">
      <c r="B7376" s="12"/>
      <c r="C7376" s="12"/>
    </row>
    <row r="7377" spans="2:3">
      <c r="B7377" s="12"/>
      <c r="C7377" s="12"/>
    </row>
    <row r="7378" spans="2:3">
      <c r="B7378" s="12"/>
      <c r="C7378" s="12"/>
    </row>
    <row r="7379" spans="2:3">
      <c r="B7379" s="12"/>
      <c r="C7379" s="12"/>
    </row>
    <row r="7380" spans="2:3">
      <c r="B7380" s="12"/>
      <c r="C7380" s="12"/>
    </row>
    <row r="7381" spans="2:3">
      <c r="B7381" s="12"/>
      <c r="C7381" s="12"/>
    </row>
    <row r="7382" spans="2:3">
      <c r="B7382" s="12"/>
      <c r="C7382" s="12"/>
    </row>
    <row r="7383" spans="2:3">
      <c r="B7383" s="12"/>
      <c r="C7383" s="12"/>
    </row>
    <row r="7384" spans="2:3">
      <c r="B7384" s="12"/>
      <c r="C7384" s="12"/>
    </row>
    <row r="7385" spans="2:3">
      <c r="B7385" s="12"/>
      <c r="C7385" s="12"/>
    </row>
    <row r="7386" spans="2:3">
      <c r="B7386" s="12"/>
      <c r="C7386" s="12"/>
    </row>
    <row r="7387" spans="2:3">
      <c r="B7387" s="12"/>
      <c r="C7387" s="12"/>
    </row>
    <row r="7388" spans="2:3">
      <c r="B7388" s="12"/>
      <c r="C7388" s="12"/>
    </row>
    <row r="7389" spans="2:3">
      <c r="B7389" s="12"/>
      <c r="C7389" s="12"/>
    </row>
    <row r="7390" spans="2:3">
      <c r="B7390" s="12"/>
      <c r="C7390" s="12"/>
    </row>
    <row r="7391" spans="2:3">
      <c r="B7391" s="12"/>
      <c r="C7391" s="12"/>
    </row>
    <row r="7392" spans="2:3">
      <c r="B7392" s="12"/>
      <c r="C7392" s="12"/>
    </row>
    <row r="7393" spans="2:3">
      <c r="B7393" s="12"/>
      <c r="C7393" s="12"/>
    </row>
    <row r="7394" spans="2:3">
      <c r="B7394" s="12"/>
      <c r="C7394" s="12"/>
    </row>
    <row r="7395" spans="2:3">
      <c r="B7395" s="12"/>
      <c r="C7395" s="12"/>
    </row>
    <row r="7396" spans="2:3">
      <c r="B7396" s="12"/>
      <c r="C7396" s="12"/>
    </row>
    <row r="7397" spans="2:3">
      <c r="B7397" s="12"/>
      <c r="C7397" s="12"/>
    </row>
    <row r="7398" spans="2:3">
      <c r="B7398" s="12"/>
      <c r="C7398" s="12"/>
    </row>
    <row r="7399" spans="2:3">
      <c r="B7399" s="12"/>
      <c r="C7399" s="12"/>
    </row>
    <row r="7400" spans="2:3">
      <c r="B7400" s="12"/>
      <c r="C7400" s="12"/>
    </row>
    <row r="7401" spans="2:3">
      <c r="B7401" s="12"/>
      <c r="C7401" s="12"/>
    </row>
    <row r="7402" spans="2:3">
      <c r="B7402" s="12"/>
      <c r="C7402" s="12"/>
    </row>
    <row r="7403" spans="2:3">
      <c r="B7403" s="12"/>
      <c r="C7403" s="12"/>
    </row>
    <row r="7404" spans="2:3">
      <c r="B7404" s="12"/>
      <c r="C7404" s="12"/>
    </row>
    <row r="7405" spans="2:3">
      <c r="B7405" s="12"/>
      <c r="C7405" s="12"/>
    </row>
    <row r="7406" spans="2:3">
      <c r="B7406" s="12"/>
      <c r="C7406" s="12"/>
    </row>
    <row r="7407" spans="2:3">
      <c r="B7407" s="12"/>
      <c r="C7407" s="12"/>
    </row>
    <row r="7408" spans="2:3">
      <c r="B7408" s="12"/>
      <c r="C7408" s="12"/>
    </row>
    <row r="7409" spans="2:3">
      <c r="B7409" s="12"/>
      <c r="C7409" s="12"/>
    </row>
    <row r="7410" spans="2:3">
      <c r="B7410" s="12"/>
      <c r="C7410" s="12"/>
    </row>
    <row r="7411" spans="2:3">
      <c r="B7411" s="12"/>
      <c r="C7411" s="12"/>
    </row>
    <row r="7412" spans="2:3">
      <c r="B7412" s="12"/>
      <c r="C7412" s="12"/>
    </row>
    <row r="7413" spans="2:3">
      <c r="B7413" s="12"/>
      <c r="C7413" s="12"/>
    </row>
    <row r="7414" spans="2:3">
      <c r="B7414" s="12"/>
      <c r="C7414" s="12"/>
    </row>
    <row r="7415" spans="2:3">
      <c r="B7415" s="12"/>
      <c r="C7415" s="12"/>
    </row>
    <row r="7416" spans="2:3">
      <c r="B7416" s="12"/>
      <c r="C7416" s="12"/>
    </row>
    <row r="7417" spans="2:3">
      <c r="B7417" s="12"/>
      <c r="C7417" s="12"/>
    </row>
    <row r="7418" spans="2:3">
      <c r="B7418" s="12"/>
      <c r="C7418" s="12"/>
    </row>
    <row r="7419" spans="2:3">
      <c r="B7419" s="12"/>
      <c r="C7419" s="12"/>
    </row>
    <row r="7420" spans="2:3">
      <c r="B7420" s="12"/>
      <c r="C7420" s="12"/>
    </row>
    <row r="7421" spans="2:3">
      <c r="B7421" s="12"/>
      <c r="C7421" s="12"/>
    </row>
    <row r="7422" spans="2:3">
      <c r="B7422" s="12"/>
      <c r="C7422" s="12"/>
    </row>
    <row r="7423" spans="2:3">
      <c r="B7423" s="12"/>
      <c r="C7423" s="12"/>
    </row>
    <row r="7424" spans="2:3">
      <c r="B7424" s="12"/>
      <c r="C7424" s="12"/>
    </row>
    <row r="7425" spans="2:3">
      <c r="B7425" s="12"/>
      <c r="C7425" s="12"/>
    </row>
    <row r="7426" spans="2:3">
      <c r="B7426" s="12"/>
      <c r="C7426" s="12"/>
    </row>
    <row r="7427" spans="2:3">
      <c r="B7427" s="12"/>
      <c r="C7427" s="12"/>
    </row>
    <row r="7428" spans="2:3">
      <c r="B7428" s="12"/>
      <c r="C7428" s="12"/>
    </row>
    <row r="7429" spans="2:3">
      <c r="B7429" s="12"/>
      <c r="C7429" s="12"/>
    </row>
    <row r="7430" spans="2:3">
      <c r="B7430" s="12"/>
      <c r="C7430" s="12"/>
    </row>
    <row r="7431" spans="2:3">
      <c r="B7431" s="12"/>
      <c r="C7431" s="12"/>
    </row>
    <row r="7432" spans="2:3">
      <c r="B7432" s="12"/>
      <c r="C7432" s="12"/>
    </row>
    <row r="7433" spans="2:3">
      <c r="B7433" s="12"/>
      <c r="C7433" s="12"/>
    </row>
    <row r="7434" spans="2:3">
      <c r="B7434" s="12"/>
      <c r="C7434" s="12"/>
    </row>
    <row r="7435" spans="2:3">
      <c r="B7435" s="12"/>
      <c r="C7435" s="12"/>
    </row>
    <row r="7436" spans="2:3">
      <c r="B7436" s="12"/>
      <c r="C7436" s="12"/>
    </row>
    <row r="7437" spans="2:3">
      <c r="B7437" s="12"/>
      <c r="C7437" s="12"/>
    </row>
    <row r="7438" spans="2:3">
      <c r="B7438" s="12"/>
      <c r="C7438" s="12"/>
    </row>
    <row r="7439" spans="2:3">
      <c r="B7439" s="12"/>
      <c r="C7439" s="12"/>
    </row>
    <row r="7440" spans="2:3">
      <c r="B7440" s="12"/>
      <c r="C7440" s="12"/>
    </row>
    <row r="7441" spans="2:3">
      <c r="B7441" s="12"/>
      <c r="C7441" s="12"/>
    </row>
    <row r="7442" spans="2:3">
      <c r="B7442" s="12"/>
      <c r="C7442" s="12"/>
    </row>
    <row r="7443" spans="2:3">
      <c r="B7443" s="12"/>
      <c r="C7443" s="12"/>
    </row>
    <row r="7444" spans="2:3">
      <c r="B7444" s="12"/>
      <c r="C7444" s="12"/>
    </row>
    <row r="7445" spans="2:3">
      <c r="B7445" s="12"/>
      <c r="C7445" s="12"/>
    </row>
    <row r="7446" spans="2:3">
      <c r="B7446" s="12"/>
      <c r="C7446" s="12"/>
    </row>
    <row r="7447" spans="2:3">
      <c r="B7447" s="12"/>
      <c r="C7447" s="12"/>
    </row>
    <row r="7448" spans="2:3">
      <c r="B7448" s="12"/>
      <c r="C7448" s="12"/>
    </row>
    <row r="7449" spans="2:3">
      <c r="B7449" s="12"/>
      <c r="C7449" s="12"/>
    </row>
    <row r="7450" spans="2:3">
      <c r="B7450" s="12"/>
      <c r="C7450" s="12"/>
    </row>
    <row r="7451" spans="2:3">
      <c r="B7451" s="12"/>
      <c r="C7451" s="12"/>
    </row>
    <row r="7452" spans="2:3">
      <c r="B7452" s="12"/>
      <c r="C7452" s="12"/>
    </row>
    <row r="7453" spans="2:3">
      <c r="B7453" s="12"/>
      <c r="C7453" s="12"/>
    </row>
    <row r="7454" spans="2:3">
      <c r="B7454" s="12"/>
      <c r="C7454" s="12"/>
    </row>
    <row r="7455" spans="2:3">
      <c r="B7455" s="12"/>
      <c r="C7455" s="12"/>
    </row>
    <row r="7456" spans="2:3">
      <c r="B7456" s="12"/>
      <c r="C7456" s="12"/>
    </row>
    <row r="7457" spans="2:3">
      <c r="B7457" s="12"/>
      <c r="C7457" s="12"/>
    </row>
    <row r="7458" spans="2:3">
      <c r="B7458" s="12"/>
      <c r="C7458" s="12"/>
    </row>
    <row r="7459" spans="2:3">
      <c r="B7459" s="12"/>
      <c r="C7459" s="12"/>
    </row>
    <row r="7460" spans="2:3">
      <c r="B7460" s="12"/>
      <c r="C7460" s="12"/>
    </row>
    <row r="7461" spans="2:3">
      <c r="B7461" s="12"/>
      <c r="C7461" s="12"/>
    </row>
    <row r="7462" spans="2:3">
      <c r="B7462" s="12"/>
      <c r="C7462" s="12"/>
    </row>
    <row r="7463" spans="2:3">
      <c r="B7463" s="12"/>
      <c r="C7463" s="12"/>
    </row>
    <row r="7464" spans="2:3">
      <c r="B7464" s="12"/>
      <c r="C7464" s="12"/>
    </row>
    <row r="7465" spans="2:3">
      <c r="B7465" s="12"/>
      <c r="C7465" s="12"/>
    </row>
    <row r="7466" spans="2:3">
      <c r="B7466" s="12"/>
      <c r="C7466" s="12"/>
    </row>
    <row r="7467" spans="2:3">
      <c r="B7467" s="12"/>
      <c r="C7467" s="12"/>
    </row>
    <row r="7468" spans="2:3">
      <c r="B7468" s="12"/>
      <c r="C7468" s="12"/>
    </row>
    <row r="7469" spans="2:3">
      <c r="B7469" s="12"/>
      <c r="C7469" s="12"/>
    </row>
    <row r="7470" spans="2:3">
      <c r="B7470" s="12"/>
      <c r="C7470" s="12"/>
    </row>
    <row r="7471" spans="2:3">
      <c r="B7471" s="12"/>
      <c r="C7471" s="12"/>
    </row>
    <row r="7472" spans="2:3">
      <c r="B7472" s="12"/>
      <c r="C7472" s="12"/>
    </row>
    <row r="7473" spans="2:3">
      <c r="B7473" s="12"/>
      <c r="C7473" s="12"/>
    </row>
    <row r="7474" spans="2:3">
      <c r="B7474" s="12"/>
      <c r="C7474" s="12"/>
    </row>
    <row r="7475" spans="2:3">
      <c r="B7475" s="12"/>
      <c r="C7475" s="12"/>
    </row>
    <row r="7476" spans="2:3">
      <c r="B7476" s="12"/>
      <c r="C7476" s="12"/>
    </row>
    <row r="7477" spans="2:3">
      <c r="B7477" s="12"/>
      <c r="C7477" s="12"/>
    </row>
    <row r="7478" spans="2:3">
      <c r="B7478" s="12"/>
      <c r="C7478" s="12"/>
    </row>
    <row r="7479" spans="2:3">
      <c r="B7479" s="12"/>
      <c r="C7479" s="12"/>
    </row>
    <row r="7480" spans="2:3">
      <c r="B7480" s="12"/>
      <c r="C7480" s="12"/>
    </row>
    <row r="7481" spans="2:3">
      <c r="B7481" s="12"/>
      <c r="C7481" s="12"/>
    </row>
    <row r="7482" spans="2:3">
      <c r="B7482" s="12"/>
      <c r="C7482" s="12"/>
    </row>
    <row r="7483" spans="2:3">
      <c r="B7483" s="12"/>
      <c r="C7483" s="12"/>
    </row>
    <row r="7484" spans="2:3">
      <c r="B7484" s="12"/>
      <c r="C7484" s="12"/>
    </row>
    <row r="7485" spans="2:3">
      <c r="B7485" s="12"/>
      <c r="C7485" s="12"/>
    </row>
    <row r="7486" spans="2:3">
      <c r="B7486" s="12"/>
      <c r="C7486" s="12"/>
    </row>
    <row r="7487" spans="2:3">
      <c r="B7487" s="12"/>
      <c r="C7487" s="12"/>
    </row>
    <row r="7488" spans="2:3">
      <c r="B7488" s="12"/>
      <c r="C7488" s="12"/>
    </row>
    <row r="7489" spans="2:3">
      <c r="B7489" s="12"/>
      <c r="C7489" s="12"/>
    </row>
    <row r="7490" spans="2:3">
      <c r="B7490" s="12"/>
      <c r="C7490" s="12"/>
    </row>
    <row r="7491" spans="2:3">
      <c r="B7491" s="12"/>
      <c r="C7491" s="12"/>
    </row>
    <row r="7492" spans="2:3">
      <c r="B7492" s="12"/>
      <c r="C7492" s="12"/>
    </row>
    <row r="7493" spans="2:3">
      <c r="B7493" s="12"/>
      <c r="C7493" s="12"/>
    </row>
    <row r="7494" spans="2:3">
      <c r="B7494" s="12"/>
      <c r="C7494" s="12"/>
    </row>
    <row r="7495" spans="2:3">
      <c r="B7495" s="12"/>
      <c r="C7495" s="12"/>
    </row>
    <row r="7496" spans="2:3">
      <c r="B7496" s="12"/>
      <c r="C7496" s="12"/>
    </row>
    <row r="7497" spans="2:3">
      <c r="B7497" s="12"/>
      <c r="C7497" s="12"/>
    </row>
    <row r="7498" spans="2:3">
      <c r="B7498" s="12"/>
      <c r="C7498" s="12"/>
    </row>
    <row r="7499" spans="2:3">
      <c r="B7499" s="12"/>
      <c r="C7499" s="12"/>
    </row>
    <row r="7500" spans="2:3">
      <c r="B7500" s="12"/>
      <c r="C7500" s="12"/>
    </row>
    <row r="7501" spans="2:3">
      <c r="B7501" s="12"/>
      <c r="C7501" s="12"/>
    </row>
    <row r="7502" spans="2:3">
      <c r="B7502" s="12"/>
      <c r="C7502" s="12"/>
    </row>
    <row r="7503" spans="2:3">
      <c r="B7503" s="12"/>
      <c r="C7503" s="12"/>
    </row>
    <row r="7504" spans="2:3">
      <c r="B7504" s="12"/>
      <c r="C7504" s="12"/>
    </row>
    <row r="7505" spans="2:3">
      <c r="B7505" s="12"/>
      <c r="C7505" s="12"/>
    </row>
    <row r="7506" spans="2:3">
      <c r="B7506" s="12"/>
      <c r="C7506" s="12"/>
    </row>
    <row r="7507" spans="2:3">
      <c r="B7507" s="12"/>
      <c r="C7507" s="12"/>
    </row>
    <row r="7508" spans="2:3">
      <c r="B7508" s="12"/>
      <c r="C7508" s="12"/>
    </row>
    <row r="7509" spans="2:3">
      <c r="B7509" s="12"/>
      <c r="C7509" s="12"/>
    </row>
    <row r="7510" spans="2:3">
      <c r="B7510" s="12"/>
      <c r="C7510" s="12"/>
    </row>
    <row r="7511" spans="2:3">
      <c r="B7511" s="12"/>
      <c r="C7511" s="12"/>
    </row>
    <row r="7512" spans="2:3">
      <c r="B7512" s="12"/>
      <c r="C7512" s="12"/>
    </row>
    <row r="7513" spans="2:3">
      <c r="B7513" s="12"/>
      <c r="C7513" s="12"/>
    </row>
    <row r="7514" spans="2:3">
      <c r="B7514" s="12"/>
      <c r="C7514" s="12"/>
    </row>
    <row r="7515" spans="2:3">
      <c r="B7515" s="12"/>
      <c r="C7515" s="12"/>
    </row>
    <row r="7516" spans="2:3">
      <c r="B7516" s="12"/>
      <c r="C7516" s="12"/>
    </row>
    <row r="7517" spans="2:3">
      <c r="B7517" s="12"/>
      <c r="C7517" s="12"/>
    </row>
    <row r="7518" spans="2:3">
      <c r="B7518" s="12"/>
      <c r="C7518" s="12"/>
    </row>
    <row r="7519" spans="2:3">
      <c r="B7519" s="12"/>
      <c r="C7519" s="12"/>
    </row>
    <row r="7520" spans="2:3">
      <c r="B7520" s="12"/>
      <c r="C7520" s="12"/>
    </row>
    <row r="7521" spans="2:3">
      <c r="B7521" s="12"/>
      <c r="C7521" s="12"/>
    </row>
    <row r="7522" spans="2:3">
      <c r="B7522" s="12"/>
      <c r="C7522" s="12"/>
    </row>
    <row r="7523" spans="2:3">
      <c r="B7523" s="12"/>
      <c r="C7523" s="12"/>
    </row>
    <row r="7524" spans="2:3">
      <c r="B7524" s="12"/>
      <c r="C7524" s="12"/>
    </row>
    <row r="7525" spans="2:3">
      <c r="B7525" s="12"/>
      <c r="C7525" s="12"/>
    </row>
    <row r="7526" spans="2:3">
      <c r="B7526" s="12"/>
      <c r="C7526" s="12"/>
    </row>
    <row r="7527" spans="2:3">
      <c r="B7527" s="12"/>
      <c r="C7527" s="12"/>
    </row>
    <row r="7528" spans="2:3">
      <c r="B7528" s="12"/>
      <c r="C7528" s="12"/>
    </row>
    <row r="7529" spans="2:3">
      <c r="B7529" s="12"/>
      <c r="C7529" s="12"/>
    </row>
    <row r="7530" spans="2:3">
      <c r="B7530" s="12"/>
      <c r="C7530" s="12"/>
    </row>
    <row r="7531" spans="2:3">
      <c r="B7531" s="12"/>
      <c r="C7531" s="12"/>
    </row>
    <row r="7532" spans="2:3">
      <c r="B7532" s="12"/>
      <c r="C7532" s="12"/>
    </row>
    <row r="7533" spans="2:3">
      <c r="B7533" s="12"/>
      <c r="C7533" s="12"/>
    </row>
    <row r="7534" spans="2:3">
      <c r="B7534" s="12"/>
      <c r="C7534" s="12"/>
    </row>
    <row r="7535" spans="2:3">
      <c r="B7535" s="12"/>
      <c r="C7535" s="12"/>
    </row>
    <row r="7536" spans="2:3">
      <c r="B7536" s="12"/>
      <c r="C7536" s="12"/>
    </row>
    <row r="7537" spans="2:3">
      <c r="B7537" s="12"/>
      <c r="C7537" s="12"/>
    </row>
    <row r="7538" spans="2:3">
      <c r="B7538" s="12"/>
      <c r="C7538" s="12"/>
    </row>
    <row r="7539" spans="2:3">
      <c r="B7539" s="12"/>
      <c r="C7539" s="12"/>
    </row>
    <row r="7540" spans="2:3">
      <c r="B7540" s="12"/>
      <c r="C7540" s="12"/>
    </row>
    <row r="7541" spans="2:3">
      <c r="B7541" s="12"/>
      <c r="C7541" s="12"/>
    </row>
    <row r="7542" spans="2:3">
      <c r="B7542" s="12"/>
      <c r="C7542" s="12"/>
    </row>
    <row r="7543" spans="2:3">
      <c r="B7543" s="12"/>
      <c r="C7543" s="12"/>
    </row>
    <row r="7544" spans="2:3">
      <c r="B7544" s="12"/>
      <c r="C7544" s="12"/>
    </row>
    <row r="7545" spans="2:3">
      <c r="B7545" s="12"/>
      <c r="C7545" s="12"/>
    </row>
    <row r="7546" spans="2:3">
      <c r="B7546" s="12"/>
      <c r="C7546" s="12"/>
    </row>
    <row r="7547" spans="2:3">
      <c r="B7547" s="12"/>
      <c r="C7547" s="12"/>
    </row>
    <row r="7548" spans="2:3">
      <c r="B7548" s="12"/>
      <c r="C7548" s="12"/>
    </row>
    <row r="7549" spans="2:3">
      <c r="B7549" s="12"/>
      <c r="C7549" s="12"/>
    </row>
    <row r="7550" spans="2:3">
      <c r="B7550" s="12"/>
      <c r="C7550" s="12"/>
    </row>
    <row r="7551" spans="2:3">
      <c r="B7551" s="12"/>
      <c r="C7551" s="12"/>
    </row>
    <row r="7552" spans="2:3">
      <c r="B7552" s="12"/>
      <c r="C7552" s="12"/>
    </row>
    <row r="7553" spans="2:3">
      <c r="B7553" s="12"/>
      <c r="C7553" s="12"/>
    </row>
    <row r="7554" spans="2:3">
      <c r="B7554" s="12"/>
      <c r="C7554" s="12"/>
    </row>
    <row r="7555" spans="2:3">
      <c r="B7555" s="12"/>
      <c r="C7555" s="12"/>
    </row>
    <row r="7556" spans="2:3">
      <c r="B7556" s="12"/>
      <c r="C7556" s="12"/>
    </row>
    <row r="7557" spans="2:3">
      <c r="B7557" s="12"/>
      <c r="C7557" s="12"/>
    </row>
    <row r="7558" spans="2:3">
      <c r="B7558" s="12"/>
      <c r="C7558" s="12"/>
    </row>
    <row r="7559" spans="2:3">
      <c r="B7559" s="12"/>
      <c r="C7559" s="12"/>
    </row>
    <row r="7560" spans="2:3">
      <c r="B7560" s="12"/>
      <c r="C7560" s="12"/>
    </row>
    <row r="7561" spans="2:3">
      <c r="B7561" s="12"/>
      <c r="C7561" s="12"/>
    </row>
    <row r="7562" spans="2:3">
      <c r="B7562" s="12"/>
      <c r="C7562" s="12"/>
    </row>
    <row r="7563" spans="2:3">
      <c r="B7563" s="12"/>
      <c r="C7563" s="12"/>
    </row>
    <row r="7564" spans="2:3">
      <c r="B7564" s="12"/>
      <c r="C7564" s="12"/>
    </row>
    <row r="7565" spans="2:3">
      <c r="B7565" s="12"/>
      <c r="C7565" s="12"/>
    </row>
    <row r="7566" spans="2:3">
      <c r="B7566" s="12"/>
      <c r="C7566" s="12"/>
    </row>
    <row r="7567" spans="2:3">
      <c r="B7567" s="12"/>
      <c r="C7567" s="12"/>
    </row>
    <row r="7568" spans="2:3">
      <c r="B7568" s="12"/>
      <c r="C7568" s="12"/>
    </row>
    <row r="7569" spans="2:3">
      <c r="B7569" s="12"/>
      <c r="C7569" s="12"/>
    </row>
    <row r="7570" spans="2:3">
      <c r="B7570" s="12"/>
      <c r="C7570" s="12"/>
    </row>
    <row r="7571" spans="2:3">
      <c r="B7571" s="12"/>
      <c r="C7571" s="12"/>
    </row>
    <row r="7572" spans="2:3">
      <c r="B7572" s="12"/>
      <c r="C7572" s="12"/>
    </row>
    <row r="7573" spans="2:3">
      <c r="B7573" s="12"/>
      <c r="C7573" s="12"/>
    </row>
    <row r="7574" spans="2:3">
      <c r="B7574" s="12"/>
      <c r="C7574" s="12"/>
    </row>
    <row r="7575" spans="2:3">
      <c r="B7575" s="12"/>
      <c r="C7575" s="12"/>
    </row>
    <row r="7576" spans="2:3">
      <c r="B7576" s="12"/>
      <c r="C7576" s="12"/>
    </row>
    <row r="7577" spans="2:3">
      <c r="B7577" s="12"/>
      <c r="C7577" s="12"/>
    </row>
    <row r="7578" spans="2:3">
      <c r="B7578" s="12"/>
      <c r="C7578" s="12"/>
    </row>
    <row r="7579" spans="2:3">
      <c r="B7579" s="12"/>
      <c r="C7579" s="12"/>
    </row>
    <row r="7580" spans="2:3">
      <c r="B7580" s="12"/>
      <c r="C7580" s="12"/>
    </row>
    <row r="7581" spans="2:3">
      <c r="B7581" s="12"/>
      <c r="C7581" s="12"/>
    </row>
    <row r="7582" spans="2:3">
      <c r="B7582" s="12"/>
      <c r="C7582" s="12"/>
    </row>
    <row r="7583" spans="2:3">
      <c r="B7583" s="12"/>
      <c r="C7583" s="12"/>
    </row>
    <row r="7584" spans="2:3">
      <c r="B7584" s="12"/>
      <c r="C7584" s="12"/>
    </row>
    <row r="7585" spans="2:3">
      <c r="B7585" s="12"/>
      <c r="C7585" s="12"/>
    </row>
    <row r="7586" spans="2:3">
      <c r="B7586" s="12"/>
      <c r="C7586" s="12"/>
    </row>
    <row r="7587" spans="2:3">
      <c r="B7587" s="12"/>
      <c r="C7587" s="12"/>
    </row>
    <row r="7588" spans="2:3">
      <c r="B7588" s="12"/>
      <c r="C7588" s="12"/>
    </row>
    <row r="7589" spans="2:3">
      <c r="B7589" s="12"/>
      <c r="C7589" s="12"/>
    </row>
    <row r="7590" spans="2:3">
      <c r="B7590" s="12"/>
      <c r="C7590" s="12"/>
    </row>
    <row r="7591" spans="2:3">
      <c r="B7591" s="12"/>
      <c r="C7591" s="12"/>
    </row>
    <row r="7592" spans="2:3">
      <c r="B7592" s="12"/>
      <c r="C7592" s="12"/>
    </row>
    <row r="7593" spans="2:3">
      <c r="B7593" s="12"/>
      <c r="C7593" s="12"/>
    </row>
    <row r="7594" spans="2:3">
      <c r="B7594" s="12"/>
      <c r="C7594" s="12"/>
    </row>
    <row r="7595" spans="2:3">
      <c r="B7595" s="12"/>
      <c r="C7595" s="12"/>
    </row>
    <row r="7596" spans="2:3">
      <c r="B7596" s="12"/>
      <c r="C7596" s="12"/>
    </row>
    <row r="7597" spans="2:3">
      <c r="B7597" s="12"/>
      <c r="C7597" s="12"/>
    </row>
    <row r="7598" spans="2:3">
      <c r="B7598" s="12"/>
      <c r="C7598" s="12"/>
    </row>
    <row r="7599" spans="2:3">
      <c r="B7599" s="12"/>
      <c r="C7599" s="12"/>
    </row>
    <row r="7600" spans="2:3">
      <c r="B7600" s="12"/>
      <c r="C7600" s="12"/>
    </row>
    <row r="7601" spans="2:3">
      <c r="B7601" s="12"/>
      <c r="C7601" s="12"/>
    </row>
    <row r="7602" spans="2:3">
      <c r="B7602" s="12"/>
      <c r="C7602" s="12"/>
    </row>
    <row r="7603" spans="2:3">
      <c r="B7603" s="12"/>
      <c r="C7603" s="12"/>
    </row>
    <row r="7604" spans="2:3">
      <c r="B7604" s="12"/>
      <c r="C7604" s="12"/>
    </row>
    <row r="7605" spans="2:3">
      <c r="B7605" s="12"/>
      <c r="C7605" s="12"/>
    </row>
    <row r="7606" spans="2:3">
      <c r="B7606" s="12"/>
      <c r="C7606" s="12"/>
    </row>
    <row r="7607" spans="2:3">
      <c r="B7607" s="12"/>
      <c r="C7607" s="12"/>
    </row>
    <row r="7608" spans="2:3">
      <c r="B7608" s="12"/>
      <c r="C7608" s="12"/>
    </row>
    <row r="7609" spans="2:3">
      <c r="B7609" s="12"/>
      <c r="C7609" s="12"/>
    </row>
    <row r="7610" spans="2:3">
      <c r="B7610" s="12"/>
      <c r="C7610" s="12"/>
    </row>
    <row r="7611" spans="2:3">
      <c r="B7611" s="12"/>
      <c r="C7611" s="12"/>
    </row>
    <row r="7612" spans="2:3">
      <c r="B7612" s="12"/>
      <c r="C7612" s="12"/>
    </row>
    <row r="7613" spans="2:3">
      <c r="B7613" s="12"/>
      <c r="C7613" s="12"/>
    </row>
    <row r="7614" spans="2:3">
      <c r="B7614" s="12"/>
      <c r="C7614" s="12"/>
    </row>
    <row r="7615" spans="2:3">
      <c r="B7615" s="12"/>
      <c r="C7615" s="12"/>
    </row>
    <row r="7616" spans="2:3">
      <c r="B7616" s="12"/>
      <c r="C7616" s="12"/>
    </row>
    <row r="7617" spans="2:3">
      <c r="B7617" s="12"/>
      <c r="C7617" s="12"/>
    </row>
    <row r="7618" spans="2:3">
      <c r="B7618" s="12"/>
      <c r="C7618" s="12"/>
    </row>
    <row r="7619" spans="2:3">
      <c r="B7619" s="12"/>
      <c r="C7619" s="12"/>
    </row>
    <row r="7620" spans="2:3">
      <c r="B7620" s="12"/>
      <c r="C7620" s="12"/>
    </row>
    <row r="7621" spans="2:3">
      <c r="B7621" s="12"/>
      <c r="C7621" s="12"/>
    </row>
    <row r="7622" spans="2:3">
      <c r="B7622" s="12"/>
      <c r="C7622" s="12"/>
    </row>
    <row r="7623" spans="2:3">
      <c r="B7623" s="12"/>
      <c r="C7623" s="12"/>
    </row>
    <row r="7624" spans="2:3">
      <c r="B7624" s="12"/>
      <c r="C7624" s="12"/>
    </row>
    <row r="7625" spans="2:3">
      <c r="B7625" s="12"/>
      <c r="C7625" s="12"/>
    </row>
    <row r="7626" spans="2:3">
      <c r="B7626" s="12"/>
      <c r="C7626" s="12"/>
    </row>
    <row r="7627" spans="2:3">
      <c r="B7627" s="12"/>
      <c r="C7627" s="12"/>
    </row>
    <row r="7628" spans="2:3">
      <c r="B7628" s="12"/>
      <c r="C7628" s="12"/>
    </row>
    <row r="7629" spans="2:3">
      <c r="B7629" s="12"/>
      <c r="C7629" s="12"/>
    </row>
    <row r="7630" spans="2:3">
      <c r="B7630" s="12"/>
      <c r="C7630" s="12"/>
    </row>
    <row r="7631" spans="2:3">
      <c r="B7631" s="12"/>
      <c r="C7631" s="12"/>
    </row>
    <row r="7632" spans="2:3">
      <c r="B7632" s="12"/>
      <c r="C7632" s="12"/>
    </row>
    <row r="7633" spans="2:3">
      <c r="B7633" s="12"/>
      <c r="C7633" s="12"/>
    </row>
    <row r="7634" spans="2:3">
      <c r="B7634" s="12"/>
      <c r="C7634" s="12"/>
    </row>
    <row r="7635" spans="2:3">
      <c r="B7635" s="12"/>
      <c r="C7635" s="12"/>
    </row>
    <row r="7636" spans="2:3">
      <c r="B7636" s="12"/>
      <c r="C7636" s="12"/>
    </row>
    <row r="7637" spans="2:3">
      <c r="B7637" s="12"/>
      <c r="C7637" s="12"/>
    </row>
    <row r="7638" spans="2:3">
      <c r="B7638" s="12"/>
      <c r="C7638" s="12"/>
    </row>
    <row r="7639" spans="2:3">
      <c r="B7639" s="12"/>
      <c r="C7639" s="12"/>
    </row>
    <row r="7640" spans="2:3">
      <c r="B7640" s="12"/>
      <c r="C7640" s="12"/>
    </row>
    <row r="7641" spans="2:3">
      <c r="B7641" s="12"/>
      <c r="C7641" s="12"/>
    </row>
    <row r="7642" spans="2:3">
      <c r="B7642" s="12"/>
      <c r="C7642" s="12"/>
    </row>
    <row r="7643" spans="2:3">
      <c r="B7643" s="12"/>
      <c r="C7643" s="12"/>
    </row>
    <row r="7644" spans="2:3">
      <c r="B7644" s="12"/>
      <c r="C7644" s="12"/>
    </row>
    <row r="7645" spans="2:3">
      <c r="B7645" s="12"/>
      <c r="C7645" s="12"/>
    </row>
    <row r="7646" spans="2:3">
      <c r="B7646" s="12"/>
      <c r="C7646" s="12"/>
    </row>
    <row r="7647" spans="2:3">
      <c r="B7647" s="12"/>
      <c r="C7647" s="12"/>
    </row>
    <row r="7648" spans="2:3">
      <c r="B7648" s="12"/>
      <c r="C7648" s="12"/>
    </row>
    <row r="7649" spans="2:3">
      <c r="B7649" s="12"/>
      <c r="C7649" s="12"/>
    </row>
    <row r="7650" spans="2:3">
      <c r="B7650" s="12"/>
      <c r="C7650" s="12"/>
    </row>
    <row r="7651" spans="2:3">
      <c r="B7651" s="12"/>
      <c r="C7651" s="12"/>
    </row>
    <row r="7652" spans="2:3">
      <c r="B7652" s="12"/>
      <c r="C7652" s="12"/>
    </row>
    <row r="7653" spans="2:3">
      <c r="B7653" s="12"/>
      <c r="C7653" s="12"/>
    </row>
    <row r="7654" spans="2:3">
      <c r="B7654" s="12"/>
      <c r="C7654" s="12"/>
    </row>
    <row r="7655" spans="2:3">
      <c r="B7655" s="12"/>
      <c r="C7655" s="12"/>
    </row>
    <row r="7656" spans="2:3">
      <c r="B7656" s="12"/>
      <c r="C7656" s="12"/>
    </row>
    <row r="7657" spans="2:3">
      <c r="B7657" s="12"/>
      <c r="C7657" s="12"/>
    </row>
    <row r="7658" spans="2:3">
      <c r="B7658" s="12"/>
      <c r="C7658" s="12"/>
    </row>
    <row r="7659" spans="2:3">
      <c r="B7659" s="12"/>
      <c r="C7659" s="12"/>
    </row>
    <row r="7660" spans="2:3">
      <c r="B7660" s="12"/>
      <c r="C7660" s="12"/>
    </row>
    <row r="7661" spans="2:3">
      <c r="B7661" s="12"/>
      <c r="C7661" s="12"/>
    </row>
    <row r="7662" spans="2:3">
      <c r="B7662" s="12"/>
      <c r="C7662" s="12"/>
    </row>
    <row r="7663" spans="2:3">
      <c r="B7663" s="12"/>
      <c r="C7663" s="12"/>
    </row>
    <row r="7664" spans="2:3">
      <c r="B7664" s="12"/>
      <c r="C7664" s="12"/>
    </row>
    <row r="7665" spans="2:3">
      <c r="B7665" s="12"/>
      <c r="C7665" s="12"/>
    </row>
    <row r="7666" spans="2:3">
      <c r="B7666" s="12"/>
      <c r="C7666" s="12"/>
    </row>
    <row r="7667" spans="2:3">
      <c r="B7667" s="12"/>
      <c r="C7667" s="12"/>
    </row>
    <row r="7668" spans="2:3">
      <c r="B7668" s="12"/>
      <c r="C7668" s="12"/>
    </row>
    <row r="7669" spans="2:3">
      <c r="B7669" s="12"/>
      <c r="C7669" s="12"/>
    </row>
    <row r="7670" spans="2:3">
      <c r="B7670" s="12"/>
      <c r="C7670" s="12"/>
    </row>
    <row r="7671" spans="2:3">
      <c r="B7671" s="12"/>
      <c r="C7671" s="12"/>
    </row>
    <row r="7672" spans="2:3">
      <c r="B7672" s="12"/>
      <c r="C7672" s="12"/>
    </row>
    <row r="7673" spans="2:3">
      <c r="B7673" s="12"/>
      <c r="C7673" s="12"/>
    </row>
    <row r="7674" spans="2:3">
      <c r="B7674" s="12"/>
      <c r="C7674" s="12"/>
    </row>
    <row r="7675" spans="2:3">
      <c r="B7675" s="12"/>
      <c r="C7675" s="12"/>
    </row>
    <row r="7676" spans="2:3">
      <c r="B7676" s="12"/>
      <c r="C7676" s="12"/>
    </row>
    <row r="7677" spans="2:3">
      <c r="B7677" s="12"/>
      <c r="C7677" s="12"/>
    </row>
    <row r="7678" spans="2:3">
      <c r="B7678" s="12"/>
      <c r="C7678" s="12"/>
    </row>
    <row r="7679" spans="2:3">
      <c r="B7679" s="12"/>
      <c r="C7679" s="12"/>
    </row>
    <row r="7680" spans="2:3">
      <c r="B7680" s="12"/>
      <c r="C7680" s="12"/>
    </row>
    <row r="7681" spans="2:3">
      <c r="B7681" s="12"/>
      <c r="C7681" s="12"/>
    </row>
    <row r="7682" spans="2:3">
      <c r="B7682" s="12"/>
      <c r="C7682" s="12"/>
    </row>
    <row r="7683" spans="2:3">
      <c r="B7683" s="12"/>
      <c r="C7683" s="12"/>
    </row>
    <row r="7684" spans="2:3">
      <c r="B7684" s="12"/>
      <c r="C7684" s="12"/>
    </row>
    <row r="7685" spans="2:3">
      <c r="B7685" s="12"/>
      <c r="C7685" s="12"/>
    </row>
    <row r="7686" spans="2:3">
      <c r="B7686" s="12"/>
      <c r="C7686" s="12"/>
    </row>
    <row r="7687" spans="2:3">
      <c r="B7687" s="12"/>
      <c r="C7687" s="12"/>
    </row>
    <row r="7688" spans="2:3">
      <c r="B7688" s="12"/>
      <c r="C7688" s="12"/>
    </row>
    <row r="7689" spans="2:3">
      <c r="B7689" s="12"/>
      <c r="C7689" s="12"/>
    </row>
    <row r="7690" spans="2:3">
      <c r="B7690" s="12"/>
      <c r="C7690" s="12"/>
    </row>
    <row r="7691" spans="2:3">
      <c r="B7691" s="12"/>
      <c r="C7691" s="12"/>
    </row>
    <row r="7692" spans="2:3">
      <c r="B7692" s="12"/>
      <c r="C7692" s="12"/>
    </row>
    <row r="7693" spans="2:3">
      <c r="B7693" s="12"/>
      <c r="C7693" s="12"/>
    </row>
    <row r="7694" spans="2:3">
      <c r="B7694" s="12"/>
      <c r="C7694" s="12"/>
    </row>
    <row r="7695" spans="2:3">
      <c r="B7695" s="12"/>
      <c r="C7695" s="12"/>
    </row>
    <row r="7696" spans="2:3">
      <c r="B7696" s="12"/>
      <c r="C7696" s="12"/>
    </row>
    <row r="7697" spans="2:3">
      <c r="B7697" s="12"/>
      <c r="C7697" s="12"/>
    </row>
    <row r="7698" spans="2:3">
      <c r="B7698" s="12"/>
      <c r="C7698" s="12"/>
    </row>
    <row r="7699" spans="2:3">
      <c r="B7699" s="12"/>
      <c r="C7699" s="12"/>
    </row>
    <row r="7700" spans="2:3">
      <c r="B7700" s="12"/>
      <c r="C7700" s="12"/>
    </row>
    <row r="7701" spans="2:3">
      <c r="B7701" s="12"/>
      <c r="C7701" s="12"/>
    </row>
    <row r="7702" spans="2:3">
      <c r="B7702" s="12"/>
      <c r="C7702" s="12"/>
    </row>
    <row r="7703" spans="2:3">
      <c r="B7703" s="12"/>
      <c r="C7703" s="12"/>
    </row>
    <row r="7704" spans="2:3">
      <c r="B7704" s="12"/>
      <c r="C7704" s="12"/>
    </row>
    <row r="7705" spans="2:3">
      <c r="B7705" s="12"/>
      <c r="C7705" s="12"/>
    </row>
    <row r="7706" spans="2:3">
      <c r="B7706" s="12"/>
      <c r="C7706" s="12"/>
    </row>
    <row r="7707" spans="2:3">
      <c r="B7707" s="12"/>
      <c r="C7707" s="12"/>
    </row>
    <row r="7708" spans="2:3">
      <c r="B7708" s="12"/>
      <c r="C7708" s="12"/>
    </row>
    <row r="7709" spans="2:3">
      <c r="B7709" s="12"/>
      <c r="C7709" s="12"/>
    </row>
    <row r="7710" spans="2:3">
      <c r="B7710" s="12"/>
      <c r="C7710" s="12"/>
    </row>
    <row r="7711" spans="2:3">
      <c r="B7711" s="12"/>
      <c r="C7711" s="12"/>
    </row>
    <row r="7712" spans="2:3">
      <c r="B7712" s="12"/>
      <c r="C7712" s="12"/>
    </row>
    <row r="7713" spans="2:3">
      <c r="B7713" s="12"/>
      <c r="C7713" s="12"/>
    </row>
    <row r="7714" spans="2:3">
      <c r="B7714" s="12"/>
      <c r="C7714" s="12"/>
    </row>
    <row r="7715" spans="2:3">
      <c r="B7715" s="12"/>
      <c r="C7715" s="12"/>
    </row>
    <row r="7716" spans="2:3">
      <c r="B7716" s="12"/>
      <c r="C7716" s="12"/>
    </row>
    <row r="7717" spans="2:3">
      <c r="B7717" s="12"/>
      <c r="C7717" s="12"/>
    </row>
    <row r="7718" spans="2:3">
      <c r="B7718" s="12"/>
      <c r="C7718" s="12"/>
    </row>
    <row r="7719" spans="2:3">
      <c r="B7719" s="12"/>
      <c r="C7719" s="12"/>
    </row>
    <row r="7720" spans="2:3">
      <c r="B7720" s="12"/>
      <c r="C7720" s="12"/>
    </row>
    <row r="7721" spans="2:3">
      <c r="B7721" s="12"/>
      <c r="C7721" s="12"/>
    </row>
    <row r="7722" spans="2:3">
      <c r="B7722" s="12"/>
      <c r="C7722" s="12"/>
    </row>
    <row r="7723" spans="2:3">
      <c r="B7723" s="12"/>
      <c r="C7723" s="12"/>
    </row>
    <row r="7724" spans="2:3">
      <c r="B7724" s="12"/>
      <c r="C7724" s="12"/>
    </row>
    <row r="7725" spans="2:3">
      <c r="B7725" s="12"/>
      <c r="C7725" s="12"/>
    </row>
    <row r="7726" spans="2:3">
      <c r="B7726" s="12"/>
      <c r="C7726" s="12"/>
    </row>
    <row r="7727" spans="2:3">
      <c r="B7727" s="12"/>
      <c r="C7727" s="12"/>
    </row>
    <row r="7728" spans="2:3">
      <c r="B7728" s="12"/>
      <c r="C7728" s="12"/>
    </row>
    <row r="7729" spans="2:3">
      <c r="B7729" s="12"/>
      <c r="C7729" s="12"/>
    </row>
    <row r="7730" spans="2:3">
      <c r="B7730" s="12"/>
      <c r="C7730" s="12"/>
    </row>
    <row r="7731" spans="2:3">
      <c r="B7731" s="12"/>
      <c r="C7731" s="12"/>
    </row>
    <row r="7732" spans="2:3">
      <c r="B7732" s="12"/>
      <c r="C7732" s="12"/>
    </row>
    <row r="7733" spans="2:3">
      <c r="B7733" s="12"/>
      <c r="C7733" s="12"/>
    </row>
    <row r="7734" spans="2:3">
      <c r="B7734" s="12"/>
      <c r="C7734" s="12"/>
    </row>
    <row r="7735" spans="2:3">
      <c r="B7735" s="12"/>
      <c r="C7735" s="12"/>
    </row>
    <row r="7736" spans="2:3">
      <c r="B7736" s="12"/>
      <c r="C7736" s="12"/>
    </row>
    <row r="7737" spans="2:3">
      <c r="B7737" s="12"/>
      <c r="C7737" s="12"/>
    </row>
    <row r="7738" spans="2:3">
      <c r="B7738" s="12"/>
      <c r="C7738" s="12"/>
    </row>
    <row r="7739" spans="2:3">
      <c r="B7739" s="12"/>
      <c r="C7739" s="12"/>
    </row>
    <row r="7740" spans="2:3">
      <c r="B7740" s="12"/>
      <c r="C7740" s="12"/>
    </row>
    <row r="7741" spans="2:3">
      <c r="B7741" s="12"/>
      <c r="C7741" s="12"/>
    </row>
    <row r="7742" spans="2:3">
      <c r="B7742" s="12"/>
      <c r="C7742" s="12"/>
    </row>
    <row r="7743" spans="2:3">
      <c r="B7743" s="12"/>
      <c r="C7743" s="12"/>
    </row>
    <row r="7744" spans="2:3">
      <c r="B7744" s="12"/>
      <c r="C7744" s="12"/>
    </row>
    <row r="7745" spans="2:3">
      <c r="B7745" s="12"/>
      <c r="C7745" s="12"/>
    </row>
    <row r="7746" spans="2:3">
      <c r="B7746" s="12"/>
      <c r="C7746" s="12"/>
    </row>
    <row r="7747" spans="2:3">
      <c r="B7747" s="12"/>
      <c r="C7747" s="12"/>
    </row>
    <row r="7748" spans="2:3">
      <c r="B7748" s="12"/>
      <c r="C7748" s="12"/>
    </row>
    <row r="7749" spans="2:3">
      <c r="B7749" s="12"/>
      <c r="C7749" s="12"/>
    </row>
    <row r="7750" spans="2:3">
      <c r="B7750" s="12"/>
      <c r="C7750" s="12"/>
    </row>
    <row r="7751" spans="2:3">
      <c r="B7751" s="12"/>
      <c r="C7751" s="12"/>
    </row>
    <row r="7752" spans="2:3">
      <c r="B7752" s="12"/>
      <c r="C7752" s="12"/>
    </row>
    <row r="7753" spans="2:3">
      <c r="B7753" s="12"/>
      <c r="C7753" s="12"/>
    </row>
    <row r="7754" spans="2:3">
      <c r="B7754" s="12"/>
      <c r="C7754" s="12"/>
    </row>
    <row r="7755" spans="2:3">
      <c r="B7755" s="12"/>
      <c r="C7755" s="12"/>
    </row>
    <row r="7756" spans="2:3">
      <c r="B7756" s="12"/>
      <c r="C7756" s="12"/>
    </row>
    <row r="7757" spans="2:3">
      <c r="B7757" s="12"/>
      <c r="C7757" s="12"/>
    </row>
    <row r="7758" spans="2:3">
      <c r="B7758" s="12"/>
      <c r="C7758" s="12"/>
    </row>
    <row r="7759" spans="2:3">
      <c r="B7759" s="12"/>
      <c r="C7759" s="12"/>
    </row>
    <row r="7760" spans="2:3">
      <c r="B7760" s="12"/>
      <c r="C7760" s="12"/>
    </row>
    <row r="7761" spans="2:3">
      <c r="B7761" s="12"/>
      <c r="C7761" s="12"/>
    </row>
    <row r="7762" spans="2:3">
      <c r="B7762" s="12"/>
      <c r="C7762" s="12"/>
    </row>
    <row r="7763" spans="2:3">
      <c r="B7763" s="12"/>
      <c r="C7763" s="12"/>
    </row>
    <row r="7764" spans="2:3">
      <c r="B7764" s="12"/>
      <c r="C7764" s="12"/>
    </row>
    <row r="7765" spans="2:3">
      <c r="B7765" s="12"/>
      <c r="C7765" s="12"/>
    </row>
    <row r="7766" spans="2:3">
      <c r="B7766" s="12"/>
      <c r="C7766" s="12"/>
    </row>
    <row r="7767" spans="2:3">
      <c r="B7767" s="12"/>
      <c r="C7767" s="12"/>
    </row>
    <row r="7768" spans="2:3">
      <c r="B7768" s="12"/>
      <c r="C7768" s="12"/>
    </row>
    <row r="7769" spans="2:3">
      <c r="B7769" s="12"/>
      <c r="C7769" s="12"/>
    </row>
    <row r="7770" spans="2:3">
      <c r="B7770" s="12"/>
      <c r="C7770" s="12"/>
    </row>
    <row r="7771" spans="2:3">
      <c r="B7771" s="12"/>
      <c r="C7771" s="12"/>
    </row>
    <row r="7772" spans="2:3">
      <c r="B7772" s="12"/>
      <c r="C7772" s="12"/>
    </row>
    <row r="7773" spans="2:3">
      <c r="B7773" s="12"/>
      <c r="C7773" s="12"/>
    </row>
    <row r="7774" spans="2:3">
      <c r="B7774" s="12"/>
      <c r="C7774" s="12"/>
    </row>
    <row r="7775" spans="2:3">
      <c r="B7775" s="12"/>
      <c r="C7775" s="12"/>
    </row>
    <row r="7776" spans="2:3">
      <c r="B7776" s="12"/>
      <c r="C7776" s="12"/>
    </row>
    <row r="7777" spans="2:3">
      <c r="B7777" s="12"/>
      <c r="C7777" s="12"/>
    </row>
    <row r="7778" spans="2:3">
      <c r="B7778" s="12"/>
      <c r="C7778" s="12"/>
    </row>
    <row r="7779" spans="2:3">
      <c r="B7779" s="12"/>
      <c r="C7779" s="12"/>
    </row>
    <row r="7780" spans="2:3">
      <c r="B7780" s="12"/>
      <c r="C7780" s="12"/>
    </row>
    <row r="7781" spans="2:3">
      <c r="B7781" s="12"/>
      <c r="C7781" s="12"/>
    </row>
    <row r="7782" spans="2:3">
      <c r="B7782" s="12"/>
      <c r="C7782" s="12"/>
    </row>
    <row r="7783" spans="2:3">
      <c r="B7783" s="12"/>
      <c r="C7783" s="12"/>
    </row>
    <row r="7784" spans="2:3">
      <c r="B7784" s="12"/>
      <c r="C7784" s="12"/>
    </row>
    <row r="7785" spans="2:3">
      <c r="B7785" s="12"/>
      <c r="C7785" s="12"/>
    </row>
    <row r="7786" spans="2:3">
      <c r="B7786" s="12"/>
      <c r="C7786" s="12"/>
    </row>
    <row r="7787" spans="2:3">
      <c r="B7787" s="12"/>
      <c r="C7787" s="12"/>
    </row>
    <row r="7788" spans="2:3">
      <c r="B7788" s="12"/>
      <c r="C7788" s="12"/>
    </row>
    <row r="7789" spans="2:3">
      <c r="B7789" s="12"/>
      <c r="C7789" s="12"/>
    </row>
    <row r="7790" spans="2:3">
      <c r="B7790" s="12"/>
      <c r="C7790" s="12"/>
    </row>
    <row r="7791" spans="2:3">
      <c r="B7791" s="12"/>
      <c r="C7791" s="12"/>
    </row>
    <row r="7792" spans="2:3">
      <c r="B7792" s="12"/>
      <c r="C7792" s="12"/>
    </row>
    <row r="7793" spans="2:3">
      <c r="B7793" s="12"/>
      <c r="C7793" s="12"/>
    </row>
    <row r="7794" spans="2:3">
      <c r="B7794" s="12"/>
      <c r="C7794" s="12"/>
    </row>
    <row r="7795" spans="2:3">
      <c r="B7795" s="12"/>
      <c r="C7795" s="12"/>
    </row>
    <row r="7796" spans="2:3">
      <c r="B7796" s="12"/>
      <c r="C7796" s="12"/>
    </row>
    <row r="7797" spans="2:3">
      <c r="B7797" s="12"/>
      <c r="C7797" s="12"/>
    </row>
    <row r="7798" spans="2:3">
      <c r="B7798" s="12"/>
      <c r="C7798" s="12"/>
    </row>
    <row r="7799" spans="2:3">
      <c r="B7799" s="12"/>
      <c r="C7799" s="12"/>
    </row>
    <row r="7800" spans="2:3">
      <c r="B7800" s="12"/>
      <c r="C7800" s="12"/>
    </row>
    <row r="7801" spans="2:3">
      <c r="B7801" s="12"/>
      <c r="C7801" s="12"/>
    </row>
    <row r="7802" spans="2:3">
      <c r="B7802" s="12"/>
      <c r="C7802" s="12"/>
    </row>
    <row r="7803" spans="2:3">
      <c r="B7803" s="12"/>
      <c r="C7803" s="12"/>
    </row>
    <row r="7804" spans="2:3">
      <c r="B7804" s="12"/>
      <c r="C7804" s="12"/>
    </row>
    <row r="7805" spans="2:3">
      <c r="B7805" s="12"/>
      <c r="C7805" s="12"/>
    </row>
    <row r="7806" spans="2:3">
      <c r="B7806" s="12"/>
      <c r="C7806" s="12"/>
    </row>
    <row r="7807" spans="2:3">
      <c r="B7807" s="12"/>
      <c r="C7807" s="12"/>
    </row>
    <row r="7808" spans="2:3">
      <c r="B7808" s="12"/>
      <c r="C7808" s="12"/>
    </row>
    <row r="7809" spans="2:3">
      <c r="B7809" s="12"/>
      <c r="C7809" s="12"/>
    </row>
    <row r="7810" spans="2:3">
      <c r="B7810" s="12"/>
      <c r="C7810" s="12"/>
    </row>
    <row r="7811" spans="2:3">
      <c r="B7811" s="12"/>
      <c r="C7811" s="12"/>
    </row>
    <row r="7812" spans="2:3">
      <c r="B7812" s="12"/>
      <c r="C7812" s="12"/>
    </row>
    <row r="7813" spans="2:3">
      <c r="B7813" s="12"/>
      <c r="C7813" s="12"/>
    </row>
    <row r="7814" spans="2:3">
      <c r="B7814" s="12"/>
      <c r="C7814" s="12"/>
    </row>
    <row r="7815" spans="2:3">
      <c r="B7815" s="12"/>
      <c r="C7815" s="12"/>
    </row>
    <row r="7816" spans="2:3">
      <c r="B7816" s="12"/>
      <c r="C7816" s="12"/>
    </row>
    <row r="7817" spans="2:3">
      <c r="B7817" s="12"/>
      <c r="C7817" s="12"/>
    </row>
    <row r="7818" spans="2:3">
      <c r="B7818" s="12"/>
      <c r="C7818" s="12"/>
    </row>
    <row r="7819" spans="2:3">
      <c r="B7819" s="12"/>
      <c r="C7819" s="12"/>
    </row>
    <row r="7820" spans="2:3">
      <c r="B7820" s="12"/>
      <c r="C7820" s="12"/>
    </row>
    <row r="7821" spans="2:3">
      <c r="B7821" s="12"/>
      <c r="C7821" s="12"/>
    </row>
    <row r="7822" spans="2:3">
      <c r="B7822" s="12"/>
      <c r="C7822" s="12"/>
    </row>
    <row r="7823" spans="2:3">
      <c r="B7823" s="12"/>
      <c r="C7823" s="12"/>
    </row>
    <row r="7824" spans="2:3">
      <c r="B7824" s="12"/>
      <c r="C7824" s="12"/>
    </row>
    <row r="7825" spans="2:3">
      <c r="B7825" s="12"/>
      <c r="C7825" s="12"/>
    </row>
    <row r="7826" spans="2:3">
      <c r="B7826" s="12"/>
      <c r="C7826" s="12"/>
    </row>
    <row r="7827" spans="2:3">
      <c r="B7827" s="12"/>
      <c r="C7827" s="12"/>
    </row>
    <row r="7828" spans="2:3">
      <c r="B7828" s="12"/>
      <c r="C7828" s="12"/>
    </row>
    <row r="7829" spans="2:3">
      <c r="B7829" s="12"/>
      <c r="C7829" s="12"/>
    </row>
    <row r="7830" spans="2:3">
      <c r="B7830" s="12"/>
      <c r="C7830" s="12"/>
    </row>
    <row r="7831" spans="2:3">
      <c r="B7831" s="12"/>
      <c r="C7831" s="12"/>
    </row>
    <row r="7832" spans="2:3">
      <c r="B7832" s="12"/>
      <c r="C7832" s="12"/>
    </row>
    <row r="7833" spans="2:3">
      <c r="B7833" s="12"/>
      <c r="C7833" s="12"/>
    </row>
    <row r="7834" spans="2:3">
      <c r="B7834" s="12"/>
      <c r="C7834" s="12"/>
    </row>
    <row r="7835" spans="2:3">
      <c r="B7835" s="12"/>
      <c r="C7835" s="12"/>
    </row>
    <row r="7836" spans="2:3">
      <c r="B7836" s="12"/>
      <c r="C7836" s="12"/>
    </row>
    <row r="7837" spans="2:3">
      <c r="B7837" s="12"/>
      <c r="C7837" s="12"/>
    </row>
    <row r="7838" spans="2:3">
      <c r="B7838" s="12"/>
      <c r="C7838" s="12"/>
    </row>
    <row r="7839" spans="2:3">
      <c r="B7839" s="12"/>
      <c r="C7839" s="12"/>
    </row>
    <row r="7840" spans="2:3">
      <c r="B7840" s="12"/>
      <c r="C7840" s="12"/>
    </row>
    <row r="7841" spans="2:3">
      <c r="B7841" s="12"/>
      <c r="C7841" s="12"/>
    </row>
    <row r="7842" spans="2:3">
      <c r="B7842" s="12"/>
      <c r="C7842" s="12"/>
    </row>
    <row r="7843" spans="2:3">
      <c r="B7843" s="12"/>
      <c r="C7843" s="12"/>
    </row>
    <row r="7844" spans="2:3">
      <c r="B7844" s="12"/>
      <c r="C7844" s="12"/>
    </row>
    <row r="7845" spans="2:3">
      <c r="B7845" s="12"/>
      <c r="C7845" s="12"/>
    </row>
    <row r="7846" spans="2:3">
      <c r="B7846" s="12"/>
      <c r="C7846" s="12"/>
    </row>
    <row r="7847" spans="2:3">
      <c r="B7847" s="12"/>
      <c r="C7847" s="12"/>
    </row>
    <row r="7848" spans="2:3">
      <c r="B7848" s="12"/>
      <c r="C7848" s="12"/>
    </row>
    <row r="7849" spans="2:3">
      <c r="B7849" s="12"/>
      <c r="C7849" s="12"/>
    </row>
    <row r="7850" spans="2:3">
      <c r="B7850" s="12"/>
      <c r="C7850" s="12"/>
    </row>
    <row r="7851" spans="2:3">
      <c r="B7851" s="12"/>
      <c r="C7851" s="12"/>
    </row>
    <row r="7852" spans="2:3">
      <c r="B7852" s="12"/>
      <c r="C7852" s="12"/>
    </row>
    <row r="7853" spans="2:3">
      <c r="B7853" s="12"/>
      <c r="C7853" s="12"/>
    </row>
    <row r="7854" spans="2:3">
      <c r="B7854" s="12"/>
      <c r="C7854" s="12"/>
    </row>
    <row r="7855" spans="2:3">
      <c r="B7855" s="12"/>
      <c r="C7855" s="12"/>
    </row>
    <row r="7856" spans="2:3">
      <c r="B7856" s="12"/>
      <c r="C7856" s="12"/>
    </row>
    <row r="7857" spans="2:3">
      <c r="B7857" s="12"/>
      <c r="C7857" s="12"/>
    </row>
    <row r="7858" spans="2:3">
      <c r="B7858" s="12"/>
      <c r="C7858" s="12"/>
    </row>
    <row r="7859" spans="2:3">
      <c r="B7859" s="12"/>
      <c r="C7859" s="12"/>
    </row>
    <row r="7860" spans="2:3">
      <c r="B7860" s="12"/>
      <c r="C7860" s="12"/>
    </row>
    <row r="7861" spans="2:3">
      <c r="B7861" s="12"/>
      <c r="C7861" s="12"/>
    </row>
    <row r="7862" spans="2:3">
      <c r="B7862" s="12"/>
      <c r="C7862" s="12"/>
    </row>
    <row r="7863" spans="2:3">
      <c r="B7863" s="12"/>
      <c r="C7863" s="12"/>
    </row>
    <row r="7864" spans="2:3">
      <c r="B7864" s="12"/>
      <c r="C7864" s="12"/>
    </row>
    <row r="7865" spans="2:3">
      <c r="B7865" s="12"/>
      <c r="C7865" s="12"/>
    </row>
    <row r="7866" spans="2:3">
      <c r="B7866" s="12"/>
      <c r="C7866" s="12"/>
    </row>
    <row r="7867" spans="2:3">
      <c r="B7867" s="12"/>
      <c r="C7867" s="12"/>
    </row>
    <row r="7868" spans="2:3">
      <c r="B7868" s="12"/>
      <c r="C7868" s="12"/>
    </row>
    <row r="7869" spans="2:3">
      <c r="B7869" s="12"/>
      <c r="C7869" s="12"/>
    </row>
    <row r="7870" spans="2:3">
      <c r="B7870" s="12"/>
      <c r="C7870" s="12"/>
    </row>
    <row r="7871" spans="2:3">
      <c r="B7871" s="12"/>
      <c r="C7871" s="12"/>
    </row>
    <row r="7872" spans="2:3">
      <c r="B7872" s="12"/>
      <c r="C7872" s="12"/>
    </row>
    <row r="7873" spans="2:3">
      <c r="B7873" s="12"/>
      <c r="C7873" s="12"/>
    </row>
    <row r="7874" spans="2:3">
      <c r="B7874" s="12"/>
      <c r="C7874" s="12"/>
    </row>
    <row r="7875" spans="2:3">
      <c r="B7875" s="12"/>
      <c r="C7875" s="12"/>
    </row>
    <row r="7876" spans="2:3">
      <c r="B7876" s="12"/>
      <c r="C7876" s="12"/>
    </row>
    <row r="7877" spans="2:3">
      <c r="B7877" s="12"/>
      <c r="C7877" s="12"/>
    </row>
    <row r="7878" spans="2:3">
      <c r="B7878" s="12"/>
      <c r="C7878" s="12"/>
    </row>
    <row r="7879" spans="2:3">
      <c r="B7879" s="12"/>
      <c r="C7879" s="12"/>
    </row>
    <row r="7880" spans="2:3">
      <c r="B7880" s="12"/>
      <c r="C7880" s="12"/>
    </row>
    <row r="7881" spans="2:3">
      <c r="B7881" s="12"/>
      <c r="C7881" s="12"/>
    </row>
    <row r="7882" spans="2:3">
      <c r="B7882" s="12"/>
      <c r="C7882" s="12"/>
    </row>
    <row r="7883" spans="2:3">
      <c r="B7883" s="12"/>
      <c r="C7883" s="12"/>
    </row>
    <row r="7884" spans="2:3">
      <c r="B7884" s="12"/>
      <c r="C7884" s="12"/>
    </row>
    <row r="7885" spans="2:3">
      <c r="B7885" s="12"/>
      <c r="C7885" s="12"/>
    </row>
    <row r="7886" spans="2:3">
      <c r="B7886" s="12"/>
      <c r="C7886" s="12"/>
    </row>
    <row r="7887" spans="2:3">
      <c r="B7887" s="12"/>
      <c r="C7887" s="12"/>
    </row>
    <row r="7888" spans="2:3">
      <c r="B7888" s="12"/>
      <c r="C7888" s="12"/>
    </row>
    <row r="7889" spans="2:3">
      <c r="B7889" s="12"/>
      <c r="C7889" s="12"/>
    </row>
    <row r="7890" spans="2:3">
      <c r="B7890" s="12"/>
      <c r="C7890" s="12"/>
    </row>
    <row r="7891" spans="2:3">
      <c r="B7891" s="12"/>
      <c r="C7891" s="12"/>
    </row>
    <row r="7892" spans="2:3">
      <c r="B7892" s="12"/>
      <c r="C7892" s="12"/>
    </row>
    <row r="7893" spans="2:3">
      <c r="B7893" s="12"/>
      <c r="C7893" s="12"/>
    </row>
    <row r="7894" spans="2:3">
      <c r="B7894" s="12"/>
      <c r="C7894" s="12"/>
    </row>
    <row r="7895" spans="2:3">
      <c r="B7895" s="12"/>
      <c r="C7895" s="12"/>
    </row>
    <row r="7896" spans="2:3">
      <c r="B7896" s="12"/>
      <c r="C7896" s="12"/>
    </row>
    <row r="7897" spans="2:3">
      <c r="B7897" s="12"/>
      <c r="C7897" s="12"/>
    </row>
    <row r="7898" spans="2:3">
      <c r="B7898" s="12"/>
      <c r="C7898" s="12"/>
    </row>
    <row r="7899" spans="2:3">
      <c r="B7899" s="12"/>
      <c r="C7899" s="12"/>
    </row>
    <row r="7900" spans="2:3">
      <c r="B7900" s="12"/>
      <c r="C7900" s="12"/>
    </row>
    <row r="7901" spans="2:3">
      <c r="B7901" s="12"/>
      <c r="C7901" s="12"/>
    </row>
    <row r="7902" spans="2:3">
      <c r="B7902" s="12"/>
      <c r="C7902" s="12"/>
    </row>
    <row r="7903" spans="2:3">
      <c r="B7903" s="12"/>
      <c r="C7903" s="12"/>
    </row>
    <row r="7904" spans="2:3">
      <c r="B7904" s="12"/>
      <c r="C7904" s="12"/>
    </row>
    <row r="7905" spans="2:3">
      <c r="B7905" s="12"/>
      <c r="C7905" s="12"/>
    </row>
    <row r="7906" spans="2:3">
      <c r="B7906" s="12"/>
      <c r="C7906" s="12"/>
    </row>
    <row r="7907" spans="2:3">
      <c r="B7907" s="12"/>
      <c r="C7907" s="12"/>
    </row>
    <row r="7908" spans="2:3">
      <c r="B7908" s="12"/>
      <c r="C7908" s="12"/>
    </row>
    <row r="7909" spans="2:3">
      <c r="B7909" s="12"/>
      <c r="C7909" s="12"/>
    </row>
    <row r="7910" spans="2:3">
      <c r="B7910" s="12"/>
      <c r="C7910" s="12"/>
    </row>
    <row r="7911" spans="2:3">
      <c r="B7911" s="12"/>
      <c r="C7911" s="12"/>
    </row>
    <row r="7912" spans="2:3">
      <c r="B7912" s="12"/>
      <c r="C7912" s="12"/>
    </row>
    <row r="7913" spans="2:3">
      <c r="B7913" s="12"/>
      <c r="C7913" s="12"/>
    </row>
    <row r="7914" spans="2:3">
      <c r="B7914" s="12"/>
      <c r="C7914" s="12"/>
    </row>
    <row r="7915" spans="2:3">
      <c r="B7915" s="12"/>
      <c r="C7915" s="12"/>
    </row>
    <row r="7916" spans="2:3">
      <c r="B7916" s="12"/>
      <c r="C7916" s="12"/>
    </row>
    <row r="7917" spans="2:3">
      <c r="B7917" s="12"/>
      <c r="C7917" s="12"/>
    </row>
    <row r="7918" spans="2:3">
      <c r="B7918" s="12"/>
      <c r="C7918" s="12"/>
    </row>
    <row r="7919" spans="2:3">
      <c r="B7919" s="12"/>
      <c r="C7919" s="12"/>
    </row>
    <row r="7920" spans="2:3">
      <c r="B7920" s="12"/>
      <c r="C7920" s="12"/>
    </row>
    <row r="7921" spans="2:3">
      <c r="B7921" s="12"/>
      <c r="C7921" s="12"/>
    </row>
    <row r="7922" spans="2:3">
      <c r="B7922" s="12"/>
      <c r="C7922" s="12"/>
    </row>
    <row r="7923" spans="2:3">
      <c r="B7923" s="12"/>
      <c r="C7923" s="12"/>
    </row>
    <row r="7924" spans="2:3">
      <c r="B7924" s="12"/>
      <c r="C7924" s="12"/>
    </row>
    <row r="7925" spans="2:3">
      <c r="B7925" s="12"/>
      <c r="C7925" s="12"/>
    </row>
    <row r="7926" spans="2:3">
      <c r="B7926" s="12"/>
      <c r="C7926" s="12"/>
    </row>
    <row r="7927" spans="2:3">
      <c r="B7927" s="12"/>
      <c r="C7927" s="12"/>
    </row>
    <row r="7928" spans="2:3">
      <c r="B7928" s="12"/>
      <c r="C7928" s="12"/>
    </row>
    <row r="7929" spans="2:3">
      <c r="B7929" s="12"/>
      <c r="C7929" s="12"/>
    </row>
    <row r="7930" spans="2:3">
      <c r="B7930" s="12"/>
      <c r="C7930" s="12"/>
    </row>
    <row r="7931" spans="2:3">
      <c r="B7931" s="12"/>
      <c r="C7931" s="12"/>
    </row>
    <row r="7932" spans="2:3">
      <c r="B7932" s="12"/>
      <c r="C7932" s="12"/>
    </row>
    <row r="7933" spans="2:3">
      <c r="B7933" s="12"/>
      <c r="C7933" s="12"/>
    </row>
    <row r="7934" spans="2:3">
      <c r="B7934" s="12"/>
      <c r="C7934" s="12"/>
    </row>
    <row r="7935" spans="2:3">
      <c r="B7935" s="12"/>
      <c r="C7935" s="12"/>
    </row>
    <row r="7936" spans="2:3">
      <c r="B7936" s="12"/>
      <c r="C7936" s="12"/>
    </row>
    <row r="7937" spans="2:3">
      <c r="B7937" s="12"/>
      <c r="C7937" s="12"/>
    </row>
    <row r="7938" spans="2:3">
      <c r="B7938" s="12"/>
      <c r="C7938" s="12"/>
    </row>
    <row r="7939" spans="2:3">
      <c r="B7939" s="12"/>
      <c r="C7939" s="12"/>
    </row>
    <row r="7940" spans="2:3">
      <c r="B7940" s="12"/>
      <c r="C7940" s="12"/>
    </row>
    <row r="7941" spans="2:3">
      <c r="B7941" s="12"/>
      <c r="C7941" s="12"/>
    </row>
    <row r="7942" spans="2:3">
      <c r="B7942" s="12"/>
      <c r="C7942" s="12"/>
    </row>
    <row r="7943" spans="2:3">
      <c r="B7943" s="12"/>
      <c r="C7943" s="12"/>
    </row>
    <row r="7944" spans="2:3">
      <c r="B7944" s="12"/>
      <c r="C7944" s="12"/>
    </row>
    <row r="7945" spans="2:3">
      <c r="B7945" s="12"/>
      <c r="C7945" s="12"/>
    </row>
    <row r="7946" spans="2:3">
      <c r="B7946" s="12"/>
      <c r="C7946" s="12"/>
    </row>
    <row r="7947" spans="2:3">
      <c r="B7947" s="12"/>
      <c r="C7947" s="12"/>
    </row>
    <row r="7948" spans="2:3">
      <c r="B7948" s="12"/>
      <c r="C7948" s="12"/>
    </row>
    <row r="7949" spans="2:3">
      <c r="B7949" s="12"/>
      <c r="C7949" s="12"/>
    </row>
    <row r="7950" spans="2:3">
      <c r="B7950" s="12"/>
      <c r="C7950" s="12"/>
    </row>
    <row r="7951" spans="2:3">
      <c r="B7951" s="12"/>
      <c r="C7951" s="12"/>
    </row>
    <row r="7952" spans="2:3">
      <c r="B7952" s="12"/>
      <c r="C7952" s="12"/>
    </row>
    <row r="7953" spans="2:3">
      <c r="B7953" s="12"/>
      <c r="C7953" s="12"/>
    </row>
    <row r="7954" spans="2:3">
      <c r="B7954" s="12"/>
      <c r="C7954" s="12"/>
    </row>
    <row r="7955" spans="2:3">
      <c r="B7955" s="12"/>
      <c r="C7955" s="12"/>
    </row>
    <row r="7956" spans="2:3">
      <c r="B7956" s="12"/>
      <c r="C7956" s="12"/>
    </row>
    <row r="7957" spans="2:3">
      <c r="B7957" s="12"/>
      <c r="C7957" s="12"/>
    </row>
    <row r="7958" spans="2:3">
      <c r="B7958" s="12"/>
      <c r="C7958" s="12"/>
    </row>
    <row r="7959" spans="2:3">
      <c r="B7959" s="12"/>
      <c r="C7959" s="12"/>
    </row>
    <row r="7960" spans="2:3">
      <c r="B7960" s="12"/>
      <c r="C7960" s="12"/>
    </row>
    <row r="7961" spans="2:3">
      <c r="B7961" s="12"/>
      <c r="C7961" s="12"/>
    </row>
    <row r="7962" spans="2:3">
      <c r="B7962" s="12"/>
      <c r="C7962" s="12"/>
    </row>
    <row r="7963" spans="2:3">
      <c r="B7963" s="12"/>
      <c r="C7963" s="12"/>
    </row>
    <row r="7964" spans="2:3">
      <c r="B7964" s="12"/>
      <c r="C7964" s="12"/>
    </row>
    <row r="7965" spans="2:3">
      <c r="B7965" s="12"/>
      <c r="C7965" s="12"/>
    </row>
    <row r="7966" spans="2:3">
      <c r="B7966" s="12"/>
      <c r="C7966" s="12"/>
    </row>
    <row r="7967" spans="2:3">
      <c r="B7967" s="12"/>
      <c r="C7967" s="12"/>
    </row>
    <row r="7968" spans="2:3">
      <c r="B7968" s="12"/>
      <c r="C7968" s="12"/>
    </row>
    <row r="7969" spans="2:3">
      <c r="B7969" s="12"/>
      <c r="C7969" s="12"/>
    </row>
    <row r="7970" spans="2:3">
      <c r="B7970" s="12"/>
      <c r="C7970" s="12"/>
    </row>
    <row r="7971" spans="2:3">
      <c r="B7971" s="12"/>
      <c r="C7971" s="12"/>
    </row>
    <row r="7972" spans="2:3">
      <c r="B7972" s="12"/>
      <c r="C7972" s="12"/>
    </row>
    <row r="7973" spans="2:3">
      <c r="B7973" s="12"/>
      <c r="C7973" s="12"/>
    </row>
    <row r="7974" spans="2:3">
      <c r="B7974" s="12"/>
      <c r="C7974" s="12"/>
    </row>
    <row r="7975" spans="2:3">
      <c r="B7975" s="12"/>
      <c r="C7975" s="12"/>
    </row>
    <row r="7976" spans="2:3">
      <c r="B7976" s="12"/>
      <c r="C7976" s="12"/>
    </row>
    <row r="7977" spans="2:3">
      <c r="B7977" s="12"/>
      <c r="C7977" s="12"/>
    </row>
    <row r="7978" spans="2:3">
      <c r="B7978" s="12"/>
      <c r="C7978" s="12"/>
    </row>
    <row r="7979" spans="2:3">
      <c r="B7979" s="12"/>
      <c r="C7979" s="12"/>
    </row>
    <row r="7980" spans="2:3">
      <c r="B7980" s="12"/>
      <c r="C7980" s="12"/>
    </row>
    <row r="7981" spans="2:3">
      <c r="B7981" s="12"/>
      <c r="C7981" s="12"/>
    </row>
    <row r="7982" spans="2:3">
      <c r="B7982" s="12"/>
      <c r="C7982" s="12"/>
    </row>
    <row r="7983" spans="2:3">
      <c r="B7983" s="12"/>
      <c r="C7983" s="12"/>
    </row>
    <row r="7984" spans="2:3">
      <c r="B7984" s="12"/>
      <c r="C7984" s="12"/>
    </row>
    <row r="7985" spans="2:3">
      <c r="B7985" s="12"/>
      <c r="C7985" s="12"/>
    </row>
    <row r="7986" spans="2:3">
      <c r="B7986" s="12"/>
      <c r="C7986" s="12"/>
    </row>
    <row r="7987" spans="2:3">
      <c r="B7987" s="12"/>
      <c r="C7987" s="12"/>
    </row>
    <row r="7988" spans="2:3">
      <c r="B7988" s="12"/>
      <c r="C7988" s="12"/>
    </row>
    <row r="7989" spans="2:3">
      <c r="B7989" s="12"/>
      <c r="C7989" s="12"/>
    </row>
    <row r="7990" spans="2:3">
      <c r="B7990" s="12"/>
      <c r="C7990" s="12"/>
    </row>
    <row r="7991" spans="2:3">
      <c r="B7991" s="12"/>
      <c r="C7991" s="12"/>
    </row>
    <row r="7992" spans="2:3">
      <c r="B7992" s="12"/>
      <c r="C7992" s="12"/>
    </row>
    <row r="7993" spans="2:3">
      <c r="B7993" s="12"/>
      <c r="C7993" s="12"/>
    </row>
    <row r="7994" spans="2:3">
      <c r="B7994" s="12"/>
      <c r="C7994" s="12"/>
    </row>
    <row r="7995" spans="2:3">
      <c r="B7995" s="12"/>
      <c r="C7995" s="12"/>
    </row>
    <row r="7996" spans="2:3">
      <c r="B7996" s="12"/>
      <c r="C7996" s="12"/>
    </row>
    <row r="7997" spans="2:3">
      <c r="B7997" s="12"/>
      <c r="C7997" s="12"/>
    </row>
    <row r="7998" spans="2:3">
      <c r="B7998" s="12"/>
      <c r="C7998" s="12"/>
    </row>
    <row r="7999" spans="2:3">
      <c r="B7999" s="12"/>
      <c r="C7999" s="12"/>
    </row>
    <row r="8000" spans="2:3">
      <c r="B8000" s="12"/>
      <c r="C8000" s="12"/>
    </row>
    <row r="8001" spans="2:3">
      <c r="B8001" s="12"/>
      <c r="C8001" s="12"/>
    </row>
    <row r="8002" spans="2:3">
      <c r="B8002" s="12"/>
      <c r="C8002" s="12"/>
    </row>
    <row r="8003" spans="2:3">
      <c r="B8003" s="12"/>
      <c r="C8003" s="12"/>
    </row>
    <row r="8004" spans="2:3">
      <c r="B8004" s="12"/>
      <c r="C8004" s="12"/>
    </row>
    <row r="8005" spans="2:3">
      <c r="B8005" s="12"/>
      <c r="C8005" s="12"/>
    </row>
    <row r="8006" spans="2:3">
      <c r="B8006" s="12"/>
      <c r="C8006" s="12"/>
    </row>
    <row r="8007" spans="2:3">
      <c r="B8007" s="12"/>
      <c r="C8007" s="12"/>
    </row>
    <row r="8008" spans="2:3">
      <c r="B8008" s="12"/>
      <c r="C8008" s="12"/>
    </row>
    <row r="8009" spans="2:3">
      <c r="B8009" s="12"/>
      <c r="C8009" s="12"/>
    </row>
    <row r="8010" spans="2:3">
      <c r="B8010" s="12"/>
      <c r="C8010" s="12"/>
    </row>
    <row r="8011" spans="2:3">
      <c r="B8011" s="12"/>
      <c r="C8011" s="12"/>
    </row>
    <row r="8012" spans="2:3">
      <c r="B8012" s="12"/>
      <c r="C8012" s="12"/>
    </row>
    <row r="8013" spans="2:3">
      <c r="B8013" s="12"/>
      <c r="C8013" s="12"/>
    </row>
    <row r="8014" spans="2:3">
      <c r="B8014" s="12"/>
      <c r="C8014" s="12"/>
    </row>
    <row r="8015" spans="2:3">
      <c r="B8015" s="12"/>
      <c r="C8015" s="12"/>
    </row>
    <row r="8016" spans="2:3">
      <c r="B8016" s="12"/>
      <c r="C8016" s="12"/>
    </row>
    <row r="8017" spans="2:3">
      <c r="B8017" s="12"/>
      <c r="C8017" s="12"/>
    </row>
    <row r="8018" spans="2:3">
      <c r="B8018" s="12"/>
      <c r="C8018" s="12"/>
    </row>
    <row r="8019" spans="2:3">
      <c r="B8019" s="12"/>
      <c r="C8019" s="12"/>
    </row>
    <row r="8020" spans="2:3">
      <c r="B8020" s="12"/>
      <c r="C8020" s="12"/>
    </row>
    <row r="8021" spans="2:3">
      <c r="B8021" s="12"/>
      <c r="C8021" s="12"/>
    </row>
    <row r="8022" spans="2:3">
      <c r="B8022" s="12"/>
      <c r="C8022" s="12"/>
    </row>
    <row r="8023" spans="2:3">
      <c r="B8023" s="12"/>
      <c r="C8023" s="12"/>
    </row>
    <row r="8024" spans="2:3">
      <c r="B8024" s="12"/>
      <c r="C8024" s="12"/>
    </row>
    <row r="8025" spans="2:3">
      <c r="B8025" s="12"/>
      <c r="C8025" s="12"/>
    </row>
    <row r="8026" spans="2:3">
      <c r="B8026" s="12"/>
      <c r="C8026" s="12"/>
    </row>
    <row r="8027" spans="2:3">
      <c r="B8027" s="12"/>
      <c r="C8027" s="12"/>
    </row>
    <row r="8028" spans="2:3">
      <c r="B8028" s="12"/>
      <c r="C8028" s="12"/>
    </row>
    <row r="8029" spans="2:3">
      <c r="B8029" s="12"/>
      <c r="C8029" s="12"/>
    </row>
    <row r="8030" spans="2:3">
      <c r="B8030" s="12"/>
      <c r="C8030" s="12"/>
    </row>
    <row r="8031" spans="2:3">
      <c r="B8031" s="12"/>
      <c r="C8031" s="12"/>
    </row>
    <row r="8032" spans="2:3">
      <c r="B8032" s="12"/>
      <c r="C8032" s="12"/>
    </row>
    <row r="8033" spans="2:3">
      <c r="B8033" s="12"/>
      <c r="C8033" s="12"/>
    </row>
    <row r="8034" spans="2:3">
      <c r="B8034" s="12"/>
      <c r="C8034" s="12"/>
    </row>
    <row r="8035" spans="2:3">
      <c r="B8035" s="12"/>
      <c r="C8035" s="12"/>
    </row>
    <row r="8036" spans="2:3">
      <c r="B8036" s="12"/>
      <c r="C8036" s="12"/>
    </row>
    <row r="8037" spans="2:3">
      <c r="B8037" s="12"/>
      <c r="C8037" s="12"/>
    </row>
    <row r="8038" spans="2:3">
      <c r="B8038" s="12"/>
      <c r="C8038" s="12"/>
    </row>
    <row r="8039" spans="2:3">
      <c r="B8039" s="12"/>
      <c r="C8039" s="12"/>
    </row>
    <row r="8040" spans="2:3">
      <c r="B8040" s="12"/>
      <c r="C8040" s="12"/>
    </row>
    <row r="8041" spans="2:3">
      <c r="B8041" s="12"/>
      <c r="C8041" s="12"/>
    </row>
    <row r="8042" spans="2:3">
      <c r="B8042" s="12"/>
      <c r="C8042" s="12"/>
    </row>
    <row r="8043" spans="2:3">
      <c r="B8043" s="12"/>
      <c r="C8043" s="12"/>
    </row>
    <row r="8044" spans="2:3">
      <c r="B8044" s="12"/>
      <c r="C8044" s="12"/>
    </row>
    <row r="8045" spans="2:3">
      <c r="B8045" s="12"/>
      <c r="C8045" s="12"/>
    </row>
    <row r="8046" spans="2:3">
      <c r="B8046" s="12"/>
      <c r="C8046" s="12"/>
    </row>
    <row r="8047" spans="2:3">
      <c r="B8047" s="12"/>
      <c r="C8047" s="12"/>
    </row>
    <row r="8048" spans="2:3">
      <c r="B8048" s="12"/>
      <c r="C8048" s="12"/>
    </row>
    <row r="8049" spans="2:3">
      <c r="B8049" s="12"/>
      <c r="C8049" s="12"/>
    </row>
    <row r="8050" spans="2:3">
      <c r="B8050" s="12"/>
      <c r="C8050" s="12"/>
    </row>
    <row r="8051" spans="2:3">
      <c r="B8051" s="12"/>
      <c r="C8051" s="12"/>
    </row>
    <row r="8052" spans="2:3">
      <c r="B8052" s="12"/>
      <c r="C8052" s="12"/>
    </row>
    <row r="8053" spans="2:3">
      <c r="B8053" s="12"/>
      <c r="C8053" s="12"/>
    </row>
    <row r="8054" spans="2:3">
      <c r="B8054" s="12"/>
      <c r="C8054" s="12"/>
    </row>
    <row r="8055" spans="2:3">
      <c r="B8055" s="12"/>
      <c r="C8055" s="12"/>
    </row>
    <row r="8056" spans="2:3">
      <c r="B8056" s="12"/>
      <c r="C8056" s="12"/>
    </row>
    <row r="8057" spans="2:3">
      <c r="B8057" s="12"/>
      <c r="C8057" s="12"/>
    </row>
    <row r="8058" spans="2:3">
      <c r="B8058" s="12"/>
      <c r="C8058" s="12"/>
    </row>
    <row r="8059" spans="2:3">
      <c r="B8059" s="12"/>
      <c r="C8059" s="12"/>
    </row>
    <row r="8060" spans="2:3">
      <c r="B8060" s="12"/>
      <c r="C8060" s="12"/>
    </row>
    <row r="8061" spans="2:3">
      <c r="B8061" s="12"/>
      <c r="C8061" s="12"/>
    </row>
    <row r="8062" spans="2:3">
      <c r="B8062" s="12"/>
      <c r="C8062" s="12"/>
    </row>
    <row r="8063" spans="2:3">
      <c r="B8063" s="12"/>
      <c r="C8063" s="12"/>
    </row>
    <row r="8064" spans="2:3">
      <c r="B8064" s="12"/>
      <c r="C8064" s="12"/>
    </row>
    <row r="8065" spans="2:3">
      <c r="B8065" s="12"/>
      <c r="C8065" s="12"/>
    </row>
    <row r="8066" spans="2:3">
      <c r="B8066" s="12"/>
      <c r="C8066" s="12"/>
    </row>
    <row r="8067" spans="2:3">
      <c r="B8067" s="12"/>
      <c r="C8067" s="12"/>
    </row>
    <row r="8068" spans="2:3">
      <c r="B8068" s="12"/>
      <c r="C8068" s="12"/>
    </row>
    <row r="8069" spans="2:3">
      <c r="B8069" s="12"/>
      <c r="C8069" s="12"/>
    </row>
    <row r="8070" spans="2:3">
      <c r="B8070" s="12"/>
      <c r="C8070" s="12"/>
    </row>
    <row r="8071" spans="2:3">
      <c r="B8071" s="12"/>
      <c r="C8071" s="12"/>
    </row>
    <row r="8072" spans="2:3">
      <c r="B8072" s="12"/>
      <c r="C8072" s="12"/>
    </row>
    <row r="8073" spans="2:3">
      <c r="B8073" s="12"/>
      <c r="C8073" s="12"/>
    </row>
    <row r="8074" spans="2:3">
      <c r="B8074" s="12"/>
      <c r="C8074" s="12"/>
    </row>
    <row r="8075" spans="2:3">
      <c r="B8075" s="12"/>
      <c r="C8075" s="12"/>
    </row>
    <row r="8076" spans="2:3">
      <c r="B8076" s="12"/>
      <c r="C8076" s="12"/>
    </row>
    <row r="8077" spans="2:3">
      <c r="B8077" s="12"/>
      <c r="C8077" s="12"/>
    </row>
    <row r="8078" spans="2:3">
      <c r="B8078" s="12"/>
      <c r="C8078" s="12"/>
    </row>
    <row r="8079" spans="2:3">
      <c r="B8079" s="12"/>
      <c r="C8079" s="12"/>
    </row>
    <row r="8080" spans="2:3">
      <c r="B8080" s="12"/>
      <c r="C8080" s="12"/>
    </row>
    <row r="8081" spans="2:3">
      <c r="B8081" s="12"/>
      <c r="C8081" s="12"/>
    </row>
    <row r="8082" spans="2:3">
      <c r="B8082" s="12"/>
      <c r="C8082" s="12"/>
    </row>
    <row r="8083" spans="2:3">
      <c r="B8083" s="12"/>
      <c r="C8083" s="12"/>
    </row>
    <row r="8084" spans="2:3">
      <c r="B8084" s="12"/>
      <c r="C8084" s="12"/>
    </row>
    <row r="8085" spans="2:3">
      <c r="B8085" s="12"/>
      <c r="C8085" s="12"/>
    </row>
    <row r="8086" spans="2:3">
      <c r="B8086" s="12"/>
      <c r="C8086" s="12"/>
    </row>
    <row r="8087" spans="2:3">
      <c r="B8087" s="12"/>
      <c r="C8087" s="12"/>
    </row>
    <row r="8088" spans="2:3">
      <c r="B8088" s="12"/>
      <c r="C8088" s="12"/>
    </row>
    <row r="8089" spans="2:3">
      <c r="B8089" s="12"/>
      <c r="C8089" s="12"/>
    </row>
    <row r="8090" spans="2:3">
      <c r="B8090" s="12"/>
      <c r="C8090" s="12"/>
    </row>
    <row r="8091" spans="2:3">
      <c r="B8091" s="12"/>
      <c r="C8091" s="12"/>
    </row>
    <row r="8092" spans="2:3">
      <c r="B8092" s="12"/>
      <c r="C8092" s="12"/>
    </row>
    <row r="8093" spans="2:3">
      <c r="B8093" s="12"/>
      <c r="C8093" s="12"/>
    </row>
    <row r="8094" spans="2:3">
      <c r="B8094" s="12"/>
      <c r="C8094" s="12"/>
    </row>
    <row r="8095" spans="2:3">
      <c r="B8095" s="12"/>
      <c r="C8095" s="12"/>
    </row>
    <row r="8096" spans="2:3">
      <c r="B8096" s="12"/>
      <c r="C8096" s="12"/>
    </row>
    <row r="8097" spans="2:3">
      <c r="B8097" s="12"/>
      <c r="C8097" s="12"/>
    </row>
    <row r="8098" spans="2:3">
      <c r="B8098" s="12"/>
      <c r="C8098" s="12"/>
    </row>
    <row r="8099" spans="2:3">
      <c r="B8099" s="12"/>
      <c r="C8099" s="12"/>
    </row>
    <row r="8100" spans="2:3">
      <c r="B8100" s="12"/>
      <c r="C8100" s="12"/>
    </row>
    <row r="8101" spans="2:3">
      <c r="B8101" s="12"/>
      <c r="C8101" s="12"/>
    </row>
    <row r="8102" spans="2:3">
      <c r="B8102" s="12"/>
      <c r="C8102" s="12"/>
    </row>
    <row r="8103" spans="2:3">
      <c r="B8103" s="12"/>
      <c r="C8103" s="12"/>
    </row>
    <row r="8104" spans="2:3">
      <c r="B8104" s="12"/>
      <c r="C8104" s="12"/>
    </row>
    <row r="8105" spans="2:3">
      <c r="B8105" s="12"/>
      <c r="C8105" s="12"/>
    </row>
    <row r="8106" spans="2:3">
      <c r="B8106" s="12"/>
      <c r="C8106" s="12"/>
    </row>
    <row r="8107" spans="2:3">
      <c r="B8107" s="12"/>
      <c r="C8107" s="12"/>
    </row>
    <row r="8108" spans="2:3">
      <c r="B8108" s="12"/>
      <c r="C8108" s="12"/>
    </row>
    <row r="8109" spans="2:3">
      <c r="B8109" s="12"/>
      <c r="C8109" s="12"/>
    </row>
    <row r="8110" spans="2:3">
      <c r="B8110" s="12"/>
      <c r="C8110" s="12"/>
    </row>
    <row r="8111" spans="2:3">
      <c r="B8111" s="12"/>
      <c r="C8111" s="12"/>
    </row>
    <row r="8112" spans="2:3">
      <c r="B8112" s="12"/>
      <c r="C8112" s="12"/>
    </row>
    <row r="8113" spans="2:3">
      <c r="B8113" s="12"/>
      <c r="C8113" s="12"/>
    </row>
    <row r="8114" spans="2:3">
      <c r="B8114" s="12"/>
      <c r="C8114" s="12"/>
    </row>
    <row r="8115" spans="2:3">
      <c r="B8115" s="12"/>
      <c r="C8115" s="12"/>
    </row>
    <row r="8116" spans="2:3">
      <c r="B8116" s="12"/>
      <c r="C8116" s="12"/>
    </row>
    <row r="8117" spans="2:3">
      <c r="B8117" s="12"/>
      <c r="C8117" s="12"/>
    </row>
    <row r="8118" spans="2:3">
      <c r="B8118" s="12"/>
      <c r="C8118" s="12"/>
    </row>
    <row r="8119" spans="2:3">
      <c r="B8119" s="12"/>
      <c r="C8119" s="12"/>
    </row>
    <row r="8120" spans="2:3">
      <c r="B8120" s="12"/>
      <c r="C8120" s="12"/>
    </row>
    <row r="8121" spans="2:3">
      <c r="B8121" s="12"/>
      <c r="C8121" s="12"/>
    </row>
    <row r="8122" spans="2:3">
      <c r="B8122" s="12"/>
      <c r="C8122" s="12"/>
    </row>
    <row r="8123" spans="2:3">
      <c r="B8123" s="12"/>
      <c r="C8123" s="12"/>
    </row>
    <row r="8124" spans="2:3">
      <c r="B8124" s="12"/>
      <c r="C8124" s="12"/>
    </row>
    <row r="8125" spans="2:3">
      <c r="B8125" s="12"/>
      <c r="C8125" s="12"/>
    </row>
    <row r="8126" spans="2:3">
      <c r="B8126" s="12"/>
      <c r="C8126" s="12"/>
    </row>
    <row r="8127" spans="2:3">
      <c r="B8127" s="12"/>
      <c r="C8127" s="12"/>
    </row>
    <row r="8128" spans="2:3">
      <c r="B8128" s="12"/>
      <c r="C8128" s="12"/>
    </row>
    <row r="8129" spans="2:3">
      <c r="B8129" s="12"/>
      <c r="C8129" s="12"/>
    </row>
    <row r="8130" spans="2:3">
      <c r="B8130" s="12"/>
      <c r="C8130" s="12"/>
    </row>
    <row r="8131" spans="2:3">
      <c r="B8131" s="12"/>
      <c r="C8131" s="12"/>
    </row>
    <row r="8132" spans="2:3">
      <c r="B8132" s="12"/>
      <c r="C8132" s="12"/>
    </row>
    <row r="8133" spans="2:3">
      <c r="B8133" s="12"/>
      <c r="C8133" s="12"/>
    </row>
    <row r="8134" spans="2:3">
      <c r="B8134" s="12"/>
      <c r="C8134" s="12"/>
    </row>
    <row r="8135" spans="2:3">
      <c r="B8135" s="12"/>
      <c r="C8135" s="12"/>
    </row>
    <row r="8136" spans="2:3">
      <c r="B8136" s="12"/>
      <c r="C8136" s="12"/>
    </row>
    <row r="8137" spans="2:3">
      <c r="B8137" s="12"/>
      <c r="C8137" s="12"/>
    </row>
    <row r="8138" spans="2:3">
      <c r="B8138" s="12"/>
      <c r="C8138" s="12"/>
    </row>
    <row r="8139" spans="2:3">
      <c r="B8139" s="12"/>
      <c r="C8139" s="12"/>
    </row>
    <row r="8140" spans="2:3">
      <c r="B8140" s="12"/>
      <c r="C8140" s="12"/>
    </row>
    <row r="8141" spans="2:3">
      <c r="B8141" s="12"/>
      <c r="C8141" s="12"/>
    </row>
    <row r="8142" spans="2:3">
      <c r="B8142" s="12"/>
      <c r="C8142" s="12"/>
    </row>
    <row r="8143" spans="2:3">
      <c r="B8143" s="12"/>
      <c r="C8143" s="12"/>
    </row>
    <row r="8144" spans="2:3">
      <c r="B8144" s="12"/>
      <c r="C8144" s="12"/>
    </row>
    <row r="8145" spans="2:3">
      <c r="B8145" s="12"/>
      <c r="C8145" s="12"/>
    </row>
    <row r="8146" spans="2:3">
      <c r="B8146" s="12"/>
      <c r="C8146" s="12"/>
    </row>
    <row r="8147" spans="2:3">
      <c r="B8147" s="12"/>
      <c r="C8147" s="12"/>
    </row>
    <row r="8148" spans="2:3">
      <c r="B8148" s="12"/>
      <c r="C8148" s="12"/>
    </row>
    <row r="8149" spans="2:3">
      <c r="B8149" s="12"/>
      <c r="C8149" s="12"/>
    </row>
    <row r="8150" spans="2:3">
      <c r="B8150" s="12"/>
      <c r="C8150" s="12"/>
    </row>
    <row r="8151" spans="2:3">
      <c r="B8151" s="12"/>
      <c r="C8151" s="12"/>
    </row>
    <row r="8152" spans="2:3">
      <c r="B8152" s="12"/>
      <c r="C8152" s="12"/>
    </row>
    <row r="8153" spans="2:3">
      <c r="B8153" s="12"/>
      <c r="C8153" s="12"/>
    </row>
    <row r="8154" spans="2:3">
      <c r="B8154" s="12"/>
      <c r="C8154" s="12"/>
    </row>
    <row r="8155" spans="2:3">
      <c r="B8155" s="12"/>
      <c r="C8155" s="12"/>
    </row>
    <row r="8156" spans="2:3">
      <c r="B8156" s="12"/>
      <c r="C8156" s="12"/>
    </row>
    <row r="8157" spans="2:3">
      <c r="B8157" s="12"/>
      <c r="C8157" s="12"/>
    </row>
    <row r="8158" spans="2:3">
      <c r="B8158" s="12"/>
      <c r="C8158" s="12"/>
    </row>
    <row r="8159" spans="2:3">
      <c r="B8159" s="12"/>
      <c r="C8159" s="12"/>
    </row>
    <row r="8160" spans="2:3">
      <c r="B8160" s="12"/>
      <c r="C8160" s="12"/>
    </row>
    <row r="8161" spans="2:3">
      <c r="B8161" s="12"/>
      <c r="C8161" s="12"/>
    </row>
    <row r="8162" spans="2:3">
      <c r="B8162" s="12"/>
      <c r="C8162" s="12"/>
    </row>
    <row r="8163" spans="2:3">
      <c r="B8163" s="12"/>
      <c r="C8163" s="12"/>
    </row>
    <row r="8164" spans="2:3">
      <c r="B8164" s="12"/>
      <c r="C8164" s="12"/>
    </row>
    <row r="8165" spans="2:3">
      <c r="B8165" s="12"/>
      <c r="C8165" s="12"/>
    </row>
    <row r="8166" spans="2:3">
      <c r="B8166" s="12"/>
      <c r="C8166" s="12"/>
    </row>
    <row r="8167" spans="2:3">
      <c r="B8167" s="12"/>
      <c r="C8167" s="12"/>
    </row>
    <row r="8168" spans="2:3">
      <c r="B8168" s="12"/>
      <c r="C8168" s="12"/>
    </row>
    <row r="8169" spans="2:3">
      <c r="B8169" s="12"/>
      <c r="C8169" s="12"/>
    </row>
    <row r="8170" spans="2:3">
      <c r="B8170" s="12"/>
      <c r="C8170" s="12"/>
    </row>
    <row r="8171" spans="2:3">
      <c r="B8171" s="12"/>
      <c r="C8171" s="12"/>
    </row>
    <row r="8172" spans="2:3">
      <c r="B8172" s="12"/>
      <c r="C8172" s="12"/>
    </row>
    <row r="8173" spans="2:3">
      <c r="B8173" s="12"/>
      <c r="C8173" s="12"/>
    </row>
    <row r="8174" spans="2:3">
      <c r="B8174" s="12"/>
      <c r="C8174" s="12"/>
    </row>
    <row r="8175" spans="2:3">
      <c r="B8175" s="12"/>
      <c r="C8175" s="12"/>
    </row>
    <row r="8176" spans="2:3">
      <c r="B8176" s="12"/>
      <c r="C8176" s="12"/>
    </row>
    <row r="8177" spans="2:3">
      <c r="B8177" s="12"/>
      <c r="C8177" s="12"/>
    </row>
    <row r="8178" spans="2:3">
      <c r="B8178" s="12"/>
      <c r="C8178" s="12"/>
    </row>
    <row r="8179" spans="2:3">
      <c r="B8179" s="12"/>
      <c r="C8179" s="12"/>
    </row>
    <row r="8180" spans="2:3">
      <c r="B8180" s="12"/>
      <c r="C8180" s="12"/>
    </row>
    <row r="8181" spans="2:3">
      <c r="B8181" s="12"/>
      <c r="C8181" s="12"/>
    </row>
    <row r="8182" spans="2:3">
      <c r="B8182" s="12"/>
      <c r="C8182" s="12"/>
    </row>
    <row r="8183" spans="2:3">
      <c r="B8183" s="12"/>
      <c r="C8183" s="12"/>
    </row>
    <row r="8184" spans="2:3">
      <c r="B8184" s="12"/>
      <c r="C8184" s="12"/>
    </row>
    <row r="8185" spans="2:3">
      <c r="B8185" s="12"/>
      <c r="C8185" s="12"/>
    </row>
    <row r="8186" spans="2:3">
      <c r="B8186" s="12"/>
      <c r="C8186" s="12"/>
    </row>
    <row r="8187" spans="2:3">
      <c r="B8187" s="12"/>
      <c r="C8187" s="12"/>
    </row>
    <row r="8188" spans="2:3">
      <c r="B8188" s="12"/>
      <c r="C8188" s="12"/>
    </row>
    <row r="8189" spans="2:3">
      <c r="B8189" s="12"/>
      <c r="C8189" s="12"/>
    </row>
    <row r="8190" spans="2:3">
      <c r="B8190" s="12"/>
      <c r="C8190" s="12"/>
    </row>
    <row r="8191" spans="2:3">
      <c r="B8191" s="12"/>
      <c r="C8191" s="12"/>
    </row>
    <row r="8192" spans="2:3">
      <c r="B8192" s="12"/>
      <c r="C8192" s="12"/>
    </row>
    <row r="8193" spans="2:3">
      <c r="B8193" s="12"/>
      <c r="C8193" s="12"/>
    </row>
    <row r="8194" spans="2:3">
      <c r="B8194" s="12"/>
      <c r="C8194" s="12"/>
    </row>
    <row r="8195" spans="2:3">
      <c r="B8195" s="12"/>
      <c r="C8195" s="12"/>
    </row>
    <row r="8196" spans="2:3">
      <c r="B8196" s="12"/>
      <c r="C8196" s="12"/>
    </row>
    <row r="8197" spans="2:3">
      <c r="B8197" s="12"/>
      <c r="C8197" s="12"/>
    </row>
    <row r="8198" spans="2:3">
      <c r="B8198" s="12"/>
      <c r="C8198" s="12"/>
    </row>
    <row r="8199" spans="2:3">
      <c r="B8199" s="12"/>
      <c r="C8199" s="12"/>
    </row>
    <row r="8200" spans="2:3">
      <c r="B8200" s="12"/>
      <c r="C8200" s="12"/>
    </row>
    <row r="8201" spans="2:3">
      <c r="B8201" s="12"/>
      <c r="C8201" s="12"/>
    </row>
    <row r="8202" spans="2:3">
      <c r="B8202" s="12"/>
      <c r="C8202" s="12"/>
    </row>
    <row r="8203" spans="2:3">
      <c r="B8203" s="12"/>
      <c r="C8203" s="12"/>
    </row>
    <row r="8204" spans="2:3">
      <c r="B8204" s="12"/>
      <c r="C8204" s="12"/>
    </row>
    <row r="8205" spans="2:3">
      <c r="B8205" s="12"/>
      <c r="C8205" s="12"/>
    </row>
    <row r="8206" spans="2:3">
      <c r="B8206" s="12"/>
      <c r="C8206" s="12"/>
    </row>
    <row r="8207" spans="2:3">
      <c r="B8207" s="12"/>
      <c r="C8207" s="12"/>
    </row>
    <row r="8208" spans="2:3">
      <c r="B8208" s="12"/>
      <c r="C8208" s="12"/>
    </row>
    <row r="8209" spans="2:3">
      <c r="B8209" s="12"/>
      <c r="C8209" s="12"/>
    </row>
    <row r="8210" spans="2:3">
      <c r="B8210" s="12"/>
      <c r="C8210" s="12"/>
    </row>
    <row r="8211" spans="2:3">
      <c r="B8211" s="12"/>
      <c r="C8211" s="12"/>
    </row>
    <row r="8212" spans="2:3">
      <c r="B8212" s="12"/>
      <c r="C8212" s="12"/>
    </row>
    <row r="8213" spans="2:3">
      <c r="B8213" s="12"/>
      <c r="C8213" s="12"/>
    </row>
    <row r="8214" spans="2:3">
      <c r="B8214" s="12"/>
      <c r="C8214" s="12"/>
    </row>
    <row r="8215" spans="2:3">
      <c r="B8215" s="12"/>
      <c r="C8215" s="12"/>
    </row>
    <row r="8216" spans="2:3">
      <c r="B8216" s="12"/>
      <c r="C8216" s="12"/>
    </row>
    <row r="8217" spans="2:3">
      <c r="B8217" s="12"/>
      <c r="C8217" s="12"/>
    </row>
    <row r="8218" spans="2:3">
      <c r="B8218" s="12"/>
      <c r="C8218" s="12"/>
    </row>
    <row r="8219" spans="2:3">
      <c r="B8219" s="12"/>
      <c r="C8219" s="12"/>
    </row>
    <row r="8220" spans="2:3">
      <c r="B8220" s="12"/>
      <c r="C8220" s="12"/>
    </row>
    <row r="8221" spans="2:3">
      <c r="B8221" s="12"/>
      <c r="C8221" s="12"/>
    </row>
    <row r="8222" spans="2:3">
      <c r="B8222" s="12"/>
      <c r="C8222" s="12"/>
    </row>
    <row r="8223" spans="2:3">
      <c r="B8223" s="12"/>
      <c r="C8223" s="12"/>
    </row>
    <row r="8224" spans="2:3">
      <c r="B8224" s="12"/>
      <c r="C8224" s="12"/>
    </row>
    <row r="8225" spans="2:3">
      <c r="B8225" s="12"/>
      <c r="C8225" s="12"/>
    </row>
    <row r="8226" spans="2:3">
      <c r="B8226" s="12"/>
      <c r="C8226" s="12"/>
    </row>
    <row r="8227" spans="2:3">
      <c r="B8227" s="12"/>
      <c r="C8227" s="12"/>
    </row>
    <row r="8228" spans="2:3">
      <c r="B8228" s="12"/>
      <c r="C8228" s="12"/>
    </row>
    <row r="8229" spans="2:3">
      <c r="B8229" s="12"/>
      <c r="C8229" s="12"/>
    </row>
    <row r="8230" spans="2:3">
      <c r="B8230" s="12"/>
      <c r="C8230" s="12"/>
    </row>
    <row r="8231" spans="2:3">
      <c r="B8231" s="12"/>
      <c r="C8231" s="12"/>
    </row>
    <row r="8232" spans="2:3">
      <c r="B8232" s="12"/>
      <c r="C8232" s="12"/>
    </row>
    <row r="8233" spans="2:3">
      <c r="B8233" s="12"/>
      <c r="C8233" s="12"/>
    </row>
    <row r="8234" spans="2:3">
      <c r="B8234" s="12"/>
      <c r="C8234" s="12"/>
    </row>
    <row r="8235" spans="2:3">
      <c r="B8235" s="12"/>
      <c r="C8235" s="12"/>
    </row>
    <row r="8236" spans="2:3">
      <c r="B8236" s="12"/>
      <c r="C8236" s="12"/>
    </row>
    <row r="8237" spans="2:3">
      <c r="B8237" s="12"/>
      <c r="C8237" s="12"/>
    </row>
    <row r="8238" spans="2:3">
      <c r="B8238" s="12"/>
      <c r="C8238" s="12"/>
    </row>
    <row r="8239" spans="2:3">
      <c r="B8239" s="12"/>
      <c r="C8239" s="12"/>
    </row>
    <row r="8240" spans="2:3">
      <c r="B8240" s="12"/>
      <c r="C8240" s="12"/>
    </row>
    <row r="8241" spans="2:3">
      <c r="B8241" s="12"/>
      <c r="C8241" s="12"/>
    </row>
    <row r="8242" spans="2:3">
      <c r="B8242" s="12"/>
      <c r="C8242" s="12"/>
    </row>
    <row r="8243" spans="2:3">
      <c r="B8243" s="12"/>
      <c r="C8243" s="12"/>
    </row>
    <row r="8244" spans="2:3">
      <c r="B8244" s="12"/>
      <c r="C8244" s="12"/>
    </row>
    <row r="8245" spans="2:3">
      <c r="B8245" s="12"/>
      <c r="C8245" s="12"/>
    </row>
    <row r="8246" spans="2:3">
      <c r="B8246" s="12"/>
      <c r="C8246" s="12"/>
    </row>
    <row r="8247" spans="2:3">
      <c r="B8247" s="12"/>
      <c r="C8247" s="12"/>
    </row>
    <row r="8248" spans="2:3">
      <c r="B8248" s="12"/>
      <c r="C8248" s="12"/>
    </row>
    <row r="8249" spans="2:3">
      <c r="B8249" s="12"/>
      <c r="C8249" s="12"/>
    </row>
    <row r="8250" spans="2:3">
      <c r="B8250" s="12"/>
      <c r="C8250" s="12"/>
    </row>
    <row r="8251" spans="2:3">
      <c r="B8251" s="12"/>
      <c r="C8251" s="12"/>
    </row>
    <row r="8252" spans="2:3">
      <c r="B8252" s="12"/>
      <c r="C8252" s="12"/>
    </row>
    <row r="8253" spans="2:3">
      <c r="B8253" s="12"/>
      <c r="C8253" s="12"/>
    </row>
    <row r="8254" spans="2:3">
      <c r="B8254" s="12"/>
      <c r="C8254" s="12"/>
    </row>
    <row r="8255" spans="2:3">
      <c r="B8255" s="12"/>
      <c r="C8255" s="12"/>
    </row>
    <row r="8256" spans="2:3">
      <c r="B8256" s="12"/>
      <c r="C8256" s="12"/>
    </row>
    <row r="8257" spans="2:3">
      <c r="B8257" s="12"/>
      <c r="C8257" s="12"/>
    </row>
    <row r="8258" spans="2:3">
      <c r="B8258" s="12"/>
      <c r="C8258" s="12"/>
    </row>
    <row r="8259" spans="2:3">
      <c r="B8259" s="12"/>
      <c r="C8259" s="12"/>
    </row>
    <row r="8260" spans="2:3">
      <c r="B8260" s="12"/>
      <c r="C8260" s="12"/>
    </row>
    <row r="8261" spans="2:3">
      <c r="B8261" s="12"/>
      <c r="C8261" s="12"/>
    </row>
    <row r="8262" spans="2:3">
      <c r="B8262" s="12"/>
      <c r="C8262" s="12"/>
    </row>
    <row r="8263" spans="2:3">
      <c r="B8263" s="12"/>
      <c r="C8263" s="12"/>
    </row>
    <row r="8264" spans="2:3">
      <c r="B8264" s="12"/>
      <c r="C8264" s="12"/>
    </row>
    <row r="8265" spans="2:3">
      <c r="B8265" s="12"/>
      <c r="C8265" s="12"/>
    </row>
    <row r="8266" spans="2:3">
      <c r="B8266" s="12"/>
      <c r="C8266" s="12"/>
    </row>
    <row r="8267" spans="2:3">
      <c r="B8267" s="12"/>
      <c r="C8267" s="12"/>
    </row>
    <row r="8268" spans="2:3">
      <c r="B8268" s="12"/>
      <c r="C8268" s="12"/>
    </row>
    <row r="8269" spans="2:3">
      <c r="B8269" s="12"/>
      <c r="C8269" s="12"/>
    </row>
    <row r="8270" spans="2:3">
      <c r="B8270" s="12"/>
      <c r="C8270" s="12"/>
    </row>
    <row r="8271" spans="2:3">
      <c r="B8271" s="12"/>
      <c r="C8271" s="12"/>
    </row>
    <row r="8272" spans="2:3">
      <c r="B8272" s="12"/>
      <c r="C8272" s="12"/>
    </row>
    <row r="8273" spans="2:3">
      <c r="B8273" s="12"/>
      <c r="C8273" s="12"/>
    </row>
    <row r="8274" spans="2:3">
      <c r="B8274" s="12"/>
      <c r="C8274" s="12"/>
    </row>
    <row r="8275" spans="2:3">
      <c r="B8275" s="12"/>
      <c r="C8275" s="12"/>
    </row>
    <row r="8276" spans="2:3">
      <c r="B8276" s="12"/>
      <c r="C8276" s="12"/>
    </row>
    <row r="8277" spans="2:3">
      <c r="B8277" s="12"/>
      <c r="C8277" s="12"/>
    </row>
    <row r="8278" spans="2:3">
      <c r="B8278" s="12"/>
      <c r="C8278" s="12"/>
    </row>
    <row r="8279" spans="2:3">
      <c r="B8279" s="12"/>
      <c r="C8279" s="12"/>
    </row>
    <row r="8280" spans="2:3">
      <c r="B8280" s="12"/>
      <c r="C8280" s="12"/>
    </row>
    <row r="8281" spans="2:3">
      <c r="B8281" s="12"/>
      <c r="C8281" s="12"/>
    </row>
    <row r="8282" spans="2:3">
      <c r="B8282" s="12"/>
      <c r="C8282" s="12"/>
    </row>
    <row r="8283" spans="2:3">
      <c r="B8283" s="12"/>
      <c r="C8283" s="12"/>
    </row>
    <row r="8284" spans="2:3">
      <c r="B8284" s="12"/>
      <c r="C8284" s="12"/>
    </row>
    <row r="8285" spans="2:3">
      <c r="B8285" s="12"/>
      <c r="C8285" s="12"/>
    </row>
    <row r="8286" spans="2:3">
      <c r="B8286" s="12"/>
      <c r="C8286" s="12"/>
    </row>
    <row r="8287" spans="2:3">
      <c r="B8287" s="12"/>
      <c r="C8287" s="12"/>
    </row>
    <row r="8288" spans="2:3">
      <c r="B8288" s="12"/>
      <c r="C8288" s="12"/>
    </row>
    <row r="8289" spans="2:3">
      <c r="B8289" s="12"/>
      <c r="C8289" s="12"/>
    </row>
    <row r="8290" spans="2:3">
      <c r="B8290" s="12"/>
      <c r="C8290" s="12"/>
    </row>
    <row r="8291" spans="2:3">
      <c r="B8291" s="12"/>
      <c r="C8291" s="12"/>
    </row>
    <row r="8292" spans="2:3">
      <c r="B8292" s="12"/>
      <c r="C8292" s="12"/>
    </row>
    <row r="8293" spans="2:3">
      <c r="B8293" s="12"/>
      <c r="C8293" s="12"/>
    </row>
    <row r="8294" spans="2:3">
      <c r="B8294" s="12"/>
      <c r="C8294" s="12"/>
    </row>
    <row r="8295" spans="2:3">
      <c r="B8295" s="12"/>
      <c r="C8295" s="12"/>
    </row>
    <row r="8296" spans="2:3">
      <c r="B8296" s="12"/>
      <c r="C8296" s="12"/>
    </row>
    <row r="8297" spans="2:3">
      <c r="B8297" s="12"/>
      <c r="C8297" s="12"/>
    </row>
    <row r="8298" spans="2:3">
      <c r="B8298" s="12"/>
      <c r="C8298" s="12"/>
    </row>
    <row r="8299" spans="2:3">
      <c r="B8299" s="12"/>
      <c r="C8299" s="12"/>
    </row>
    <row r="8300" spans="2:3">
      <c r="B8300" s="12"/>
      <c r="C8300" s="12"/>
    </row>
    <row r="8301" spans="2:3">
      <c r="B8301" s="12"/>
      <c r="C8301" s="12"/>
    </row>
    <row r="8302" spans="2:3">
      <c r="B8302" s="12"/>
      <c r="C8302" s="12"/>
    </row>
    <row r="8303" spans="2:3">
      <c r="B8303" s="12"/>
      <c r="C8303" s="12"/>
    </row>
    <row r="8304" spans="2:3">
      <c r="B8304" s="12"/>
      <c r="C8304" s="12"/>
    </row>
    <row r="8305" spans="2:3">
      <c r="B8305" s="12"/>
      <c r="C8305" s="12"/>
    </row>
    <row r="8306" spans="2:3">
      <c r="B8306" s="12"/>
      <c r="C8306" s="12"/>
    </row>
    <row r="8307" spans="2:3">
      <c r="B8307" s="12"/>
      <c r="C8307" s="12"/>
    </row>
    <row r="8308" spans="2:3">
      <c r="B8308" s="12"/>
      <c r="C8308" s="12"/>
    </row>
    <row r="8309" spans="2:3">
      <c r="B8309" s="12"/>
      <c r="C8309" s="12"/>
    </row>
    <row r="8310" spans="2:3">
      <c r="B8310" s="12"/>
      <c r="C8310" s="12"/>
    </row>
    <row r="8311" spans="2:3">
      <c r="B8311" s="12"/>
      <c r="C8311" s="12"/>
    </row>
    <row r="8312" spans="2:3">
      <c r="B8312" s="12"/>
      <c r="C8312" s="12"/>
    </row>
    <row r="8313" spans="2:3">
      <c r="B8313" s="12"/>
      <c r="C8313" s="12"/>
    </row>
    <row r="8314" spans="2:3">
      <c r="B8314" s="12"/>
      <c r="C8314" s="12"/>
    </row>
    <row r="8315" spans="2:3">
      <c r="B8315" s="12"/>
      <c r="C8315" s="12"/>
    </row>
    <row r="8316" spans="2:3">
      <c r="B8316" s="12"/>
      <c r="C8316" s="12"/>
    </row>
    <row r="8317" spans="2:3">
      <c r="B8317" s="12"/>
      <c r="C8317" s="12"/>
    </row>
    <row r="8318" spans="2:3">
      <c r="B8318" s="12"/>
      <c r="C8318" s="12"/>
    </row>
    <row r="8319" spans="2:3">
      <c r="B8319" s="12"/>
      <c r="C8319" s="12"/>
    </row>
    <row r="8320" spans="2:3">
      <c r="B8320" s="12"/>
      <c r="C8320" s="12"/>
    </row>
    <row r="8321" spans="2:3">
      <c r="B8321" s="12"/>
      <c r="C8321" s="12"/>
    </row>
    <row r="8322" spans="2:3">
      <c r="B8322" s="12"/>
      <c r="C8322" s="12"/>
    </row>
    <row r="8323" spans="2:3">
      <c r="B8323" s="12"/>
      <c r="C8323" s="12"/>
    </row>
    <row r="8324" spans="2:3">
      <c r="B8324" s="12"/>
      <c r="C8324" s="12"/>
    </row>
    <row r="8325" spans="2:3">
      <c r="B8325" s="12"/>
      <c r="C8325" s="12"/>
    </row>
    <row r="8326" spans="2:3">
      <c r="B8326" s="12"/>
      <c r="C8326" s="12"/>
    </row>
    <row r="8327" spans="2:3">
      <c r="B8327" s="12"/>
      <c r="C8327" s="12"/>
    </row>
    <row r="8328" spans="2:3">
      <c r="B8328" s="12"/>
      <c r="C8328" s="12"/>
    </row>
    <row r="8329" spans="2:3">
      <c r="B8329" s="12"/>
      <c r="C8329" s="12"/>
    </row>
    <row r="8330" spans="2:3">
      <c r="B8330" s="12"/>
      <c r="C8330" s="12"/>
    </row>
    <row r="8331" spans="2:3">
      <c r="B8331" s="12"/>
      <c r="C8331" s="12"/>
    </row>
    <row r="8332" spans="2:3">
      <c r="B8332" s="12"/>
      <c r="C8332" s="12"/>
    </row>
    <row r="8333" spans="2:3">
      <c r="B8333" s="12"/>
      <c r="C8333" s="12"/>
    </row>
    <row r="8334" spans="2:3">
      <c r="B8334" s="12"/>
      <c r="C8334" s="12"/>
    </row>
    <row r="8335" spans="2:3">
      <c r="B8335" s="12"/>
      <c r="C8335" s="12"/>
    </row>
    <row r="8336" spans="2:3">
      <c r="B8336" s="12"/>
      <c r="C8336" s="12"/>
    </row>
    <row r="8337" spans="2:3">
      <c r="B8337" s="12"/>
      <c r="C8337" s="12"/>
    </row>
    <row r="8338" spans="2:3">
      <c r="B8338" s="12"/>
      <c r="C8338" s="12"/>
    </row>
    <row r="8339" spans="2:3">
      <c r="B8339" s="12"/>
      <c r="C8339" s="12"/>
    </row>
    <row r="8340" spans="2:3">
      <c r="B8340" s="12"/>
      <c r="C8340" s="12"/>
    </row>
    <row r="8341" spans="2:3">
      <c r="B8341" s="12"/>
      <c r="C8341" s="12"/>
    </row>
    <row r="8342" spans="2:3">
      <c r="B8342" s="12"/>
      <c r="C8342" s="12"/>
    </row>
    <row r="8343" spans="2:3">
      <c r="B8343" s="12"/>
      <c r="C8343" s="12"/>
    </row>
    <row r="8344" spans="2:3">
      <c r="B8344" s="12"/>
      <c r="C8344" s="12"/>
    </row>
    <row r="8345" spans="2:3">
      <c r="B8345" s="12"/>
      <c r="C8345" s="12"/>
    </row>
    <row r="8346" spans="2:3">
      <c r="B8346" s="12"/>
      <c r="C8346" s="12"/>
    </row>
    <row r="8347" spans="2:3">
      <c r="B8347" s="12"/>
      <c r="C8347" s="12"/>
    </row>
    <row r="8348" spans="2:3">
      <c r="B8348" s="12"/>
      <c r="C8348" s="12"/>
    </row>
    <row r="8349" spans="2:3">
      <c r="B8349" s="12"/>
      <c r="C8349" s="12"/>
    </row>
    <row r="8350" spans="2:3">
      <c r="B8350" s="12"/>
      <c r="C8350" s="12"/>
    </row>
    <row r="8351" spans="2:3">
      <c r="B8351" s="12"/>
      <c r="C8351" s="12"/>
    </row>
    <row r="8352" spans="2:3">
      <c r="B8352" s="12"/>
      <c r="C8352" s="12"/>
    </row>
    <row r="8353" spans="2:3">
      <c r="B8353" s="12"/>
      <c r="C8353" s="12"/>
    </row>
    <row r="8354" spans="2:3">
      <c r="B8354" s="12"/>
      <c r="C8354" s="12"/>
    </row>
    <row r="8355" spans="2:3">
      <c r="B8355" s="12"/>
      <c r="C8355" s="12"/>
    </row>
    <row r="8356" spans="2:3">
      <c r="B8356" s="12"/>
      <c r="C8356" s="12"/>
    </row>
    <row r="8357" spans="2:3">
      <c r="B8357" s="12"/>
      <c r="C8357" s="12"/>
    </row>
    <row r="8358" spans="2:3">
      <c r="B8358" s="12"/>
      <c r="C8358" s="12"/>
    </row>
    <row r="8359" spans="2:3">
      <c r="B8359" s="12"/>
      <c r="C8359" s="12"/>
    </row>
    <row r="8360" spans="2:3">
      <c r="B8360" s="12"/>
      <c r="C8360" s="12"/>
    </row>
    <row r="8361" spans="2:3">
      <c r="B8361" s="12"/>
      <c r="C8361" s="12"/>
    </row>
    <row r="8362" spans="2:3">
      <c r="B8362" s="12"/>
      <c r="C8362" s="12"/>
    </row>
    <row r="8363" spans="2:3">
      <c r="B8363" s="12"/>
      <c r="C8363" s="12"/>
    </row>
    <row r="8364" spans="2:3">
      <c r="B8364" s="12"/>
      <c r="C8364" s="12"/>
    </row>
    <row r="8365" spans="2:3">
      <c r="B8365" s="12"/>
      <c r="C8365" s="12"/>
    </row>
    <row r="8366" spans="2:3">
      <c r="B8366" s="12"/>
      <c r="C8366" s="12"/>
    </row>
    <row r="8367" spans="2:3">
      <c r="B8367" s="12"/>
      <c r="C8367" s="12"/>
    </row>
    <row r="8368" spans="2:3">
      <c r="B8368" s="12"/>
      <c r="C8368" s="12"/>
    </row>
    <row r="8369" spans="2:3">
      <c r="B8369" s="12"/>
      <c r="C8369" s="12"/>
    </row>
    <row r="8370" spans="2:3">
      <c r="B8370" s="12"/>
      <c r="C8370" s="12"/>
    </row>
    <row r="8371" spans="2:3">
      <c r="B8371" s="12"/>
      <c r="C8371" s="12"/>
    </row>
    <row r="8372" spans="2:3">
      <c r="B8372" s="12"/>
      <c r="C8372" s="12"/>
    </row>
    <row r="8373" spans="2:3">
      <c r="B8373" s="12"/>
      <c r="C8373" s="12"/>
    </row>
    <row r="8374" spans="2:3">
      <c r="B8374" s="12"/>
      <c r="C8374" s="12"/>
    </row>
    <row r="8375" spans="2:3">
      <c r="B8375" s="12"/>
      <c r="C8375" s="12"/>
    </row>
    <row r="8376" spans="2:3">
      <c r="B8376" s="12"/>
      <c r="C8376" s="12"/>
    </row>
    <row r="8377" spans="2:3">
      <c r="B8377" s="12"/>
      <c r="C8377" s="12"/>
    </row>
    <row r="8378" spans="2:3">
      <c r="B8378" s="12"/>
      <c r="C8378" s="12"/>
    </row>
    <row r="8379" spans="2:3">
      <c r="B8379" s="12"/>
      <c r="C8379" s="12"/>
    </row>
    <row r="8380" spans="2:3">
      <c r="B8380" s="12"/>
      <c r="C8380" s="12"/>
    </row>
    <row r="8381" spans="2:3">
      <c r="B8381" s="12"/>
      <c r="C8381" s="12"/>
    </row>
    <row r="8382" spans="2:3">
      <c r="B8382" s="12"/>
      <c r="C8382" s="12"/>
    </row>
    <row r="8383" spans="2:3">
      <c r="B8383" s="12"/>
      <c r="C8383" s="12"/>
    </row>
    <row r="8384" spans="2:3">
      <c r="B8384" s="12"/>
      <c r="C8384" s="12"/>
    </row>
    <row r="8385" spans="2:3">
      <c r="B8385" s="12"/>
      <c r="C8385" s="12"/>
    </row>
    <row r="8386" spans="2:3">
      <c r="B8386" s="12"/>
      <c r="C8386" s="12"/>
    </row>
    <row r="8387" spans="2:3">
      <c r="B8387" s="12"/>
      <c r="C8387" s="12"/>
    </row>
    <row r="8388" spans="2:3">
      <c r="B8388" s="12"/>
      <c r="C8388" s="12"/>
    </row>
    <row r="8389" spans="2:3">
      <c r="B8389" s="12"/>
      <c r="C8389" s="12"/>
    </row>
    <row r="8390" spans="2:3">
      <c r="B8390" s="12"/>
      <c r="C8390" s="12"/>
    </row>
    <row r="8391" spans="2:3">
      <c r="B8391" s="12"/>
      <c r="C8391" s="12"/>
    </row>
    <row r="8392" spans="2:3">
      <c r="B8392" s="12"/>
      <c r="C8392" s="12"/>
    </row>
    <row r="8393" spans="2:3">
      <c r="B8393" s="12"/>
      <c r="C8393" s="12"/>
    </row>
    <row r="8394" spans="2:3">
      <c r="B8394" s="12"/>
      <c r="C8394" s="12"/>
    </row>
    <row r="8395" spans="2:3">
      <c r="B8395" s="12"/>
      <c r="C8395" s="12"/>
    </row>
    <row r="8396" spans="2:3">
      <c r="B8396" s="12"/>
      <c r="C8396" s="12"/>
    </row>
    <row r="8397" spans="2:3">
      <c r="B8397" s="12"/>
      <c r="C8397" s="12"/>
    </row>
    <row r="8398" spans="2:3">
      <c r="B8398" s="12"/>
      <c r="C8398" s="12"/>
    </row>
    <row r="8399" spans="2:3">
      <c r="B8399" s="12"/>
      <c r="C8399" s="12"/>
    </row>
    <row r="8400" spans="2:3">
      <c r="B8400" s="12"/>
      <c r="C8400" s="12"/>
    </row>
    <row r="8401" spans="2:3">
      <c r="B8401" s="12"/>
      <c r="C8401" s="12"/>
    </row>
    <row r="8402" spans="2:3">
      <c r="B8402" s="12"/>
      <c r="C8402" s="12"/>
    </row>
    <row r="8403" spans="2:3">
      <c r="B8403" s="12"/>
      <c r="C8403" s="12"/>
    </row>
    <row r="8404" spans="2:3">
      <c r="B8404" s="12"/>
      <c r="C8404" s="12"/>
    </row>
    <row r="8405" spans="2:3">
      <c r="B8405" s="12"/>
      <c r="C8405" s="12"/>
    </row>
    <row r="8406" spans="2:3">
      <c r="B8406" s="12"/>
      <c r="C8406" s="12"/>
    </row>
    <row r="8407" spans="2:3">
      <c r="B8407" s="12"/>
      <c r="C8407" s="12"/>
    </row>
    <row r="8408" spans="2:3">
      <c r="B8408" s="12"/>
      <c r="C8408" s="12"/>
    </row>
    <row r="8409" spans="2:3">
      <c r="B8409" s="12"/>
      <c r="C8409" s="12"/>
    </row>
    <row r="8410" spans="2:3">
      <c r="B8410" s="12"/>
      <c r="C8410" s="12"/>
    </row>
    <row r="8411" spans="2:3">
      <c r="B8411" s="12"/>
      <c r="C8411" s="12"/>
    </row>
    <row r="8412" spans="2:3">
      <c r="B8412" s="12"/>
      <c r="C8412" s="12"/>
    </row>
    <row r="8413" spans="2:3">
      <c r="B8413" s="12"/>
      <c r="C8413" s="12"/>
    </row>
    <row r="8414" spans="2:3">
      <c r="B8414" s="12"/>
      <c r="C8414" s="12"/>
    </row>
    <row r="8415" spans="2:3">
      <c r="B8415" s="12"/>
      <c r="C8415" s="12"/>
    </row>
    <row r="8416" spans="2:3">
      <c r="B8416" s="12"/>
      <c r="C8416" s="12"/>
    </row>
    <row r="8417" spans="2:3">
      <c r="B8417" s="12"/>
      <c r="C8417" s="12"/>
    </row>
    <row r="8418" spans="2:3">
      <c r="B8418" s="12"/>
      <c r="C8418" s="12"/>
    </row>
    <row r="8419" spans="2:3">
      <c r="B8419" s="12"/>
      <c r="C8419" s="12"/>
    </row>
    <row r="8420" spans="2:3">
      <c r="B8420" s="12"/>
      <c r="C8420" s="12"/>
    </row>
    <row r="8421" spans="2:3">
      <c r="B8421" s="12"/>
      <c r="C8421" s="12"/>
    </row>
    <row r="8422" spans="2:3">
      <c r="B8422" s="12"/>
      <c r="C8422" s="12"/>
    </row>
    <row r="8423" spans="2:3">
      <c r="B8423" s="12"/>
      <c r="C8423" s="12"/>
    </row>
    <row r="8424" spans="2:3">
      <c r="B8424" s="12"/>
      <c r="C8424" s="12"/>
    </row>
    <row r="8425" spans="2:3">
      <c r="B8425" s="12"/>
      <c r="C8425" s="12"/>
    </row>
    <row r="8426" spans="2:3">
      <c r="B8426" s="12"/>
      <c r="C8426" s="12"/>
    </row>
    <row r="8427" spans="2:3">
      <c r="B8427" s="12"/>
      <c r="C8427" s="12"/>
    </row>
    <row r="8428" spans="2:3">
      <c r="B8428" s="12"/>
      <c r="C8428" s="12"/>
    </row>
    <row r="8429" spans="2:3">
      <c r="B8429" s="12"/>
      <c r="C8429" s="12"/>
    </row>
    <row r="8430" spans="2:3">
      <c r="B8430" s="12"/>
      <c r="C8430" s="12"/>
    </row>
    <row r="8431" spans="2:3">
      <c r="B8431" s="12"/>
      <c r="C8431" s="12"/>
    </row>
    <row r="8432" spans="2:3">
      <c r="B8432" s="12"/>
      <c r="C8432" s="12"/>
    </row>
    <row r="8433" spans="2:3">
      <c r="B8433" s="12"/>
      <c r="C8433" s="12"/>
    </row>
    <row r="8434" spans="2:3">
      <c r="B8434" s="12"/>
      <c r="C8434" s="12"/>
    </row>
    <row r="8435" spans="2:3">
      <c r="B8435" s="12"/>
      <c r="C8435" s="12"/>
    </row>
    <row r="8436" spans="2:3">
      <c r="B8436" s="12"/>
      <c r="C8436" s="12"/>
    </row>
    <row r="8437" spans="2:3">
      <c r="B8437" s="12"/>
      <c r="C8437" s="12"/>
    </row>
    <row r="8438" spans="2:3">
      <c r="B8438" s="12"/>
      <c r="C8438" s="12"/>
    </row>
    <row r="8439" spans="2:3">
      <c r="B8439" s="12"/>
      <c r="C8439" s="12"/>
    </row>
    <row r="8440" spans="2:3">
      <c r="B8440" s="12"/>
      <c r="C8440" s="12"/>
    </row>
    <row r="8441" spans="2:3">
      <c r="B8441" s="12"/>
      <c r="C8441" s="12"/>
    </row>
    <row r="8442" spans="2:3">
      <c r="B8442" s="12"/>
      <c r="C8442" s="12"/>
    </row>
    <row r="8443" spans="2:3">
      <c r="B8443" s="12"/>
      <c r="C8443" s="12"/>
    </row>
    <row r="8444" spans="2:3">
      <c r="B8444" s="12"/>
      <c r="C8444" s="12"/>
    </row>
    <row r="8445" spans="2:3">
      <c r="B8445" s="12"/>
      <c r="C8445" s="12"/>
    </row>
    <row r="8446" spans="2:3">
      <c r="B8446" s="12"/>
      <c r="C8446" s="12"/>
    </row>
    <row r="8447" spans="2:3">
      <c r="B8447" s="12"/>
      <c r="C8447" s="12"/>
    </row>
    <row r="8448" spans="2:3">
      <c r="B8448" s="12"/>
      <c r="C8448" s="12"/>
    </row>
    <row r="8449" spans="2:3">
      <c r="B8449" s="12"/>
      <c r="C8449" s="12"/>
    </row>
    <row r="8450" spans="2:3">
      <c r="B8450" s="12"/>
      <c r="C8450" s="12"/>
    </row>
    <row r="8451" spans="2:3">
      <c r="B8451" s="12"/>
      <c r="C8451" s="12"/>
    </row>
    <row r="8452" spans="2:3">
      <c r="B8452" s="12"/>
      <c r="C8452" s="12"/>
    </row>
    <row r="8453" spans="2:3">
      <c r="B8453" s="12"/>
      <c r="C8453" s="12"/>
    </row>
    <row r="8454" spans="2:3">
      <c r="B8454" s="12"/>
      <c r="C8454" s="12"/>
    </row>
    <row r="8455" spans="2:3">
      <c r="B8455" s="12"/>
      <c r="C8455" s="12"/>
    </row>
    <row r="8456" spans="2:3">
      <c r="B8456" s="12"/>
      <c r="C8456" s="12"/>
    </row>
    <row r="8457" spans="2:3">
      <c r="B8457" s="12"/>
      <c r="C8457" s="12"/>
    </row>
    <row r="8458" spans="2:3">
      <c r="B8458" s="12"/>
      <c r="C8458" s="12"/>
    </row>
    <row r="8459" spans="2:3">
      <c r="B8459" s="12"/>
      <c r="C8459" s="12"/>
    </row>
    <row r="8460" spans="2:3">
      <c r="B8460" s="12"/>
      <c r="C8460" s="12"/>
    </row>
    <row r="8461" spans="2:3">
      <c r="B8461" s="12"/>
      <c r="C8461" s="12"/>
    </row>
    <row r="8462" spans="2:3">
      <c r="B8462" s="12"/>
      <c r="C8462" s="12"/>
    </row>
    <row r="8463" spans="2:3">
      <c r="B8463" s="12"/>
      <c r="C8463" s="12"/>
    </row>
    <row r="8464" spans="2:3">
      <c r="B8464" s="12"/>
      <c r="C8464" s="12"/>
    </row>
    <row r="8465" spans="2:3">
      <c r="B8465" s="12"/>
      <c r="C8465" s="12"/>
    </row>
    <row r="8466" spans="2:3">
      <c r="B8466" s="12"/>
      <c r="C8466" s="12"/>
    </row>
    <row r="8467" spans="2:3">
      <c r="B8467" s="12"/>
      <c r="C8467" s="12"/>
    </row>
    <row r="8468" spans="2:3">
      <c r="B8468" s="12"/>
      <c r="C8468" s="12"/>
    </row>
    <row r="8469" spans="2:3">
      <c r="B8469" s="12"/>
      <c r="C8469" s="12"/>
    </row>
    <row r="8470" spans="2:3">
      <c r="B8470" s="12"/>
      <c r="C8470" s="12"/>
    </row>
    <row r="8471" spans="2:3">
      <c r="B8471" s="12"/>
      <c r="C8471" s="12"/>
    </row>
    <row r="8472" spans="2:3">
      <c r="B8472" s="12"/>
      <c r="C8472" s="12"/>
    </row>
    <row r="8473" spans="2:3">
      <c r="B8473" s="12"/>
      <c r="C8473" s="12"/>
    </row>
    <row r="8474" spans="2:3">
      <c r="B8474" s="12"/>
      <c r="C8474" s="12"/>
    </row>
    <row r="8475" spans="2:3">
      <c r="B8475" s="12"/>
      <c r="C8475" s="12"/>
    </row>
    <row r="8476" spans="2:3">
      <c r="B8476" s="12"/>
      <c r="C8476" s="12"/>
    </row>
    <row r="8477" spans="2:3">
      <c r="B8477" s="12"/>
      <c r="C8477" s="12"/>
    </row>
    <row r="8478" spans="2:3">
      <c r="B8478" s="12"/>
      <c r="C8478" s="12"/>
    </row>
    <row r="8479" spans="2:3">
      <c r="B8479" s="12"/>
      <c r="C8479" s="12"/>
    </row>
    <row r="8480" spans="2:3">
      <c r="B8480" s="12"/>
      <c r="C8480" s="12"/>
    </row>
    <row r="8481" spans="2:3">
      <c r="B8481" s="12"/>
      <c r="C8481" s="12"/>
    </row>
    <row r="8482" spans="2:3">
      <c r="B8482" s="12"/>
      <c r="C8482" s="12"/>
    </row>
    <row r="8483" spans="2:3">
      <c r="B8483" s="12"/>
      <c r="C8483" s="12"/>
    </row>
    <row r="8484" spans="2:3">
      <c r="B8484" s="12"/>
      <c r="C8484" s="12"/>
    </row>
    <row r="8485" spans="2:3">
      <c r="B8485" s="12"/>
      <c r="C8485" s="12"/>
    </row>
    <row r="8486" spans="2:3">
      <c r="B8486" s="12"/>
      <c r="C8486" s="12"/>
    </row>
    <row r="8487" spans="2:3">
      <c r="B8487" s="12"/>
      <c r="C8487" s="12"/>
    </row>
    <row r="8488" spans="2:3">
      <c r="B8488" s="12"/>
      <c r="C8488" s="12"/>
    </row>
    <row r="8489" spans="2:3">
      <c r="B8489" s="12"/>
      <c r="C8489" s="12"/>
    </row>
    <row r="8490" spans="2:3">
      <c r="B8490" s="12"/>
      <c r="C8490" s="12"/>
    </row>
    <row r="8491" spans="2:3">
      <c r="B8491" s="12"/>
      <c r="C8491" s="12"/>
    </row>
    <row r="8492" spans="2:3">
      <c r="B8492" s="12"/>
      <c r="C8492" s="12"/>
    </row>
    <row r="8493" spans="2:3">
      <c r="B8493" s="12"/>
      <c r="C8493" s="12"/>
    </row>
    <row r="8494" spans="2:3">
      <c r="B8494" s="12"/>
      <c r="C8494" s="12"/>
    </row>
    <row r="8495" spans="2:3">
      <c r="B8495" s="12"/>
      <c r="C8495" s="12"/>
    </row>
    <row r="8496" spans="2:3">
      <c r="B8496" s="12"/>
      <c r="C8496" s="12"/>
    </row>
    <row r="8497" spans="2:3">
      <c r="B8497" s="12"/>
      <c r="C8497" s="12"/>
    </row>
    <row r="8498" spans="2:3">
      <c r="B8498" s="12"/>
      <c r="C8498" s="12"/>
    </row>
    <row r="8499" spans="2:3">
      <c r="B8499" s="12"/>
      <c r="C8499" s="12"/>
    </row>
    <row r="8500" spans="2:3">
      <c r="B8500" s="12"/>
      <c r="C8500" s="12"/>
    </row>
    <row r="8501" spans="2:3">
      <c r="B8501" s="12"/>
      <c r="C8501" s="12"/>
    </row>
    <row r="8502" spans="2:3">
      <c r="B8502" s="12"/>
      <c r="C8502" s="12"/>
    </row>
    <row r="8503" spans="2:3">
      <c r="B8503" s="12"/>
      <c r="C8503" s="12"/>
    </row>
    <row r="8504" spans="2:3">
      <c r="B8504" s="12"/>
      <c r="C8504" s="12"/>
    </row>
    <row r="8505" spans="2:3">
      <c r="B8505" s="12"/>
      <c r="C8505" s="12"/>
    </row>
    <row r="8506" spans="2:3">
      <c r="B8506" s="12"/>
      <c r="C8506" s="12"/>
    </row>
    <row r="8507" spans="2:3">
      <c r="B8507" s="12"/>
      <c r="C8507" s="12"/>
    </row>
    <row r="8508" spans="2:3">
      <c r="B8508" s="12"/>
      <c r="C8508" s="12"/>
    </row>
    <row r="8509" spans="2:3">
      <c r="B8509" s="12"/>
      <c r="C8509" s="12"/>
    </row>
    <row r="8510" spans="2:3">
      <c r="B8510" s="12"/>
      <c r="C8510" s="12"/>
    </row>
    <row r="8511" spans="2:3">
      <c r="B8511" s="12"/>
      <c r="C8511" s="12"/>
    </row>
    <row r="8512" spans="2:3">
      <c r="B8512" s="12"/>
      <c r="C8512" s="12"/>
    </row>
    <row r="8513" spans="2:3">
      <c r="B8513" s="12"/>
      <c r="C8513" s="12"/>
    </row>
    <row r="8514" spans="2:3">
      <c r="B8514" s="12"/>
      <c r="C8514" s="12"/>
    </row>
    <row r="8515" spans="2:3">
      <c r="B8515" s="12"/>
      <c r="C8515" s="12"/>
    </row>
    <row r="8516" spans="2:3">
      <c r="B8516" s="12"/>
      <c r="C8516" s="12"/>
    </row>
    <row r="8517" spans="2:3">
      <c r="B8517" s="12"/>
      <c r="C8517" s="12"/>
    </row>
    <row r="8518" spans="2:3">
      <c r="B8518" s="12"/>
      <c r="C8518" s="12"/>
    </row>
    <row r="8519" spans="2:3">
      <c r="B8519" s="12"/>
      <c r="C8519" s="12"/>
    </row>
    <row r="8520" spans="2:3">
      <c r="B8520" s="12"/>
      <c r="C8520" s="12"/>
    </row>
    <row r="8521" spans="2:3">
      <c r="B8521" s="12"/>
      <c r="C8521" s="12"/>
    </row>
    <row r="8522" spans="2:3">
      <c r="B8522" s="12"/>
      <c r="C8522" s="12"/>
    </row>
    <row r="8523" spans="2:3">
      <c r="B8523" s="12"/>
      <c r="C8523" s="12"/>
    </row>
    <row r="8524" spans="2:3">
      <c r="B8524" s="12"/>
      <c r="C8524" s="12"/>
    </row>
    <row r="8525" spans="2:3">
      <c r="B8525" s="12"/>
      <c r="C8525" s="12"/>
    </row>
    <row r="8526" spans="2:3">
      <c r="B8526" s="12"/>
      <c r="C8526" s="12"/>
    </row>
    <row r="8527" spans="2:3">
      <c r="B8527" s="12"/>
      <c r="C8527" s="12"/>
    </row>
    <row r="8528" spans="2:3">
      <c r="B8528" s="12"/>
      <c r="C8528" s="12"/>
    </row>
    <row r="8529" spans="2:3">
      <c r="B8529" s="12"/>
      <c r="C8529" s="12"/>
    </row>
    <row r="8530" spans="2:3">
      <c r="B8530" s="12"/>
      <c r="C8530" s="12"/>
    </row>
    <row r="8531" spans="2:3">
      <c r="B8531" s="12"/>
      <c r="C8531" s="12"/>
    </row>
    <row r="8532" spans="2:3">
      <c r="B8532" s="12"/>
      <c r="C8532" s="12"/>
    </row>
    <row r="8533" spans="2:3">
      <c r="B8533" s="12"/>
      <c r="C8533" s="12"/>
    </row>
    <row r="8534" spans="2:3">
      <c r="B8534" s="12"/>
      <c r="C8534" s="12"/>
    </row>
    <row r="8535" spans="2:3">
      <c r="B8535" s="12"/>
      <c r="C8535" s="12"/>
    </row>
    <row r="8536" spans="2:3">
      <c r="B8536" s="12"/>
      <c r="C8536" s="12"/>
    </row>
    <row r="8537" spans="2:3">
      <c r="B8537" s="12"/>
      <c r="C8537" s="12"/>
    </row>
    <row r="8538" spans="2:3">
      <c r="B8538" s="12"/>
      <c r="C8538" s="12"/>
    </row>
    <row r="8539" spans="2:3">
      <c r="B8539" s="12"/>
      <c r="C8539" s="12"/>
    </row>
    <row r="8540" spans="2:3">
      <c r="B8540" s="12"/>
      <c r="C8540" s="12"/>
    </row>
    <row r="8541" spans="2:3">
      <c r="B8541" s="12"/>
      <c r="C8541" s="12"/>
    </row>
    <row r="8542" spans="2:3">
      <c r="B8542" s="12"/>
      <c r="C8542" s="12"/>
    </row>
    <row r="8543" spans="2:3">
      <c r="B8543" s="12"/>
      <c r="C8543" s="12"/>
    </row>
    <row r="8544" spans="2:3">
      <c r="B8544" s="12"/>
      <c r="C8544" s="12"/>
    </row>
    <row r="8545" spans="2:3">
      <c r="B8545" s="12"/>
      <c r="C8545" s="12"/>
    </row>
    <row r="8546" spans="2:3">
      <c r="B8546" s="12"/>
      <c r="C8546" s="12"/>
    </row>
    <row r="8547" spans="2:3">
      <c r="B8547" s="12"/>
      <c r="C8547" s="12"/>
    </row>
    <row r="8548" spans="2:3">
      <c r="B8548" s="12"/>
      <c r="C8548" s="12"/>
    </row>
    <row r="8549" spans="2:3">
      <c r="B8549" s="12"/>
      <c r="C8549" s="12"/>
    </row>
    <row r="8550" spans="2:3">
      <c r="B8550" s="12"/>
      <c r="C8550" s="12"/>
    </row>
    <row r="8551" spans="2:3">
      <c r="B8551" s="12"/>
      <c r="C8551" s="12"/>
    </row>
    <row r="8552" spans="2:3">
      <c r="B8552" s="12"/>
      <c r="C8552" s="12"/>
    </row>
    <row r="8553" spans="2:3">
      <c r="B8553" s="12"/>
      <c r="C8553" s="12"/>
    </row>
    <row r="8554" spans="2:3">
      <c r="B8554" s="12"/>
      <c r="C8554" s="12"/>
    </row>
    <row r="8555" spans="2:3">
      <c r="B8555" s="12"/>
      <c r="C8555" s="12"/>
    </row>
    <row r="8556" spans="2:3">
      <c r="B8556" s="12"/>
      <c r="C8556" s="12"/>
    </row>
    <row r="8557" spans="2:3">
      <c r="B8557" s="12"/>
      <c r="C8557" s="12"/>
    </row>
    <row r="8558" spans="2:3">
      <c r="B8558" s="12"/>
      <c r="C8558" s="12"/>
    </row>
    <row r="8559" spans="2:3">
      <c r="B8559" s="12"/>
      <c r="C8559" s="12"/>
    </row>
    <row r="8560" spans="2:3">
      <c r="B8560" s="12"/>
      <c r="C8560" s="12"/>
    </row>
    <row r="8561" spans="2:3">
      <c r="B8561" s="12"/>
      <c r="C8561" s="12"/>
    </row>
    <row r="8562" spans="2:3">
      <c r="B8562" s="12"/>
      <c r="C8562" s="12"/>
    </row>
    <row r="8563" spans="2:3">
      <c r="B8563" s="12"/>
      <c r="C8563" s="12"/>
    </row>
    <row r="8564" spans="2:3">
      <c r="B8564" s="12"/>
      <c r="C8564" s="12"/>
    </row>
    <row r="8565" spans="2:3">
      <c r="B8565" s="12"/>
      <c r="C8565" s="12"/>
    </row>
    <row r="8566" spans="2:3">
      <c r="B8566" s="12"/>
      <c r="C8566" s="12"/>
    </row>
    <row r="8567" spans="2:3">
      <c r="B8567" s="12"/>
      <c r="C8567" s="12"/>
    </row>
    <row r="8568" spans="2:3">
      <c r="B8568" s="12"/>
      <c r="C8568" s="12"/>
    </row>
    <row r="8569" spans="2:3">
      <c r="B8569" s="12"/>
      <c r="C8569" s="12"/>
    </row>
    <row r="8570" spans="2:3">
      <c r="B8570" s="12"/>
      <c r="C8570" s="12"/>
    </row>
    <row r="8571" spans="2:3">
      <c r="B8571" s="12"/>
      <c r="C8571" s="12"/>
    </row>
    <row r="8572" spans="2:3">
      <c r="B8572" s="12"/>
      <c r="C8572" s="12"/>
    </row>
    <row r="8573" spans="2:3">
      <c r="B8573" s="12"/>
      <c r="C8573" s="12"/>
    </row>
    <row r="8574" spans="2:3">
      <c r="B8574" s="12"/>
      <c r="C8574" s="12"/>
    </row>
    <row r="8575" spans="2:3">
      <c r="B8575" s="12"/>
      <c r="C8575" s="12"/>
    </row>
    <row r="8576" spans="2:3">
      <c r="B8576" s="12"/>
      <c r="C8576" s="12"/>
    </row>
    <row r="8577" spans="2:3">
      <c r="B8577" s="12"/>
      <c r="C8577" s="12"/>
    </row>
    <row r="8578" spans="2:3">
      <c r="B8578" s="12"/>
      <c r="C8578" s="12"/>
    </row>
    <row r="8579" spans="2:3">
      <c r="B8579" s="12"/>
      <c r="C8579" s="12"/>
    </row>
    <row r="8580" spans="2:3">
      <c r="B8580" s="12"/>
      <c r="C8580" s="12"/>
    </row>
    <row r="8581" spans="2:3">
      <c r="B8581" s="12"/>
      <c r="C8581" s="12"/>
    </row>
    <row r="8582" spans="2:3">
      <c r="B8582" s="12"/>
      <c r="C8582" s="12"/>
    </row>
    <row r="8583" spans="2:3">
      <c r="B8583" s="12"/>
      <c r="C8583" s="12"/>
    </row>
    <row r="8584" spans="2:3">
      <c r="B8584" s="12"/>
      <c r="C8584" s="12"/>
    </row>
    <row r="8585" spans="2:3">
      <c r="B8585" s="12"/>
      <c r="C8585" s="12"/>
    </row>
    <row r="8586" spans="2:3">
      <c r="B8586" s="12"/>
      <c r="C8586" s="12"/>
    </row>
    <row r="8587" spans="2:3">
      <c r="B8587" s="12"/>
      <c r="C8587" s="12"/>
    </row>
    <row r="8588" spans="2:3">
      <c r="B8588" s="12"/>
      <c r="C8588" s="12"/>
    </row>
    <row r="8589" spans="2:3">
      <c r="B8589" s="12"/>
      <c r="C8589" s="12"/>
    </row>
    <row r="8590" spans="2:3">
      <c r="B8590" s="12"/>
      <c r="C8590" s="12"/>
    </row>
    <row r="8591" spans="2:3">
      <c r="B8591" s="12"/>
      <c r="C8591" s="12"/>
    </row>
    <row r="8592" spans="2:3">
      <c r="B8592" s="12"/>
      <c r="C8592" s="12"/>
    </row>
    <row r="8593" spans="2:3">
      <c r="B8593" s="12"/>
      <c r="C8593" s="12"/>
    </row>
    <row r="8594" spans="2:3">
      <c r="B8594" s="12"/>
      <c r="C8594" s="12"/>
    </row>
    <row r="8595" spans="2:3">
      <c r="B8595" s="12"/>
      <c r="C8595" s="12"/>
    </row>
    <row r="8596" spans="2:3">
      <c r="B8596" s="12"/>
      <c r="C8596" s="12"/>
    </row>
    <row r="8597" spans="2:3">
      <c r="B8597" s="12"/>
      <c r="C8597" s="12"/>
    </row>
    <row r="8598" spans="2:3">
      <c r="B8598" s="12"/>
      <c r="C8598" s="12"/>
    </row>
    <row r="8599" spans="2:3">
      <c r="B8599" s="12"/>
      <c r="C8599" s="12"/>
    </row>
    <row r="8600" spans="2:3">
      <c r="B8600" s="12"/>
      <c r="C8600" s="12"/>
    </row>
    <row r="8601" spans="2:3">
      <c r="B8601" s="12"/>
      <c r="C8601" s="12"/>
    </row>
    <row r="8602" spans="2:3">
      <c r="B8602" s="12"/>
      <c r="C8602" s="12"/>
    </row>
    <row r="8603" spans="2:3">
      <c r="B8603" s="12"/>
      <c r="C8603" s="12"/>
    </row>
    <row r="8604" spans="2:3">
      <c r="B8604" s="12"/>
      <c r="C8604" s="12"/>
    </row>
    <row r="8605" spans="2:3">
      <c r="B8605" s="12"/>
      <c r="C8605" s="12"/>
    </row>
    <row r="8606" spans="2:3">
      <c r="B8606" s="12"/>
      <c r="C8606" s="12"/>
    </row>
    <row r="8607" spans="2:3">
      <c r="B8607" s="12"/>
      <c r="C8607" s="12"/>
    </row>
    <row r="8608" spans="2:3">
      <c r="B8608" s="12"/>
      <c r="C8608" s="12"/>
    </row>
    <row r="8609" spans="2:3">
      <c r="B8609" s="12"/>
      <c r="C8609" s="12"/>
    </row>
    <row r="8610" spans="2:3">
      <c r="B8610" s="12"/>
      <c r="C8610" s="12"/>
    </row>
    <row r="8611" spans="2:3">
      <c r="B8611" s="12"/>
      <c r="C8611" s="12"/>
    </row>
    <row r="8612" spans="2:3">
      <c r="B8612" s="12"/>
      <c r="C8612" s="12"/>
    </row>
    <row r="8613" spans="2:3">
      <c r="B8613" s="12"/>
      <c r="C8613" s="12"/>
    </row>
    <row r="8614" spans="2:3">
      <c r="B8614" s="12"/>
      <c r="C8614" s="12"/>
    </row>
    <row r="8615" spans="2:3">
      <c r="B8615" s="12"/>
      <c r="C8615" s="12"/>
    </row>
    <row r="8616" spans="2:3">
      <c r="B8616" s="12"/>
      <c r="C8616" s="12"/>
    </row>
    <row r="8617" spans="2:3">
      <c r="B8617" s="12"/>
      <c r="C8617" s="12"/>
    </row>
    <row r="8618" spans="2:3">
      <c r="B8618" s="12"/>
      <c r="C8618" s="12"/>
    </row>
    <row r="8619" spans="2:3">
      <c r="B8619" s="12"/>
      <c r="C8619" s="12"/>
    </row>
    <row r="8620" spans="2:3">
      <c r="B8620" s="12"/>
      <c r="C8620" s="12"/>
    </row>
    <row r="8621" spans="2:3">
      <c r="B8621" s="12"/>
      <c r="C8621" s="12"/>
    </row>
    <row r="8622" spans="2:3">
      <c r="B8622" s="12"/>
      <c r="C8622" s="12"/>
    </row>
    <row r="8623" spans="2:3">
      <c r="B8623" s="12"/>
      <c r="C8623" s="12"/>
    </row>
    <row r="8624" spans="2:3">
      <c r="B8624" s="12"/>
      <c r="C8624" s="12"/>
    </row>
    <row r="8625" spans="2:3">
      <c r="B8625" s="12"/>
      <c r="C8625" s="12"/>
    </row>
    <row r="8626" spans="2:3">
      <c r="B8626" s="12"/>
      <c r="C8626" s="12"/>
    </row>
    <row r="8627" spans="2:3">
      <c r="B8627" s="12"/>
      <c r="C8627" s="12"/>
    </row>
    <row r="8628" spans="2:3">
      <c r="B8628" s="12"/>
      <c r="C8628" s="12"/>
    </row>
    <row r="8629" spans="2:3">
      <c r="B8629" s="12"/>
      <c r="C8629" s="12"/>
    </row>
    <row r="8630" spans="2:3">
      <c r="B8630" s="12"/>
      <c r="C8630" s="12"/>
    </row>
    <row r="8631" spans="2:3">
      <c r="B8631" s="12"/>
      <c r="C8631" s="12"/>
    </row>
    <row r="8632" spans="2:3">
      <c r="B8632" s="12"/>
      <c r="C8632" s="12"/>
    </row>
    <row r="8633" spans="2:3">
      <c r="B8633" s="12"/>
      <c r="C8633" s="12"/>
    </row>
    <row r="8634" spans="2:3">
      <c r="B8634" s="12"/>
      <c r="C8634" s="12"/>
    </row>
    <row r="8635" spans="2:3">
      <c r="B8635" s="12"/>
      <c r="C8635" s="12"/>
    </row>
    <row r="8636" spans="2:3">
      <c r="B8636" s="12"/>
      <c r="C8636" s="12"/>
    </row>
    <row r="8637" spans="2:3">
      <c r="B8637" s="12"/>
      <c r="C8637" s="12"/>
    </row>
    <row r="8638" spans="2:3">
      <c r="B8638" s="12"/>
      <c r="C8638" s="12"/>
    </row>
    <row r="8639" spans="2:3">
      <c r="B8639" s="12"/>
      <c r="C8639" s="12"/>
    </row>
    <row r="8640" spans="2:3">
      <c r="B8640" s="12"/>
      <c r="C8640" s="12"/>
    </row>
    <row r="8641" spans="2:3">
      <c r="B8641" s="12"/>
      <c r="C8641" s="12"/>
    </row>
    <row r="8642" spans="2:3">
      <c r="B8642" s="12"/>
      <c r="C8642" s="12"/>
    </row>
    <row r="8643" spans="2:3">
      <c r="B8643" s="12"/>
      <c r="C8643" s="12"/>
    </row>
    <row r="8644" spans="2:3">
      <c r="B8644" s="12"/>
      <c r="C8644" s="12"/>
    </row>
    <row r="8645" spans="2:3">
      <c r="B8645" s="12"/>
      <c r="C8645" s="12"/>
    </row>
    <row r="8646" spans="2:3">
      <c r="B8646" s="12"/>
      <c r="C8646" s="12"/>
    </row>
    <row r="8647" spans="2:3">
      <c r="B8647" s="12"/>
      <c r="C8647" s="12"/>
    </row>
    <row r="8648" spans="2:3">
      <c r="B8648" s="12"/>
      <c r="C8648" s="12"/>
    </row>
    <row r="8649" spans="2:3">
      <c r="B8649" s="12"/>
      <c r="C8649" s="12"/>
    </row>
    <row r="8650" spans="2:3">
      <c r="B8650" s="12"/>
      <c r="C8650" s="12"/>
    </row>
    <row r="8651" spans="2:3">
      <c r="B8651" s="12"/>
      <c r="C8651" s="12"/>
    </row>
    <row r="8652" spans="2:3">
      <c r="B8652" s="12"/>
      <c r="C8652" s="12"/>
    </row>
    <row r="8653" spans="2:3">
      <c r="B8653" s="12"/>
      <c r="C8653" s="12"/>
    </row>
    <row r="8654" spans="2:3">
      <c r="B8654" s="12"/>
      <c r="C8654" s="12"/>
    </row>
    <row r="8655" spans="2:3">
      <c r="B8655" s="12"/>
      <c r="C8655" s="12"/>
    </row>
    <row r="8656" spans="2:3">
      <c r="B8656" s="12"/>
      <c r="C8656" s="12"/>
    </row>
    <row r="8657" spans="2:3">
      <c r="B8657" s="12"/>
      <c r="C8657" s="12"/>
    </row>
    <row r="8658" spans="2:3">
      <c r="B8658" s="12"/>
      <c r="C8658" s="12"/>
    </row>
    <row r="8659" spans="2:3">
      <c r="B8659" s="12"/>
      <c r="C8659" s="12"/>
    </row>
    <row r="8660" spans="2:3">
      <c r="B8660" s="12"/>
      <c r="C8660" s="12"/>
    </row>
    <row r="8661" spans="2:3">
      <c r="B8661" s="12"/>
      <c r="C8661" s="12"/>
    </row>
    <row r="8662" spans="2:3">
      <c r="B8662" s="12"/>
      <c r="C8662" s="12"/>
    </row>
    <row r="8663" spans="2:3">
      <c r="B8663" s="12"/>
      <c r="C8663" s="12"/>
    </row>
    <row r="8664" spans="2:3">
      <c r="B8664" s="12"/>
      <c r="C8664" s="12"/>
    </row>
    <row r="8665" spans="2:3">
      <c r="B8665" s="12"/>
      <c r="C8665" s="12"/>
    </row>
    <row r="8666" spans="2:3">
      <c r="B8666" s="12"/>
      <c r="C8666" s="12"/>
    </row>
    <row r="8667" spans="2:3">
      <c r="B8667" s="12"/>
      <c r="C8667" s="12"/>
    </row>
    <row r="8668" spans="2:3">
      <c r="B8668" s="12"/>
      <c r="C8668" s="12"/>
    </row>
    <row r="8669" spans="2:3">
      <c r="B8669" s="12"/>
      <c r="C8669" s="12"/>
    </row>
    <row r="8670" spans="2:3">
      <c r="B8670" s="12"/>
      <c r="C8670" s="12"/>
    </row>
    <row r="8671" spans="2:3">
      <c r="B8671" s="12"/>
      <c r="C8671" s="12"/>
    </row>
    <row r="8672" spans="2:3">
      <c r="B8672" s="12"/>
      <c r="C8672" s="12"/>
    </row>
    <row r="8673" spans="2:3">
      <c r="B8673" s="12"/>
      <c r="C8673" s="12"/>
    </row>
    <row r="8674" spans="2:3">
      <c r="B8674" s="12"/>
      <c r="C8674" s="12"/>
    </row>
    <row r="8675" spans="2:3">
      <c r="B8675" s="12"/>
      <c r="C8675" s="12"/>
    </row>
    <row r="8676" spans="2:3">
      <c r="B8676" s="12"/>
      <c r="C8676" s="12"/>
    </row>
    <row r="8677" spans="2:3">
      <c r="B8677" s="12"/>
      <c r="C8677" s="12"/>
    </row>
    <row r="8678" spans="2:3">
      <c r="B8678" s="12"/>
      <c r="C8678" s="12"/>
    </row>
    <row r="8679" spans="2:3">
      <c r="B8679" s="12"/>
      <c r="C8679" s="12"/>
    </row>
    <row r="8680" spans="2:3">
      <c r="B8680" s="12"/>
      <c r="C8680" s="12"/>
    </row>
    <row r="8681" spans="2:3">
      <c r="B8681" s="12"/>
      <c r="C8681" s="12"/>
    </row>
    <row r="8682" spans="2:3">
      <c r="B8682" s="12"/>
      <c r="C8682" s="12"/>
    </row>
    <row r="8683" spans="2:3">
      <c r="B8683" s="12"/>
      <c r="C8683" s="12"/>
    </row>
    <row r="8684" spans="2:3">
      <c r="B8684" s="12"/>
      <c r="C8684" s="12"/>
    </row>
    <row r="8685" spans="2:3">
      <c r="B8685" s="12"/>
      <c r="C8685" s="12"/>
    </row>
    <row r="8686" spans="2:3">
      <c r="B8686" s="12"/>
      <c r="C8686" s="12"/>
    </row>
    <row r="8687" spans="2:3">
      <c r="B8687" s="12"/>
      <c r="C8687" s="12"/>
    </row>
    <row r="8688" spans="2:3">
      <c r="B8688" s="12"/>
      <c r="C8688" s="12"/>
    </row>
    <row r="8689" spans="2:3">
      <c r="B8689" s="12"/>
      <c r="C8689" s="12"/>
    </row>
    <row r="8690" spans="2:3">
      <c r="B8690" s="12"/>
      <c r="C8690" s="12"/>
    </row>
    <row r="8691" spans="2:3">
      <c r="B8691" s="12"/>
      <c r="C8691" s="12"/>
    </row>
    <row r="8692" spans="2:3">
      <c r="B8692" s="12"/>
      <c r="C8692" s="12"/>
    </row>
    <row r="8693" spans="2:3">
      <c r="B8693" s="12"/>
      <c r="C8693" s="12"/>
    </row>
    <row r="8694" spans="2:3">
      <c r="B8694" s="12"/>
      <c r="C8694" s="12"/>
    </row>
    <row r="8695" spans="2:3">
      <c r="B8695" s="12"/>
      <c r="C8695" s="12"/>
    </row>
    <row r="8696" spans="2:3">
      <c r="B8696" s="12"/>
      <c r="C8696" s="12"/>
    </row>
    <row r="8697" spans="2:3">
      <c r="B8697" s="12"/>
      <c r="C8697" s="12"/>
    </row>
    <row r="8698" spans="2:3">
      <c r="B8698" s="12"/>
      <c r="C8698" s="12"/>
    </row>
    <row r="8699" spans="2:3">
      <c r="B8699" s="12"/>
      <c r="C8699" s="12"/>
    </row>
    <row r="8700" spans="2:3">
      <c r="B8700" s="12"/>
      <c r="C8700" s="12"/>
    </row>
    <row r="8701" spans="2:3">
      <c r="B8701" s="12"/>
      <c r="C8701" s="12"/>
    </row>
    <row r="8702" spans="2:3">
      <c r="B8702" s="12"/>
      <c r="C8702" s="12"/>
    </row>
    <row r="8703" spans="2:3">
      <c r="B8703" s="12"/>
      <c r="C8703" s="12"/>
    </row>
    <row r="8704" spans="2:3">
      <c r="B8704" s="12"/>
      <c r="C8704" s="12"/>
    </row>
    <row r="8705" spans="2:3">
      <c r="B8705" s="12"/>
      <c r="C8705" s="12"/>
    </row>
    <row r="8706" spans="2:3">
      <c r="B8706" s="12"/>
      <c r="C8706" s="12"/>
    </row>
    <row r="8707" spans="2:3">
      <c r="B8707" s="12"/>
      <c r="C8707" s="12"/>
    </row>
    <row r="8708" spans="2:3">
      <c r="B8708" s="12"/>
      <c r="C8708" s="12"/>
    </row>
    <row r="8709" spans="2:3">
      <c r="B8709" s="12"/>
      <c r="C8709" s="12"/>
    </row>
    <row r="8710" spans="2:3">
      <c r="B8710" s="12"/>
      <c r="C8710" s="12"/>
    </row>
    <row r="8711" spans="2:3">
      <c r="B8711" s="12"/>
      <c r="C8711" s="12"/>
    </row>
    <row r="8712" spans="2:3">
      <c r="B8712" s="12"/>
      <c r="C8712" s="12"/>
    </row>
    <row r="8713" spans="2:3">
      <c r="B8713" s="12"/>
      <c r="C8713" s="12"/>
    </row>
    <row r="8714" spans="2:3">
      <c r="B8714" s="12"/>
      <c r="C8714" s="12"/>
    </row>
    <row r="8715" spans="2:3">
      <c r="B8715" s="12"/>
      <c r="C8715" s="12"/>
    </row>
    <row r="8716" spans="2:3">
      <c r="B8716" s="12"/>
      <c r="C8716" s="12"/>
    </row>
    <row r="8717" spans="2:3">
      <c r="B8717" s="12"/>
      <c r="C8717" s="12"/>
    </row>
    <row r="8718" spans="2:3">
      <c r="B8718" s="12"/>
      <c r="C8718" s="12"/>
    </row>
    <row r="8719" spans="2:3">
      <c r="B8719" s="12"/>
      <c r="C8719" s="12"/>
    </row>
    <row r="8720" spans="2:3">
      <c r="B8720" s="12"/>
      <c r="C8720" s="12"/>
    </row>
    <row r="8721" spans="2:3">
      <c r="B8721" s="12"/>
      <c r="C8721" s="12"/>
    </row>
    <row r="8722" spans="2:3">
      <c r="B8722" s="12"/>
      <c r="C8722" s="12"/>
    </row>
    <row r="8723" spans="2:3">
      <c r="B8723" s="12"/>
      <c r="C8723" s="12"/>
    </row>
    <row r="8724" spans="2:3">
      <c r="B8724" s="12"/>
      <c r="C8724" s="12"/>
    </row>
    <row r="8725" spans="2:3">
      <c r="B8725" s="12"/>
      <c r="C8725" s="12"/>
    </row>
    <row r="8726" spans="2:3">
      <c r="B8726" s="12"/>
      <c r="C8726" s="12"/>
    </row>
    <row r="8727" spans="2:3">
      <c r="B8727" s="12"/>
      <c r="C8727" s="12"/>
    </row>
    <row r="8728" spans="2:3">
      <c r="B8728" s="12"/>
      <c r="C8728" s="12"/>
    </row>
    <row r="8729" spans="2:3">
      <c r="B8729" s="12"/>
      <c r="C8729" s="12"/>
    </row>
    <row r="8730" spans="2:3">
      <c r="B8730" s="12"/>
      <c r="C8730" s="12"/>
    </row>
    <row r="8731" spans="2:3">
      <c r="B8731" s="12"/>
      <c r="C8731" s="12"/>
    </row>
    <row r="8732" spans="2:3">
      <c r="B8732" s="12"/>
      <c r="C8732" s="12"/>
    </row>
    <row r="8733" spans="2:3">
      <c r="B8733" s="12"/>
      <c r="C8733" s="12"/>
    </row>
    <row r="8734" spans="2:3">
      <c r="B8734" s="12"/>
      <c r="C8734" s="12"/>
    </row>
    <row r="8735" spans="2:3">
      <c r="B8735" s="12"/>
      <c r="C8735" s="12"/>
    </row>
    <row r="8736" spans="2:3">
      <c r="B8736" s="12"/>
      <c r="C8736" s="12"/>
    </row>
    <row r="8737" spans="2:3">
      <c r="B8737" s="12"/>
      <c r="C8737" s="12"/>
    </row>
    <row r="8738" spans="2:3">
      <c r="B8738" s="12"/>
      <c r="C8738" s="12"/>
    </row>
    <row r="8739" spans="2:3">
      <c r="B8739" s="12"/>
      <c r="C8739" s="12"/>
    </row>
    <row r="8740" spans="2:3">
      <c r="B8740" s="12"/>
      <c r="C8740" s="12"/>
    </row>
    <row r="8741" spans="2:3">
      <c r="B8741" s="12"/>
      <c r="C8741" s="12"/>
    </row>
    <row r="8742" spans="2:3">
      <c r="B8742" s="12"/>
      <c r="C8742" s="12"/>
    </row>
    <row r="8743" spans="2:3">
      <c r="B8743" s="12"/>
      <c r="C8743" s="12"/>
    </row>
    <row r="8744" spans="2:3">
      <c r="B8744" s="12"/>
      <c r="C8744" s="12"/>
    </row>
    <row r="8745" spans="2:3">
      <c r="B8745" s="12"/>
      <c r="C8745" s="12"/>
    </row>
    <row r="8746" spans="2:3">
      <c r="B8746" s="12"/>
      <c r="C8746" s="12"/>
    </row>
    <row r="8747" spans="2:3">
      <c r="B8747" s="12"/>
      <c r="C8747" s="12"/>
    </row>
    <row r="8748" spans="2:3">
      <c r="B8748" s="12"/>
      <c r="C8748" s="12"/>
    </row>
    <row r="8749" spans="2:3">
      <c r="B8749" s="12"/>
      <c r="C8749" s="12"/>
    </row>
    <row r="8750" spans="2:3">
      <c r="B8750" s="12"/>
      <c r="C8750" s="12"/>
    </row>
    <row r="8751" spans="2:3">
      <c r="B8751" s="12"/>
      <c r="C8751" s="12"/>
    </row>
    <row r="8752" spans="2:3">
      <c r="B8752" s="12"/>
      <c r="C8752" s="12"/>
    </row>
    <row r="8753" spans="2:3">
      <c r="B8753" s="12"/>
      <c r="C8753" s="12"/>
    </row>
    <row r="8754" spans="2:3">
      <c r="B8754" s="12"/>
      <c r="C8754" s="12"/>
    </row>
    <row r="8755" spans="2:3">
      <c r="B8755" s="12"/>
      <c r="C8755" s="12"/>
    </row>
    <row r="8756" spans="2:3">
      <c r="B8756" s="12"/>
      <c r="C8756" s="12"/>
    </row>
    <row r="8757" spans="2:3">
      <c r="B8757" s="12"/>
      <c r="C8757" s="12"/>
    </row>
    <row r="8758" spans="2:3">
      <c r="B8758" s="12"/>
      <c r="C8758" s="12"/>
    </row>
    <row r="8759" spans="2:3">
      <c r="B8759" s="12"/>
      <c r="C8759" s="12"/>
    </row>
    <row r="8760" spans="2:3">
      <c r="B8760" s="12"/>
      <c r="C8760" s="12"/>
    </row>
    <row r="8761" spans="2:3">
      <c r="B8761" s="12"/>
      <c r="C8761" s="12"/>
    </row>
    <row r="8762" spans="2:3">
      <c r="B8762" s="12"/>
      <c r="C8762" s="12"/>
    </row>
    <row r="8763" spans="2:3">
      <c r="B8763" s="12"/>
      <c r="C8763" s="12"/>
    </row>
    <row r="8764" spans="2:3">
      <c r="B8764" s="12"/>
      <c r="C8764" s="12"/>
    </row>
    <row r="8765" spans="2:3">
      <c r="B8765" s="12"/>
      <c r="C8765" s="12"/>
    </row>
    <row r="8766" spans="2:3">
      <c r="B8766" s="12"/>
      <c r="C8766" s="12"/>
    </row>
    <row r="8767" spans="2:3">
      <c r="B8767" s="12"/>
      <c r="C8767" s="12"/>
    </row>
    <row r="8768" spans="2:3">
      <c r="B8768" s="12"/>
      <c r="C8768" s="12"/>
    </row>
    <row r="8769" spans="2:3">
      <c r="B8769" s="12"/>
      <c r="C8769" s="12"/>
    </row>
    <row r="8770" spans="2:3">
      <c r="B8770" s="12"/>
      <c r="C8770" s="12"/>
    </row>
    <row r="8771" spans="2:3">
      <c r="B8771" s="12"/>
      <c r="C8771" s="12"/>
    </row>
    <row r="8772" spans="2:3">
      <c r="B8772" s="12"/>
      <c r="C8772" s="12"/>
    </row>
    <row r="8773" spans="2:3">
      <c r="B8773" s="12"/>
      <c r="C8773" s="12"/>
    </row>
    <row r="8774" spans="2:3">
      <c r="B8774" s="12"/>
      <c r="C8774" s="12"/>
    </row>
    <row r="8775" spans="2:3">
      <c r="B8775" s="12"/>
      <c r="C8775" s="12"/>
    </row>
    <row r="8776" spans="2:3">
      <c r="B8776" s="12"/>
      <c r="C8776" s="12"/>
    </row>
    <row r="8777" spans="2:3">
      <c r="B8777" s="12"/>
      <c r="C8777" s="12"/>
    </row>
    <row r="8778" spans="2:3">
      <c r="B8778" s="12"/>
      <c r="C8778" s="12"/>
    </row>
    <row r="8779" spans="2:3">
      <c r="B8779" s="12"/>
      <c r="C8779" s="12"/>
    </row>
    <row r="8780" spans="2:3">
      <c r="B8780" s="12"/>
      <c r="C8780" s="12"/>
    </row>
    <row r="8781" spans="2:3">
      <c r="B8781" s="12"/>
      <c r="C8781" s="12"/>
    </row>
    <row r="8782" spans="2:3">
      <c r="B8782" s="12"/>
      <c r="C8782" s="12"/>
    </row>
    <row r="8783" spans="2:3">
      <c r="B8783" s="12"/>
      <c r="C8783" s="12"/>
    </row>
    <row r="8784" spans="2:3">
      <c r="B8784" s="12"/>
      <c r="C8784" s="12"/>
    </row>
    <row r="8785" spans="2:3">
      <c r="B8785" s="12"/>
      <c r="C8785" s="12"/>
    </row>
    <row r="8786" spans="2:3">
      <c r="B8786" s="12"/>
      <c r="C8786" s="12"/>
    </row>
    <row r="8787" spans="2:3">
      <c r="B8787" s="12"/>
      <c r="C8787" s="12"/>
    </row>
    <row r="8788" spans="2:3">
      <c r="B8788" s="12"/>
      <c r="C8788" s="12"/>
    </row>
    <row r="8789" spans="2:3">
      <c r="B8789" s="12"/>
      <c r="C8789" s="12"/>
    </row>
    <row r="8790" spans="2:3">
      <c r="B8790" s="12"/>
      <c r="C8790" s="12"/>
    </row>
    <row r="8791" spans="2:3">
      <c r="B8791" s="12"/>
      <c r="C8791" s="12"/>
    </row>
    <row r="8792" spans="2:3">
      <c r="B8792" s="12"/>
      <c r="C8792" s="12"/>
    </row>
    <row r="8793" spans="2:3">
      <c r="B8793" s="12"/>
      <c r="C8793" s="12"/>
    </row>
    <row r="8794" spans="2:3">
      <c r="B8794" s="12"/>
      <c r="C8794" s="12"/>
    </row>
    <row r="8795" spans="2:3">
      <c r="B8795" s="12"/>
      <c r="C8795" s="12"/>
    </row>
    <row r="8796" spans="2:3">
      <c r="B8796" s="12"/>
      <c r="C8796" s="12"/>
    </row>
    <row r="8797" spans="2:3">
      <c r="B8797" s="12"/>
      <c r="C8797" s="12"/>
    </row>
    <row r="8798" spans="2:3">
      <c r="B8798" s="12"/>
      <c r="C8798" s="12"/>
    </row>
    <row r="8799" spans="2:3">
      <c r="B8799" s="12"/>
      <c r="C8799" s="12"/>
    </row>
    <row r="8800" spans="2:3">
      <c r="B8800" s="12"/>
      <c r="C8800" s="12"/>
    </row>
    <row r="8801" spans="2:3">
      <c r="B8801" s="12"/>
      <c r="C8801" s="12"/>
    </row>
    <row r="8802" spans="2:3">
      <c r="B8802" s="12"/>
      <c r="C8802" s="12"/>
    </row>
    <row r="8803" spans="2:3">
      <c r="B8803" s="12"/>
      <c r="C8803" s="12"/>
    </row>
    <row r="8804" spans="2:3">
      <c r="B8804" s="12"/>
      <c r="C8804" s="12"/>
    </row>
    <row r="8805" spans="2:3">
      <c r="B8805" s="12"/>
      <c r="C8805" s="12"/>
    </row>
    <row r="8806" spans="2:3">
      <c r="B8806" s="12"/>
      <c r="C8806" s="12"/>
    </row>
    <row r="8807" spans="2:3">
      <c r="B8807" s="12"/>
      <c r="C8807" s="12"/>
    </row>
    <row r="8808" spans="2:3">
      <c r="B8808" s="12"/>
      <c r="C8808" s="12"/>
    </row>
    <row r="8809" spans="2:3">
      <c r="B8809" s="12"/>
      <c r="C8809" s="12"/>
    </row>
    <row r="8810" spans="2:3">
      <c r="B8810" s="12"/>
      <c r="C8810" s="12"/>
    </row>
    <row r="8811" spans="2:3">
      <c r="B8811" s="12"/>
      <c r="C8811" s="12"/>
    </row>
    <row r="8812" spans="2:3">
      <c r="B8812" s="12"/>
      <c r="C8812" s="12"/>
    </row>
    <row r="8813" spans="2:3">
      <c r="B8813" s="12"/>
      <c r="C8813" s="12"/>
    </row>
    <row r="8814" spans="2:3">
      <c r="B8814" s="12"/>
      <c r="C8814" s="12"/>
    </row>
    <row r="8815" spans="2:3">
      <c r="B8815" s="12"/>
      <c r="C8815" s="12"/>
    </row>
    <row r="8816" spans="2:3">
      <c r="B8816" s="12"/>
      <c r="C8816" s="12"/>
    </row>
    <row r="8817" spans="2:3">
      <c r="B8817" s="12"/>
      <c r="C8817" s="12"/>
    </row>
    <row r="8818" spans="2:3">
      <c r="B8818" s="12"/>
      <c r="C8818" s="12"/>
    </row>
    <row r="8819" spans="2:3">
      <c r="B8819" s="12"/>
      <c r="C8819" s="12"/>
    </row>
    <row r="8820" spans="2:3">
      <c r="B8820" s="12"/>
      <c r="C8820" s="12"/>
    </row>
    <row r="8821" spans="2:3">
      <c r="B8821" s="12"/>
      <c r="C8821" s="12"/>
    </row>
    <row r="8822" spans="2:3">
      <c r="B8822" s="12"/>
      <c r="C8822" s="12"/>
    </row>
    <row r="8823" spans="2:3">
      <c r="B8823" s="12"/>
      <c r="C8823" s="12"/>
    </row>
    <row r="8824" spans="2:3">
      <c r="B8824" s="12"/>
      <c r="C8824" s="12"/>
    </row>
    <row r="8825" spans="2:3">
      <c r="B8825" s="12"/>
      <c r="C8825" s="12"/>
    </row>
    <row r="8826" spans="2:3">
      <c r="B8826" s="12"/>
      <c r="C8826" s="12"/>
    </row>
    <row r="8827" spans="2:3">
      <c r="B8827" s="12"/>
      <c r="C8827" s="12"/>
    </row>
    <row r="8828" spans="2:3">
      <c r="B8828" s="12"/>
      <c r="C8828" s="12"/>
    </row>
    <row r="8829" spans="2:3">
      <c r="B8829" s="12"/>
      <c r="C8829" s="12"/>
    </row>
    <row r="8830" spans="2:3">
      <c r="B8830" s="12"/>
      <c r="C8830" s="12"/>
    </row>
    <row r="8831" spans="2:3">
      <c r="B8831" s="12"/>
      <c r="C8831" s="12"/>
    </row>
    <row r="8832" spans="2:3">
      <c r="B8832" s="12"/>
      <c r="C8832" s="12"/>
    </row>
    <row r="8833" spans="2:3">
      <c r="B8833" s="12"/>
      <c r="C8833" s="12"/>
    </row>
    <row r="8834" spans="2:3">
      <c r="B8834" s="12"/>
      <c r="C8834" s="12"/>
    </row>
    <row r="8835" spans="2:3">
      <c r="B8835" s="12"/>
      <c r="C8835" s="12"/>
    </row>
    <row r="8836" spans="2:3">
      <c r="B8836" s="12"/>
      <c r="C8836" s="12"/>
    </row>
    <row r="8837" spans="2:3">
      <c r="B8837" s="12"/>
      <c r="C8837" s="12"/>
    </row>
    <row r="8838" spans="2:3">
      <c r="B8838" s="12"/>
      <c r="C8838" s="12"/>
    </row>
    <row r="8839" spans="2:3">
      <c r="B8839" s="12"/>
      <c r="C8839" s="12"/>
    </row>
    <row r="8840" spans="2:3">
      <c r="B8840" s="12"/>
      <c r="C8840" s="12"/>
    </row>
    <row r="8841" spans="2:3">
      <c r="B8841" s="12"/>
      <c r="C8841" s="12"/>
    </row>
    <row r="8842" spans="2:3">
      <c r="B8842" s="12"/>
      <c r="C8842" s="12"/>
    </row>
    <row r="8843" spans="2:3">
      <c r="B8843" s="12"/>
      <c r="C8843" s="12"/>
    </row>
    <row r="8844" spans="2:3">
      <c r="B8844" s="12"/>
      <c r="C8844" s="12"/>
    </row>
    <row r="8845" spans="2:3">
      <c r="B8845" s="12"/>
      <c r="C8845" s="12"/>
    </row>
    <row r="8846" spans="2:3">
      <c r="B8846" s="12"/>
      <c r="C8846" s="12"/>
    </row>
    <row r="8847" spans="2:3">
      <c r="B8847" s="12"/>
      <c r="C8847" s="12"/>
    </row>
    <row r="8848" spans="2:3">
      <c r="B8848" s="12"/>
      <c r="C8848" s="12"/>
    </row>
    <row r="8849" spans="2:3">
      <c r="B8849" s="12"/>
      <c r="C8849" s="12"/>
    </row>
    <row r="8850" spans="2:3">
      <c r="B8850" s="12"/>
      <c r="C8850" s="12"/>
    </row>
    <row r="8851" spans="2:3">
      <c r="B8851" s="12"/>
      <c r="C8851" s="12"/>
    </row>
    <row r="8852" spans="2:3">
      <c r="B8852" s="12"/>
      <c r="C8852" s="12"/>
    </row>
    <row r="8853" spans="2:3">
      <c r="B8853" s="12"/>
      <c r="C8853" s="12"/>
    </row>
    <row r="8854" spans="2:3">
      <c r="B8854" s="12"/>
      <c r="C8854" s="12"/>
    </row>
    <row r="8855" spans="2:3">
      <c r="B8855" s="12"/>
      <c r="C8855" s="12"/>
    </row>
    <row r="8856" spans="2:3">
      <c r="B8856" s="12"/>
      <c r="C8856" s="12"/>
    </row>
    <row r="8857" spans="2:3">
      <c r="B8857" s="12"/>
      <c r="C8857" s="12"/>
    </row>
    <row r="8858" spans="2:3">
      <c r="B8858" s="12"/>
      <c r="C8858" s="12"/>
    </row>
    <row r="8859" spans="2:3">
      <c r="B8859" s="12"/>
      <c r="C8859" s="12"/>
    </row>
    <row r="8860" spans="2:3">
      <c r="B8860" s="12"/>
      <c r="C8860" s="12"/>
    </row>
    <row r="8861" spans="2:3">
      <c r="B8861" s="12"/>
      <c r="C8861" s="12"/>
    </row>
    <row r="8862" spans="2:3">
      <c r="B8862" s="12"/>
      <c r="C8862" s="12"/>
    </row>
    <row r="8863" spans="2:3">
      <c r="B8863" s="12"/>
      <c r="C8863" s="12"/>
    </row>
    <row r="8864" spans="2:3">
      <c r="B8864" s="12"/>
      <c r="C8864" s="12"/>
    </row>
    <row r="8865" spans="2:3">
      <c r="B8865" s="12"/>
      <c r="C8865" s="12"/>
    </row>
    <row r="8866" spans="2:3">
      <c r="B8866" s="12"/>
      <c r="C8866" s="12"/>
    </row>
    <row r="8867" spans="2:3">
      <c r="B8867" s="12"/>
      <c r="C8867" s="12"/>
    </row>
    <row r="8868" spans="2:3">
      <c r="B8868" s="12"/>
      <c r="C8868" s="12"/>
    </row>
    <row r="8869" spans="2:3">
      <c r="B8869" s="12"/>
      <c r="C8869" s="12"/>
    </row>
    <row r="8870" spans="2:3">
      <c r="B8870" s="12"/>
      <c r="C8870" s="12"/>
    </row>
    <row r="8871" spans="2:3">
      <c r="B8871" s="12"/>
      <c r="C8871" s="12"/>
    </row>
    <row r="8872" spans="2:3">
      <c r="B8872" s="12"/>
      <c r="C8872" s="12"/>
    </row>
    <row r="8873" spans="2:3">
      <c r="B8873" s="12"/>
      <c r="C8873" s="12"/>
    </row>
    <row r="8874" spans="2:3">
      <c r="B8874" s="12"/>
      <c r="C8874" s="12"/>
    </row>
    <row r="8875" spans="2:3">
      <c r="B8875" s="12"/>
      <c r="C8875" s="12"/>
    </row>
    <row r="8876" spans="2:3">
      <c r="B8876" s="12"/>
      <c r="C8876" s="12"/>
    </row>
    <row r="8877" spans="2:3">
      <c r="B8877" s="12"/>
      <c r="C8877" s="12"/>
    </row>
    <row r="8878" spans="2:3">
      <c r="B8878" s="12"/>
      <c r="C8878" s="12"/>
    </row>
    <row r="8879" spans="2:3">
      <c r="B8879" s="12"/>
      <c r="C8879" s="12"/>
    </row>
    <row r="8880" spans="2:3">
      <c r="B8880" s="12"/>
      <c r="C8880" s="12"/>
    </row>
    <row r="8881" spans="2:3">
      <c r="B8881" s="12"/>
      <c r="C8881" s="12"/>
    </row>
    <row r="8882" spans="2:3">
      <c r="B8882" s="12"/>
      <c r="C8882" s="12"/>
    </row>
    <row r="8883" spans="2:3">
      <c r="B8883" s="12"/>
      <c r="C8883" s="12"/>
    </row>
    <row r="8884" spans="2:3">
      <c r="B8884" s="12"/>
      <c r="C8884" s="12"/>
    </row>
    <row r="8885" spans="2:3">
      <c r="B8885" s="12"/>
      <c r="C8885" s="12"/>
    </row>
    <row r="8886" spans="2:3">
      <c r="B8886" s="12"/>
      <c r="C8886" s="12"/>
    </row>
    <row r="8887" spans="2:3">
      <c r="B8887" s="12"/>
      <c r="C8887" s="12"/>
    </row>
    <row r="8888" spans="2:3">
      <c r="B8888" s="12"/>
      <c r="C8888" s="12"/>
    </row>
    <row r="8889" spans="2:3">
      <c r="B8889" s="12"/>
      <c r="C8889" s="12"/>
    </row>
    <row r="8890" spans="2:3">
      <c r="B8890" s="12"/>
      <c r="C8890" s="12"/>
    </row>
    <row r="8891" spans="2:3">
      <c r="B8891" s="12"/>
      <c r="C8891" s="12"/>
    </row>
    <row r="8892" spans="2:3">
      <c r="B8892" s="12"/>
      <c r="C8892" s="12"/>
    </row>
    <row r="8893" spans="2:3">
      <c r="B8893" s="12"/>
      <c r="C8893" s="12"/>
    </row>
    <row r="8894" spans="2:3">
      <c r="B8894" s="12"/>
      <c r="C8894" s="12"/>
    </row>
    <row r="8895" spans="2:3">
      <c r="B8895" s="12"/>
      <c r="C8895" s="12"/>
    </row>
    <row r="8896" spans="2:3">
      <c r="B8896" s="12"/>
      <c r="C8896" s="12"/>
    </row>
    <row r="8897" spans="2:3">
      <c r="B8897" s="12"/>
      <c r="C8897" s="12"/>
    </row>
    <row r="8898" spans="2:3">
      <c r="B8898" s="12"/>
      <c r="C8898" s="12"/>
    </row>
    <row r="8899" spans="2:3">
      <c r="B8899" s="12"/>
      <c r="C8899" s="12"/>
    </row>
    <row r="8900" spans="2:3">
      <c r="B8900" s="12"/>
      <c r="C8900" s="12"/>
    </row>
    <row r="8901" spans="2:3">
      <c r="B8901" s="12"/>
      <c r="C8901" s="12"/>
    </row>
    <row r="8902" spans="2:3">
      <c r="B8902" s="12"/>
      <c r="C8902" s="12"/>
    </row>
    <row r="8903" spans="2:3">
      <c r="B8903" s="12"/>
      <c r="C8903" s="12"/>
    </row>
    <row r="8904" spans="2:3">
      <c r="B8904" s="12"/>
      <c r="C8904" s="12"/>
    </row>
    <row r="8905" spans="2:3">
      <c r="B8905" s="12"/>
      <c r="C8905" s="12"/>
    </row>
    <row r="8906" spans="2:3">
      <c r="B8906" s="12"/>
      <c r="C8906" s="12"/>
    </row>
    <row r="8907" spans="2:3">
      <c r="B8907" s="12"/>
      <c r="C8907" s="12"/>
    </row>
    <row r="8908" spans="2:3">
      <c r="B8908" s="12"/>
      <c r="C8908" s="12"/>
    </row>
    <row r="8909" spans="2:3">
      <c r="B8909" s="12"/>
      <c r="C8909" s="12"/>
    </row>
    <row r="8910" spans="2:3">
      <c r="B8910" s="12"/>
      <c r="C8910" s="12"/>
    </row>
    <row r="8911" spans="2:3">
      <c r="B8911" s="12"/>
      <c r="C8911" s="12"/>
    </row>
    <row r="8912" spans="2:3">
      <c r="B8912" s="12"/>
      <c r="C8912" s="12"/>
    </row>
    <row r="8913" spans="2:3">
      <c r="B8913" s="12"/>
      <c r="C8913" s="12"/>
    </row>
    <row r="8914" spans="2:3">
      <c r="B8914" s="12"/>
      <c r="C8914" s="12"/>
    </row>
    <row r="8915" spans="2:3">
      <c r="B8915" s="12"/>
      <c r="C8915" s="12"/>
    </row>
    <row r="8916" spans="2:3">
      <c r="B8916" s="12"/>
      <c r="C8916" s="12"/>
    </row>
    <row r="8917" spans="2:3">
      <c r="B8917" s="12"/>
      <c r="C8917" s="12"/>
    </row>
    <row r="8918" spans="2:3">
      <c r="B8918" s="12"/>
      <c r="C8918" s="12"/>
    </row>
    <row r="8919" spans="2:3">
      <c r="B8919" s="12"/>
      <c r="C8919" s="12"/>
    </row>
    <row r="8920" spans="2:3">
      <c r="B8920" s="12"/>
      <c r="C8920" s="12"/>
    </row>
    <row r="8921" spans="2:3">
      <c r="B8921" s="12"/>
      <c r="C8921" s="12"/>
    </row>
    <row r="8922" spans="2:3">
      <c r="B8922" s="12"/>
      <c r="C8922" s="12"/>
    </row>
    <row r="8923" spans="2:3">
      <c r="B8923" s="12"/>
      <c r="C8923" s="12"/>
    </row>
    <row r="8924" spans="2:3">
      <c r="B8924" s="12"/>
      <c r="C8924" s="12"/>
    </row>
    <row r="8925" spans="2:3">
      <c r="B8925" s="12"/>
      <c r="C8925" s="12"/>
    </row>
    <row r="8926" spans="2:3">
      <c r="B8926" s="12"/>
      <c r="C8926" s="12"/>
    </row>
    <row r="8927" spans="2:3">
      <c r="B8927" s="12"/>
      <c r="C8927" s="12"/>
    </row>
    <row r="8928" spans="2:3">
      <c r="B8928" s="12"/>
      <c r="C8928" s="12"/>
    </row>
    <row r="8929" spans="2:3">
      <c r="B8929" s="12"/>
      <c r="C8929" s="12"/>
    </row>
    <row r="8930" spans="2:3">
      <c r="B8930" s="12"/>
      <c r="C8930" s="12"/>
    </row>
    <row r="8931" spans="2:3">
      <c r="B8931" s="12"/>
      <c r="C8931" s="12"/>
    </row>
    <row r="8932" spans="2:3">
      <c r="B8932" s="12"/>
      <c r="C8932" s="12"/>
    </row>
    <row r="8933" spans="2:3">
      <c r="B8933" s="12"/>
      <c r="C8933" s="12"/>
    </row>
    <row r="8934" spans="2:3">
      <c r="B8934" s="12"/>
      <c r="C8934" s="12"/>
    </row>
    <row r="8935" spans="2:3">
      <c r="B8935" s="12"/>
      <c r="C8935" s="12"/>
    </row>
    <row r="8936" spans="2:3">
      <c r="B8936" s="12"/>
      <c r="C8936" s="12"/>
    </row>
    <row r="8937" spans="2:3">
      <c r="B8937" s="12"/>
      <c r="C8937" s="12"/>
    </row>
    <row r="8938" spans="2:3">
      <c r="B8938" s="12"/>
      <c r="C8938" s="12"/>
    </row>
    <row r="8939" spans="2:3">
      <c r="B8939" s="12"/>
      <c r="C8939" s="12"/>
    </row>
    <row r="8940" spans="2:3">
      <c r="B8940" s="12"/>
      <c r="C8940" s="12"/>
    </row>
    <row r="8941" spans="2:3">
      <c r="B8941" s="12"/>
      <c r="C8941" s="12"/>
    </row>
    <row r="8942" spans="2:3">
      <c r="B8942" s="12"/>
      <c r="C8942" s="12"/>
    </row>
    <row r="8943" spans="2:3">
      <c r="B8943" s="12"/>
      <c r="C8943" s="12"/>
    </row>
    <row r="8944" spans="2:3">
      <c r="B8944" s="12"/>
      <c r="C8944" s="12"/>
    </row>
    <row r="8945" spans="2:3">
      <c r="B8945" s="12"/>
      <c r="C8945" s="12"/>
    </row>
    <row r="8946" spans="2:3">
      <c r="B8946" s="12"/>
      <c r="C8946" s="12"/>
    </row>
    <row r="8947" spans="2:3">
      <c r="B8947" s="12"/>
      <c r="C8947" s="12"/>
    </row>
    <row r="8948" spans="2:3">
      <c r="B8948" s="12"/>
      <c r="C8948" s="12"/>
    </row>
    <row r="8949" spans="2:3">
      <c r="B8949" s="12"/>
      <c r="C8949" s="12"/>
    </row>
    <row r="8950" spans="2:3">
      <c r="B8950" s="12"/>
      <c r="C8950" s="12"/>
    </row>
    <row r="8951" spans="2:3">
      <c r="B8951" s="12"/>
      <c r="C8951" s="12"/>
    </row>
    <row r="8952" spans="2:3">
      <c r="B8952" s="12"/>
      <c r="C8952" s="12"/>
    </row>
    <row r="8953" spans="2:3">
      <c r="B8953" s="12"/>
      <c r="C8953" s="12"/>
    </row>
    <row r="8954" spans="2:3">
      <c r="B8954" s="12"/>
      <c r="C8954" s="12"/>
    </row>
    <row r="8955" spans="2:3">
      <c r="B8955" s="12"/>
      <c r="C8955" s="12"/>
    </row>
    <row r="8956" spans="2:3">
      <c r="B8956" s="12"/>
      <c r="C8956" s="12"/>
    </row>
    <row r="8957" spans="2:3">
      <c r="B8957" s="12"/>
      <c r="C8957" s="12"/>
    </row>
    <row r="8958" spans="2:3">
      <c r="B8958" s="12"/>
      <c r="C8958" s="12"/>
    </row>
    <row r="8959" spans="2:3">
      <c r="B8959" s="12"/>
      <c r="C8959" s="12"/>
    </row>
    <row r="8960" spans="2:3">
      <c r="B8960" s="12"/>
      <c r="C8960" s="12"/>
    </row>
    <row r="8961" spans="2:3">
      <c r="B8961" s="12"/>
      <c r="C8961" s="12"/>
    </row>
    <row r="8962" spans="2:3">
      <c r="B8962" s="12"/>
      <c r="C8962" s="12"/>
    </row>
    <row r="8963" spans="2:3">
      <c r="B8963" s="12"/>
      <c r="C8963" s="12"/>
    </row>
    <row r="8964" spans="2:3">
      <c r="B8964" s="12"/>
      <c r="C8964" s="12"/>
    </row>
    <row r="8965" spans="2:3">
      <c r="B8965" s="12"/>
      <c r="C8965" s="12"/>
    </row>
    <row r="8966" spans="2:3">
      <c r="B8966" s="12"/>
      <c r="C8966" s="12"/>
    </row>
    <row r="8967" spans="2:3">
      <c r="B8967" s="12"/>
      <c r="C8967" s="12"/>
    </row>
    <row r="8968" spans="2:3">
      <c r="B8968" s="12"/>
      <c r="C8968" s="12"/>
    </row>
    <row r="8969" spans="2:3">
      <c r="B8969" s="12"/>
      <c r="C8969" s="12"/>
    </row>
    <row r="8970" spans="2:3">
      <c r="B8970" s="12"/>
      <c r="C8970" s="12"/>
    </row>
    <row r="8971" spans="2:3">
      <c r="B8971" s="12"/>
      <c r="C8971" s="12"/>
    </row>
    <row r="8972" spans="2:3">
      <c r="B8972" s="12"/>
      <c r="C8972" s="12"/>
    </row>
    <row r="8973" spans="2:3">
      <c r="B8973" s="12"/>
      <c r="C8973" s="12"/>
    </row>
    <row r="8974" spans="2:3">
      <c r="B8974" s="12"/>
      <c r="C8974" s="12"/>
    </row>
    <row r="8975" spans="2:3">
      <c r="B8975" s="12"/>
      <c r="C8975" s="12"/>
    </row>
    <row r="8976" spans="2:3">
      <c r="B8976" s="12"/>
      <c r="C8976" s="12"/>
    </row>
    <row r="8977" spans="2:3">
      <c r="B8977" s="12"/>
      <c r="C8977" s="12"/>
    </row>
    <row r="8978" spans="2:3">
      <c r="B8978" s="12"/>
      <c r="C8978" s="12"/>
    </row>
    <row r="8979" spans="2:3">
      <c r="B8979" s="12"/>
      <c r="C8979" s="12"/>
    </row>
    <row r="8980" spans="2:3">
      <c r="B8980" s="12"/>
      <c r="C8980" s="12"/>
    </row>
    <row r="8981" spans="2:3">
      <c r="B8981" s="12"/>
      <c r="C8981" s="12"/>
    </row>
    <row r="8982" spans="2:3">
      <c r="B8982" s="12"/>
      <c r="C8982" s="12"/>
    </row>
    <row r="8983" spans="2:3">
      <c r="B8983" s="12"/>
      <c r="C8983" s="12"/>
    </row>
    <row r="8984" spans="2:3">
      <c r="B8984" s="12"/>
      <c r="C8984" s="12"/>
    </row>
    <row r="8985" spans="2:3">
      <c r="B8985" s="12"/>
      <c r="C8985" s="12"/>
    </row>
    <row r="8986" spans="2:3">
      <c r="B8986" s="12"/>
      <c r="C8986" s="12"/>
    </row>
    <row r="8987" spans="2:3">
      <c r="B8987" s="12"/>
      <c r="C8987" s="12"/>
    </row>
    <row r="8988" spans="2:3">
      <c r="B8988" s="12"/>
      <c r="C8988" s="12"/>
    </row>
    <row r="8989" spans="2:3">
      <c r="B8989" s="12"/>
      <c r="C8989" s="12"/>
    </row>
    <row r="8990" spans="2:3">
      <c r="B8990" s="12"/>
      <c r="C8990" s="12"/>
    </row>
    <row r="8991" spans="2:3">
      <c r="B8991" s="12"/>
      <c r="C8991" s="12"/>
    </row>
    <row r="8992" spans="2:3">
      <c r="B8992" s="12"/>
      <c r="C8992" s="12"/>
    </row>
    <row r="8993" spans="2:3">
      <c r="B8993" s="12"/>
      <c r="C8993" s="12"/>
    </row>
    <row r="8994" spans="2:3">
      <c r="B8994" s="12"/>
      <c r="C8994" s="12"/>
    </row>
    <row r="8995" spans="2:3">
      <c r="B8995" s="12"/>
      <c r="C8995" s="12"/>
    </row>
    <row r="8996" spans="2:3">
      <c r="B8996" s="12"/>
      <c r="C8996" s="12"/>
    </row>
    <row r="8997" spans="2:3">
      <c r="B8997" s="12"/>
      <c r="C8997" s="12"/>
    </row>
    <row r="8998" spans="2:3">
      <c r="B8998" s="12"/>
      <c r="C8998" s="12"/>
    </row>
    <row r="8999" spans="2:3">
      <c r="B8999" s="12"/>
      <c r="C8999" s="12"/>
    </row>
    <row r="9000" spans="2:3">
      <c r="B9000" s="12"/>
      <c r="C9000" s="12"/>
    </row>
    <row r="9001" spans="2:3">
      <c r="B9001" s="12"/>
      <c r="C9001" s="12"/>
    </row>
    <row r="9002" spans="2:3">
      <c r="B9002" s="12"/>
      <c r="C9002" s="12"/>
    </row>
    <row r="9003" spans="2:3">
      <c r="B9003" s="12"/>
      <c r="C9003" s="12"/>
    </row>
    <row r="9004" spans="2:3">
      <c r="B9004" s="12"/>
      <c r="C9004" s="12"/>
    </row>
    <row r="9005" spans="2:3">
      <c r="B9005" s="12"/>
      <c r="C9005" s="12"/>
    </row>
    <row r="9006" spans="2:3">
      <c r="B9006" s="12"/>
      <c r="C9006" s="12"/>
    </row>
    <row r="9007" spans="2:3">
      <c r="B9007" s="12"/>
      <c r="C9007" s="12"/>
    </row>
    <row r="9008" spans="2:3">
      <c r="B9008" s="12"/>
      <c r="C9008" s="12"/>
    </row>
    <row r="9009" spans="2:3">
      <c r="B9009" s="12"/>
      <c r="C9009" s="12"/>
    </row>
    <row r="9010" spans="2:3">
      <c r="B9010" s="12"/>
      <c r="C9010" s="12"/>
    </row>
    <row r="9011" spans="2:3">
      <c r="B9011" s="12"/>
      <c r="C9011" s="12"/>
    </row>
    <row r="9012" spans="2:3">
      <c r="B9012" s="12"/>
      <c r="C9012" s="12"/>
    </row>
    <row r="9013" spans="2:3">
      <c r="B9013" s="12"/>
      <c r="C9013" s="12"/>
    </row>
    <row r="9014" spans="2:3">
      <c r="B9014" s="12"/>
      <c r="C9014" s="12"/>
    </row>
    <row r="9015" spans="2:3">
      <c r="B9015" s="12"/>
      <c r="C9015" s="12"/>
    </row>
    <row r="9016" spans="2:3">
      <c r="B9016" s="12"/>
      <c r="C9016" s="12"/>
    </row>
    <row r="9017" spans="2:3">
      <c r="B9017" s="12"/>
      <c r="C9017" s="12"/>
    </row>
    <row r="9018" spans="2:3">
      <c r="B9018" s="12"/>
      <c r="C9018" s="12"/>
    </row>
    <row r="9019" spans="2:3">
      <c r="B9019" s="12"/>
      <c r="C9019" s="12"/>
    </row>
    <row r="9020" spans="2:3">
      <c r="B9020" s="12"/>
      <c r="C9020" s="12"/>
    </row>
    <row r="9021" spans="2:3">
      <c r="B9021" s="12"/>
      <c r="C9021" s="12"/>
    </row>
    <row r="9022" spans="2:3">
      <c r="B9022" s="12"/>
      <c r="C9022" s="12"/>
    </row>
    <row r="9023" spans="2:3">
      <c r="B9023" s="12"/>
      <c r="C9023" s="12"/>
    </row>
    <row r="9024" spans="2:3">
      <c r="B9024" s="12"/>
      <c r="C9024" s="12"/>
    </row>
    <row r="9025" spans="2:3">
      <c r="B9025" s="12"/>
      <c r="C9025" s="12"/>
    </row>
    <row r="9026" spans="2:3">
      <c r="B9026" s="12"/>
      <c r="C9026" s="12"/>
    </row>
    <row r="9027" spans="2:3">
      <c r="B9027" s="12"/>
      <c r="C9027" s="12"/>
    </row>
    <row r="9028" spans="2:3">
      <c r="B9028" s="12"/>
      <c r="C9028" s="12"/>
    </row>
    <row r="9029" spans="2:3">
      <c r="B9029" s="12"/>
      <c r="C9029" s="12"/>
    </row>
    <row r="9030" spans="2:3">
      <c r="B9030" s="12"/>
      <c r="C9030" s="12"/>
    </row>
    <row r="9031" spans="2:3">
      <c r="B9031" s="12"/>
      <c r="C9031" s="12"/>
    </row>
    <row r="9032" spans="2:3">
      <c r="B9032" s="12"/>
      <c r="C9032" s="12"/>
    </row>
    <row r="9033" spans="2:3">
      <c r="B9033" s="12"/>
      <c r="C9033" s="12"/>
    </row>
    <row r="9034" spans="2:3">
      <c r="B9034" s="12"/>
      <c r="C9034" s="12"/>
    </row>
    <row r="9035" spans="2:3">
      <c r="B9035" s="12"/>
      <c r="C9035" s="12"/>
    </row>
    <row r="9036" spans="2:3">
      <c r="B9036" s="12"/>
      <c r="C9036" s="12"/>
    </row>
    <row r="9037" spans="2:3">
      <c r="B9037" s="12"/>
      <c r="C9037" s="12"/>
    </row>
    <row r="9038" spans="2:3">
      <c r="B9038" s="12"/>
      <c r="C9038" s="12"/>
    </row>
    <row r="9039" spans="2:3">
      <c r="B9039" s="12"/>
      <c r="C9039" s="12"/>
    </row>
    <row r="9040" spans="2:3">
      <c r="B9040" s="12"/>
      <c r="C9040" s="12"/>
    </row>
    <row r="9041" spans="2:3">
      <c r="B9041" s="12"/>
      <c r="C9041" s="12"/>
    </row>
    <row r="9042" spans="2:3">
      <c r="B9042" s="12"/>
      <c r="C9042" s="12"/>
    </row>
    <row r="9043" spans="2:3">
      <c r="B9043" s="12"/>
      <c r="C9043" s="12"/>
    </row>
    <row r="9044" spans="2:3">
      <c r="B9044" s="12"/>
      <c r="C9044" s="12"/>
    </row>
    <row r="9045" spans="2:3">
      <c r="B9045" s="12"/>
      <c r="C9045" s="12"/>
    </row>
    <row r="9046" spans="2:3">
      <c r="B9046" s="12"/>
      <c r="C9046" s="12"/>
    </row>
    <row r="9047" spans="2:3">
      <c r="B9047" s="12"/>
      <c r="C9047" s="12"/>
    </row>
    <row r="9048" spans="2:3">
      <c r="B9048" s="12"/>
      <c r="C9048" s="12"/>
    </row>
    <row r="9049" spans="2:3">
      <c r="B9049" s="12"/>
      <c r="C9049" s="12"/>
    </row>
    <row r="9050" spans="2:3">
      <c r="B9050" s="12"/>
      <c r="C9050" s="12"/>
    </row>
    <row r="9051" spans="2:3">
      <c r="B9051" s="12"/>
      <c r="C9051" s="12"/>
    </row>
    <row r="9052" spans="2:3">
      <c r="B9052" s="12"/>
      <c r="C9052" s="12"/>
    </row>
    <row r="9053" spans="2:3">
      <c r="B9053" s="12"/>
      <c r="C9053" s="12"/>
    </row>
    <row r="9054" spans="2:3">
      <c r="B9054" s="12"/>
      <c r="C9054" s="12"/>
    </row>
    <row r="9055" spans="2:3">
      <c r="B9055" s="12"/>
      <c r="C9055" s="12"/>
    </row>
    <row r="9056" spans="2:3">
      <c r="B9056" s="12"/>
      <c r="C9056" s="12"/>
    </row>
    <row r="9057" spans="2:3">
      <c r="B9057" s="12"/>
      <c r="C9057" s="12"/>
    </row>
    <row r="9058" spans="2:3">
      <c r="B9058" s="12"/>
      <c r="C9058" s="12"/>
    </row>
    <row r="9059" spans="2:3">
      <c r="B9059" s="12"/>
      <c r="C9059" s="12"/>
    </row>
    <row r="9060" spans="2:3">
      <c r="B9060" s="12"/>
      <c r="C9060" s="12"/>
    </row>
    <row r="9061" spans="2:3">
      <c r="B9061" s="12"/>
      <c r="C9061" s="12"/>
    </row>
    <row r="9062" spans="2:3">
      <c r="B9062" s="12"/>
      <c r="C9062" s="12"/>
    </row>
    <row r="9063" spans="2:3">
      <c r="B9063" s="12"/>
      <c r="C9063" s="12"/>
    </row>
    <row r="9064" spans="2:3">
      <c r="B9064" s="12"/>
      <c r="C9064" s="12"/>
    </row>
    <row r="9065" spans="2:3">
      <c r="B9065" s="12"/>
      <c r="C9065" s="12"/>
    </row>
    <row r="9066" spans="2:3">
      <c r="B9066" s="12"/>
      <c r="C9066" s="12"/>
    </row>
    <row r="9067" spans="2:3">
      <c r="B9067" s="12"/>
      <c r="C9067" s="12"/>
    </row>
    <row r="9068" spans="2:3">
      <c r="B9068" s="12"/>
      <c r="C9068" s="12"/>
    </row>
    <row r="9069" spans="2:3">
      <c r="B9069" s="12"/>
      <c r="C9069" s="12"/>
    </row>
    <row r="9070" spans="2:3">
      <c r="B9070" s="12"/>
      <c r="C9070" s="12"/>
    </row>
    <row r="9071" spans="2:3">
      <c r="B9071" s="12"/>
      <c r="C9071" s="12"/>
    </row>
    <row r="9072" spans="2:3">
      <c r="B9072" s="12"/>
      <c r="C9072" s="12"/>
    </row>
    <row r="9073" spans="2:3">
      <c r="B9073" s="12"/>
      <c r="C9073" s="12"/>
    </row>
    <row r="9074" spans="2:3">
      <c r="B9074" s="12"/>
      <c r="C9074" s="12"/>
    </row>
    <row r="9075" spans="2:3">
      <c r="B9075" s="12"/>
      <c r="C9075" s="12"/>
    </row>
    <row r="9076" spans="2:3">
      <c r="B9076" s="12"/>
      <c r="C9076" s="12"/>
    </row>
    <row r="9077" spans="2:3">
      <c r="B9077" s="12"/>
      <c r="C9077" s="12"/>
    </row>
    <row r="9078" spans="2:3">
      <c r="B9078" s="12"/>
      <c r="C9078" s="12"/>
    </row>
    <row r="9079" spans="2:3">
      <c r="B9079" s="12"/>
      <c r="C9079" s="12"/>
    </row>
    <row r="9080" spans="2:3">
      <c r="B9080" s="12"/>
      <c r="C9080" s="12"/>
    </row>
    <row r="9081" spans="2:3">
      <c r="B9081" s="12"/>
      <c r="C9081" s="12"/>
    </row>
    <row r="9082" spans="2:3">
      <c r="B9082" s="12"/>
      <c r="C9082" s="12"/>
    </row>
    <row r="9083" spans="2:3">
      <c r="B9083" s="12"/>
      <c r="C9083" s="12"/>
    </row>
    <row r="9084" spans="2:3">
      <c r="B9084" s="12"/>
      <c r="C9084" s="12"/>
    </row>
    <row r="9085" spans="2:3">
      <c r="B9085" s="12"/>
      <c r="C9085" s="12"/>
    </row>
    <row r="9086" spans="2:3">
      <c r="B9086" s="12"/>
      <c r="C9086" s="12"/>
    </row>
    <row r="9087" spans="2:3">
      <c r="B9087" s="12"/>
      <c r="C9087" s="12"/>
    </row>
    <row r="9088" spans="2:3">
      <c r="B9088" s="12"/>
      <c r="C9088" s="12"/>
    </row>
    <row r="9089" spans="2:3">
      <c r="B9089" s="12"/>
      <c r="C9089" s="12"/>
    </row>
    <row r="9090" spans="2:3">
      <c r="B9090" s="12"/>
      <c r="C9090" s="12"/>
    </row>
    <row r="9091" spans="2:3">
      <c r="B9091" s="12"/>
      <c r="C9091" s="12"/>
    </row>
    <row r="9092" spans="2:3">
      <c r="B9092" s="12"/>
      <c r="C9092" s="12"/>
    </row>
    <row r="9093" spans="2:3">
      <c r="B9093" s="12"/>
      <c r="C9093" s="12"/>
    </row>
    <row r="9094" spans="2:3">
      <c r="B9094" s="12"/>
      <c r="C9094" s="12"/>
    </row>
    <row r="9095" spans="2:3">
      <c r="B9095" s="12"/>
      <c r="C9095" s="12"/>
    </row>
    <row r="9096" spans="2:3">
      <c r="B9096" s="12"/>
      <c r="C9096" s="12"/>
    </row>
    <row r="9097" spans="2:3">
      <c r="B9097" s="12"/>
      <c r="C9097" s="12"/>
    </row>
    <row r="9098" spans="2:3">
      <c r="B9098" s="12"/>
      <c r="C9098" s="12"/>
    </row>
    <row r="9099" spans="2:3">
      <c r="B9099" s="12"/>
      <c r="C9099" s="12"/>
    </row>
    <row r="9100" spans="2:3">
      <c r="B9100" s="12"/>
      <c r="C9100" s="12"/>
    </row>
    <row r="9101" spans="2:3">
      <c r="B9101" s="12"/>
      <c r="C9101" s="12"/>
    </row>
    <row r="9102" spans="2:3">
      <c r="B9102" s="12"/>
      <c r="C9102" s="12"/>
    </row>
    <row r="9103" spans="2:3">
      <c r="B9103" s="12"/>
      <c r="C9103" s="12"/>
    </row>
    <row r="9104" spans="2:3">
      <c r="B9104" s="12"/>
      <c r="C9104" s="12"/>
    </row>
    <row r="9105" spans="2:3">
      <c r="B9105" s="12"/>
      <c r="C9105" s="12"/>
    </row>
    <row r="9106" spans="2:3">
      <c r="B9106" s="12"/>
      <c r="C9106" s="12"/>
    </row>
    <row r="9107" spans="2:3">
      <c r="B9107" s="12"/>
      <c r="C9107" s="12"/>
    </row>
    <row r="9108" spans="2:3">
      <c r="B9108" s="12"/>
      <c r="C9108" s="12"/>
    </row>
    <row r="9109" spans="2:3">
      <c r="B9109" s="12"/>
      <c r="C9109" s="12"/>
    </row>
    <row r="9110" spans="2:3">
      <c r="B9110" s="12"/>
      <c r="C9110" s="12"/>
    </row>
    <row r="9111" spans="2:3">
      <c r="B9111" s="12"/>
      <c r="C9111" s="12"/>
    </row>
    <row r="9112" spans="2:3">
      <c r="B9112" s="12"/>
      <c r="C9112" s="12"/>
    </row>
    <row r="9113" spans="2:3">
      <c r="B9113" s="12"/>
      <c r="C9113" s="12"/>
    </row>
    <row r="9114" spans="2:3">
      <c r="B9114" s="12"/>
      <c r="C9114" s="12"/>
    </row>
    <row r="9115" spans="2:3">
      <c r="B9115" s="12"/>
      <c r="C9115" s="12"/>
    </row>
    <row r="9116" spans="2:3">
      <c r="B9116" s="12"/>
      <c r="C9116" s="12"/>
    </row>
    <row r="9117" spans="2:3">
      <c r="B9117" s="12"/>
      <c r="C9117" s="12"/>
    </row>
    <row r="9118" spans="2:3">
      <c r="B9118" s="12"/>
      <c r="C9118" s="12"/>
    </row>
    <row r="9119" spans="2:3">
      <c r="B9119" s="12"/>
      <c r="C9119" s="12"/>
    </row>
    <row r="9120" spans="2:3">
      <c r="B9120" s="12"/>
      <c r="C9120" s="12"/>
    </row>
    <row r="9121" spans="2:3">
      <c r="B9121" s="12"/>
      <c r="C9121" s="12"/>
    </row>
    <row r="9122" spans="2:3">
      <c r="B9122" s="12"/>
      <c r="C9122" s="12"/>
    </row>
    <row r="9123" spans="2:3">
      <c r="B9123" s="12"/>
      <c r="C9123" s="12"/>
    </row>
    <row r="9124" spans="2:3">
      <c r="B9124" s="12"/>
      <c r="C9124" s="12"/>
    </row>
    <row r="9125" spans="2:3">
      <c r="B9125" s="12"/>
      <c r="C9125" s="12"/>
    </row>
    <row r="9126" spans="2:3">
      <c r="B9126" s="12"/>
      <c r="C9126" s="12"/>
    </row>
    <row r="9127" spans="2:3">
      <c r="B9127" s="12"/>
      <c r="C9127" s="12"/>
    </row>
    <row r="9128" spans="2:3">
      <c r="B9128" s="12"/>
      <c r="C9128" s="12"/>
    </row>
    <row r="9129" spans="2:3">
      <c r="B9129" s="12"/>
      <c r="C9129" s="12"/>
    </row>
    <row r="9130" spans="2:3">
      <c r="B9130" s="12"/>
      <c r="C9130" s="12"/>
    </row>
    <row r="9131" spans="2:3">
      <c r="B9131" s="12"/>
      <c r="C9131" s="12"/>
    </row>
    <row r="9132" spans="2:3">
      <c r="B9132" s="12"/>
      <c r="C9132" s="12"/>
    </row>
    <row r="9133" spans="2:3">
      <c r="B9133" s="12"/>
      <c r="C9133" s="12"/>
    </row>
    <row r="9134" spans="2:3">
      <c r="B9134" s="12"/>
      <c r="C9134" s="12"/>
    </row>
    <row r="9135" spans="2:3">
      <c r="B9135" s="12"/>
      <c r="C9135" s="12"/>
    </row>
    <row r="9136" spans="2:3">
      <c r="B9136" s="12"/>
      <c r="C9136" s="12"/>
    </row>
    <row r="9137" spans="2:3">
      <c r="B9137" s="12"/>
      <c r="C9137" s="12"/>
    </row>
    <row r="9138" spans="2:3">
      <c r="B9138" s="12"/>
      <c r="C9138" s="12"/>
    </row>
    <row r="9139" spans="2:3">
      <c r="B9139" s="12"/>
      <c r="C9139" s="12"/>
    </row>
    <row r="9140" spans="2:3">
      <c r="B9140" s="12"/>
      <c r="C9140" s="12"/>
    </row>
    <row r="9141" spans="2:3">
      <c r="B9141" s="12"/>
      <c r="C9141" s="12"/>
    </row>
    <row r="9142" spans="2:3">
      <c r="B9142" s="12"/>
      <c r="C9142" s="12"/>
    </row>
    <row r="9143" spans="2:3">
      <c r="B9143" s="12"/>
      <c r="C9143" s="12"/>
    </row>
    <row r="9144" spans="2:3">
      <c r="B9144" s="12"/>
      <c r="C9144" s="12"/>
    </row>
    <row r="9145" spans="2:3">
      <c r="B9145" s="12"/>
      <c r="C9145" s="12"/>
    </row>
    <row r="9146" spans="2:3">
      <c r="B9146" s="12"/>
      <c r="C9146" s="12"/>
    </row>
    <row r="9147" spans="2:3">
      <c r="B9147" s="12"/>
      <c r="C9147" s="12"/>
    </row>
    <row r="9148" spans="2:3">
      <c r="B9148" s="12"/>
      <c r="C9148" s="12"/>
    </row>
    <row r="9149" spans="2:3">
      <c r="B9149" s="12"/>
      <c r="C9149" s="12"/>
    </row>
    <row r="9150" spans="2:3">
      <c r="B9150" s="12"/>
      <c r="C9150" s="12"/>
    </row>
    <row r="9151" spans="2:3">
      <c r="B9151" s="12"/>
      <c r="C9151" s="12"/>
    </row>
    <row r="9152" spans="2:3">
      <c r="B9152" s="12"/>
      <c r="C9152" s="12"/>
    </row>
    <row r="9153" spans="2:3">
      <c r="B9153" s="12"/>
      <c r="C9153" s="12"/>
    </row>
    <row r="9154" spans="2:3">
      <c r="B9154" s="12"/>
      <c r="C9154" s="12"/>
    </row>
    <row r="9155" spans="2:3">
      <c r="B9155" s="12"/>
      <c r="C9155" s="12"/>
    </row>
    <row r="9156" spans="2:3">
      <c r="B9156" s="12"/>
      <c r="C9156" s="12"/>
    </row>
    <row r="9157" spans="2:3">
      <c r="B9157" s="12"/>
      <c r="C9157" s="12"/>
    </row>
    <row r="9158" spans="2:3">
      <c r="B9158" s="12"/>
      <c r="C9158" s="12"/>
    </row>
    <row r="9159" spans="2:3">
      <c r="B9159" s="12"/>
      <c r="C9159" s="12"/>
    </row>
    <row r="9160" spans="2:3">
      <c r="B9160" s="12"/>
      <c r="C9160" s="12"/>
    </row>
    <row r="9161" spans="2:3">
      <c r="B9161" s="12"/>
      <c r="C9161" s="12"/>
    </row>
    <row r="9162" spans="2:3">
      <c r="B9162" s="12"/>
      <c r="C9162" s="12"/>
    </row>
    <row r="9163" spans="2:3">
      <c r="B9163" s="12"/>
      <c r="C9163" s="12"/>
    </row>
    <row r="9164" spans="2:3">
      <c r="B9164" s="12"/>
      <c r="C9164" s="12"/>
    </row>
    <row r="9165" spans="2:3">
      <c r="B9165" s="12"/>
      <c r="C9165" s="12"/>
    </row>
    <row r="9166" spans="2:3">
      <c r="B9166" s="12"/>
      <c r="C9166" s="12"/>
    </row>
    <row r="9167" spans="2:3">
      <c r="B9167" s="12"/>
      <c r="C9167" s="12"/>
    </row>
    <row r="9168" spans="2:3">
      <c r="B9168" s="12"/>
      <c r="C9168" s="12"/>
    </row>
    <row r="9169" spans="2:3">
      <c r="B9169" s="12"/>
      <c r="C9169" s="12"/>
    </row>
    <row r="9170" spans="2:3">
      <c r="B9170" s="12"/>
      <c r="C9170" s="12"/>
    </row>
    <row r="9171" spans="2:3">
      <c r="B9171" s="12"/>
      <c r="C9171" s="12"/>
    </row>
    <row r="9172" spans="2:3">
      <c r="B9172" s="12"/>
      <c r="C9172" s="12"/>
    </row>
    <row r="9173" spans="2:3">
      <c r="B9173" s="12"/>
      <c r="C9173" s="12"/>
    </row>
    <row r="9174" spans="2:3">
      <c r="B9174" s="12"/>
      <c r="C9174" s="12"/>
    </row>
    <row r="9175" spans="2:3">
      <c r="B9175" s="12"/>
      <c r="C9175" s="12"/>
    </row>
    <row r="9176" spans="2:3">
      <c r="B9176" s="12"/>
      <c r="C9176" s="12"/>
    </row>
    <row r="9177" spans="2:3">
      <c r="B9177" s="12"/>
      <c r="C9177" s="12"/>
    </row>
    <row r="9178" spans="2:3">
      <c r="B9178" s="12"/>
      <c r="C9178" s="12"/>
    </row>
    <row r="9179" spans="2:3">
      <c r="B9179" s="12"/>
      <c r="C9179" s="12"/>
    </row>
    <row r="9180" spans="2:3">
      <c r="B9180" s="12"/>
      <c r="C9180" s="12"/>
    </row>
    <row r="9181" spans="2:3">
      <c r="B9181" s="12"/>
      <c r="C9181" s="12"/>
    </row>
    <row r="9182" spans="2:3">
      <c r="B9182" s="12"/>
      <c r="C9182" s="12"/>
    </row>
    <row r="9183" spans="2:3">
      <c r="B9183" s="12"/>
      <c r="C9183" s="12"/>
    </row>
    <row r="9184" spans="2:3">
      <c r="B9184" s="12"/>
      <c r="C9184" s="12"/>
    </row>
    <row r="9185" spans="2:3">
      <c r="B9185" s="12"/>
      <c r="C9185" s="12"/>
    </row>
    <row r="9186" spans="2:3">
      <c r="B9186" s="12"/>
      <c r="C9186" s="12"/>
    </row>
    <row r="9187" spans="2:3">
      <c r="B9187" s="12"/>
      <c r="C9187" s="12"/>
    </row>
    <row r="9188" spans="2:3">
      <c r="B9188" s="12"/>
      <c r="C9188" s="12"/>
    </row>
    <row r="9189" spans="2:3">
      <c r="B9189" s="12"/>
      <c r="C9189" s="12"/>
    </row>
    <row r="9190" spans="2:3">
      <c r="B9190" s="12"/>
      <c r="C9190" s="12"/>
    </row>
    <row r="9191" spans="2:3">
      <c r="B9191" s="12"/>
      <c r="C9191" s="12"/>
    </row>
    <row r="9192" spans="2:3">
      <c r="B9192" s="12"/>
      <c r="C9192" s="12"/>
    </row>
    <row r="9193" spans="2:3">
      <c r="B9193" s="12"/>
      <c r="C9193" s="12"/>
    </row>
    <row r="9194" spans="2:3">
      <c r="B9194" s="12"/>
      <c r="C9194" s="12"/>
    </row>
    <row r="9195" spans="2:3">
      <c r="B9195" s="12"/>
      <c r="C9195" s="12"/>
    </row>
    <row r="9196" spans="2:3">
      <c r="B9196" s="12"/>
      <c r="C9196" s="12"/>
    </row>
    <row r="9197" spans="2:3">
      <c r="B9197" s="12"/>
      <c r="C9197" s="12"/>
    </row>
    <row r="9198" spans="2:3">
      <c r="B9198" s="12"/>
      <c r="C9198" s="12"/>
    </row>
    <row r="9199" spans="2:3">
      <c r="B9199" s="12"/>
      <c r="C9199" s="12"/>
    </row>
    <row r="9200" spans="2:3">
      <c r="B9200" s="12"/>
      <c r="C9200" s="12"/>
    </row>
    <row r="9201" spans="2:3">
      <c r="B9201" s="12"/>
      <c r="C9201" s="12"/>
    </row>
    <row r="9202" spans="2:3">
      <c r="B9202" s="12"/>
      <c r="C9202" s="12"/>
    </row>
    <row r="9203" spans="2:3">
      <c r="B9203" s="12"/>
      <c r="C9203" s="12"/>
    </row>
    <row r="9204" spans="2:3">
      <c r="B9204" s="12"/>
      <c r="C9204" s="12"/>
    </row>
    <row r="9205" spans="2:3">
      <c r="B9205" s="12"/>
      <c r="C9205" s="12"/>
    </row>
    <row r="9206" spans="2:3">
      <c r="B9206" s="12"/>
      <c r="C9206" s="12"/>
    </row>
    <row r="9207" spans="2:3">
      <c r="B9207" s="12"/>
      <c r="C9207" s="12"/>
    </row>
    <row r="9208" spans="2:3">
      <c r="B9208" s="12"/>
      <c r="C9208" s="12"/>
    </row>
    <row r="9209" spans="2:3">
      <c r="B9209" s="12"/>
      <c r="C9209" s="12"/>
    </row>
    <row r="9210" spans="2:3">
      <c r="B9210" s="12"/>
      <c r="C9210" s="12"/>
    </row>
    <row r="9211" spans="2:3">
      <c r="B9211" s="12"/>
      <c r="C9211" s="12"/>
    </row>
    <row r="9212" spans="2:3">
      <c r="B9212" s="12"/>
      <c r="C9212" s="12"/>
    </row>
    <row r="9213" spans="2:3">
      <c r="B9213" s="12"/>
      <c r="C9213" s="12"/>
    </row>
    <row r="9214" spans="2:3">
      <c r="B9214" s="12"/>
      <c r="C9214" s="12"/>
    </row>
    <row r="9215" spans="2:3">
      <c r="B9215" s="12"/>
      <c r="C9215" s="12"/>
    </row>
    <row r="9216" spans="2:3">
      <c r="B9216" s="12"/>
      <c r="C9216" s="12"/>
    </row>
    <row r="9217" spans="2:3">
      <c r="B9217" s="12"/>
      <c r="C9217" s="12"/>
    </row>
    <row r="9218" spans="2:3">
      <c r="B9218" s="12"/>
      <c r="C9218" s="12"/>
    </row>
    <row r="9219" spans="2:3">
      <c r="B9219" s="12"/>
      <c r="C9219" s="12"/>
    </row>
    <row r="9220" spans="2:3">
      <c r="B9220" s="12"/>
      <c r="C9220" s="12"/>
    </row>
    <row r="9221" spans="2:3">
      <c r="B9221" s="12"/>
      <c r="C9221" s="12"/>
    </row>
    <row r="9222" spans="2:3">
      <c r="B9222" s="12"/>
      <c r="C9222" s="12"/>
    </row>
    <row r="9223" spans="2:3">
      <c r="B9223" s="12"/>
      <c r="C9223" s="12"/>
    </row>
    <row r="9224" spans="2:3">
      <c r="B9224" s="12"/>
      <c r="C9224" s="12"/>
    </row>
    <row r="9225" spans="2:3">
      <c r="B9225" s="12"/>
      <c r="C9225" s="12"/>
    </row>
    <row r="9226" spans="2:3">
      <c r="B9226" s="12"/>
      <c r="C9226" s="12"/>
    </row>
    <row r="9227" spans="2:3">
      <c r="B9227" s="12"/>
      <c r="C9227" s="12"/>
    </row>
    <row r="9228" spans="2:3">
      <c r="B9228" s="12"/>
      <c r="C9228" s="12"/>
    </row>
    <row r="9229" spans="2:3">
      <c r="B9229" s="12"/>
      <c r="C9229" s="12"/>
    </row>
    <row r="9230" spans="2:3">
      <c r="B9230" s="12"/>
      <c r="C9230" s="12"/>
    </row>
    <row r="9231" spans="2:3">
      <c r="B9231" s="12"/>
      <c r="C9231" s="12"/>
    </row>
    <row r="9232" spans="2:3">
      <c r="B9232" s="12"/>
      <c r="C9232" s="12"/>
    </row>
    <row r="9233" spans="2:3">
      <c r="B9233" s="12"/>
      <c r="C9233" s="12"/>
    </row>
    <row r="9234" spans="2:3">
      <c r="B9234" s="12"/>
      <c r="C9234" s="12"/>
    </row>
    <row r="9235" spans="2:3">
      <c r="B9235" s="12"/>
      <c r="C9235" s="12"/>
    </row>
    <row r="9236" spans="2:3">
      <c r="B9236" s="12"/>
      <c r="C9236" s="12"/>
    </row>
    <row r="9237" spans="2:3">
      <c r="B9237" s="12"/>
      <c r="C9237" s="12"/>
    </row>
    <row r="9238" spans="2:3">
      <c r="B9238" s="12"/>
      <c r="C9238" s="12"/>
    </row>
    <row r="9239" spans="2:3">
      <c r="B9239" s="12"/>
      <c r="C9239" s="12"/>
    </row>
    <row r="9240" spans="2:3">
      <c r="B9240" s="12"/>
      <c r="C9240" s="12"/>
    </row>
    <row r="9241" spans="2:3">
      <c r="B9241" s="12"/>
      <c r="C9241" s="12"/>
    </row>
    <row r="9242" spans="2:3">
      <c r="B9242" s="12"/>
      <c r="C9242" s="12"/>
    </row>
    <row r="9243" spans="2:3">
      <c r="B9243" s="12"/>
      <c r="C9243" s="12"/>
    </row>
    <row r="9244" spans="2:3">
      <c r="B9244" s="12"/>
      <c r="C9244" s="12"/>
    </row>
    <row r="9245" spans="2:3">
      <c r="B9245" s="12"/>
      <c r="C9245" s="12"/>
    </row>
    <row r="9246" spans="2:3">
      <c r="B9246" s="12"/>
      <c r="C9246" s="12"/>
    </row>
    <row r="9247" spans="2:3">
      <c r="B9247" s="12"/>
      <c r="C9247" s="12"/>
    </row>
    <row r="9248" spans="2:3">
      <c r="B9248" s="12"/>
      <c r="C9248" s="12"/>
    </row>
    <row r="9249" spans="2:3">
      <c r="B9249" s="12"/>
      <c r="C9249" s="12"/>
    </row>
    <row r="9250" spans="2:3">
      <c r="B9250" s="12"/>
      <c r="C9250" s="12"/>
    </row>
    <row r="9251" spans="2:3">
      <c r="B9251" s="12"/>
      <c r="C9251" s="12"/>
    </row>
    <row r="9252" spans="2:3">
      <c r="B9252" s="12"/>
      <c r="C9252" s="12"/>
    </row>
    <row r="9253" spans="2:3">
      <c r="B9253" s="12"/>
      <c r="C9253" s="12"/>
    </row>
    <row r="9254" spans="2:3">
      <c r="B9254" s="12"/>
      <c r="C9254" s="12"/>
    </row>
    <row r="9255" spans="2:3">
      <c r="B9255" s="12"/>
      <c r="C9255" s="12"/>
    </row>
    <row r="9256" spans="2:3">
      <c r="B9256" s="12"/>
      <c r="C9256" s="12"/>
    </row>
    <row r="9257" spans="2:3">
      <c r="B9257" s="12"/>
      <c r="C9257" s="12"/>
    </row>
    <row r="9258" spans="2:3">
      <c r="B9258" s="12"/>
      <c r="C9258" s="12"/>
    </row>
    <row r="9259" spans="2:3">
      <c r="B9259" s="12"/>
      <c r="C9259" s="12"/>
    </row>
    <row r="9260" spans="2:3">
      <c r="B9260" s="12"/>
      <c r="C9260" s="12"/>
    </row>
    <row r="9261" spans="2:3">
      <c r="B9261" s="12"/>
      <c r="C9261" s="12"/>
    </row>
    <row r="9262" spans="2:3">
      <c r="B9262" s="12"/>
      <c r="C9262" s="12"/>
    </row>
    <row r="9263" spans="2:3">
      <c r="B9263" s="12"/>
      <c r="C9263" s="12"/>
    </row>
    <row r="9264" spans="2:3">
      <c r="B9264" s="12"/>
      <c r="C9264" s="12"/>
    </row>
    <row r="9265" spans="2:3">
      <c r="B9265" s="12"/>
      <c r="C9265" s="12"/>
    </row>
    <row r="9266" spans="2:3">
      <c r="B9266" s="12"/>
      <c r="C9266" s="12"/>
    </row>
    <row r="9267" spans="2:3">
      <c r="B9267" s="12"/>
      <c r="C9267" s="12"/>
    </row>
    <row r="9268" spans="2:3">
      <c r="B9268" s="12"/>
      <c r="C9268" s="12"/>
    </row>
    <row r="9269" spans="2:3">
      <c r="B9269" s="12"/>
      <c r="C9269" s="12"/>
    </row>
    <row r="9270" spans="2:3">
      <c r="B9270" s="12"/>
      <c r="C9270" s="12"/>
    </row>
    <row r="9271" spans="2:3">
      <c r="B9271" s="12"/>
      <c r="C9271" s="12"/>
    </row>
    <row r="9272" spans="2:3">
      <c r="B9272" s="12"/>
      <c r="C9272" s="12"/>
    </row>
    <row r="9273" spans="2:3">
      <c r="B9273" s="12"/>
      <c r="C9273" s="12"/>
    </row>
    <row r="9274" spans="2:3">
      <c r="B9274" s="12"/>
      <c r="C9274" s="12"/>
    </row>
    <row r="9275" spans="2:3">
      <c r="B9275" s="12"/>
      <c r="C9275" s="12"/>
    </row>
    <row r="9276" spans="2:3">
      <c r="B9276" s="12"/>
      <c r="C9276" s="12"/>
    </row>
    <row r="9277" spans="2:3">
      <c r="B9277" s="12"/>
      <c r="C9277" s="12"/>
    </row>
    <row r="9278" spans="2:3">
      <c r="B9278" s="12"/>
      <c r="C9278" s="12"/>
    </row>
    <row r="9279" spans="2:3">
      <c r="B9279" s="12"/>
      <c r="C9279" s="12"/>
    </row>
    <row r="9280" spans="2:3">
      <c r="B9280" s="12"/>
      <c r="C9280" s="12"/>
    </row>
    <row r="9281" spans="2:3">
      <c r="B9281" s="12"/>
      <c r="C9281" s="12"/>
    </row>
    <row r="9282" spans="2:3">
      <c r="B9282" s="12"/>
      <c r="C9282" s="12"/>
    </row>
    <row r="9283" spans="2:3">
      <c r="B9283" s="12"/>
      <c r="C9283" s="12"/>
    </row>
    <row r="9284" spans="2:3">
      <c r="B9284" s="12"/>
      <c r="C9284" s="12"/>
    </row>
    <row r="9285" spans="2:3">
      <c r="B9285" s="12"/>
      <c r="C9285" s="12"/>
    </row>
    <row r="9286" spans="2:3">
      <c r="B9286" s="12"/>
      <c r="C9286" s="12"/>
    </row>
    <row r="9287" spans="2:3">
      <c r="B9287" s="12"/>
      <c r="C9287" s="12"/>
    </row>
    <row r="9288" spans="2:3">
      <c r="B9288" s="12"/>
      <c r="C9288" s="12"/>
    </row>
    <row r="9289" spans="2:3">
      <c r="B9289" s="12"/>
      <c r="C9289" s="12"/>
    </row>
    <row r="9290" spans="2:3">
      <c r="B9290" s="12"/>
      <c r="C9290" s="12"/>
    </row>
    <row r="9291" spans="2:3">
      <c r="B9291" s="12"/>
      <c r="C9291" s="12"/>
    </row>
    <row r="9292" spans="2:3">
      <c r="B9292" s="12"/>
      <c r="C9292" s="12"/>
    </row>
    <row r="9293" spans="2:3">
      <c r="B9293" s="12"/>
      <c r="C9293" s="12"/>
    </row>
    <row r="9294" spans="2:3">
      <c r="B9294" s="12"/>
      <c r="C9294" s="12"/>
    </row>
    <row r="9295" spans="2:3">
      <c r="B9295" s="12"/>
      <c r="C9295" s="12"/>
    </row>
    <row r="9296" spans="2:3">
      <c r="B9296" s="12"/>
      <c r="C9296" s="12"/>
    </row>
    <row r="9297" spans="2:3">
      <c r="B9297" s="12"/>
      <c r="C9297" s="12"/>
    </row>
    <row r="9298" spans="2:3">
      <c r="B9298" s="12"/>
      <c r="C9298" s="12"/>
    </row>
    <row r="9299" spans="2:3">
      <c r="B9299" s="12"/>
      <c r="C9299" s="12"/>
    </row>
    <row r="9300" spans="2:3">
      <c r="B9300" s="12"/>
      <c r="C9300" s="12"/>
    </row>
    <row r="9301" spans="2:3">
      <c r="B9301" s="12"/>
      <c r="C9301" s="12"/>
    </row>
    <row r="9302" spans="2:3">
      <c r="B9302" s="12"/>
      <c r="C9302" s="12"/>
    </row>
    <row r="9303" spans="2:3">
      <c r="B9303" s="12"/>
      <c r="C9303" s="12"/>
    </row>
    <row r="9304" spans="2:3">
      <c r="B9304" s="12"/>
      <c r="C9304" s="12"/>
    </row>
    <row r="9305" spans="2:3">
      <c r="B9305" s="12"/>
      <c r="C9305" s="12"/>
    </row>
    <row r="9306" spans="2:3">
      <c r="B9306" s="12"/>
      <c r="C9306" s="12"/>
    </row>
    <row r="9307" spans="2:3">
      <c r="B9307" s="12"/>
      <c r="C9307" s="12"/>
    </row>
    <row r="9308" spans="2:3">
      <c r="B9308" s="12"/>
      <c r="C9308" s="12"/>
    </row>
    <row r="9309" spans="2:3">
      <c r="B9309" s="12"/>
      <c r="C9309" s="12"/>
    </row>
    <row r="9310" spans="2:3">
      <c r="B9310" s="12"/>
      <c r="C9310" s="12"/>
    </row>
    <row r="9311" spans="2:3">
      <c r="B9311" s="12"/>
      <c r="C9311" s="12"/>
    </row>
    <row r="9312" spans="2:3">
      <c r="B9312" s="12"/>
      <c r="C9312" s="12"/>
    </row>
    <row r="9313" spans="2:3">
      <c r="B9313" s="12"/>
      <c r="C9313" s="12"/>
    </row>
    <row r="9314" spans="2:3">
      <c r="B9314" s="12"/>
      <c r="C9314" s="12"/>
    </row>
    <row r="9315" spans="2:3">
      <c r="B9315" s="12"/>
      <c r="C9315" s="12"/>
    </row>
    <row r="9316" spans="2:3">
      <c r="B9316" s="12"/>
      <c r="C9316" s="12"/>
    </row>
    <row r="9317" spans="2:3">
      <c r="B9317" s="12"/>
      <c r="C9317" s="12"/>
    </row>
    <row r="9318" spans="2:3">
      <c r="B9318" s="12"/>
      <c r="C9318" s="12"/>
    </row>
    <row r="9319" spans="2:3">
      <c r="B9319" s="12"/>
      <c r="C9319" s="12"/>
    </row>
    <row r="9320" spans="2:3">
      <c r="B9320" s="12"/>
      <c r="C9320" s="12"/>
    </row>
    <row r="9321" spans="2:3">
      <c r="B9321" s="12"/>
      <c r="C9321" s="12"/>
    </row>
    <row r="9322" spans="2:3">
      <c r="B9322" s="12"/>
      <c r="C9322" s="12"/>
    </row>
    <row r="9323" spans="2:3">
      <c r="B9323" s="12"/>
      <c r="C9323" s="12"/>
    </row>
    <row r="9324" spans="2:3">
      <c r="B9324" s="12"/>
      <c r="C9324" s="12"/>
    </row>
    <row r="9325" spans="2:3">
      <c r="B9325" s="12"/>
      <c r="C9325" s="12"/>
    </row>
    <row r="9326" spans="2:3">
      <c r="B9326" s="12"/>
      <c r="C9326" s="12"/>
    </row>
    <row r="9327" spans="2:3">
      <c r="B9327" s="12"/>
      <c r="C9327" s="12"/>
    </row>
    <row r="9328" spans="2:3">
      <c r="B9328" s="12"/>
      <c r="C9328" s="12"/>
    </row>
    <row r="9329" spans="2:3">
      <c r="B9329" s="12"/>
      <c r="C9329" s="12"/>
    </row>
    <row r="9330" spans="2:3">
      <c r="B9330" s="12"/>
      <c r="C9330" s="12"/>
    </row>
    <row r="9331" spans="2:3">
      <c r="B9331" s="12"/>
      <c r="C9331" s="12"/>
    </row>
    <row r="9332" spans="2:3">
      <c r="B9332" s="12"/>
      <c r="C9332" s="12"/>
    </row>
    <row r="9333" spans="2:3">
      <c r="B9333" s="12"/>
      <c r="C9333" s="12"/>
    </row>
    <row r="9334" spans="2:3">
      <c r="B9334" s="12"/>
      <c r="C9334" s="12"/>
    </row>
    <row r="9335" spans="2:3">
      <c r="B9335" s="12"/>
      <c r="C9335" s="12"/>
    </row>
    <row r="9336" spans="2:3">
      <c r="B9336" s="12"/>
      <c r="C9336" s="12"/>
    </row>
    <row r="9337" spans="2:3">
      <c r="B9337" s="12"/>
      <c r="C9337" s="12"/>
    </row>
    <row r="9338" spans="2:3">
      <c r="B9338" s="12"/>
      <c r="C9338" s="12"/>
    </row>
    <row r="9339" spans="2:3">
      <c r="B9339" s="12"/>
      <c r="C9339" s="12"/>
    </row>
    <row r="9340" spans="2:3">
      <c r="B9340" s="12"/>
      <c r="C9340" s="12"/>
    </row>
    <row r="9341" spans="2:3">
      <c r="B9341" s="12"/>
      <c r="C9341" s="12"/>
    </row>
    <row r="9342" spans="2:3">
      <c r="B9342" s="12"/>
      <c r="C9342" s="12"/>
    </row>
    <row r="9343" spans="2:3">
      <c r="B9343" s="12"/>
      <c r="C9343" s="12"/>
    </row>
    <row r="9344" spans="2:3">
      <c r="B9344" s="12"/>
      <c r="C9344" s="12"/>
    </row>
    <row r="9345" spans="2:3">
      <c r="B9345" s="12"/>
      <c r="C9345" s="12"/>
    </row>
    <row r="9346" spans="2:3">
      <c r="B9346" s="12"/>
      <c r="C9346" s="12"/>
    </row>
    <row r="9347" spans="2:3">
      <c r="B9347" s="12"/>
      <c r="C9347" s="12"/>
    </row>
    <row r="9348" spans="2:3">
      <c r="B9348" s="12"/>
      <c r="C9348" s="12"/>
    </row>
    <row r="9349" spans="2:3">
      <c r="B9349" s="12"/>
      <c r="C9349" s="12"/>
    </row>
    <row r="9350" spans="2:3">
      <c r="B9350" s="12"/>
      <c r="C9350" s="12"/>
    </row>
    <row r="9351" spans="2:3">
      <c r="B9351" s="12"/>
      <c r="C9351" s="12"/>
    </row>
    <row r="9352" spans="2:3">
      <c r="B9352" s="12"/>
      <c r="C9352" s="12"/>
    </row>
    <row r="9353" spans="2:3">
      <c r="B9353" s="12"/>
      <c r="C9353" s="12"/>
    </row>
    <row r="9354" spans="2:3">
      <c r="B9354" s="12"/>
      <c r="C9354" s="12"/>
    </row>
    <row r="9355" spans="2:3">
      <c r="B9355" s="12"/>
      <c r="C9355" s="12"/>
    </row>
    <row r="9356" spans="2:3">
      <c r="B9356" s="12"/>
      <c r="C9356" s="12"/>
    </row>
    <row r="9357" spans="2:3">
      <c r="B9357" s="12"/>
      <c r="C9357" s="12"/>
    </row>
    <row r="9358" spans="2:3">
      <c r="B9358" s="12"/>
      <c r="C9358" s="12"/>
    </row>
    <row r="9359" spans="2:3">
      <c r="B9359" s="12"/>
      <c r="C9359" s="12"/>
    </row>
    <row r="9360" spans="2:3">
      <c r="B9360" s="12"/>
      <c r="C9360" s="12"/>
    </row>
    <row r="9361" spans="2:3">
      <c r="B9361" s="12"/>
      <c r="C9361" s="12"/>
    </row>
    <row r="9362" spans="2:3">
      <c r="B9362" s="12"/>
      <c r="C9362" s="12"/>
    </row>
    <row r="9363" spans="2:3">
      <c r="B9363" s="12"/>
      <c r="C9363" s="12"/>
    </row>
    <row r="9364" spans="2:3">
      <c r="B9364" s="12"/>
      <c r="C9364" s="12"/>
    </row>
    <row r="9365" spans="2:3">
      <c r="B9365" s="12"/>
      <c r="C9365" s="12"/>
    </row>
    <row r="9366" spans="2:3">
      <c r="B9366" s="12"/>
      <c r="C9366" s="12"/>
    </row>
    <row r="9367" spans="2:3">
      <c r="B9367" s="12"/>
      <c r="C9367" s="12"/>
    </row>
    <row r="9368" spans="2:3">
      <c r="B9368" s="12"/>
      <c r="C9368" s="12"/>
    </row>
    <row r="9369" spans="2:3">
      <c r="B9369" s="12"/>
      <c r="C9369" s="12"/>
    </row>
    <row r="9370" spans="2:3">
      <c r="B9370" s="12"/>
      <c r="C9370" s="12"/>
    </row>
    <row r="9371" spans="2:3">
      <c r="B9371" s="12"/>
      <c r="C9371" s="12"/>
    </row>
    <row r="9372" spans="2:3">
      <c r="B9372" s="12"/>
      <c r="C9372" s="12"/>
    </row>
    <row r="9373" spans="2:3">
      <c r="B9373" s="12"/>
      <c r="C9373" s="12"/>
    </row>
    <row r="9374" spans="2:3">
      <c r="B9374" s="12"/>
      <c r="C9374" s="12"/>
    </row>
    <row r="9375" spans="2:3">
      <c r="B9375" s="12"/>
      <c r="C9375" s="12"/>
    </row>
    <row r="9376" spans="2:3">
      <c r="B9376" s="12"/>
      <c r="C9376" s="12"/>
    </row>
    <row r="9377" spans="2:3">
      <c r="B9377" s="12"/>
      <c r="C9377" s="12"/>
    </row>
    <row r="9378" spans="2:3">
      <c r="B9378" s="12"/>
      <c r="C9378" s="12"/>
    </row>
    <row r="9379" spans="2:3">
      <c r="B9379" s="12"/>
      <c r="C9379" s="12"/>
    </row>
    <row r="9380" spans="2:3">
      <c r="B9380" s="12"/>
      <c r="C9380" s="12"/>
    </row>
    <row r="9381" spans="2:3">
      <c r="B9381" s="12"/>
      <c r="C9381" s="12"/>
    </row>
    <row r="9382" spans="2:3">
      <c r="B9382" s="12"/>
      <c r="C9382" s="12"/>
    </row>
    <row r="9383" spans="2:3">
      <c r="B9383" s="12"/>
      <c r="C9383" s="12"/>
    </row>
    <row r="9384" spans="2:3">
      <c r="B9384" s="12"/>
      <c r="C9384" s="12"/>
    </row>
    <row r="9385" spans="2:3">
      <c r="B9385" s="12"/>
      <c r="C9385" s="12"/>
    </row>
    <row r="9386" spans="2:3">
      <c r="B9386" s="12"/>
      <c r="C9386" s="12"/>
    </row>
    <row r="9387" spans="2:3">
      <c r="B9387" s="12"/>
      <c r="C9387" s="12"/>
    </row>
    <row r="9388" spans="2:3">
      <c r="B9388" s="12"/>
      <c r="C9388" s="12"/>
    </row>
    <row r="9389" spans="2:3">
      <c r="B9389" s="12"/>
      <c r="C9389" s="12"/>
    </row>
    <row r="9390" spans="2:3">
      <c r="B9390" s="12"/>
      <c r="C9390" s="12"/>
    </row>
    <row r="9391" spans="2:3">
      <c r="B9391" s="12"/>
      <c r="C9391" s="12"/>
    </row>
    <row r="9392" spans="2:3">
      <c r="B9392" s="12"/>
      <c r="C9392" s="12"/>
    </row>
    <row r="9393" spans="2:3">
      <c r="B9393" s="12"/>
      <c r="C9393" s="12"/>
    </row>
    <row r="9394" spans="2:3">
      <c r="B9394" s="12"/>
      <c r="C9394" s="12"/>
    </row>
    <row r="9395" spans="2:3">
      <c r="B9395" s="12"/>
      <c r="C9395" s="12"/>
    </row>
    <row r="9396" spans="2:3">
      <c r="B9396" s="12"/>
      <c r="C9396" s="12"/>
    </row>
    <row r="9397" spans="2:3">
      <c r="B9397" s="12"/>
      <c r="C9397" s="12"/>
    </row>
    <row r="9398" spans="2:3">
      <c r="B9398" s="12"/>
      <c r="C9398" s="12"/>
    </row>
    <row r="9399" spans="2:3">
      <c r="B9399" s="12"/>
      <c r="C9399" s="12"/>
    </row>
    <row r="9400" spans="2:3">
      <c r="B9400" s="12"/>
      <c r="C9400" s="12"/>
    </row>
    <row r="9401" spans="2:3">
      <c r="B9401" s="12"/>
      <c r="C9401" s="12"/>
    </row>
    <row r="9402" spans="2:3">
      <c r="B9402" s="12"/>
      <c r="C9402" s="12"/>
    </row>
    <row r="9403" spans="2:3">
      <c r="B9403" s="12"/>
      <c r="C9403" s="12"/>
    </row>
    <row r="9404" spans="2:3">
      <c r="B9404" s="12"/>
      <c r="C9404" s="12"/>
    </row>
    <row r="9405" spans="2:3">
      <c r="B9405" s="12"/>
      <c r="C9405" s="12"/>
    </row>
    <row r="9406" spans="2:3">
      <c r="B9406" s="12"/>
      <c r="C9406" s="12"/>
    </row>
    <row r="9407" spans="2:3">
      <c r="B9407" s="12"/>
      <c r="C9407" s="12"/>
    </row>
    <row r="9408" spans="2:3">
      <c r="B9408" s="12"/>
      <c r="C9408" s="12"/>
    </row>
    <row r="9409" spans="2:3">
      <c r="B9409" s="12"/>
      <c r="C9409" s="12"/>
    </row>
    <row r="9410" spans="2:3">
      <c r="B9410" s="12"/>
      <c r="C9410" s="12"/>
    </row>
    <row r="9411" spans="2:3">
      <c r="B9411" s="12"/>
      <c r="C9411" s="12"/>
    </row>
    <row r="9412" spans="2:3">
      <c r="B9412" s="12"/>
      <c r="C9412" s="12"/>
    </row>
    <row r="9413" spans="2:3">
      <c r="B9413" s="12"/>
      <c r="C9413" s="12"/>
    </row>
    <row r="9414" spans="2:3">
      <c r="B9414" s="12"/>
      <c r="C9414" s="12"/>
    </row>
    <row r="9415" spans="2:3">
      <c r="B9415" s="12"/>
      <c r="C9415" s="12"/>
    </row>
    <row r="9416" spans="2:3">
      <c r="B9416" s="12"/>
      <c r="C9416" s="12"/>
    </row>
    <row r="9417" spans="2:3">
      <c r="B9417" s="12"/>
      <c r="C9417" s="12"/>
    </row>
    <row r="9418" spans="2:3">
      <c r="B9418" s="12"/>
      <c r="C9418" s="12"/>
    </row>
    <row r="9419" spans="2:3">
      <c r="B9419" s="12"/>
      <c r="C9419" s="12"/>
    </row>
    <row r="9420" spans="2:3">
      <c r="B9420" s="12"/>
      <c r="C9420" s="12"/>
    </row>
    <row r="9421" spans="2:3">
      <c r="B9421" s="12"/>
      <c r="C9421" s="12"/>
    </row>
    <row r="9422" spans="2:3">
      <c r="B9422" s="12"/>
      <c r="C9422" s="12"/>
    </row>
    <row r="9423" spans="2:3">
      <c r="B9423" s="12"/>
      <c r="C9423" s="12"/>
    </row>
    <row r="9424" spans="2:3">
      <c r="B9424" s="12"/>
      <c r="C9424" s="12"/>
    </row>
    <row r="9425" spans="2:3">
      <c r="B9425" s="12"/>
      <c r="C9425" s="12"/>
    </row>
    <row r="9426" spans="2:3">
      <c r="B9426" s="12"/>
      <c r="C9426" s="12"/>
    </row>
    <row r="9427" spans="2:3">
      <c r="B9427" s="12"/>
      <c r="C9427" s="12"/>
    </row>
    <row r="9428" spans="2:3">
      <c r="B9428" s="12"/>
      <c r="C9428" s="12"/>
    </row>
    <row r="9429" spans="2:3">
      <c r="B9429" s="12"/>
      <c r="C9429" s="12"/>
    </row>
    <row r="9430" spans="2:3">
      <c r="B9430" s="12"/>
      <c r="C9430" s="12"/>
    </row>
    <row r="9431" spans="2:3">
      <c r="B9431" s="12"/>
      <c r="C9431" s="12"/>
    </row>
    <row r="9432" spans="2:3">
      <c r="B9432" s="12"/>
      <c r="C9432" s="12"/>
    </row>
    <row r="9433" spans="2:3">
      <c r="B9433" s="12"/>
      <c r="C9433" s="12"/>
    </row>
    <row r="9434" spans="2:3">
      <c r="B9434" s="12"/>
      <c r="C9434" s="12"/>
    </row>
    <row r="9435" spans="2:3">
      <c r="B9435" s="12"/>
      <c r="C9435" s="12"/>
    </row>
    <row r="9436" spans="2:3">
      <c r="B9436" s="12"/>
      <c r="C9436" s="12"/>
    </row>
    <row r="9437" spans="2:3">
      <c r="B9437" s="12"/>
      <c r="C9437" s="12"/>
    </row>
    <row r="9438" spans="2:3">
      <c r="B9438" s="12"/>
      <c r="C9438" s="12"/>
    </row>
    <row r="9439" spans="2:3">
      <c r="B9439" s="12"/>
      <c r="C9439" s="12"/>
    </row>
    <row r="9440" spans="2:3">
      <c r="B9440" s="12"/>
      <c r="C9440" s="12"/>
    </row>
    <row r="9441" spans="2:3">
      <c r="B9441" s="12"/>
      <c r="C9441" s="12"/>
    </row>
    <row r="9442" spans="2:3">
      <c r="B9442" s="12"/>
      <c r="C9442" s="12"/>
    </row>
    <row r="9443" spans="2:3">
      <c r="B9443" s="12"/>
      <c r="C9443" s="12"/>
    </row>
    <row r="9444" spans="2:3">
      <c r="B9444" s="12"/>
      <c r="C9444" s="12"/>
    </row>
    <row r="9445" spans="2:3">
      <c r="B9445" s="12"/>
      <c r="C9445" s="12"/>
    </row>
    <row r="9446" spans="2:3">
      <c r="B9446" s="12"/>
      <c r="C9446" s="12"/>
    </row>
    <row r="9447" spans="2:3">
      <c r="B9447" s="12"/>
      <c r="C9447" s="12"/>
    </row>
    <row r="9448" spans="2:3">
      <c r="B9448" s="12"/>
      <c r="C9448" s="12"/>
    </row>
    <row r="9449" spans="2:3">
      <c r="B9449" s="12"/>
      <c r="C9449" s="12"/>
    </row>
    <row r="9450" spans="2:3">
      <c r="B9450" s="12"/>
      <c r="C9450" s="12"/>
    </row>
    <row r="9451" spans="2:3">
      <c r="B9451" s="12"/>
      <c r="C9451" s="12"/>
    </row>
    <row r="9452" spans="2:3">
      <c r="B9452" s="12"/>
      <c r="C9452" s="12"/>
    </row>
    <row r="9453" spans="2:3">
      <c r="B9453" s="12"/>
      <c r="C9453" s="12"/>
    </row>
    <row r="9454" spans="2:3">
      <c r="B9454" s="12"/>
      <c r="C9454" s="12"/>
    </row>
    <row r="9455" spans="2:3">
      <c r="B9455" s="12"/>
      <c r="C9455" s="12"/>
    </row>
    <row r="9456" spans="2:3">
      <c r="B9456" s="12"/>
      <c r="C9456" s="12"/>
    </row>
    <row r="9457" spans="2:3">
      <c r="B9457" s="12"/>
      <c r="C9457" s="12"/>
    </row>
    <row r="9458" spans="2:3">
      <c r="B9458" s="12"/>
      <c r="C9458" s="12"/>
    </row>
    <row r="9459" spans="2:3">
      <c r="B9459" s="12"/>
      <c r="C9459" s="12"/>
    </row>
    <row r="9460" spans="2:3">
      <c r="B9460" s="12"/>
      <c r="C9460" s="12"/>
    </row>
    <row r="9461" spans="2:3">
      <c r="B9461" s="12"/>
      <c r="C9461" s="12"/>
    </row>
    <row r="9462" spans="2:3">
      <c r="B9462" s="12"/>
      <c r="C9462" s="12"/>
    </row>
    <row r="9463" spans="2:3">
      <c r="B9463" s="12"/>
      <c r="C9463" s="12"/>
    </row>
    <row r="9464" spans="2:3">
      <c r="B9464" s="12"/>
      <c r="C9464" s="12"/>
    </row>
    <row r="9465" spans="2:3">
      <c r="B9465" s="12"/>
      <c r="C9465" s="12"/>
    </row>
    <row r="9466" spans="2:3">
      <c r="B9466" s="12"/>
      <c r="C9466" s="12"/>
    </row>
    <row r="9467" spans="2:3">
      <c r="B9467" s="12"/>
      <c r="C9467" s="12"/>
    </row>
    <row r="9468" spans="2:3">
      <c r="B9468" s="12"/>
      <c r="C9468" s="12"/>
    </row>
    <row r="9469" spans="2:3">
      <c r="B9469" s="12"/>
      <c r="C9469" s="12"/>
    </row>
    <row r="9470" spans="2:3">
      <c r="B9470" s="12"/>
      <c r="C9470" s="12"/>
    </row>
    <row r="9471" spans="2:3">
      <c r="B9471" s="12"/>
      <c r="C9471" s="12"/>
    </row>
    <row r="9472" spans="2:3">
      <c r="B9472" s="12"/>
      <c r="C9472" s="12"/>
    </row>
    <row r="9473" spans="2:3">
      <c r="B9473" s="12"/>
      <c r="C9473" s="12"/>
    </row>
    <row r="9474" spans="2:3">
      <c r="B9474" s="12"/>
      <c r="C9474" s="12"/>
    </row>
    <row r="9475" spans="2:3">
      <c r="B9475" s="12"/>
      <c r="C9475" s="12"/>
    </row>
    <row r="9476" spans="2:3">
      <c r="B9476" s="12"/>
      <c r="C9476" s="12"/>
    </row>
    <row r="9477" spans="2:3">
      <c r="B9477" s="12"/>
      <c r="C9477" s="12"/>
    </row>
    <row r="9478" spans="2:3">
      <c r="B9478" s="12"/>
      <c r="C9478" s="12"/>
    </row>
    <row r="9479" spans="2:3">
      <c r="B9479" s="12"/>
      <c r="C9479" s="12"/>
    </row>
    <row r="9480" spans="2:3">
      <c r="B9480" s="12"/>
      <c r="C9480" s="12"/>
    </row>
    <row r="9481" spans="2:3">
      <c r="B9481" s="12"/>
      <c r="C9481" s="12"/>
    </row>
    <row r="9482" spans="2:3">
      <c r="B9482" s="12"/>
      <c r="C9482" s="12"/>
    </row>
    <row r="9483" spans="2:3">
      <c r="B9483" s="12"/>
      <c r="C9483" s="12"/>
    </row>
    <row r="9484" spans="2:3">
      <c r="B9484" s="12"/>
      <c r="C9484" s="12"/>
    </row>
    <row r="9485" spans="2:3">
      <c r="B9485" s="12"/>
      <c r="C9485" s="12"/>
    </row>
    <row r="9486" spans="2:3">
      <c r="B9486" s="12"/>
      <c r="C9486" s="12"/>
    </row>
    <row r="9487" spans="2:3">
      <c r="B9487" s="12"/>
      <c r="C9487" s="12"/>
    </row>
    <row r="9488" spans="2:3">
      <c r="B9488" s="12"/>
      <c r="C9488" s="12"/>
    </row>
    <row r="9489" spans="2:3">
      <c r="B9489" s="12"/>
      <c r="C9489" s="12"/>
    </row>
    <row r="9490" spans="2:3">
      <c r="B9490" s="12"/>
      <c r="C9490" s="12"/>
    </row>
    <row r="9491" spans="2:3">
      <c r="B9491" s="12"/>
      <c r="C9491" s="12"/>
    </row>
    <row r="9492" spans="2:3">
      <c r="B9492" s="12"/>
      <c r="C9492" s="12"/>
    </row>
    <row r="9493" spans="2:3">
      <c r="B9493" s="12"/>
      <c r="C9493" s="12"/>
    </row>
    <row r="9494" spans="2:3">
      <c r="B9494" s="12"/>
      <c r="C9494" s="12"/>
    </row>
    <row r="9495" spans="2:3">
      <c r="B9495" s="12"/>
      <c r="C9495" s="12"/>
    </row>
    <row r="9496" spans="2:3">
      <c r="B9496" s="12"/>
      <c r="C9496" s="12"/>
    </row>
    <row r="9497" spans="2:3">
      <c r="B9497" s="12"/>
      <c r="C9497" s="12"/>
    </row>
    <row r="9498" spans="2:3">
      <c r="B9498" s="12"/>
      <c r="C9498" s="12"/>
    </row>
    <row r="9499" spans="2:3">
      <c r="B9499" s="12"/>
      <c r="C9499" s="12"/>
    </row>
    <row r="9500" spans="2:3">
      <c r="B9500" s="12"/>
      <c r="C9500" s="12"/>
    </row>
    <row r="9501" spans="2:3">
      <c r="B9501" s="12"/>
      <c r="C9501" s="12"/>
    </row>
    <row r="9502" spans="2:3">
      <c r="B9502" s="12"/>
      <c r="C9502" s="12"/>
    </row>
    <row r="9503" spans="2:3">
      <c r="B9503" s="12"/>
      <c r="C9503" s="12"/>
    </row>
    <row r="9504" spans="2:3">
      <c r="B9504" s="12"/>
      <c r="C9504" s="12"/>
    </row>
    <row r="9505" spans="2:3">
      <c r="B9505" s="12"/>
      <c r="C9505" s="12"/>
    </row>
    <row r="9506" spans="2:3">
      <c r="B9506" s="12"/>
      <c r="C9506" s="12"/>
    </row>
    <row r="9507" spans="2:3">
      <c r="B9507" s="12"/>
      <c r="C9507" s="12"/>
    </row>
    <row r="9508" spans="2:3">
      <c r="B9508" s="12"/>
      <c r="C9508" s="12"/>
    </row>
    <row r="9509" spans="2:3">
      <c r="B9509" s="12"/>
      <c r="C9509" s="12"/>
    </row>
    <row r="9510" spans="2:3">
      <c r="B9510" s="12"/>
      <c r="C9510" s="12"/>
    </row>
    <row r="9511" spans="2:3">
      <c r="B9511" s="12"/>
      <c r="C9511" s="12"/>
    </row>
    <row r="9512" spans="2:3">
      <c r="B9512" s="12"/>
      <c r="C9512" s="12"/>
    </row>
    <row r="9513" spans="2:3">
      <c r="B9513" s="12"/>
      <c r="C9513" s="12"/>
    </row>
    <row r="9514" spans="2:3">
      <c r="B9514" s="12"/>
      <c r="C9514" s="12"/>
    </row>
    <row r="9515" spans="2:3">
      <c r="B9515" s="12"/>
      <c r="C9515" s="12"/>
    </row>
    <row r="9516" spans="2:3">
      <c r="B9516" s="12"/>
      <c r="C9516" s="12"/>
    </row>
    <row r="9517" spans="2:3">
      <c r="B9517" s="12"/>
      <c r="C9517" s="12"/>
    </row>
    <row r="9518" spans="2:3">
      <c r="B9518" s="12"/>
      <c r="C9518" s="12"/>
    </row>
    <row r="9519" spans="2:3">
      <c r="B9519" s="12"/>
      <c r="C9519" s="12"/>
    </row>
    <row r="9520" spans="2:3">
      <c r="B9520" s="12"/>
      <c r="C9520" s="12"/>
    </row>
    <row r="9521" spans="2:3">
      <c r="B9521" s="12"/>
      <c r="C9521" s="12"/>
    </row>
    <row r="9522" spans="2:3">
      <c r="B9522" s="12"/>
      <c r="C9522" s="12"/>
    </row>
    <row r="9523" spans="2:3">
      <c r="B9523" s="12"/>
      <c r="C9523" s="12"/>
    </row>
    <row r="9524" spans="2:3">
      <c r="B9524" s="12"/>
      <c r="C9524" s="12"/>
    </row>
    <row r="9525" spans="2:3">
      <c r="B9525" s="12"/>
      <c r="C9525" s="12"/>
    </row>
    <row r="9526" spans="2:3">
      <c r="B9526" s="12"/>
      <c r="C9526" s="12"/>
    </row>
    <row r="9527" spans="2:3">
      <c r="B9527" s="12"/>
      <c r="C9527" s="12"/>
    </row>
    <row r="9528" spans="2:3">
      <c r="B9528" s="12"/>
      <c r="C9528" s="12"/>
    </row>
    <row r="9529" spans="2:3">
      <c r="B9529" s="12"/>
      <c r="C9529" s="12"/>
    </row>
    <row r="9530" spans="2:3">
      <c r="B9530" s="12"/>
      <c r="C9530" s="12"/>
    </row>
    <row r="9531" spans="2:3">
      <c r="B9531" s="12"/>
      <c r="C9531" s="12"/>
    </row>
    <row r="9532" spans="2:3">
      <c r="B9532" s="12"/>
      <c r="C9532" s="12"/>
    </row>
    <row r="9533" spans="2:3">
      <c r="B9533" s="12"/>
      <c r="C9533" s="12"/>
    </row>
    <row r="9534" spans="2:3">
      <c r="B9534" s="12"/>
      <c r="C9534" s="12"/>
    </row>
    <row r="9535" spans="2:3">
      <c r="B9535" s="12"/>
      <c r="C9535" s="12"/>
    </row>
    <row r="9536" spans="2:3">
      <c r="B9536" s="12"/>
      <c r="C9536" s="12"/>
    </row>
    <row r="9537" spans="2:3">
      <c r="B9537" s="12"/>
      <c r="C9537" s="12"/>
    </row>
    <row r="9538" spans="2:3">
      <c r="B9538" s="12"/>
      <c r="C9538" s="12"/>
    </row>
    <row r="9539" spans="2:3">
      <c r="B9539" s="12"/>
      <c r="C9539" s="12"/>
    </row>
    <row r="9540" spans="2:3">
      <c r="B9540" s="12"/>
      <c r="C9540" s="12"/>
    </row>
    <row r="9541" spans="2:3">
      <c r="B9541" s="12"/>
      <c r="C9541" s="12"/>
    </row>
    <row r="9542" spans="2:3">
      <c r="B9542" s="12"/>
      <c r="C9542" s="12"/>
    </row>
    <row r="9543" spans="2:3">
      <c r="B9543" s="12"/>
      <c r="C9543" s="12"/>
    </row>
    <row r="9544" spans="2:3">
      <c r="B9544" s="12"/>
      <c r="C9544" s="12"/>
    </row>
    <row r="9545" spans="2:3">
      <c r="B9545" s="12"/>
      <c r="C9545" s="12"/>
    </row>
    <row r="9546" spans="2:3">
      <c r="B9546" s="12"/>
      <c r="C9546" s="12"/>
    </row>
    <row r="9547" spans="2:3">
      <c r="B9547" s="12"/>
      <c r="C9547" s="12"/>
    </row>
    <row r="9548" spans="2:3">
      <c r="B9548" s="12"/>
      <c r="C9548" s="12"/>
    </row>
    <row r="9549" spans="2:3">
      <c r="B9549" s="12"/>
      <c r="C9549" s="12"/>
    </row>
    <row r="9550" spans="2:3">
      <c r="B9550" s="12"/>
      <c r="C9550" s="12"/>
    </row>
    <row r="9551" spans="2:3">
      <c r="B9551" s="12"/>
      <c r="C9551" s="12"/>
    </row>
    <row r="9552" spans="2:3">
      <c r="B9552" s="12"/>
      <c r="C9552" s="12"/>
    </row>
    <row r="9553" spans="2:3">
      <c r="B9553" s="12"/>
      <c r="C9553" s="12"/>
    </row>
    <row r="9554" spans="2:3">
      <c r="B9554" s="12"/>
      <c r="C9554" s="12"/>
    </row>
    <row r="9555" spans="2:3">
      <c r="B9555" s="12"/>
      <c r="C9555" s="12"/>
    </row>
    <row r="9556" spans="2:3">
      <c r="B9556" s="12"/>
      <c r="C9556" s="12"/>
    </row>
    <row r="9557" spans="2:3">
      <c r="B9557" s="12"/>
      <c r="C9557" s="12"/>
    </row>
    <row r="9558" spans="2:3">
      <c r="B9558" s="12"/>
      <c r="C9558" s="12"/>
    </row>
    <row r="9559" spans="2:3">
      <c r="B9559" s="12"/>
      <c r="C9559" s="12"/>
    </row>
    <row r="9560" spans="2:3">
      <c r="B9560" s="12"/>
      <c r="C9560" s="12"/>
    </row>
    <row r="9561" spans="2:3">
      <c r="B9561" s="12"/>
      <c r="C9561" s="12"/>
    </row>
    <row r="9562" spans="2:3">
      <c r="B9562" s="12"/>
      <c r="C9562" s="12"/>
    </row>
    <row r="9563" spans="2:3">
      <c r="B9563" s="12"/>
      <c r="C9563" s="12"/>
    </row>
    <row r="9564" spans="2:3">
      <c r="B9564" s="12"/>
      <c r="C9564" s="12"/>
    </row>
    <row r="9565" spans="2:3">
      <c r="B9565" s="12"/>
      <c r="C9565" s="12"/>
    </row>
    <row r="9566" spans="2:3">
      <c r="B9566" s="12"/>
      <c r="C9566" s="12"/>
    </row>
    <row r="9567" spans="2:3">
      <c r="B9567" s="12"/>
      <c r="C9567" s="12"/>
    </row>
    <row r="9568" spans="2:3">
      <c r="B9568" s="12"/>
      <c r="C9568" s="12"/>
    </row>
    <row r="9569" spans="2:3">
      <c r="B9569" s="12"/>
      <c r="C9569" s="12"/>
    </row>
    <row r="9570" spans="2:3">
      <c r="B9570" s="12"/>
      <c r="C9570" s="12"/>
    </row>
    <row r="9571" spans="2:3">
      <c r="B9571" s="12"/>
      <c r="C9571" s="12"/>
    </row>
    <row r="9572" spans="2:3">
      <c r="B9572" s="12"/>
      <c r="C9572" s="12"/>
    </row>
    <row r="9573" spans="2:3">
      <c r="B9573" s="12"/>
      <c r="C9573" s="12"/>
    </row>
    <row r="9574" spans="2:3">
      <c r="B9574" s="12"/>
      <c r="C9574" s="12"/>
    </row>
    <row r="9575" spans="2:3">
      <c r="B9575" s="12"/>
      <c r="C9575" s="12"/>
    </row>
    <row r="9576" spans="2:3">
      <c r="B9576" s="12"/>
      <c r="C9576" s="12"/>
    </row>
    <row r="9577" spans="2:3">
      <c r="B9577" s="12"/>
      <c r="C9577" s="12"/>
    </row>
    <row r="9578" spans="2:3">
      <c r="B9578" s="12"/>
      <c r="C9578" s="12"/>
    </row>
    <row r="9579" spans="2:3">
      <c r="B9579" s="12"/>
      <c r="C9579" s="12"/>
    </row>
    <row r="9580" spans="2:3">
      <c r="B9580" s="12"/>
      <c r="C9580" s="12"/>
    </row>
    <row r="9581" spans="2:3">
      <c r="B9581" s="12"/>
      <c r="C9581" s="12"/>
    </row>
    <row r="9582" spans="2:3">
      <c r="B9582" s="12"/>
      <c r="C9582" s="12"/>
    </row>
    <row r="9583" spans="2:3">
      <c r="B9583" s="12"/>
      <c r="C9583" s="12"/>
    </row>
    <row r="9584" spans="2:3">
      <c r="B9584" s="12"/>
      <c r="C9584" s="12"/>
    </row>
    <row r="9585" spans="2:3">
      <c r="B9585" s="12"/>
      <c r="C9585" s="12"/>
    </row>
    <row r="9586" spans="2:3">
      <c r="B9586" s="12"/>
      <c r="C9586" s="12"/>
    </row>
    <row r="9587" spans="2:3">
      <c r="B9587" s="12"/>
      <c r="C9587" s="12"/>
    </row>
    <row r="9588" spans="2:3">
      <c r="B9588" s="12"/>
      <c r="C9588" s="12"/>
    </row>
    <row r="9589" spans="2:3">
      <c r="B9589" s="12"/>
      <c r="C9589" s="12"/>
    </row>
    <row r="9590" spans="2:3">
      <c r="B9590" s="12"/>
      <c r="C9590" s="12"/>
    </row>
    <row r="9591" spans="2:3">
      <c r="B9591" s="12"/>
      <c r="C9591" s="12"/>
    </row>
    <row r="9592" spans="2:3">
      <c r="B9592" s="12"/>
      <c r="C9592" s="12"/>
    </row>
    <row r="9593" spans="2:3">
      <c r="B9593" s="12"/>
      <c r="C9593" s="12"/>
    </row>
    <row r="9594" spans="2:3">
      <c r="B9594" s="12"/>
      <c r="C9594" s="12"/>
    </row>
    <row r="9595" spans="2:3">
      <c r="B9595" s="12"/>
      <c r="C9595" s="12"/>
    </row>
    <row r="9596" spans="2:3">
      <c r="B9596" s="12"/>
      <c r="C9596" s="12"/>
    </row>
    <row r="9597" spans="2:3">
      <c r="B9597" s="12"/>
      <c r="C9597" s="12"/>
    </row>
    <row r="9598" spans="2:3">
      <c r="B9598" s="12"/>
      <c r="C9598" s="12"/>
    </row>
    <row r="9599" spans="2:3">
      <c r="B9599" s="12"/>
      <c r="C9599" s="12"/>
    </row>
    <row r="9600" spans="2:3">
      <c r="B9600" s="12"/>
      <c r="C9600" s="12"/>
    </row>
    <row r="9601" spans="2:3">
      <c r="B9601" s="12"/>
      <c r="C9601" s="12"/>
    </row>
    <row r="9602" spans="2:3">
      <c r="B9602" s="12"/>
      <c r="C9602" s="12"/>
    </row>
    <row r="9603" spans="2:3">
      <c r="B9603" s="12"/>
      <c r="C9603" s="12"/>
    </row>
    <row r="9604" spans="2:3">
      <c r="B9604" s="12"/>
      <c r="C9604" s="12"/>
    </row>
    <row r="9605" spans="2:3">
      <c r="B9605" s="12"/>
      <c r="C9605" s="12"/>
    </row>
    <row r="9606" spans="2:3">
      <c r="B9606" s="12"/>
      <c r="C9606" s="12"/>
    </row>
    <row r="9607" spans="2:3">
      <c r="B9607" s="12"/>
      <c r="C9607" s="12"/>
    </row>
    <row r="9608" spans="2:3">
      <c r="B9608" s="12"/>
      <c r="C9608" s="12"/>
    </row>
    <row r="9609" spans="2:3">
      <c r="B9609" s="12"/>
      <c r="C9609" s="12"/>
    </row>
    <row r="9610" spans="2:3">
      <c r="B9610" s="12"/>
      <c r="C9610" s="12"/>
    </row>
    <row r="9611" spans="2:3">
      <c r="B9611" s="12"/>
      <c r="C9611" s="12"/>
    </row>
    <row r="9612" spans="2:3">
      <c r="B9612" s="12"/>
      <c r="C9612" s="12"/>
    </row>
    <row r="9613" spans="2:3">
      <c r="B9613" s="12"/>
      <c r="C9613" s="12"/>
    </row>
    <row r="9614" spans="2:3">
      <c r="B9614" s="12"/>
      <c r="C9614" s="12"/>
    </row>
    <row r="9615" spans="2:3">
      <c r="B9615" s="12"/>
      <c r="C9615" s="12"/>
    </row>
    <row r="9616" spans="2:3">
      <c r="B9616" s="12"/>
      <c r="C9616" s="12"/>
    </row>
    <row r="9617" spans="2:3">
      <c r="B9617" s="12"/>
      <c r="C9617" s="12"/>
    </row>
    <row r="9618" spans="2:3">
      <c r="B9618" s="12"/>
      <c r="C9618" s="12"/>
    </row>
    <row r="9619" spans="2:3">
      <c r="B9619" s="12"/>
      <c r="C9619" s="12"/>
    </row>
    <row r="9620" spans="2:3">
      <c r="B9620" s="12"/>
      <c r="C9620" s="12"/>
    </row>
    <row r="9621" spans="2:3">
      <c r="B9621" s="12"/>
      <c r="C9621" s="12"/>
    </row>
    <row r="9622" spans="2:3">
      <c r="B9622" s="12"/>
      <c r="C9622" s="12"/>
    </row>
    <row r="9623" spans="2:3">
      <c r="B9623" s="12"/>
      <c r="C9623" s="12"/>
    </row>
    <row r="9624" spans="2:3">
      <c r="B9624" s="12"/>
      <c r="C9624" s="12"/>
    </row>
    <row r="9625" spans="2:3">
      <c r="B9625" s="12"/>
      <c r="C9625" s="12"/>
    </row>
    <row r="9626" spans="2:3">
      <c r="B9626" s="12"/>
      <c r="C9626" s="12"/>
    </row>
    <row r="9627" spans="2:3">
      <c r="B9627" s="12"/>
      <c r="C9627" s="12"/>
    </row>
    <row r="9628" spans="2:3">
      <c r="B9628" s="12"/>
      <c r="C9628" s="12"/>
    </row>
    <row r="9629" spans="2:3">
      <c r="B9629" s="12"/>
      <c r="C9629" s="12"/>
    </row>
    <row r="9630" spans="2:3">
      <c r="B9630" s="12"/>
      <c r="C9630" s="12"/>
    </row>
    <row r="9631" spans="2:3">
      <c r="B9631" s="12"/>
      <c r="C9631" s="12"/>
    </row>
    <row r="9632" spans="2:3">
      <c r="B9632" s="12"/>
      <c r="C9632" s="12"/>
    </row>
    <row r="9633" spans="2:3">
      <c r="B9633" s="12"/>
      <c r="C9633" s="12"/>
    </row>
    <row r="9634" spans="2:3">
      <c r="B9634" s="12"/>
      <c r="C9634" s="12"/>
    </row>
    <row r="9635" spans="2:3">
      <c r="B9635" s="12"/>
      <c r="C9635" s="12"/>
    </row>
    <row r="9636" spans="2:3">
      <c r="B9636" s="12"/>
      <c r="C9636" s="12"/>
    </row>
    <row r="9637" spans="2:3">
      <c r="B9637" s="12"/>
      <c r="C9637" s="12"/>
    </row>
    <row r="9638" spans="2:3">
      <c r="B9638" s="12"/>
      <c r="C9638" s="12"/>
    </row>
    <row r="9639" spans="2:3">
      <c r="B9639" s="12"/>
      <c r="C9639" s="12"/>
    </row>
    <row r="9640" spans="2:3">
      <c r="B9640" s="12"/>
      <c r="C9640" s="12"/>
    </row>
    <row r="9641" spans="2:3">
      <c r="B9641" s="12"/>
      <c r="C9641" s="12"/>
    </row>
    <row r="9642" spans="2:3">
      <c r="B9642" s="12"/>
      <c r="C9642" s="12"/>
    </row>
    <row r="9643" spans="2:3">
      <c r="B9643" s="12"/>
      <c r="C9643" s="12"/>
    </row>
    <row r="9644" spans="2:3">
      <c r="B9644" s="12"/>
      <c r="C9644" s="12"/>
    </row>
    <row r="9645" spans="2:3">
      <c r="B9645" s="12"/>
      <c r="C9645" s="12"/>
    </row>
    <row r="9646" spans="2:3">
      <c r="B9646" s="12"/>
      <c r="C9646" s="12"/>
    </row>
    <row r="9647" spans="2:3">
      <c r="B9647" s="12"/>
      <c r="C9647" s="12"/>
    </row>
    <row r="9648" spans="2:3">
      <c r="B9648" s="12"/>
      <c r="C9648" s="12"/>
    </row>
    <row r="9649" spans="2:3">
      <c r="B9649" s="12"/>
      <c r="C9649" s="12"/>
    </row>
    <row r="9650" spans="2:3">
      <c r="B9650" s="12"/>
      <c r="C9650" s="12"/>
    </row>
    <row r="9651" spans="2:3">
      <c r="B9651" s="12"/>
      <c r="C9651" s="12"/>
    </row>
    <row r="9652" spans="2:3">
      <c r="B9652" s="12"/>
      <c r="C9652" s="12"/>
    </row>
    <row r="9653" spans="2:3">
      <c r="B9653" s="12"/>
      <c r="C9653" s="12"/>
    </row>
    <row r="9654" spans="2:3">
      <c r="B9654" s="12"/>
      <c r="C9654" s="12"/>
    </row>
    <row r="9655" spans="2:3">
      <c r="B9655" s="12"/>
      <c r="C9655" s="12"/>
    </row>
    <row r="9656" spans="2:3">
      <c r="B9656" s="12"/>
      <c r="C9656" s="12"/>
    </row>
    <row r="9657" spans="2:3">
      <c r="B9657" s="12"/>
      <c r="C9657" s="12"/>
    </row>
    <row r="9658" spans="2:3">
      <c r="B9658" s="12"/>
      <c r="C9658" s="12"/>
    </row>
    <row r="9659" spans="2:3">
      <c r="B9659" s="12"/>
      <c r="C9659" s="12"/>
    </row>
    <row r="9660" spans="2:3">
      <c r="B9660" s="12"/>
      <c r="C9660" s="12"/>
    </row>
    <row r="9661" spans="2:3">
      <c r="B9661" s="12"/>
      <c r="C9661" s="12"/>
    </row>
    <row r="9662" spans="2:3">
      <c r="B9662" s="12"/>
      <c r="C9662" s="12"/>
    </row>
    <row r="9663" spans="2:3">
      <c r="B9663" s="12"/>
      <c r="C9663" s="12"/>
    </row>
    <row r="9664" spans="2:3">
      <c r="B9664" s="12"/>
      <c r="C9664" s="12"/>
    </row>
    <row r="9665" spans="2:3">
      <c r="B9665" s="12"/>
      <c r="C9665" s="12"/>
    </row>
    <row r="9666" spans="2:3">
      <c r="B9666" s="12"/>
      <c r="C9666" s="12"/>
    </row>
    <row r="9667" spans="2:3">
      <c r="B9667" s="12"/>
      <c r="C9667" s="12"/>
    </row>
    <row r="9668" spans="2:3">
      <c r="B9668" s="12"/>
      <c r="C9668" s="12"/>
    </row>
    <row r="9669" spans="2:3">
      <c r="B9669" s="12"/>
      <c r="C9669" s="12"/>
    </row>
    <row r="9670" spans="2:3">
      <c r="B9670" s="12"/>
      <c r="C9670" s="12"/>
    </row>
    <row r="9671" spans="2:3">
      <c r="B9671" s="12"/>
      <c r="C9671" s="12"/>
    </row>
    <row r="9672" spans="2:3">
      <c r="B9672" s="12"/>
      <c r="C9672" s="12"/>
    </row>
    <row r="9673" spans="2:3">
      <c r="B9673" s="12"/>
      <c r="C9673" s="12"/>
    </row>
    <row r="9674" spans="2:3">
      <c r="B9674" s="12"/>
      <c r="C9674" s="12"/>
    </row>
    <row r="9675" spans="2:3">
      <c r="B9675" s="12"/>
      <c r="C9675" s="12"/>
    </row>
    <row r="9676" spans="2:3">
      <c r="B9676" s="12"/>
      <c r="C9676" s="12"/>
    </row>
    <row r="9677" spans="2:3">
      <c r="B9677" s="12"/>
      <c r="C9677" s="12"/>
    </row>
    <row r="9678" spans="2:3">
      <c r="B9678" s="12"/>
      <c r="C9678" s="12"/>
    </row>
    <row r="9679" spans="2:3">
      <c r="B9679" s="12"/>
      <c r="C9679" s="12"/>
    </row>
    <row r="9680" spans="2:3">
      <c r="B9680" s="12"/>
      <c r="C9680" s="12"/>
    </row>
    <row r="9681" spans="2:3">
      <c r="B9681" s="12"/>
      <c r="C9681" s="12"/>
    </row>
    <row r="9682" spans="2:3">
      <c r="B9682" s="12"/>
      <c r="C9682" s="12"/>
    </row>
    <row r="9683" spans="2:3">
      <c r="B9683" s="12"/>
      <c r="C9683" s="12"/>
    </row>
    <row r="9684" spans="2:3">
      <c r="B9684" s="12"/>
      <c r="C9684" s="12"/>
    </row>
    <row r="9685" spans="2:3">
      <c r="B9685" s="12"/>
      <c r="C9685" s="12"/>
    </row>
    <row r="9686" spans="2:3">
      <c r="B9686" s="12"/>
      <c r="C9686" s="12"/>
    </row>
    <row r="9687" spans="2:3">
      <c r="B9687" s="12"/>
      <c r="C9687" s="12"/>
    </row>
    <row r="9688" spans="2:3">
      <c r="B9688" s="12"/>
      <c r="C9688" s="12"/>
    </row>
    <row r="9689" spans="2:3">
      <c r="B9689" s="12"/>
      <c r="C9689" s="12"/>
    </row>
    <row r="9690" spans="2:3">
      <c r="B9690" s="12"/>
      <c r="C9690" s="12"/>
    </row>
    <row r="9691" spans="2:3">
      <c r="B9691" s="12"/>
      <c r="C9691" s="12"/>
    </row>
    <row r="9692" spans="2:3">
      <c r="B9692" s="12"/>
      <c r="C9692" s="12"/>
    </row>
    <row r="9693" spans="2:3">
      <c r="B9693" s="12"/>
      <c r="C9693" s="12"/>
    </row>
    <row r="9694" spans="2:3">
      <c r="B9694" s="12"/>
      <c r="C9694" s="12"/>
    </row>
    <row r="9695" spans="2:3">
      <c r="B9695" s="12"/>
      <c r="C9695" s="12"/>
    </row>
    <row r="9696" spans="2:3">
      <c r="B9696" s="12"/>
      <c r="C9696" s="12"/>
    </row>
    <row r="9697" spans="2:3">
      <c r="B9697" s="12"/>
      <c r="C9697" s="12"/>
    </row>
    <row r="9698" spans="2:3">
      <c r="B9698" s="12"/>
      <c r="C9698" s="12"/>
    </row>
    <row r="9699" spans="2:3">
      <c r="B9699" s="12"/>
      <c r="C9699" s="12"/>
    </row>
    <row r="9700" spans="2:3">
      <c r="B9700" s="12"/>
      <c r="C9700" s="12"/>
    </row>
    <row r="9701" spans="2:3">
      <c r="B9701" s="12"/>
      <c r="C9701" s="12"/>
    </row>
    <row r="9702" spans="2:3">
      <c r="B9702" s="12"/>
      <c r="C9702" s="12"/>
    </row>
    <row r="9703" spans="2:3">
      <c r="B9703" s="12"/>
      <c r="C9703" s="12"/>
    </row>
    <row r="9704" spans="2:3">
      <c r="B9704" s="12"/>
      <c r="C9704" s="12"/>
    </row>
    <row r="9705" spans="2:3">
      <c r="B9705" s="12"/>
      <c r="C9705" s="12"/>
    </row>
    <row r="9706" spans="2:3">
      <c r="B9706" s="12"/>
      <c r="C9706" s="12"/>
    </row>
    <row r="9707" spans="2:3">
      <c r="B9707" s="12"/>
      <c r="C9707" s="12"/>
    </row>
    <row r="9708" spans="2:3">
      <c r="B9708" s="12"/>
      <c r="C9708" s="12"/>
    </row>
    <row r="9709" spans="2:3">
      <c r="B9709" s="12"/>
      <c r="C9709" s="12"/>
    </row>
    <row r="9710" spans="2:3">
      <c r="B9710" s="12"/>
      <c r="C9710" s="12"/>
    </row>
    <row r="9711" spans="2:3">
      <c r="B9711" s="12"/>
      <c r="C9711" s="12"/>
    </row>
    <row r="9712" spans="2:3">
      <c r="B9712" s="12"/>
      <c r="C9712" s="12"/>
    </row>
    <row r="9713" spans="2:3">
      <c r="B9713" s="12"/>
      <c r="C9713" s="12"/>
    </row>
    <row r="9714" spans="2:3">
      <c r="B9714" s="12"/>
      <c r="C9714" s="12"/>
    </row>
    <row r="9715" spans="2:3">
      <c r="B9715" s="12"/>
      <c r="C9715" s="12"/>
    </row>
    <row r="9716" spans="2:3">
      <c r="B9716" s="12"/>
      <c r="C9716" s="12"/>
    </row>
    <row r="9717" spans="2:3">
      <c r="B9717" s="12"/>
      <c r="C9717" s="12"/>
    </row>
    <row r="9718" spans="2:3">
      <c r="B9718" s="12"/>
      <c r="C9718" s="12"/>
    </row>
    <row r="9719" spans="2:3">
      <c r="B9719" s="12"/>
      <c r="C9719" s="12"/>
    </row>
    <row r="9720" spans="2:3">
      <c r="B9720" s="12"/>
      <c r="C9720" s="12"/>
    </row>
    <row r="9721" spans="2:3">
      <c r="B9721" s="12"/>
      <c r="C9721" s="12"/>
    </row>
    <row r="9722" spans="2:3">
      <c r="B9722" s="12"/>
      <c r="C9722" s="12"/>
    </row>
    <row r="9723" spans="2:3">
      <c r="B9723" s="12"/>
      <c r="C9723" s="12"/>
    </row>
    <row r="9724" spans="2:3">
      <c r="B9724" s="12"/>
      <c r="C9724" s="12"/>
    </row>
    <row r="9725" spans="2:3">
      <c r="B9725" s="12"/>
      <c r="C9725" s="12"/>
    </row>
    <row r="9726" spans="2:3">
      <c r="B9726" s="12"/>
      <c r="C9726" s="12"/>
    </row>
    <row r="9727" spans="2:3">
      <c r="B9727" s="12"/>
      <c r="C9727" s="12"/>
    </row>
    <row r="9728" spans="2:3">
      <c r="B9728" s="12"/>
      <c r="C9728" s="12"/>
    </row>
    <row r="9729" spans="2:3">
      <c r="B9729" s="12"/>
      <c r="C9729" s="12"/>
    </row>
    <row r="9730" spans="2:3">
      <c r="B9730" s="12"/>
      <c r="C9730" s="12"/>
    </row>
    <row r="9731" spans="2:3">
      <c r="B9731" s="12"/>
      <c r="C9731" s="12"/>
    </row>
    <row r="9732" spans="2:3">
      <c r="B9732" s="12"/>
      <c r="C9732" s="12"/>
    </row>
    <row r="9733" spans="2:3">
      <c r="B9733" s="12"/>
      <c r="C9733" s="12"/>
    </row>
    <row r="9734" spans="2:3">
      <c r="B9734" s="12"/>
      <c r="C9734" s="12"/>
    </row>
    <row r="9735" spans="2:3">
      <c r="B9735" s="12"/>
      <c r="C9735" s="12"/>
    </row>
    <row r="9736" spans="2:3">
      <c r="B9736" s="12"/>
      <c r="C9736" s="12"/>
    </row>
    <row r="9737" spans="2:3">
      <c r="B9737" s="12"/>
      <c r="C9737" s="12"/>
    </row>
    <row r="9738" spans="2:3">
      <c r="B9738" s="12"/>
      <c r="C9738" s="12"/>
    </row>
    <row r="9739" spans="2:3">
      <c r="B9739" s="12"/>
      <c r="C9739" s="12"/>
    </row>
    <row r="9740" spans="2:3">
      <c r="B9740" s="12"/>
      <c r="C9740" s="12"/>
    </row>
    <row r="9741" spans="2:3">
      <c r="B9741" s="12"/>
      <c r="C9741" s="12"/>
    </row>
    <row r="9742" spans="2:3">
      <c r="B9742" s="12"/>
      <c r="C9742" s="12"/>
    </row>
    <row r="9743" spans="2:3">
      <c r="B9743" s="12"/>
      <c r="C9743" s="12"/>
    </row>
    <row r="9744" spans="2:3">
      <c r="B9744" s="12"/>
      <c r="C9744" s="12"/>
    </row>
    <row r="9745" spans="2:3">
      <c r="B9745" s="12"/>
      <c r="C9745" s="12"/>
    </row>
    <row r="9746" spans="2:3">
      <c r="B9746" s="12"/>
      <c r="C9746" s="12"/>
    </row>
    <row r="9747" spans="2:3">
      <c r="B9747" s="12"/>
      <c r="C9747" s="12"/>
    </row>
    <row r="9748" spans="2:3">
      <c r="B9748" s="12"/>
      <c r="C9748" s="12"/>
    </row>
    <row r="9749" spans="2:3">
      <c r="B9749" s="12"/>
      <c r="C9749" s="12"/>
    </row>
    <row r="9750" spans="2:3">
      <c r="B9750" s="12"/>
      <c r="C9750" s="12"/>
    </row>
    <row r="9751" spans="2:3">
      <c r="B9751" s="12"/>
      <c r="C9751" s="12"/>
    </row>
    <row r="9752" spans="2:3">
      <c r="B9752" s="12"/>
      <c r="C9752" s="12"/>
    </row>
    <row r="9753" spans="2:3">
      <c r="B9753" s="12"/>
      <c r="C9753" s="12"/>
    </row>
    <row r="9754" spans="2:3">
      <c r="B9754" s="12"/>
      <c r="C9754" s="12"/>
    </row>
    <row r="9755" spans="2:3">
      <c r="B9755" s="12"/>
      <c r="C9755" s="12"/>
    </row>
    <row r="9756" spans="2:3">
      <c r="B9756" s="12"/>
      <c r="C9756" s="12"/>
    </row>
    <row r="9757" spans="2:3">
      <c r="B9757" s="12"/>
      <c r="C9757" s="12"/>
    </row>
    <row r="9758" spans="2:3">
      <c r="B9758" s="12"/>
      <c r="C9758" s="12"/>
    </row>
    <row r="9759" spans="2:3">
      <c r="B9759" s="12"/>
      <c r="C9759" s="12"/>
    </row>
    <row r="9760" spans="2:3">
      <c r="B9760" s="12"/>
      <c r="C9760" s="12"/>
    </row>
    <row r="9761" spans="2:3">
      <c r="B9761" s="12"/>
      <c r="C9761" s="12"/>
    </row>
    <row r="9762" spans="2:3">
      <c r="B9762" s="12"/>
      <c r="C9762" s="12"/>
    </row>
    <row r="9763" spans="2:3">
      <c r="B9763" s="12"/>
      <c r="C9763" s="12"/>
    </row>
    <row r="9764" spans="2:3">
      <c r="B9764" s="12"/>
      <c r="C9764" s="12"/>
    </row>
    <row r="9765" spans="2:3">
      <c r="B9765" s="12"/>
      <c r="C9765" s="12"/>
    </row>
    <row r="9766" spans="2:3">
      <c r="B9766" s="12"/>
      <c r="C9766" s="12"/>
    </row>
    <row r="9767" spans="2:3">
      <c r="B9767" s="12"/>
      <c r="C9767" s="12"/>
    </row>
    <row r="9768" spans="2:3">
      <c r="B9768" s="12"/>
      <c r="C9768" s="12"/>
    </row>
    <row r="9769" spans="2:3">
      <c r="B9769" s="12"/>
      <c r="C9769" s="12"/>
    </row>
    <row r="9770" spans="2:3">
      <c r="B9770" s="12"/>
      <c r="C9770" s="12"/>
    </row>
    <row r="9771" spans="2:3">
      <c r="B9771" s="12"/>
      <c r="C9771" s="12"/>
    </row>
    <row r="9772" spans="2:3">
      <c r="B9772" s="12"/>
      <c r="C9772" s="12"/>
    </row>
    <row r="9773" spans="2:3">
      <c r="B9773" s="12"/>
      <c r="C9773" s="12"/>
    </row>
    <row r="9774" spans="2:3">
      <c r="B9774" s="12"/>
      <c r="C9774" s="12"/>
    </row>
    <row r="9775" spans="2:3">
      <c r="B9775" s="12"/>
      <c r="C9775" s="12"/>
    </row>
    <row r="9776" spans="2:3">
      <c r="B9776" s="12"/>
      <c r="C9776" s="12"/>
    </row>
    <row r="9777" spans="2:3">
      <c r="B9777" s="12"/>
      <c r="C9777" s="12"/>
    </row>
    <row r="9778" spans="2:3">
      <c r="B9778" s="12"/>
      <c r="C9778" s="12"/>
    </row>
    <row r="9779" spans="2:3">
      <c r="B9779" s="12"/>
      <c r="C9779" s="12"/>
    </row>
    <row r="9780" spans="2:3">
      <c r="B9780" s="12"/>
      <c r="C9780" s="12"/>
    </row>
    <row r="9781" spans="2:3">
      <c r="B9781" s="12"/>
      <c r="C9781" s="12"/>
    </row>
    <row r="9782" spans="2:3">
      <c r="B9782" s="12"/>
      <c r="C9782" s="12"/>
    </row>
    <row r="9783" spans="2:3">
      <c r="B9783" s="12"/>
      <c r="C9783" s="12"/>
    </row>
    <row r="9784" spans="2:3">
      <c r="B9784" s="12"/>
      <c r="C9784" s="12"/>
    </row>
    <row r="9785" spans="2:3">
      <c r="B9785" s="12"/>
      <c r="C9785" s="12"/>
    </row>
    <row r="9786" spans="2:3">
      <c r="B9786" s="12"/>
      <c r="C9786" s="12"/>
    </row>
    <row r="9787" spans="2:3">
      <c r="B9787" s="12"/>
      <c r="C9787" s="12"/>
    </row>
    <row r="9788" spans="2:3">
      <c r="B9788" s="12"/>
      <c r="C9788" s="12"/>
    </row>
    <row r="9789" spans="2:3">
      <c r="B9789" s="12"/>
      <c r="C9789" s="12"/>
    </row>
    <row r="9790" spans="2:3">
      <c r="B9790" s="12"/>
      <c r="C9790" s="12"/>
    </row>
    <row r="9791" spans="2:3">
      <c r="B9791" s="12"/>
      <c r="C9791" s="12"/>
    </row>
    <row r="9792" spans="2:3">
      <c r="B9792" s="12"/>
      <c r="C9792" s="12"/>
    </row>
    <row r="9793" spans="2:3">
      <c r="B9793" s="12"/>
      <c r="C9793" s="12"/>
    </row>
    <row r="9794" spans="2:3">
      <c r="B9794" s="12"/>
      <c r="C9794" s="12"/>
    </row>
    <row r="9795" spans="2:3">
      <c r="B9795" s="12"/>
      <c r="C9795" s="12"/>
    </row>
    <row r="9796" spans="2:3">
      <c r="B9796" s="12"/>
      <c r="C9796" s="12"/>
    </row>
    <row r="9797" spans="2:3">
      <c r="B9797" s="12"/>
      <c r="C9797" s="12"/>
    </row>
    <row r="9798" spans="2:3">
      <c r="B9798" s="12"/>
      <c r="C9798" s="12"/>
    </row>
    <row r="9799" spans="2:3">
      <c r="B9799" s="12"/>
      <c r="C9799" s="12"/>
    </row>
    <row r="9800" spans="2:3">
      <c r="B9800" s="12"/>
      <c r="C9800" s="12"/>
    </row>
    <row r="9801" spans="2:3">
      <c r="B9801" s="12"/>
      <c r="C9801" s="12"/>
    </row>
    <row r="9802" spans="2:3">
      <c r="B9802" s="12"/>
      <c r="C9802" s="12"/>
    </row>
    <row r="9803" spans="2:3">
      <c r="B9803" s="12"/>
      <c r="C9803" s="12"/>
    </row>
    <row r="9804" spans="2:3">
      <c r="B9804" s="12"/>
      <c r="C9804" s="12"/>
    </row>
    <row r="9805" spans="2:3">
      <c r="B9805" s="12"/>
      <c r="C9805" s="12"/>
    </row>
    <row r="9806" spans="2:3">
      <c r="B9806" s="12"/>
      <c r="C9806" s="12"/>
    </row>
    <row r="9807" spans="2:3">
      <c r="B9807" s="12"/>
      <c r="C9807" s="12"/>
    </row>
    <row r="9808" spans="2:3">
      <c r="B9808" s="12"/>
      <c r="C9808" s="12"/>
    </row>
    <row r="9809" spans="2:3">
      <c r="B9809" s="12"/>
      <c r="C9809" s="12"/>
    </row>
    <row r="9810" spans="2:3">
      <c r="B9810" s="12"/>
      <c r="C9810" s="12"/>
    </row>
    <row r="9811" spans="2:3">
      <c r="B9811" s="12"/>
      <c r="C9811" s="12"/>
    </row>
    <row r="9812" spans="2:3">
      <c r="B9812" s="12"/>
      <c r="C9812" s="12"/>
    </row>
    <row r="9813" spans="2:3">
      <c r="B9813" s="12"/>
      <c r="C9813" s="12"/>
    </row>
    <row r="9814" spans="2:3">
      <c r="B9814" s="12"/>
      <c r="C9814" s="12"/>
    </row>
    <row r="9815" spans="2:3">
      <c r="B9815" s="12"/>
      <c r="C9815" s="12"/>
    </row>
    <row r="9816" spans="2:3">
      <c r="B9816" s="12"/>
      <c r="C9816" s="12"/>
    </row>
    <row r="9817" spans="2:3">
      <c r="B9817" s="12"/>
      <c r="C9817" s="12"/>
    </row>
    <row r="9818" spans="2:3">
      <c r="B9818" s="12"/>
      <c r="C9818" s="12"/>
    </row>
    <row r="9819" spans="2:3">
      <c r="B9819" s="12"/>
      <c r="C9819" s="12"/>
    </row>
    <row r="9820" spans="2:3">
      <c r="B9820" s="12"/>
      <c r="C9820" s="12"/>
    </row>
    <row r="9821" spans="2:3">
      <c r="B9821" s="12"/>
      <c r="C9821" s="12"/>
    </row>
    <row r="9822" spans="2:3">
      <c r="B9822" s="12"/>
      <c r="C9822" s="12"/>
    </row>
    <row r="9823" spans="2:3">
      <c r="B9823" s="12"/>
      <c r="C9823" s="12"/>
    </row>
    <row r="9824" spans="2:3">
      <c r="B9824" s="12"/>
      <c r="C9824" s="12"/>
    </row>
    <row r="9825" spans="2:3">
      <c r="B9825" s="12"/>
      <c r="C9825" s="12"/>
    </row>
    <row r="9826" spans="2:3">
      <c r="B9826" s="12"/>
      <c r="C9826" s="12"/>
    </row>
    <row r="9827" spans="2:3">
      <c r="B9827" s="12"/>
      <c r="C9827" s="12"/>
    </row>
    <row r="9828" spans="2:3">
      <c r="B9828" s="12"/>
      <c r="C9828" s="12"/>
    </row>
    <row r="9829" spans="2:3">
      <c r="B9829" s="12"/>
      <c r="C9829" s="12"/>
    </row>
    <row r="9830" spans="2:3">
      <c r="B9830" s="12"/>
      <c r="C9830" s="12"/>
    </row>
    <row r="9831" spans="2:3">
      <c r="B9831" s="12"/>
      <c r="C9831" s="12"/>
    </row>
    <row r="9832" spans="2:3">
      <c r="B9832" s="12"/>
      <c r="C9832" s="12"/>
    </row>
    <row r="9833" spans="2:3">
      <c r="B9833" s="12"/>
      <c r="C9833" s="12"/>
    </row>
    <row r="9834" spans="2:3">
      <c r="B9834" s="12"/>
      <c r="C9834" s="12"/>
    </row>
    <row r="9835" spans="2:3">
      <c r="B9835" s="12"/>
      <c r="C9835" s="12"/>
    </row>
    <row r="9836" spans="2:3">
      <c r="B9836" s="12"/>
      <c r="C9836" s="12"/>
    </row>
    <row r="9837" spans="2:3">
      <c r="B9837" s="12"/>
      <c r="C9837" s="12"/>
    </row>
    <row r="9838" spans="2:3">
      <c r="B9838" s="12"/>
      <c r="C9838" s="12"/>
    </row>
    <row r="9839" spans="2:3">
      <c r="B9839" s="12"/>
      <c r="C9839" s="12"/>
    </row>
    <row r="9840" spans="2:3">
      <c r="B9840" s="12"/>
      <c r="C9840" s="12"/>
    </row>
    <row r="9841" spans="2:3">
      <c r="B9841" s="12"/>
      <c r="C9841" s="12"/>
    </row>
    <row r="9842" spans="2:3">
      <c r="B9842" s="12"/>
      <c r="C9842" s="12"/>
    </row>
    <row r="9843" spans="2:3">
      <c r="B9843" s="12"/>
      <c r="C9843" s="12"/>
    </row>
    <row r="9844" spans="2:3">
      <c r="B9844" s="12"/>
      <c r="C9844" s="12"/>
    </row>
    <row r="9845" spans="2:3">
      <c r="B9845" s="12"/>
      <c r="C9845" s="12"/>
    </row>
    <row r="9846" spans="2:3">
      <c r="B9846" s="12"/>
      <c r="C9846" s="12"/>
    </row>
    <row r="9847" spans="2:3">
      <c r="B9847" s="12"/>
      <c r="C9847" s="12"/>
    </row>
    <row r="9848" spans="2:3">
      <c r="B9848" s="12"/>
      <c r="C9848" s="12"/>
    </row>
    <row r="9849" spans="2:3">
      <c r="B9849" s="12"/>
      <c r="C9849" s="12"/>
    </row>
    <row r="9850" spans="2:3">
      <c r="B9850" s="12"/>
      <c r="C9850" s="12"/>
    </row>
    <row r="9851" spans="2:3">
      <c r="B9851" s="12"/>
      <c r="C9851" s="12"/>
    </row>
    <row r="9852" spans="2:3">
      <c r="B9852" s="12"/>
      <c r="C9852" s="12"/>
    </row>
    <row r="9853" spans="2:3">
      <c r="B9853" s="12"/>
      <c r="C9853" s="12"/>
    </row>
    <row r="9854" spans="2:3">
      <c r="B9854" s="12"/>
      <c r="C9854" s="12"/>
    </row>
    <row r="9855" spans="2:3">
      <c r="B9855" s="12"/>
      <c r="C9855" s="12"/>
    </row>
    <row r="9856" spans="2:3">
      <c r="B9856" s="12"/>
      <c r="C9856" s="12"/>
    </row>
    <row r="9857" spans="2:3">
      <c r="B9857" s="12"/>
      <c r="C9857" s="12"/>
    </row>
    <row r="9858" spans="2:3">
      <c r="B9858" s="12"/>
      <c r="C9858" s="12"/>
    </row>
    <row r="9859" spans="2:3">
      <c r="B9859" s="12"/>
      <c r="C9859" s="12"/>
    </row>
    <row r="9860" spans="2:3">
      <c r="B9860" s="12"/>
      <c r="C9860" s="12"/>
    </row>
    <row r="9861" spans="2:3">
      <c r="B9861" s="12"/>
      <c r="C9861" s="12"/>
    </row>
    <row r="9862" spans="2:3">
      <c r="B9862" s="12"/>
      <c r="C9862" s="12"/>
    </row>
    <row r="9863" spans="2:3">
      <c r="B9863" s="12"/>
      <c r="C9863" s="12"/>
    </row>
    <row r="9864" spans="2:3">
      <c r="B9864" s="12"/>
      <c r="C9864" s="12"/>
    </row>
    <row r="9865" spans="2:3">
      <c r="B9865" s="12"/>
      <c r="C9865" s="12"/>
    </row>
    <row r="9866" spans="2:3">
      <c r="B9866" s="12"/>
      <c r="C9866" s="12"/>
    </row>
    <row r="9867" spans="2:3">
      <c r="B9867" s="12"/>
      <c r="C9867" s="12"/>
    </row>
    <row r="9868" spans="2:3">
      <c r="B9868" s="12"/>
      <c r="C9868" s="12"/>
    </row>
    <row r="9869" spans="2:3">
      <c r="B9869" s="12"/>
      <c r="C9869" s="12"/>
    </row>
    <row r="9870" spans="2:3">
      <c r="B9870" s="12"/>
      <c r="C9870" s="12"/>
    </row>
    <row r="9871" spans="2:3">
      <c r="B9871" s="12"/>
      <c r="C9871" s="12"/>
    </row>
    <row r="9872" spans="2:3">
      <c r="B9872" s="12"/>
      <c r="C9872" s="12"/>
    </row>
    <row r="9873" spans="2:3">
      <c r="B9873" s="12"/>
      <c r="C9873" s="12"/>
    </row>
    <row r="9874" spans="2:3">
      <c r="B9874" s="12"/>
      <c r="C9874" s="12"/>
    </row>
    <row r="9875" spans="2:3">
      <c r="B9875" s="12"/>
      <c r="C9875" s="12"/>
    </row>
    <row r="9876" spans="2:3">
      <c r="B9876" s="12"/>
      <c r="C9876" s="12"/>
    </row>
    <row r="9877" spans="2:3">
      <c r="B9877" s="12"/>
      <c r="C9877" s="12"/>
    </row>
    <row r="9878" spans="2:3">
      <c r="B9878" s="12"/>
      <c r="C9878" s="12"/>
    </row>
    <row r="9879" spans="2:3">
      <c r="B9879" s="12"/>
      <c r="C9879" s="12"/>
    </row>
    <row r="9880" spans="2:3">
      <c r="B9880" s="12"/>
      <c r="C9880" s="12"/>
    </row>
    <row r="9881" spans="2:3">
      <c r="B9881" s="12"/>
      <c r="C9881" s="12"/>
    </row>
    <row r="9882" spans="2:3">
      <c r="B9882" s="12"/>
      <c r="C9882" s="12"/>
    </row>
    <row r="9883" spans="2:3">
      <c r="B9883" s="12"/>
      <c r="C9883" s="12"/>
    </row>
    <row r="9884" spans="2:3">
      <c r="B9884" s="12"/>
      <c r="C9884" s="12"/>
    </row>
    <row r="9885" spans="2:3">
      <c r="B9885" s="12"/>
      <c r="C9885" s="12"/>
    </row>
    <row r="9886" spans="2:3">
      <c r="B9886" s="12"/>
      <c r="C9886" s="12"/>
    </row>
    <row r="9887" spans="2:3">
      <c r="B9887" s="12"/>
      <c r="C9887" s="12"/>
    </row>
    <row r="9888" spans="2:3">
      <c r="B9888" s="12"/>
      <c r="C9888" s="12"/>
    </row>
    <row r="9889" spans="2:3">
      <c r="B9889" s="12"/>
      <c r="C9889" s="12"/>
    </row>
    <row r="9890" spans="2:3">
      <c r="B9890" s="12"/>
      <c r="C9890" s="12"/>
    </row>
    <row r="9891" spans="2:3">
      <c r="B9891" s="12"/>
      <c r="C9891" s="12"/>
    </row>
    <row r="9892" spans="2:3">
      <c r="B9892" s="12"/>
      <c r="C9892" s="12"/>
    </row>
    <row r="9893" spans="2:3">
      <c r="B9893" s="12"/>
      <c r="C9893" s="12"/>
    </row>
    <row r="9894" spans="2:3">
      <c r="B9894" s="12"/>
      <c r="C9894" s="12"/>
    </row>
    <row r="9895" spans="2:3">
      <c r="B9895" s="12"/>
      <c r="C9895" s="12"/>
    </row>
    <row r="9896" spans="2:3">
      <c r="B9896" s="12"/>
      <c r="C9896" s="12"/>
    </row>
    <row r="9897" spans="2:3">
      <c r="B9897" s="12"/>
      <c r="C9897" s="12"/>
    </row>
    <row r="9898" spans="2:3">
      <c r="B9898" s="12"/>
      <c r="C9898" s="12"/>
    </row>
    <row r="9899" spans="2:3">
      <c r="B9899" s="12"/>
      <c r="C9899" s="12"/>
    </row>
    <row r="9900" spans="2:3">
      <c r="B9900" s="12"/>
      <c r="C9900" s="12"/>
    </row>
    <row r="9901" spans="2:3">
      <c r="B9901" s="12"/>
      <c r="C9901" s="12"/>
    </row>
    <row r="9902" spans="2:3">
      <c r="B9902" s="12"/>
      <c r="C9902" s="12"/>
    </row>
    <row r="9903" spans="2:3">
      <c r="B9903" s="12"/>
      <c r="C9903" s="12"/>
    </row>
    <row r="9904" spans="2:3">
      <c r="B9904" s="12"/>
      <c r="C9904" s="12"/>
    </row>
    <row r="9905" spans="2:3">
      <c r="B9905" s="12"/>
      <c r="C9905" s="12"/>
    </row>
    <row r="9906" spans="2:3">
      <c r="B9906" s="12"/>
      <c r="C9906" s="12"/>
    </row>
    <row r="9907" spans="2:3">
      <c r="B9907" s="12"/>
      <c r="C9907" s="12"/>
    </row>
    <row r="9908" spans="2:3">
      <c r="B9908" s="12"/>
      <c r="C9908" s="12"/>
    </row>
    <row r="9909" spans="2:3">
      <c r="B9909" s="12"/>
      <c r="C9909" s="12"/>
    </row>
    <row r="9910" spans="2:3">
      <c r="B9910" s="12"/>
      <c r="C9910" s="12"/>
    </row>
    <row r="9911" spans="2:3">
      <c r="B9911" s="12"/>
      <c r="C9911" s="12"/>
    </row>
    <row r="9912" spans="2:3">
      <c r="B9912" s="12"/>
      <c r="C9912" s="12"/>
    </row>
    <row r="9913" spans="2:3">
      <c r="B9913" s="12"/>
      <c r="C9913" s="12"/>
    </row>
    <row r="9914" spans="2:3">
      <c r="B9914" s="12"/>
      <c r="C9914" s="12"/>
    </row>
    <row r="9915" spans="2:3">
      <c r="B9915" s="12"/>
      <c r="C9915" s="12"/>
    </row>
    <row r="9916" spans="2:3">
      <c r="B9916" s="12"/>
      <c r="C9916" s="12"/>
    </row>
    <row r="9917" spans="2:3">
      <c r="B9917" s="12"/>
      <c r="C9917" s="12"/>
    </row>
    <row r="9918" spans="2:3">
      <c r="B9918" s="12"/>
      <c r="C9918" s="12"/>
    </row>
    <row r="9919" spans="2:3">
      <c r="B9919" s="12"/>
      <c r="C9919" s="12"/>
    </row>
    <row r="9920" spans="2:3">
      <c r="B9920" s="12"/>
      <c r="C9920" s="12"/>
    </row>
    <row r="9921" spans="2:3">
      <c r="B9921" s="12"/>
      <c r="C9921" s="12"/>
    </row>
    <row r="9922" spans="2:3">
      <c r="B9922" s="12"/>
      <c r="C9922" s="12"/>
    </row>
    <row r="9923" spans="2:3">
      <c r="B9923" s="12"/>
      <c r="C9923" s="12"/>
    </row>
    <row r="9924" spans="2:3">
      <c r="B9924" s="12"/>
      <c r="C9924" s="12"/>
    </row>
    <row r="9925" spans="2:3">
      <c r="B9925" s="12"/>
      <c r="C9925" s="12"/>
    </row>
    <row r="9926" spans="2:3">
      <c r="B9926" s="12"/>
      <c r="C9926" s="12"/>
    </row>
    <row r="9927" spans="2:3">
      <c r="B9927" s="12"/>
      <c r="C9927" s="12"/>
    </row>
    <row r="9928" spans="2:3">
      <c r="B9928" s="12"/>
      <c r="C9928" s="12"/>
    </row>
    <row r="9929" spans="2:3">
      <c r="B9929" s="12"/>
      <c r="C9929" s="12"/>
    </row>
    <row r="9930" spans="2:3">
      <c r="B9930" s="12"/>
      <c r="C9930" s="12"/>
    </row>
    <row r="9931" spans="2:3">
      <c r="B9931" s="12"/>
      <c r="C9931" s="12"/>
    </row>
    <row r="9932" spans="2:3">
      <c r="B9932" s="12"/>
      <c r="C9932" s="12"/>
    </row>
    <row r="9933" spans="2:3">
      <c r="B9933" s="12"/>
      <c r="C9933" s="12"/>
    </row>
    <row r="9934" spans="2:3">
      <c r="B9934" s="12"/>
      <c r="C9934" s="12"/>
    </row>
    <row r="9935" spans="2:3">
      <c r="B9935" s="12"/>
      <c r="C9935" s="12"/>
    </row>
    <row r="9936" spans="2:3">
      <c r="B9936" s="12"/>
      <c r="C9936" s="12"/>
    </row>
    <row r="9937" spans="2:3">
      <c r="B9937" s="12"/>
      <c r="C9937" s="12"/>
    </row>
    <row r="9938" spans="2:3">
      <c r="B9938" s="12"/>
      <c r="C9938" s="12"/>
    </row>
    <row r="9939" spans="2:3">
      <c r="B9939" s="12"/>
      <c r="C9939" s="12"/>
    </row>
    <row r="9940" spans="2:3">
      <c r="B9940" s="12"/>
      <c r="C9940" s="12"/>
    </row>
    <row r="9941" spans="2:3">
      <c r="B9941" s="12"/>
      <c r="C9941" s="12"/>
    </row>
    <row r="9942" spans="2:3">
      <c r="B9942" s="12"/>
      <c r="C9942" s="12"/>
    </row>
    <row r="9943" spans="2:3">
      <c r="B9943" s="12"/>
      <c r="C9943" s="12"/>
    </row>
    <row r="9944" spans="2:3">
      <c r="B9944" s="12"/>
      <c r="C9944" s="12"/>
    </row>
    <row r="9945" spans="2:3">
      <c r="B9945" s="12"/>
      <c r="C9945" s="12"/>
    </row>
    <row r="9946" spans="2:3">
      <c r="B9946" s="12"/>
      <c r="C9946" s="12"/>
    </row>
    <row r="9947" spans="2:3">
      <c r="B9947" s="12"/>
      <c r="C9947" s="12"/>
    </row>
    <row r="9948" spans="2:3">
      <c r="B9948" s="12"/>
      <c r="C9948" s="12"/>
    </row>
    <row r="9949" spans="2:3">
      <c r="B9949" s="12"/>
      <c r="C9949" s="12"/>
    </row>
    <row r="9950" spans="2:3">
      <c r="B9950" s="12"/>
      <c r="C9950" s="12"/>
    </row>
    <row r="9951" spans="2:3">
      <c r="B9951" s="12"/>
      <c r="C9951" s="12"/>
    </row>
    <row r="9952" spans="2:3">
      <c r="B9952" s="12"/>
      <c r="C9952" s="12"/>
    </row>
    <row r="9953" spans="2:3">
      <c r="B9953" s="12"/>
      <c r="C9953" s="12"/>
    </row>
    <row r="9954" spans="2:3">
      <c r="B9954" s="12"/>
      <c r="C9954" s="12"/>
    </row>
    <row r="9955" spans="2:3">
      <c r="B9955" s="12"/>
      <c r="C9955" s="12"/>
    </row>
    <row r="9956" spans="2:3">
      <c r="B9956" s="12"/>
      <c r="C9956" s="12"/>
    </row>
    <row r="9957" spans="2:3">
      <c r="B9957" s="12"/>
      <c r="C9957" s="12"/>
    </row>
    <row r="9958" spans="2:3">
      <c r="B9958" s="12"/>
      <c r="C9958" s="12"/>
    </row>
    <row r="9959" spans="2:3">
      <c r="B9959" s="12"/>
      <c r="C9959" s="12"/>
    </row>
    <row r="9960" spans="2:3">
      <c r="B9960" s="12"/>
      <c r="C9960" s="12"/>
    </row>
    <row r="9961" spans="2:3">
      <c r="B9961" s="12"/>
      <c r="C9961" s="12"/>
    </row>
    <row r="9962" spans="2:3">
      <c r="B9962" s="12"/>
      <c r="C9962" s="12"/>
    </row>
    <row r="9963" spans="2:3">
      <c r="B9963" s="12"/>
      <c r="C9963" s="12"/>
    </row>
    <row r="9964" spans="2:3">
      <c r="B9964" s="12"/>
      <c r="C9964" s="12"/>
    </row>
    <row r="9965" spans="2:3">
      <c r="B9965" s="12"/>
      <c r="C9965" s="12"/>
    </row>
    <row r="9966" spans="2:3">
      <c r="B9966" s="12"/>
      <c r="C9966" s="12"/>
    </row>
    <row r="9967" spans="2:3">
      <c r="B9967" s="12"/>
      <c r="C9967" s="12"/>
    </row>
    <row r="9968" spans="2:3">
      <c r="B9968" s="12"/>
      <c r="C9968" s="12"/>
    </row>
    <row r="9969" spans="2:3">
      <c r="B9969" s="12"/>
      <c r="C9969" s="12"/>
    </row>
    <row r="9970" spans="2:3">
      <c r="B9970" s="12"/>
      <c r="C9970" s="12"/>
    </row>
    <row r="9971" spans="2:3">
      <c r="B9971" s="12"/>
      <c r="C9971" s="12"/>
    </row>
    <row r="9972" spans="2:3">
      <c r="B9972" s="12"/>
      <c r="C9972" s="12"/>
    </row>
    <row r="9973" spans="2:3">
      <c r="B9973" s="12"/>
      <c r="C9973" s="12"/>
    </row>
    <row r="9974" spans="2:3">
      <c r="B9974" s="12"/>
      <c r="C9974" s="12"/>
    </row>
    <row r="9975" spans="2:3">
      <c r="B9975" s="12"/>
      <c r="C9975" s="12"/>
    </row>
    <row r="9976" spans="2:3">
      <c r="B9976" s="12"/>
      <c r="C9976" s="12"/>
    </row>
    <row r="9977" spans="2:3">
      <c r="B9977" s="12"/>
      <c r="C9977" s="12"/>
    </row>
    <row r="9978" spans="2:3">
      <c r="B9978" s="12"/>
      <c r="C9978" s="12"/>
    </row>
    <row r="9979" spans="2:3">
      <c r="B9979" s="12"/>
      <c r="C9979" s="12"/>
    </row>
    <row r="9980" spans="2:3">
      <c r="B9980" s="12"/>
      <c r="C9980" s="12"/>
    </row>
    <row r="9981" spans="2:3">
      <c r="B9981" s="12"/>
      <c r="C9981" s="12"/>
    </row>
    <row r="9982" spans="2:3">
      <c r="B9982" s="12"/>
      <c r="C9982" s="12"/>
    </row>
    <row r="9983" spans="2:3">
      <c r="B9983" s="12"/>
      <c r="C9983" s="12"/>
    </row>
    <row r="9984" spans="2:3">
      <c r="B9984" s="12"/>
      <c r="C9984" s="12"/>
    </row>
    <row r="9985" spans="2:3">
      <c r="B9985" s="12"/>
      <c r="C9985" s="12"/>
    </row>
    <row r="9986" spans="2:3">
      <c r="B9986" s="12"/>
      <c r="C9986" s="12"/>
    </row>
    <row r="9987" spans="2:3">
      <c r="B9987" s="12"/>
      <c r="C9987" s="12"/>
    </row>
    <row r="9988" spans="2:3">
      <c r="B9988" s="12"/>
      <c r="C9988" s="12"/>
    </row>
    <row r="9989" spans="2:3">
      <c r="B9989" s="12"/>
      <c r="C9989" s="12"/>
    </row>
    <row r="9990" spans="2:3">
      <c r="B9990" s="12"/>
      <c r="C9990" s="12"/>
    </row>
    <row r="9991" spans="2:3">
      <c r="B9991" s="12"/>
      <c r="C9991" s="12"/>
    </row>
    <row r="9992" spans="2:3">
      <c r="B9992" s="12"/>
      <c r="C9992" s="12"/>
    </row>
    <row r="9993" spans="2:3">
      <c r="B9993" s="12"/>
      <c r="C9993" s="12"/>
    </row>
    <row r="9994" spans="2:3">
      <c r="B9994" s="12"/>
      <c r="C9994" s="12"/>
    </row>
    <row r="9995" spans="2:3">
      <c r="B9995" s="12"/>
      <c r="C9995" s="12"/>
    </row>
    <row r="9996" spans="2:3">
      <c r="B9996" s="12"/>
      <c r="C9996" s="12"/>
    </row>
    <row r="9997" spans="2:3">
      <c r="B9997" s="12"/>
      <c r="C9997" s="12"/>
    </row>
    <row r="9998" spans="2:3">
      <c r="B9998" s="12"/>
      <c r="C9998" s="12"/>
    </row>
    <row r="9999" spans="2:3">
      <c r="B9999" s="12"/>
      <c r="C9999" s="12"/>
    </row>
    <row r="10000" spans="2:3">
      <c r="B10000" s="12"/>
      <c r="C10000" s="12"/>
    </row>
    <row r="10001" spans="2:3">
      <c r="B10001" s="12"/>
      <c r="C10001" s="12"/>
    </row>
    <row r="10002" spans="2:3">
      <c r="B10002" s="12"/>
      <c r="C10002" s="12"/>
    </row>
    <row r="10003" spans="2:3">
      <c r="B10003" s="12"/>
      <c r="C10003" s="12"/>
    </row>
    <row r="10004" spans="2:3">
      <c r="B10004" s="12"/>
      <c r="C10004" s="12"/>
    </row>
    <row r="10005" spans="2:3">
      <c r="B10005" s="12"/>
      <c r="C10005" s="12"/>
    </row>
    <row r="10006" spans="2:3">
      <c r="B10006" s="12"/>
      <c r="C10006" s="12"/>
    </row>
    <row r="10007" spans="2:3">
      <c r="B10007" s="12"/>
      <c r="C10007" s="12"/>
    </row>
    <row r="10008" spans="2:3">
      <c r="B10008" s="12"/>
      <c r="C10008" s="12"/>
    </row>
    <row r="10009" spans="2:3">
      <c r="B10009" s="12"/>
      <c r="C10009" s="12"/>
    </row>
    <row r="10010" spans="2:3">
      <c r="B10010" s="12"/>
      <c r="C10010" s="12"/>
    </row>
    <row r="10011" spans="2:3">
      <c r="B10011" s="12"/>
      <c r="C10011" s="12"/>
    </row>
    <row r="10012" spans="2:3">
      <c r="B10012" s="12"/>
      <c r="C10012" s="12"/>
    </row>
    <row r="10013" spans="2:3">
      <c r="B10013" s="12"/>
      <c r="C10013" s="12"/>
    </row>
    <row r="10014" spans="2:3">
      <c r="B10014" s="12"/>
      <c r="C10014" s="12"/>
    </row>
    <row r="10015" spans="2:3">
      <c r="B10015" s="12"/>
      <c r="C10015" s="12"/>
    </row>
    <row r="10016" spans="2:3">
      <c r="B10016" s="12"/>
      <c r="C10016" s="12"/>
    </row>
    <row r="10017" spans="2:3">
      <c r="B10017" s="12"/>
      <c r="C10017" s="12"/>
    </row>
    <row r="10018" spans="2:3">
      <c r="B10018" s="12"/>
      <c r="C10018" s="12"/>
    </row>
    <row r="10019" spans="2:3">
      <c r="B10019" s="12"/>
      <c r="C10019" s="12"/>
    </row>
    <row r="10020" spans="2:3">
      <c r="B10020" s="12"/>
      <c r="C10020" s="12"/>
    </row>
    <row r="10021" spans="2:3">
      <c r="B10021" s="12"/>
      <c r="C10021" s="12"/>
    </row>
    <row r="10022" spans="2:3">
      <c r="B10022" s="12"/>
      <c r="C10022" s="12"/>
    </row>
    <row r="10023" spans="2:3">
      <c r="B10023" s="12"/>
      <c r="C10023" s="12"/>
    </row>
    <row r="10024" spans="2:3">
      <c r="B10024" s="12"/>
      <c r="C10024" s="12"/>
    </row>
    <row r="10025" spans="2:3">
      <c r="B10025" s="12"/>
      <c r="C10025" s="12"/>
    </row>
    <row r="10026" spans="2:3">
      <c r="B10026" s="12"/>
      <c r="C10026" s="12"/>
    </row>
    <row r="10027" spans="2:3">
      <c r="B10027" s="12"/>
      <c r="C10027" s="12"/>
    </row>
    <row r="10028" spans="2:3">
      <c r="B10028" s="12"/>
      <c r="C10028" s="12"/>
    </row>
    <row r="10029" spans="2:3">
      <c r="B10029" s="12"/>
      <c r="C10029" s="12"/>
    </row>
    <row r="10030" spans="2:3">
      <c r="B10030" s="12"/>
      <c r="C10030" s="12"/>
    </row>
    <row r="10031" spans="2:3">
      <c r="B10031" s="12"/>
      <c r="C10031" s="12"/>
    </row>
    <row r="10032" spans="2:3">
      <c r="B10032" s="12"/>
      <c r="C10032" s="12"/>
    </row>
    <row r="10033" spans="2:3">
      <c r="B10033" s="12"/>
      <c r="C10033" s="12"/>
    </row>
    <row r="10034" spans="2:3">
      <c r="B10034" s="12"/>
      <c r="C10034" s="12"/>
    </row>
    <row r="10035" spans="2:3">
      <c r="B10035" s="12"/>
      <c r="C10035" s="12"/>
    </row>
    <row r="10036" spans="2:3">
      <c r="B10036" s="12"/>
      <c r="C10036" s="12"/>
    </row>
    <row r="10037" spans="2:3">
      <c r="B10037" s="12"/>
      <c r="C10037" s="12"/>
    </row>
    <row r="10038" spans="2:3">
      <c r="B10038" s="12"/>
      <c r="C10038" s="12"/>
    </row>
    <row r="10039" spans="2:3">
      <c r="B10039" s="12"/>
      <c r="C10039" s="12"/>
    </row>
    <row r="10040" spans="2:3">
      <c r="B10040" s="12"/>
      <c r="C10040" s="12"/>
    </row>
    <row r="10041" spans="2:3">
      <c r="B10041" s="12"/>
      <c r="C10041" s="12"/>
    </row>
    <row r="10042" spans="2:3">
      <c r="B10042" s="12"/>
      <c r="C10042" s="12"/>
    </row>
    <row r="10043" spans="2:3">
      <c r="B10043" s="12"/>
      <c r="C10043" s="12"/>
    </row>
    <row r="10044" spans="2:3">
      <c r="B10044" s="12"/>
      <c r="C10044" s="12"/>
    </row>
    <row r="10045" spans="2:3">
      <c r="B10045" s="12"/>
      <c r="C10045" s="12"/>
    </row>
    <row r="10046" spans="2:3">
      <c r="B10046" s="12"/>
      <c r="C10046" s="12"/>
    </row>
    <row r="10047" spans="2:3">
      <c r="B10047" s="12"/>
      <c r="C10047" s="12"/>
    </row>
    <row r="10048" spans="2:3">
      <c r="B10048" s="12"/>
      <c r="C10048" s="12"/>
    </row>
    <row r="10049" spans="2:3">
      <c r="B10049" s="12"/>
      <c r="C10049" s="12"/>
    </row>
    <row r="10050" spans="2:3">
      <c r="B10050" s="12"/>
      <c r="C10050" s="12"/>
    </row>
    <row r="10051" spans="2:3">
      <c r="B10051" s="12"/>
      <c r="C10051" s="12"/>
    </row>
    <row r="10052" spans="2:3">
      <c r="B10052" s="12"/>
      <c r="C10052" s="12"/>
    </row>
    <row r="10053" spans="2:3">
      <c r="B10053" s="12"/>
      <c r="C10053" s="12"/>
    </row>
    <row r="10054" spans="2:3">
      <c r="B10054" s="12"/>
      <c r="C10054" s="12"/>
    </row>
    <row r="10055" spans="2:3">
      <c r="B10055" s="12"/>
      <c r="C10055" s="12"/>
    </row>
    <row r="10056" spans="2:3">
      <c r="B10056" s="12"/>
      <c r="C10056" s="12"/>
    </row>
    <row r="10057" spans="2:3">
      <c r="B10057" s="12"/>
      <c r="C10057" s="12"/>
    </row>
    <row r="10058" spans="2:3">
      <c r="B10058" s="12"/>
      <c r="C10058" s="12"/>
    </row>
    <row r="10059" spans="2:3">
      <c r="B10059" s="12"/>
      <c r="C10059" s="12"/>
    </row>
    <row r="10060" spans="2:3">
      <c r="B10060" s="12"/>
      <c r="C10060" s="12"/>
    </row>
    <row r="10061" spans="2:3">
      <c r="B10061" s="12"/>
      <c r="C10061" s="12"/>
    </row>
    <row r="10062" spans="2:3">
      <c r="B10062" s="12"/>
      <c r="C10062" s="12"/>
    </row>
    <row r="10063" spans="2:3">
      <c r="B10063" s="12"/>
      <c r="C10063" s="12"/>
    </row>
    <row r="10064" spans="2:3">
      <c r="B10064" s="12"/>
      <c r="C10064" s="12"/>
    </row>
    <row r="10065" spans="2:3">
      <c r="B10065" s="12"/>
      <c r="C10065" s="12"/>
    </row>
    <row r="10066" spans="2:3">
      <c r="B10066" s="12"/>
      <c r="C10066" s="12"/>
    </row>
    <row r="10067" spans="2:3">
      <c r="B10067" s="12"/>
      <c r="C10067" s="12"/>
    </row>
    <row r="10068" spans="2:3">
      <c r="B10068" s="12"/>
      <c r="C10068" s="12"/>
    </row>
    <row r="10069" spans="2:3">
      <c r="B10069" s="12"/>
      <c r="C10069" s="12"/>
    </row>
    <row r="10070" spans="2:3">
      <c r="B10070" s="12"/>
      <c r="C10070" s="12"/>
    </row>
    <row r="10071" spans="2:3">
      <c r="B10071" s="12"/>
      <c r="C10071" s="12"/>
    </row>
    <row r="10072" spans="2:3">
      <c r="B10072" s="12"/>
      <c r="C10072" s="12"/>
    </row>
    <row r="10073" spans="2:3">
      <c r="B10073" s="12"/>
      <c r="C10073" s="12"/>
    </row>
    <row r="10074" spans="2:3">
      <c r="B10074" s="12"/>
      <c r="C10074" s="12"/>
    </row>
    <row r="10075" spans="2:3">
      <c r="B10075" s="12"/>
      <c r="C10075" s="12"/>
    </row>
    <row r="10076" spans="2:3">
      <c r="B10076" s="12"/>
      <c r="C10076" s="12"/>
    </row>
    <row r="10077" spans="2:3">
      <c r="B10077" s="12"/>
      <c r="C10077" s="12"/>
    </row>
    <row r="10078" spans="2:3">
      <c r="B10078" s="12"/>
      <c r="C10078" s="12"/>
    </row>
    <row r="10079" spans="2:3">
      <c r="B10079" s="12"/>
      <c r="C10079" s="12"/>
    </row>
    <row r="10080" spans="2:3">
      <c r="B10080" s="12"/>
      <c r="C10080" s="12"/>
    </row>
    <row r="10081" spans="2:3">
      <c r="B10081" s="12"/>
      <c r="C10081" s="12"/>
    </row>
    <row r="10082" spans="2:3">
      <c r="B10082" s="12"/>
      <c r="C10082" s="12"/>
    </row>
    <row r="10083" spans="2:3">
      <c r="B10083" s="12"/>
      <c r="C10083" s="12"/>
    </row>
    <row r="10084" spans="2:3">
      <c r="B10084" s="12"/>
      <c r="C10084" s="12"/>
    </row>
    <row r="10085" spans="2:3">
      <c r="B10085" s="12"/>
      <c r="C10085" s="12"/>
    </row>
    <row r="10086" spans="2:3">
      <c r="B10086" s="12"/>
      <c r="C10086" s="12"/>
    </row>
    <row r="10087" spans="2:3">
      <c r="B10087" s="12"/>
      <c r="C10087" s="12"/>
    </row>
    <row r="10088" spans="2:3">
      <c r="B10088" s="12"/>
      <c r="C10088" s="12"/>
    </row>
    <row r="10089" spans="2:3">
      <c r="B10089" s="12"/>
      <c r="C10089" s="12"/>
    </row>
    <row r="10090" spans="2:3">
      <c r="B10090" s="12"/>
      <c r="C10090" s="12"/>
    </row>
    <row r="10091" spans="2:3">
      <c r="B10091" s="12"/>
      <c r="C10091" s="12"/>
    </row>
    <row r="10092" spans="2:3">
      <c r="B10092" s="12"/>
      <c r="C10092" s="12"/>
    </row>
    <row r="10093" spans="2:3">
      <c r="B10093" s="12"/>
      <c r="C10093" s="12"/>
    </row>
    <row r="10094" spans="2:3">
      <c r="B10094" s="12"/>
      <c r="C10094" s="12"/>
    </row>
    <row r="10095" spans="2:3">
      <c r="B10095" s="12"/>
      <c r="C10095" s="12"/>
    </row>
    <row r="10096" spans="2:3">
      <c r="B10096" s="12"/>
      <c r="C10096" s="12"/>
    </row>
    <row r="10097" spans="2:3">
      <c r="B10097" s="12"/>
      <c r="C10097" s="12"/>
    </row>
    <row r="10098" spans="2:3">
      <c r="B10098" s="12"/>
      <c r="C10098" s="12"/>
    </row>
    <row r="10099" spans="2:3">
      <c r="B10099" s="12"/>
      <c r="C10099" s="12"/>
    </row>
    <row r="10100" spans="2:3">
      <c r="B10100" s="12"/>
      <c r="C10100" s="12"/>
    </row>
    <row r="10101" spans="2:3">
      <c r="B10101" s="12"/>
      <c r="C10101" s="12"/>
    </row>
    <row r="10102" spans="2:3">
      <c r="B10102" s="12"/>
      <c r="C10102" s="12"/>
    </row>
    <row r="10103" spans="2:3">
      <c r="B10103" s="12"/>
      <c r="C10103" s="12"/>
    </row>
    <row r="10104" spans="2:3">
      <c r="B10104" s="12"/>
      <c r="C10104" s="12"/>
    </row>
    <row r="10105" spans="2:3">
      <c r="B10105" s="12"/>
      <c r="C10105" s="12"/>
    </row>
    <row r="10106" spans="2:3">
      <c r="B10106" s="12"/>
      <c r="C10106" s="12"/>
    </row>
    <row r="10107" spans="2:3">
      <c r="B10107" s="12"/>
      <c r="C10107" s="12"/>
    </row>
    <row r="10108" spans="2:3">
      <c r="B10108" s="12"/>
      <c r="C10108" s="12"/>
    </row>
    <row r="10109" spans="2:3">
      <c r="B10109" s="12"/>
      <c r="C10109" s="12"/>
    </row>
    <row r="10110" spans="2:3">
      <c r="B10110" s="12"/>
      <c r="C10110" s="12"/>
    </row>
    <row r="10111" spans="2:3">
      <c r="B10111" s="12"/>
      <c r="C10111" s="12"/>
    </row>
    <row r="10112" spans="2:3">
      <c r="B10112" s="12"/>
      <c r="C10112" s="12"/>
    </row>
    <row r="10113" spans="2:3">
      <c r="B10113" s="12"/>
      <c r="C10113" s="12"/>
    </row>
    <row r="10114" spans="2:3">
      <c r="B10114" s="12"/>
      <c r="C10114" s="12"/>
    </row>
    <row r="10115" spans="2:3">
      <c r="B10115" s="12"/>
      <c r="C10115" s="12"/>
    </row>
    <row r="10116" spans="2:3">
      <c r="B10116" s="12"/>
      <c r="C10116" s="12"/>
    </row>
    <row r="10117" spans="2:3">
      <c r="B10117" s="12"/>
      <c r="C10117" s="12"/>
    </row>
    <row r="10118" spans="2:3">
      <c r="B10118" s="12"/>
      <c r="C10118" s="12"/>
    </row>
    <row r="10119" spans="2:3">
      <c r="B10119" s="12"/>
      <c r="C10119" s="12"/>
    </row>
    <row r="10120" spans="2:3">
      <c r="B10120" s="12"/>
      <c r="C10120" s="12"/>
    </row>
    <row r="10121" spans="2:3">
      <c r="B10121" s="12"/>
      <c r="C10121" s="12"/>
    </row>
    <row r="10122" spans="2:3">
      <c r="B10122" s="12"/>
      <c r="C10122" s="12"/>
    </row>
    <row r="10123" spans="2:3">
      <c r="B10123" s="12"/>
      <c r="C10123" s="12"/>
    </row>
    <row r="10124" spans="2:3">
      <c r="B10124" s="12"/>
      <c r="C10124" s="12"/>
    </row>
    <row r="10125" spans="2:3">
      <c r="B10125" s="12"/>
      <c r="C10125" s="12"/>
    </row>
    <row r="10126" spans="2:3">
      <c r="B10126" s="12"/>
      <c r="C10126" s="12"/>
    </row>
    <row r="10127" spans="2:3">
      <c r="B10127" s="12"/>
      <c r="C10127" s="12"/>
    </row>
    <row r="10128" spans="2:3">
      <c r="B10128" s="12"/>
      <c r="C10128" s="12"/>
    </row>
    <row r="10129" spans="2:3">
      <c r="B10129" s="12"/>
      <c r="C10129" s="12"/>
    </row>
    <row r="10130" spans="2:3">
      <c r="B10130" s="12"/>
      <c r="C10130" s="12"/>
    </row>
    <row r="10131" spans="2:3">
      <c r="B10131" s="12"/>
      <c r="C10131" s="12"/>
    </row>
    <row r="10132" spans="2:3">
      <c r="B10132" s="12"/>
      <c r="C10132" s="12"/>
    </row>
    <row r="10133" spans="2:3">
      <c r="B10133" s="12"/>
      <c r="C10133" s="12"/>
    </row>
    <row r="10134" spans="2:3">
      <c r="B10134" s="12"/>
      <c r="C10134" s="12"/>
    </row>
    <row r="10135" spans="2:3">
      <c r="B10135" s="12"/>
      <c r="C10135" s="12"/>
    </row>
    <row r="10136" spans="2:3">
      <c r="B10136" s="12"/>
      <c r="C10136" s="12"/>
    </row>
    <row r="10137" spans="2:3">
      <c r="B10137" s="12"/>
      <c r="C10137" s="12"/>
    </row>
    <row r="10138" spans="2:3">
      <c r="B10138" s="12"/>
      <c r="C10138" s="12"/>
    </row>
    <row r="10139" spans="2:3">
      <c r="B10139" s="12"/>
      <c r="C10139" s="12"/>
    </row>
    <row r="10140" spans="2:3">
      <c r="B10140" s="12"/>
      <c r="C10140" s="12"/>
    </row>
    <row r="10141" spans="2:3">
      <c r="B10141" s="12"/>
      <c r="C10141" s="12"/>
    </row>
    <row r="10142" spans="2:3">
      <c r="B10142" s="12"/>
      <c r="C10142" s="12"/>
    </row>
    <row r="10143" spans="2:3">
      <c r="B10143" s="12"/>
      <c r="C10143" s="12"/>
    </row>
    <row r="10144" spans="2:3">
      <c r="B10144" s="12"/>
      <c r="C10144" s="12"/>
    </row>
    <row r="10145" spans="2:3">
      <c r="B10145" s="12"/>
      <c r="C10145" s="12"/>
    </row>
    <row r="10146" spans="2:3">
      <c r="B10146" s="12"/>
      <c r="C10146" s="12"/>
    </row>
    <row r="10147" spans="2:3">
      <c r="B10147" s="12"/>
      <c r="C10147" s="12"/>
    </row>
    <row r="10148" spans="2:3">
      <c r="B10148" s="12"/>
      <c r="C10148" s="12"/>
    </row>
    <row r="10149" spans="2:3">
      <c r="B10149" s="12"/>
      <c r="C10149" s="12"/>
    </row>
    <row r="10150" spans="2:3">
      <c r="B10150" s="12"/>
      <c r="C10150" s="12"/>
    </row>
    <row r="10151" spans="2:3">
      <c r="B10151" s="12"/>
      <c r="C10151" s="12"/>
    </row>
    <row r="10152" spans="2:3">
      <c r="B10152" s="12"/>
      <c r="C10152" s="12"/>
    </row>
    <row r="10153" spans="2:3">
      <c r="B10153" s="12"/>
      <c r="C10153" s="12"/>
    </row>
    <row r="10154" spans="2:3">
      <c r="B10154" s="12"/>
      <c r="C10154" s="12"/>
    </row>
    <row r="10155" spans="2:3">
      <c r="B10155" s="12"/>
      <c r="C10155" s="12"/>
    </row>
    <row r="10156" spans="2:3">
      <c r="B10156" s="12"/>
      <c r="C10156" s="12"/>
    </row>
    <row r="10157" spans="2:3">
      <c r="B10157" s="12"/>
      <c r="C10157" s="12"/>
    </row>
    <row r="10158" spans="2:3">
      <c r="B10158" s="12"/>
      <c r="C10158" s="12"/>
    </row>
    <row r="10159" spans="2:3">
      <c r="B10159" s="12"/>
      <c r="C10159" s="12"/>
    </row>
    <row r="10160" spans="2:3">
      <c r="B10160" s="12"/>
      <c r="C10160" s="12"/>
    </row>
    <row r="10161" spans="2:3">
      <c r="B10161" s="12"/>
      <c r="C10161" s="12"/>
    </row>
    <row r="10162" spans="2:3">
      <c r="B10162" s="12"/>
      <c r="C10162" s="12"/>
    </row>
    <row r="10163" spans="2:3">
      <c r="B10163" s="12"/>
      <c r="C10163" s="12"/>
    </row>
    <row r="10164" spans="2:3">
      <c r="B10164" s="12"/>
      <c r="C10164" s="12"/>
    </row>
    <row r="10165" spans="2:3">
      <c r="B10165" s="12"/>
      <c r="C10165" s="12"/>
    </row>
    <row r="10166" spans="2:3">
      <c r="B10166" s="12"/>
      <c r="C10166" s="12"/>
    </row>
    <row r="10167" spans="2:3">
      <c r="B10167" s="12"/>
      <c r="C10167" s="12"/>
    </row>
    <row r="10168" spans="2:3">
      <c r="B10168" s="12"/>
      <c r="C10168" s="12"/>
    </row>
    <row r="10169" spans="2:3">
      <c r="B10169" s="12"/>
      <c r="C10169" s="12"/>
    </row>
    <row r="10170" spans="2:3">
      <c r="B10170" s="12"/>
      <c r="C10170" s="12"/>
    </row>
    <row r="10171" spans="2:3">
      <c r="B10171" s="12"/>
      <c r="C10171" s="12"/>
    </row>
    <row r="10172" spans="2:3">
      <c r="B10172" s="12"/>
      <c r="C10172" s="12"/>
    </row>
    <row r="10173" spans="2:3">
      <c r="B10173" s="12"/>
      <c r="C10173" s="12"/>
    </row>
    <row r="10174" spans="2:3">
      <c r="B10174" s="12"/>
      <c r="C10174" s="12"/>
    </row>
    <row r="10175" spans="2:3">
      <c r="B10175" s="12"/>
      <c r="C10175" s="12"/>
    </row>
    <row r="10176" spans="2:3">
      <c r="B10176" s="12"/>
      <c r="C10176" s="12"/>
    </row>
    <row r="10177" spans="2:3">
      <c r="B10177" s="12"/>
      <c r="C10177" s="12"/>
    </row>
    <row r="10178" spans="2:3">
      <c r="B10178" s="12"/>
      <c r="C10178" s="12"/>
    </row>
    <row r="10179" spans="2:3">
      <c r="B10179" s="12"/>
      <c r="C10179" s="12"/>
    </row>
    <row r="10180" spans="2:3">
      <c r="B10180" s="12"/>
      <c r="C10180" s="12"/>
    </row>
    <row r="10181" spans="2:3">
      <c r="B10181" s="12"/>
      <c r="C10181" s="12"/>
    </row>
    <row r="10182" spans="2:3">
      <c r="B10182" s="12"/>
      <c r="C10182" s="12"/>
    </row>
    <row r="10183" spans="2:3">
      <c r="B10183" s="12"/>
      <c r="C10183" s="12"/>
    </row>
    <row r="10184" spans="2:3">
      <c r="B10184" s="12"/>
      <c r="C10184" s="12"/>
    </row>
    <row r="10185" spans="2:3">
      <c r="B10185" s="12"/>
      <c r="C10185" s="12"/>
    </row>
    <row r="10186" spans="2:3">
      <c r="B10186" s="12"/>
      <c r="C10186" s="12"/>
    </row>
    <row r="10187" spans="2:3">
      <c r="B10187" s="12"/>
      <c r="C10187" s="12"/>
    </row>
    <row r="10188" spans="2:3">
      <c r="B10188" s="12"/>
      <c r="C10188" s="12"/>
    </row>
    <row r="10189" spans="2:3">
      <c r="B10189" s="12"/>
      <c r="C10189" s="12"/>
    </row>
    <row r="10190" spans="2:3">
      <c r="B10190" s="12"/>
      <c r="C10190" s="12"/>
    </row>
    <row r="10191" spans="2:3">
      <c r="B10191" s="12"/>
      <c r="C10191" s="12"/>
    </row>
    <row r="10192" spans="2:3">
      <c r="B10192" s="12"/>
      <c r="C10192" s="12"/>
    </row>
    <row r="10193" spans="2:3">
      <c r="B10193" s="12"/>
      <c r="C10193" s="12"/>
    </row>
    <row r="10194" spans="2:3">
      <c r="B10194" s="12"/>
      <c r="C10194" s="12"/>
    </row>
    <row r="10195" spans="2:3">
      <c r="B10195" s="12"/>
      <c r="C10195" s="12"/>
    </row>
    <row r="10196" spans="2:3">
      <c r="B10196" s="12"/>
      <c r="C10196" s="12"/>
    </row>
    <row r="10197" spans="2:3">
      <c r="B10197" s="12"/>
      <c r="C10197" s="12"/>
    </row>
    <row r="10198" spans="2:3">
      <c r="B10198" s="12"/>
      <c r="C10198" s="12"/>
    </row>
    <row r="10199" spans="2:3">
      <c r="B10199" s="12"/>
      <c r="C10199" s="12"/>
    </row>
    <row r="10200" spans="2:3">
      <c r="B10200" s="12"/>
      <c r="C10200" s="12"/>
    </row>
    <row r="10201" spans="2:3">
      <c r="B10201" s="12"/>
      <c r="C10201" s="12"/>
    </row>
    <row r="10202" spans="2:3">
      <c r="B10202" s="12"/>
      <c r="C10202" s="12"/>
    </row>
    <row r="10203" spans="2:3">
      <c r="B10203" s="12"/>
      <c r="C10203" s="12"/>
    </row>
    <row r="10204" spans="2:3">
      <c r="B10204" s="12"/>
      <c r="C10204" s="12"/>
    </row>
    <row r="10205" spans="2:3">
      <c r="B10205" s="12"/>
      <c r="C10205" s="12"/>
    </row>
    <row r="10206" spans="2:3">
      <c r="B10206" s="12"/>
      <c r="C10206" s="12"/>
    </row>
    <row r="10207" spans="2:3">
      <c r="B10207" s="12"/>
      <c r="C10207" s="12"/>
    </row>
    <row r="10208" spans="2:3">
      <c r="B10208" s="12"/>
      <c r="C10208" s="12"/>
    </row>
    <row r="10209" spans="2:3">
      <c r="B10209" s="12"/>
      <c r="C10209" s="12"/>
    </row>
    <row r="10210" spans="2:3">
      <c r="B10210" s="12"/>
      <c r="C10210" s="12"/>
    </row>
    <row r="10211" spans="2:3">
      <c r="B10211" s="12"/>
      <c r="C10211" s="12"/>
    </row>
    <row r="10212" spans="2:3">
      <c r="B10212" s="12"/>
      <c r="C10212" s="12"/>
    </row>
    <row r="10213" spans="2:3">
      <c r="B10213" s="12"/>
      <c r="C10213" s="12"/>
    </row>
    <row r="10214" spans="2:3">
      <c r="B10214" s="12"/>
      <c r="C10214" s="12"/>
    </row>
    <row r="10215" spans="2:3">
      <c r="B10215" s="12"/>
      <c r="C10215" s="12"/>
    </row>
    <row r="10216" spans="2:3">
      <c r="B10216" s="12"/>
      <c r="C10216" s="12"/>
    </row>
    <row r="10217" spans="2:3">
      <c r="B10217" s="12"/>
      <c r="C10217" s="12"/>
    </row>
    <row r="10218" spans="2:3">
      <c r="B10218" s="12"/>
      <c r="C10218" s="12"/>
    </row>
    <row r="10219" spans="2:3">
      <c r="B10219" s="12"/>
      <c r="C10219" s="12"/>
    </row>
    <row r="10220" spans="2:3">
      <c r="B10220" s="12"/>
      <c r="C10220" s="12"/>
    </row>
    <row r="10221" spans="2:3">
      <c r="B10221" s="12"/>
      <c r="C10221" s="12"/>
    </row>
    <row r="10222" spans="2:3">
      <c r="B10222" s="12"/>
      <c r="C10222" s="12"/>
    </row>
    <row r="10223" spans="2:3">
      <c r="B10223" s="12"/>
      <c r="C10223" s="12"/>
    </row>
    <row r="10224" spans="2:3">
      <c r="B10224" s="12"/>
      <c r="C10224" s="12"/>
    </row>
    <row r="10225" spans="2:3">
      <c r="B10225" s="12"/>
      <c r="C10225" s="12"/>
    </row>
    <row r="10226" spans="2:3">
      <c r="B10226" s="12"/>
      <c r="C10226" s="12"/>
    </row>
    <row r="10227" spans="2:3">
      <c r="B10227" s="12"/>
      <c r="C10227" s="12"/>
    </row>
    <row r="10228" spans="2:3">
      <c r="B10228" s="12"/>
      <c r="C10228" s="12"/>
    </row>
    <row r="10229" spans="2:3">
      <c r="B10229" s="12"/>
      <c r="C10229" s="12"/>
    </row>
    <row r="10230" spans="2:3">
      <c r="B10230" s="12"/>
      <c r="C10230" s="12"/>
    </row>
    <row r="10231" spans="2:3">
      <c r="B10231" s="12"/>
      <c r="C10231" s="12"/>
    </row>
    <row r="10232" spans="2:3">
      <c r="B10232" s="12"/>
      <c r="C10232" s="12"/>
    </row>
    <row r="10233" spans="2:3">
      <c r="B10233" s="12"/>
      <c r="C10233" s="12"/>
    </row>
    <row r="10234" spans="2:3">
      <c r="B10234" s="12"/>
      <c r="C10234" s="12"/>
    </row>
    <row r="10235" spans="2:3">
      <c r="B10235" s="12"/>
      <c r="C10235" s="12"/>
    </row>
    <row r="10236" spans="2:3">
      <c r="B10236" s="12"/>
      <c r="C10236" s="12"/>
    </row>
    <row r="10237" spans="2:3">
      <c r="B10237" s="12"/>
      <c r="C10237" s="12"/>
    </row>
    <row r="10238" spans="2:3">
      <c r="B10238" s="12"/>
      <c r="C10238" s="12"/>
    </row>
    <row r="10239" spans="2:3">
      <c r="B10239" s="12"/>
      <c r="C10239" s="12"/>
    </row>
    <row r="10240" spans="2:3">
      <c r="B10240" s="12"/>
      <c r="C10240" s="12"/>
    </row>
    <row r="10241" spans="2:3">
      <c r="B10241" s="12"/>
      <c r="C10241" s="12"/>
    </row>
    <row r="10242" spans="2:3">
      <c r="B10242" s="12"/>
      <c r="C10242" s="12"/>
    </row>
    <row r="10243" spans="2:3">
      <c r="B10243" s="12"/>
      <c r="C10243" s="12"/>
    </row>
    <row r="10244" spans="2:3">
      <c r="B10244" s="12"/>
      <c r="C10244" s="12"/>
    </row>
    <row r="10245" spans="2:3">
      <c r="B10245" s="12"/>
      <c r="C10245" s="12"/>
    </row>
    <row r="10246" spans="2:3">
      <c r="B10246" s="12"/>
      <c r="C10246" s="12"/>
    </row>
    <row r="10247" spans="2:3">
      <c r="B10247" s="12"/>
      <c r="C10247" s="12"/>
    </row>
    <row r="10248" spans="2:3">
      <c r="B10248" s="12"/>
      <c r="C10248" s="12"/>
    </row>
    <row r="10249" spans="2:3">
      <c r="B10249" s="12"/>
      <c r="C10249" s="12"/>
    </row>
    <row r="10250" spans="2:3">
      <c r="B10250" s="12"/>
      <c r="C10250" s="12"/>
    </row>
    <row r="10251" spans="2:3">
      <c r="B10251" s="12"/>
      <c r="C10251" s="12"/>
    </row>
    <row r="10252" spans="2:3">
      <c r="B10252" s="12"/>
      <c r="C10252" s="12"/>
    </row>
    <row r="10253" spans="2:3">
      <c r="B10253" s="12"/>
      <c r="C10253" s="12"/>
    </row>
    <row r="10254" spans="2:3">
      <c r="B10254" s="12"/>
      <c r="C10254" s="12"/>
    </row>
    <row r="10255" spans="2:3">
      <c r="B10255" s="12"/>
      <c r="C10255" s="12"/>
    </row>
    <row r="10256" spans="2:3">
      <c r="B10256" s="12"/>
      <c r="C10256" s="12"/>
    </row>
    <row r="10257" spans="2:3">
      <c r="B10257" s="12"/>
      <c r="C10257" s="12"/>
    </row>
    <row r="10258" spans="2:3">
      <c r="B10258" s="12"/>
      <c r="C10258" s="12"/>
    </row>
    <row r="10259" spans="2:3">
      <c r="B10259" s="12"/>
      <c r="C10259" s="12"/>
    </row>
    <row r="10260" spans="2:3">
      <c r="B10260" s="12"/>
      <c r="C10260" s="12"/>
    </row>
    <row r="10261" spans="2:3">
      <c r="B10261" s="12"/>
      <c r="C10261" s="12"/>
    </row>
    <row r="10262" spans="2:3">
      <c r="B10262" s="12"/>
      <c r="C10262" s="12"/>
    </row>
    <row r="10263" spans="2:3">
      <c r="B10263" s="12"/>
      <c r="C10263" s="12"/>
    </row>
    <row r="10264" spans="2:3">
      <c r="B10264" s="12"/>
      <c r="C10264" s="12"/>
    </row>
    <row r="10265" spans="2:3">
      <c r="B10265" s="12"/>
      <c r="C10265" s="12"/>
    </row>
    <row r="10266" spans="2:3">
      <c r="B10266" s="12"/>
      <c r="C10266" s="12"/>
    </row>
    <row r="10267" spans="2:3">
      <c r="B10267" s="12"/>
      <c r="C10267" s="12"/>
    </row>
    <row r="10268" spans="2:3">
      <c r="B10268" s="12"/>
      <c r="C10268" s="12"/>
    </row>
    <row r="10269" spans="2:3">
      <c r="B10269" s="12"/>
      <c r="C10269" s="12"/>
    </row>
    <row r="10270" spans="2:3">
      <c r="B10270" s="12"/>
      <c r="C10270" s="12"/>
    </row>
    <row r="10271" spans="2:3">
      <c r="B10271" s="12"/>
      <c r="C10271" s="12"/>
    </row>
    <row r="10272" spans="2:3">
      <c r="B10272" s="12"/>
      <c r="C10272" s="12"/>
    </row>
    <row r="10273" spans="2:3">
      <c r="B10273" s="12"/>
      <c r="C10273" s="12"/>
    </row>
    <row r="10274" spans="2:3">
      <c r="B10274" s="12"/>
      <c r="C10274" s="12"/>
    </row>
    <row r="10275" spans="2:3">
      <c r="B10275" s="12"/>
      <c r="C10275" s="12"/>
    </row>
    <row r="10276" spans="2:3">
      <c r="B10276" s="12"/>
      <c r="C10276" s="12"/>
    </row>
    <row r="10277" spans="2:3">
      <c r="B10277" s="12"/>
      <c r="C10277" s="12"/>
    </row>
    <row r="10278" spans="2:3">
      <c r="B10278" s="12"/>
      <c r="C10278" s="12"/>
    </row>
    <row r="10279" spans="2:3">
      <c r="B10279" s="12"/>
      <c r="C10279" s="12"/>
    </row>
    <row r="10280" spans="2:3">
      <c r="B10280" s="12"/>
      <c r="C10280" s="12"/>
    </row>
    <row r="10281" spans="2:3">
      <c r="B10281" s="12"/>
      <c r="C10281" s="12"/>
    </row>
    <row r="10282" spans="2:3">
      <c r="B10282" s="12"/>
      <c r="C10282" s="12"/>
    </row>
    <row r="10283" spans="2:3">
      <c r="B10283" s="12"/>
      <c r="C10283" s="12"/>
    </row>
    <row r="10284" spans="2:3">
      <c r="B10284" s="12"/>
      <c r="C10284" s="12"/>
    </row>
    <row r="10285" spans="2:3">
      <c r="B10285" s="12"/>
      <c r="C10285" s="12"/>
    </row>
    <row r="10286" spans="2:3">
      <c r="B10286" s="12"/>
      <c r="C10286" s="12"/>
    </row>
    <row r="10287" spans="2:3">
      <c r="B10287" s="12"/>
      <c r="C10287" s="12"/>
    </row>
    <row r="10288" spans="2:3">
      <c r="B10288" s="12"/>
      <c r="C10288" s="12"/>
    </row>
    <row r="10289" spans="2:3">
      <c r="B10289" s="12"/>
      <c r="C10289" s="12"/>
    </row>
    <row r="10290" spans="2:3">
      <c r="B10290" s="12"/>
      <c r="C10290" s="12"/>
    </row>
    <row r="10291" spans="2:3">
      <c r="B10291" s="12"/>
      <c r="C10291" s="12"/>
    </row>
    <row r="10292" spans="2:3">
      <c r="B10292" s="12"/>
      <c r="C10292" s="12"/>
    </row>
    <row r="10293" spans="2:3">
      <c r="B10293" s="12"/>
      <c r="C10293" s="12"/>
    </row>
    <row r="10294" spans="2:3">
      <c r="B10294" s="12"/>
      <c r="C10294" s="12"/>
    </row>
    <row r="10295" spans="2:3">
      <c r="B10295" s="12"/>
      <c r="C10295" s="12"/>
    </row>
    <row r="10296" spans="2:3">
      <c r="B10296" s="12"/>
      <c r="C10296" s="12"/>
    </row>
    <row r="10297" spans="2:3">
      <c r="B10297" s="12"/>
      <c r="C10297" s="12"/>
    </row>
    <row r="10298" spans="2:3">
      <c r="B10298" s="12"/>
      <c r="C10298" s="12"/>
    </row>
    <row r="10299" spans="2:3">
      <c r="B10299" s="12"/>
      <c r="C10299" s="12"/>
    </row>
    <row r="10300" spans="2:3">
      <c r="B10300" s="12"/>
      <c r="C10300" s="12"/>
    </row>
    <row r="10301" spans="2:3">
      <c r="B10301" s="12"/>
      <c r="C10301" s="12"/>
    </row>
    <row r="10302" spans="2:3">
      <c r="B10302" s="12"/>
      <c r="C10302" s="12"/>
    </row>
    <row r="10303" spans="2:3">
      <c r="B10303" s="12"/>
      <c r="C10303" s="12"/>
    </row>
    <row r="10304" spans="2:3">
      <c r="B10304" s="12"/>
      <c r="C10304" s="12"/>
    </row>
    <row r="10305" spans="2:3">
      <c r="B10305" s="12"/>
      <c r="C10305" s="12"/>
    </row>
    <row r="10306" spans="2:3">
      <c r="B10306" s="12"/>
      <c r="C10306" s="12"/>
    </row>
    <row r="10307" spans="2:3">
      <c r="B10307" s="12"/>
      <c r="C10307" s="12"/>
    </row>
    <row r="10308" spans="2:3">
      <c r="B10308" s="12"/>
      <c r="C10308" s="12"/>
    </row>
    <row r="10309" spans="2:3">
      <c r="B10309" s="12"/>
      <c r="C10309" s="12"/>
    </row>
    <row r="10310" spans="2:3">
      <c r="B10310" s="12"/>
      <c r="C10310" s="12"/>
    </row>
    <row r="10311" spans="2:3">
      <c r="B10311" s="12"/>
      <c r="C10311" s="12"/>
    </row>
    <row r="10312" spans="2:3">
      <c r="B10312" s="12"/>
      <c r="C10312" s="12"/>
    </row>
    <row r="10313" spans="2:3">
      <c r="B10313" s="12"/>
      <c r="C10313" s="12"/>
    </row>
    <row r="10314" spans="2:3">
      <c r="B10314" s="12"/>
      <c r="C10314" s="12"/>
    </row>
    <row r="10315" spans="2:3">
      <c r="B10315" s="12"/>
      <c r="C10315" s="12"/>
    </row>
    <row r="10316" spans="2:3">
      <c r="B10316" s="12"/>
      <c r="C10316" s="12"/>
    </row>
    <row r="10317" spans="2:3">
      <c r="B10317" s="12"/>
      <c r="C10317" s="12"/>
    </row>
    <row r="10318" spans="2:3">
      <c r="B10318" s="12"/>
      <c r="C10318" s="12"/>
    </row>
    <row r="10319" spans="2:3">
      <c r="B10319" s="12"/>
      <c r="C10319" s="12"/>
    </row>
    <row r="10320" spans="2:3">
      <c r="B10320" s="12"/>
      <c r="C10320" s="12"/>
    </row>
    <row r="10321" spans="2:3">
      <c r="B10321" s="12"/>
      <c r="C10321" s="12"/>
    </row>
    <row r="10322" spans="2:3">
      <c r="B10322" s="12"/>
      <c r="C10322" s="12"/>
    </row>
    <row r="10323" spans="2:3">
      <c r="B10323" s="12"/>
      <c r="C10323" s="12"/>
    </row>
    <row r="10324" spans="2:3">
      <c r="B10324" s="12"/>
      <c r="C10324" s="12"/>
    </row>
    <row r="10325" spans="2:3">
      <c r="B10325" s="12"/>
      <c r="C10325" s="12"/>
    </row>
    <row r="10326" spans="2:3">
      <c r="B10326" s="12"/>
      <c r="C10326" s="12"/>
    </row>
    <row r="10327" spans="2:3">
      <c r="B10327" s="12"/>
      <c r="C10327" s="12"/>
    </row>
    <row r="10328" spans="2:3">
      <c r="B10328" s="12"/>
      <c r="C10328" s="12"/>
    </row>
    <row r="10329" spans="2:3">
      <c r="B10329" s="12"/>
      <c r="C10329" s="12"/>
    </row>
    <row r="10330" spans="2:3">
      <c r="B10330" s="12"/>
      <c r="C10330" s="12"/>
    </row>
    <row r="10331" spans="2:3">
      <c r="B10331" s="12"/>
      <c r="C10331" s="12"/>
    </row>
    <row r="10332" spans="2:3">
      <c r="B10332" s="12"/>
      <c r="C10332" s="12"/>
    </row>
    <row r="10333" spans="2:3">
      <c r="B10333" s="12"/>
      <c r="C10333" s="12"/>
    </row>
    <row r="10334" spans="2:3">
      <c r="B10334" s="12"/>
      <c r="C10334" s="12"/>
    </row>
    <row r="10335" spans="2:3">
      <c r="B10335" s="12"/>
      <c r="C10335" s="12"/>
    </row>
    <row r="10336" spans="2:3">
      <c r="B10336" s="12"/>
      <c r="C10336" s="12"/>
    </row>
    <row r="10337" spans="2:3">
      <c r="B10337" s="12"/>
      <c r="C10337" s="12"/>
    </row>
    <row r="10338" spans="2:3">
      <c r="B10338" s="12"/>
      <c r="C10338" s="12"/>
    </row>
    <row r="10339" spans="2:3">
      <c r="B10339" s="12"/>
      <c r="C10339" s="12"/>
    </row>
    <row r="10340" spans="2:3">
      <c r="B10340" s="12"/>
      <c r="C10340" s="12"/>
    </row>
    <row r="10341" spans="2:3">
      <c r="B10341" s="12"/>
      <c r="C10341" s="12"/>
    </row>
    <row r="10342" spans="2:3">
      <c r="B10342" s="12"/>
      <c r="C10342" s="12"/>
    </row>
    <row r="10343" spans="2:3">
      <c r="B10343" s="12"/>
      <c r="C10343" s="12"/>
    </row>
    <row r="10344" spans="2:3">
      <c r="B10344" s="12"/>
      <c r="C10344" s="12"/>
    </row>
    <row r="10345" spans="2:3">
      <c r="B10345" s="12"/>
      <c r="C10345" s="12"/>
    </row>
    <row r="10346" spans="2:3">
      <c r="B10346" s="12"/>
      <c r="C10346" s="12"/>
    </row>
    <row r="10347" spans="2:3">
      <c r="B10347" s="12"/>
      <c r="C10347" s="12"/>
    </row>
    <row r="10348" spans="2:3">
      <c r="B10348" s="12"/>
      <c r="C10348" s="12"/>
    </row>
    <row r="10349" spans="2:3">
      <c r="B10349" s="12"/>
      <c r="C10349" s="12"/>
    </row>
    <row r="10350" spans="2:3">
      <c r="B10350" s="12"/>
      <c r="C10350" s="12"/>
    </row>
    <row r="10351" spans="2:3">
      <c r="B10351" s="12"/>
      <c r="C10351" s="12"/>
    </row>
    <row r="10352" spans="2:3">
      <c r="B10352" s="12"/>
      <c r="C10352" s="12"/>
    </row>
    <row r="10353" spans="2:3">
      <c r="B10353" s="12"/>
      <c r="C10353" s="12"/>
    </row>
    <row r="10354" spans="2:3">
      <c r="B10354" s="12"/>
      <c r="C10354" s="12"/>
    </row>
    <row r="10355" spans="2:3">
      <c r="B10355" s="12"/>
      <c r="C10355" s="12"/>
    </row>
    <row r="10356" spans="2:3">
      <c r="B10356" s="12"/>
      <c r="C10356" s="12"/>
    </row>
    <row r="10357" spans="2:3">
      <c r="B10357" s="12"/>
      <c r="C10357" s="12"/>
    </row>
    <row r="10358" spans="2:3">
      <c r="B10358" s="12"/>
      <c r="C10358" s="12"/>
    </row>
    <row r="10359" spans="2:3">
      <c r="B10359" s="12"/>
      <c r="C10359" s="12"/>
    </row>
    <row r="10360" spans="2:3">
      <c r="B10360" s="12"/>
      <c r="C10360" s="12"/>
    </row>
    <row r="10361" spans="2:3">
      <c r="B10361" s="12"/>
      <c r="C10361" s="12"/>
    </row>
    <row r="10362" spans="2:3">
      <c r="B10362" s="12"/>
      <c r="C10362" s="12"/>
    </row>
    <row r="10363" spans="2:3">
      <c r="B10363" s="12"/>
      <c r="C10363" s="12"/>
    </row>
    <row r="10364" spans="2:3">
      <c r="B10364" s="12"/>
      <c r="C10364" s="12"/>
    </row>
    <row r="10365" spans="2:3">
      <c r="B10365" s="12"/>
      <c r="C10365" s="12"/>
    </row>
    <row r="10366" spans="2:3">
      <c r="B10366" s="12"/>
      <c r="C10366" s="12"/>
    </row>
    <row r="10367" spans="2:3">
      <c r="B10367" s="12"/>
      <c r="C10367" s="12"/>
    </row>
    <row r="10368" spans="2:3">
      <c r="B10368" s="12"/>
      <c r="C10368" s="12"/>
    </row>
    <row r="10369" spans="2:3">
      <c r="B10369" s="12"/>
      <c r="C10369" s="12"/>
    </row>
    <row r="10370" spans="2:3">
      <c r="B10370" s="12"/>
      <c r="C10370" s="12"/>
    </row>
    <row r="10371" spans="2:3">
      <c r="B10371" s="12"/>
      <c r="C10371" s="12"/>
    </row>
    <row r="10372" spans="2:3">
      <c r="B10372" s="12"/>
      <c r="C10372" s="12"/>
    </row>
    <row r="10373" spans="2:3">
      <c r="B10373" s="12"/>
      <c r="C10373" s="12"/>
    </row>
    <row r="10374" spans="2:3">
      <c r="B10374" s="12"/>
      <c r="C10374" s="12"/>
    </row>
    <row r="10375" spans="2:3">
      <c r="B10375" s="12"/>
      <c r="C10375" s="12"/>
    </row>
    <row r="10376" spans="2:3">
      <c r="B10376" s="12"/>
      <c r="C10376" s="12"/>
    </row>
    <row r="10377" spans="2:3">
      <c r="B10377" s="12"/>
      <c r="C10377" s="12"/>
    </row>
    <row r="10378" spans="2:3">
      <c r="B10378" s="12"/>
      <c r="C10378" s="12"/>
    </row>
    <row r="10379" spans="2:3">
      <c r="B10379" s="12"/>
      <c r="C10379" s="12"/>
    </row>
    <row r="10380" spans="2:3">
      <c r="B10380" s="12"/>
      <c r="C10380" s="12"/>
    </row>
    <row r="10381" spans="2:3">
      <c r="B10381" s="12"/>
      <c r="C10381" s="12"/>
    </row>
    <row r="10382" spans="2:3">
      <c r="B10382" s="12"/>
      <c r="C10382" s="12"/>
    </row>
    <row r="10383" spans="2:3">
      <c r="B10383" s="12"/>
      <c r="C10383" s="12"/>
    </row>
    <row r="10384" spans="2:3">
      <c r="B10384" s="12"/>
      <c r="C10384" s="12"/>
    </row>
    <row r="10385" spans="2:3">
      <c r="B10385" s="12"/>
      <c r="C10385" s="12"/>
    </row>
    <row r="10386" spans="2:3">
      <c r="B10386" s="12"/>
      <c r="C10386" s="12"/>
    </row>
    <row r="10387" spans="2:3">
      <c r="B10387" s="12"/>
      <c r="C10387" s="12"/>
    </row>
    <row r="10388" spans="2:3">
      <c r="B10388" s="12"/>
      <c r="C10388" s="12"/>
    </row>
    <row r="10389" spans="2:3">
      <c r="B10389" s="12"/>
      <c r="C10389" s="12"/>
    </row>
    <row r="10390" spans="2:3">
      <c r="B10390" s="12"/>
      <c r="C10390" s="12"/>
    </row>
    <row r="10391" spans="2:3">
      <c r="B10391" s="12"/>
      <c r="C10391" s="12"/>
    </row>
    <row r="10392" spans="2:3">
      <c r="B10392" s="12"/>
      <c r="C10392" s="12"/>
    </row>
    <row r="10393" spans="2:3">
      <c r="B10393" s="12"/>
      <c r="C10393" s="12"/>
    </row>
    <row r="10394" spans="2:3">
      <c r="B10394" s="12"/>
      <c r="C10394" s="12"/>
    </row>
    <row r="10395" spans="2:3">
      <c r="B10395" s="12"/>
      <c r="C10395" s="12"/>
    </row>
    <row r="10396" spans="2:3">
      <c r="B10396" s="12"/>
      <c r="C10396" s="12"/>
    </row>
    <row r="10397" spans="2:3">
      <c r="B10397" s="12"/>
      <c r="C10397" s="12"/>
    </row>
    <row r="10398" spans="2:3">
      <c r="B10398" s="12"/>
      <c r="C10398" s="12"/>
    </row>
    <row r="10399" spans="2:3">
      <c r="B10399" s="12"/>
      <c r="C10399" s="12"/>
    </row>
    <row r="10400" spans="2:3">
      <c r="B10400" s="12"/>
      <c r="C10400" s="12"/>
    </row>
    <row r="10401" spans="2:3">
      <c r="B10401" s="12"/>
      <c r="C10401" s="12"/>
    </row>
    <row r="10402" spans="2:3">
      <c r="B10402" s="12"/>
      <c r="C10402" s="12"/>
    </row>
    <row r="10403" spans="2:3">
      <c r="B10403" s="12"/>
      <c r="C10403" s="12"/>
    </row>
    <row r="10404" spans="2:3">
      <c r="B10404" s="12"/>
      <c r="C10404" s="12"/>
    </row>
    <row r="10405" spans="2:3">
      <c r="B10405" s="12"/>
      <c r="C10405" s="12"/>
    </row>
    <row r="10406" spans="2:3">
      <c r="B10406" s="12"/>
      <c r="C10406" s="12"/>
    </row>
    <row r="10407" spans="2:3">
      <c r="B10407" s="12"/>
      <c r="C10407" s="12"/>
    </row>
    <row r="10408" spans="2:3">
      <c r="B10408" s="12"/>
      <c r="C10408" s="12"/>
    </row>
    <row r="10409" spans="2:3">
      <c r="B10409" s="12"/>
      <c r="C10409" s="12"/>
    </row>
    <row r="10410" spans="2:3">
      <c r="B10410" s="12"/>
      <c r="C10410" s="12"/>
    </row>
    <row r="10411" spans="2:3">
      <c r="B10411" s="12"/>
      <c r="C10411" s="12"/>
    </row>
    <row r="10412" spans="2:3">
      <c r="B10412" s="12"/>
      <c r="C10412" s="12"/>
    </row>
    <row r="10413" spans="2:3">
      <c r="B10413" s="12"/>
      <c r="C10413" s="12"/>
    </row>
    <row r="10414" spans="2:3">
      <c r="B10414" s="12"/>
      <c r="C10414" s="12"/>
    </row>
    <row r="10415" spans="2:3">
      <c r="B10415" s="12"/>
      <c r="C10415" s="12"/>
    </row>
    <row r="10416" spans="2:3">
      <c r="B10416" s="12"/>
      <c r="C10416" s="12"/>
    </row>
    <row r="10417" spans="2:3">
      <c r="B10417" s="12"/>
      <c r="C10417" s="12"/>
    </row>
    <row r="10418" spans="2:3">
      <c r="B10418" s="12"/>
      <c r="C10418" s="12"/>
    </row>
    <row r="10419" spans="2:3">
      <c r="B10419" s="12"/>
      <c r="C10419" s="12"/>
    </row>
    <row r="10420" spans="2:3">
      <c r="B10420" s="12"/>
      <c r="C10420" s="12"/>
    </row>
    <row r="10421" spans="2:3">
      <c r="B10421" s="12"/>
      <c r="C10421" s="12"/>
    </row>
    <row r="10422" spans="2:3">
      <c r="B10422" s="12"/>
      <c r="C10422" s="12"/>
    </row>
    <row r="10423" spans="2:3">
      <c r="B10423" s="12"/>
      <c r="C10423" s="12"/>
    </row>
    <row r="10424" spans="2:3">
      <c r="B10424" s="12"/>
      <c r="C10424" s="12"/>
    </row>
    <row r="10425" spans="2:3">
      <c r="B10425" s="12"/>
      <c r="C10425" s="12"/>
    </row>
    <row r="10426" spans="2:3">
      <c r="B10426" s="12"/>
      <c r="C10426" s="12"/>
    </row>
    <row r="10427" spans="2:3">
      <c r="B10427" s="12"/>
      <c r="C10427" s="12"/>
    </row>
    <row r="10428" spans="2:3">
      <c r="B10428" s="12"/>
      <c r="C10428" s="12"/>
    </row>
    <row r="10429" spans="2:3">
      <c r="B10429" s="12"/>
      <c r="C10429" s="12"/>
    </row>
    <row r="10430" spans="2:3">
      <c r="B10430" s="12"/>
      <c r="C10430" s="12"/>
    </row>
    <row r="10431" spans="2:3">
      <c r="B10431" s="12"/>
      <c r="C10431" s="12"/>
    </row>
    <row r="10432" spans="2:3">
      <c r="B10432" s="12"/>
      <c r="C10432" s="12"/>
    </row>
    <row r="10433" spans="2:3">
      <c r="B10433" s="12"/>
      <c r="C10433" s="12"/>
    </row>
    <row r="10434" spans="2:3">
      <c r="B10434" s="12"/>
      <c r="C10434" s="12"/>
    </row>
    <row r="10435" spans="2:3">
      <c r="B10435" s="12"/>
      <c r="C10435" s="12"/>
    </row>
    <row r="10436" spans="2:3">
      <c r="B10436" s="12"/>
      <c r="C10436" s="12"/>
    </row>
    <row r="10437" spans="2:3">
      <c r="B10437" s="12"/>
      <c r="C10437" s="12"/>
    </row>
    <row r="10438" spans="2:3">
      <c r="B10438" s="12"/>
      <c r="C10438" s="12"/>
    </row>
    <row r="10439" spans="2:3">
      <c r="B10439" s="12"/>
      <c r="C10439" s="12"/>
    </row>
    <row r="10440" spans="2:3">
      <c r="B10440" s="12"/>
      <c r="C10440" s="12"/>
    </row>
    <row r="10441" spans="2:3">
      <c r="B10441" s="12"/>
      <c r="C10441" s="12"/>
    </row>
    <row r="10442" spans="2:3">
      <c r="B10442" s="12"/>
      <c r="C10442" s="12"/>
    </row>
    <row r="10443" spans="2:3">
      <c r="B10443" s="12"/>
      <c r="C10443" s="12"/>
    </row>
    <row r="10444" spans="2:3">
      <c r="B10444" s="12"/>
      <c r="C10444" s="12"/>
    </row>
    <row r="10445" spans="2:3">
      <c r="B10445" s="12"/>
      <c r="C10445" s="12"/>
    </row>
    <row r="10446" spans="2:3">
      <c r="B10446" s="12"/>
      <c r="C10446" s="12"/>
    </row>
    <row r="10447" spans="2:3">
      <c r="B10447" s="12"/>
      <c r="C10447" s="12"/>
    </row>
    <row r="10448" spans="2:3">
      <c r="B10448" s="12"/>
      <c r="C10448" s="12"/>
    </row>
    <row r="10449" spans="2:3">
      <c r="B10449" s="12"/>
      <c r="C10449" s="12"/>
    </row>
    <row r="10450" spans="2:3">
      <c r="B10450" s="12"/>
      <c r="C10450" s="12"/>
    </row>
    <row r="10451" spans="2:3">
      <c r="B10451" s="12"/>
      <c r="C10451" s="12"/>
    </row>
    <row r="10452" spans="2:3">
      <c r="B10452" s="12"/>
      <c r="C10452" s="12"/>
    </row>
    <row r="10453" spans="2:3">
      <c r="B10453" s="12"/>
      <c r="C10453" s="12"/>
    </row>
    <row r="10454" spans="2:3">
      <c r="B10454" s="12"/>
      <c r="C10454" s="12"/>
    </row>
    <row r="10455" spans="2:3">
      <c r="B10455" s="12"/>
      <c r="C10455" s="12"/>
    </row>
    <row r="10456" spans="2:3">
      <c r="B10456" s="12"/>
      <c r="C10456" s="12"/>
    </row>
    <row r="10457" spans="2:3">
      <c r="B10457" s="12"/>
      <c r="C10457" s="12"/>
    </row>
    <row r="10458" spans="2:3">
      <c r="B10458" s="12"/>
      <c r="C10458" s="12"/>
    </row>
    <row r="10459" spans="2:3">
      <c r="B10459" s="12"/>
      <c r="C10459" s="12"/>
    </row>
    <row r="10460" spans="2:3">
      <c r="B10460" s="12"/>
      <c r="C10460" s="12"/>
    </row>
    <row r="10461" spans="2:3">
      <c r="B10461" s="12"/>
      <c r="C10461" s="12"/>
    </row>
    <row r="10462" spans="2:3">
      <c r="B10462" s="12"/>
      <c r="C10462" s="12"/>
    </row>
    <row r="10463" spans="2:3">
      <c r="B10463" s="12"/>
      <c r="C10463" s="12"/>
    </row>
    <row r="10464" spans="2:3">
      <c r="B10464" s="12"/>
      <c r="C10464" s="12"/>
    </row>
    <row r="10465" spans="2:3">
      <c r="B10465" s="12"/>
      <c r="C10465" s="12"/>
    </row>
    <row r="10466" spans="2:3">
      <c r="B10466" s="12"/>
      <c r="C10466" s="12"/>
    </row>
    <row r="10467" spans="2:3">
      <c r="B10467" s="12"/>
      <c r="C10467" s="12"/>
    </row>
    <row r="10468" spans="2:3">
      <c r="B10468" s="12"/>
      <c r="C10468" s="12"/>
    </row>
    <row r="10469" spans="2:3">
      <c r="B10469" s="12"/>
      <c r="C10469" s="12"/>
    </row>
    <row r="10470" spans="2:3">
      <c r="B10470" s="12"/>
      <c r="C10470" s="12"/>
    </row>
    <row r="10471" spans="2:3">
      <c r="B10471" s="12"/>
      <c r="C10471" s="12"/>
    </row>
    <row r="10472" spans="2:3">
      <c r="B10472" s="12"/>
      <c r="C10472" s="12"/>
    </row>
    <row r="10473" spans="2:3">
      <c r="B10473" s="12"/>
      <c r="C10473" s="12"/>
    </row>
    <row r="10474" spans="2:3">
      <c r="B10474" s="12"/>
      <c r="C10474" s="12"/>
    </row>
    <row r="10475" spans="2:3">
      <c r="B10475" s="12"/>
      <c r="C10475" s="12"/>
    </row>
    <row r="10476" spans="2:3">
      <c r="B10476" s="12"/>
      <c r="C10476" s="12"/>
    </row>
    <row r="10477" spans="2:3">
      <c r="B10477" s="12"/>
      <c r="C10477" s="12"/>
    </row>
    <row r="10478" spans="2:3">
      <c r="B10478" s="12"/>
      <c r="C10478" s="12"/>
    </row>
    <row r="10479" spans="2:3">
      <c r="B10479" s="12"/>
      <c r="C10479" s="12"/>
    </row>
    <row r="10480" spans="2:3">
      <c r="B10480" s="12"/>
      <c r="C10480" s="12"/>
    </row>
    <row r="10481" spans="2:3">
      <c r="B10481" s="12"/>
      <c r="C10481" s="12"/>
    </row>
    <row r="10482" spans="2:3">
      <c r="B10482" s="12"/>
      <c r="C10482" s="12"/>
    </row>
    <row r="10483" spans="2:3">
      <c r="B10483" s="12"/>
      <c r="C10483" s="12"/>
    </row>
    <row r="10484" spans="2:3">
      <c r="B10484" s="12"/>
      <c r="C10484" s="12"/>
    </row>
    <row r="10485" spans="2:3">
      <c r="B10485" s="12"/>
      <c r="C10485" s="12"/>
    </row>
    <row r="10486" spans="2:3">
      <c r="B10486" s="12"/>
      <c r="C10486" s="12"/>
    </row>
    <row r="10487" spans="2:3">
      <c r="B10487" s="12"/>
      <c r="C10487" s="12"/>
    </row>
    <row r="10488" spans="2:3">
      <c r="B10488" s="12"/>
      <c r="C10488" s="12"/>
    </row>
    <row r="10489" spans="2:3">
      <c r="B10489" s="12"/>
      <c r="C10489" s="12"/>
    </row>
    <row r="10490" spans="2:3">
      <c r="B10490" s="12"/>
      <c r="C10490" s="12"/>
    </row>
    <row r="10491" spans="2:3">
      <c r="B10491" s="12"/>
      <c r="C10491" s="12"/>
    </row>
    <row r="10492" spans="2:3">
      <c r="B10492" s="12"/>
      <c r="C10492" s="12"/>
    </row>
    <row r="10493" spans="2:3">
      <c r="B10493" s="12"/>
      <c r="C10493" s="12"/>
    </row>
    <row r="10494" spans="2:3">
      <c r="B10494" s="12"/>
      <c r="C10494" s="12"/>
    </row>
    <row r="10495" spans="2:3">
      <c r="B10495" s="12"/>
      <c r="C10495" s="12"/>
    </row>
    <row r="10496" spans="2:3">
      <c r="B10496" s="12"/>
      <c r="C10496" s="12"/>
    </row>
    <row r="10497" spans="2:3">
      <c r="B10497" s="12"/>
      <c r="C10497" s="12"/>
    </row>
    <row r="10498" spans="2:3">
      <c r="B10498" s="12"/>
      <c r="C10498" s="12"/>
    </row>
    <row r="10499" spans="2:3">
      <c r="B10499" s="12"/>
      <c r="C10499" s="12"/>
    </row>
    <row r="10500" spans="2:3">
      <c r="B10500" s="12"/>
      <c r="C10500" s="12"/>
    </row>
    <row r="10501" spans="2:3">
      <c r="B10501" s="12"/>
      <c r="C10501" s="12"/>
    </row>
    <row r="10502" spans="2:3">
      <c r="B10502" s="12"/>
      <c r="C10502" s="12"/>
    </row>
    <row r="10503" spans="2:3">
      <c r="B10503" s="12"/>
      <c r="C10503" s="12"/>
    </row>
    <row r="10504" spans="2:3">
      <c r="B10504" s="12"/>
      <c r="C10504" s="12"/>
    </row>
    <row r="10505" spans="2:3">
      <c r="B10505" s="12"/>
      <c r="C10505" s="12"/>
    </row>
    <row r="10506" spans="2:3">
      <c r="B10506" s="12"/>
      <c r="C10506" s="12"/>
    </row>
    <row r="10507" spans="2:3">
      <c r="B10507" s="12"/>
      <c r="C10507" s="12"/>
    </row>
    <row r="10508" spans="2:3">
      <c r="B10508" s="12"/>
      <c r="C10508" s="12"/>
    </row>
    <row r="10509" spans="2:3">
      <c r="B10509" s="12"/>
      <c r="C10509" s="12"/>
    </row>
    <row r="10510" spans="2:3">
      <c r="B10510" s="12"/>
      <c r="C10510" s="12"/>
    </row>
    <row r="10511" spans="2:3">
      <c r="B10511" s="12"/>
      <c r="C10511" s="12"/>
    </row>
    <row r="10512" spans="2:3">
      <c r="B10512" s="12"/>
      <c r="C10512" s="12"/>
    </row>
    <row r="10513" spans="2:3">
      <c r="B10513" s="12"/>
      <c r="C10513" s="12"/>
    </row>
    <row r="10514" spans="2:3">
      <c r="B10514" s="12"/>
      <c r="C10514" s="12"/>
    </row>
    <row r="10515" spans="2:3">
      <c r="B10515" s="12"/>
      <c r="C10515" s="12"/>
    </row>
    <row r="10516" spans="2:3">
      <c r="B10516" s="12"/>
      <c r="C10516" s="12"/>
    </row>
    <row r="10517" spans="2:3">
      <c r="B10517" s="12"/>
      <c r="C10517" s="12"/>
    </row>
    <row r="10518" spans="2:3">
      <c r="B10518" s="12"/>
      <c r="C10518" s="12"/>
    </row>
    <row r="10519" spans="2:3">
      <c r="B10519" s="12"/>
      <c r="C10519" s="12"/>
    </row>
    <row r="10520" spans="2:3">
      <c r="B10520" s="12"/>
      <c r="C10520" s="12"/>
    </row>
    <row r="10521" spans="2:3">
      <c r="B10521" s="12"/>
      <c r="C10521" s="12"/>
    </row>
    <row r="10522" spans="2:3">
      <c r="B10522" s="12"/>
      <c r="C10522" s="12"/>
    </row>
    <row r="10523" spans="2:3">
      <c r="B10523" s="12"/>
      <c r="C10523" s="12"/>
    </row>
    <row r="10524" spans="2:3">
      <c r="B10524" s="12"/>
      <c r="C10524" s="12"/>
    </row>
    <row r="10525" spans="2:3">
      <c r="B10525" s="12"/>
      <c r="C10525" s="12"/>
    </row>
    <row r="10526" spans="2:3">
      <c r="B10526" s="12"/>
      <c r="C10526" s="12"/>
    </row>
    <row r="10527" spans="2:3">
      <c r="B10527" s="12"/>
      <c r="C10527" s="12"/>
    </row>
    <row r="10528" spans="2:3">
      <c r="B10528" s="12"/>
      <c r="C10528" s="12"/>
    </row>
    <row r="10529" spans="2:3">
      <c r="B10529" s="12"/>
      <c r="C10529" s="12"/>
    </row>
    <row r="10530" spans="2:3">
      <c r="B10530" s="12"/>
      <c r="C10530" s="12"/>
    </row>
    <row r="10531" spans="2:3">
      <c r="B10531" s="12"/>
      <c r="C10531" s="12"/>
    </row>
    <row r="10532" spans="2:3">
      <c r="B10532" s="12"/>
      <c r="C10532" s="12"/>
    </row>
    <row r="10533" spans="2:3">
      <c r="B10533" s="12"/>
      <c r="C10533" s="12"/>
    </row>
    <row r="10534" spans="2:3">
      <c r="B10534" s="12"/>
      <c r="C10534" s="12"/>
    </row>
    <row r="10535" spans="2:3">
      <c r="B10535" s="12"/>
      <c r="C10535" s="12"/>
    </row>
    <row r="10536" spans="2:3">
      <c r="B10536" s="12"/>
      <c r="C10536" s="12"/>
    </row>
    <row r="10537" spans="2:3">
      <c r="B10537" s="12"/>
      <c r="C10537" s="12"/>
    </row>
    <row r="10538" spans="2:3">
      <c r="B10538" s="12"/>
      <c r="C10538" s="12"/>
    </row>
    <row r="10539" spans="2:3">
      <c r="B10539" s="12"/>
      <c r="C10539" s="12"/>
    </row>
    <row r="10540" spans="2:3">
      <c r="B10540" s="12"/>
      <c r="C10540" s="12"/>
    </row>
    <row r="10541" spans="2:3">
      <c r="B10541" s="12"/>
      <c r="C10541" s="12"/>
    </row>
    <row r="10542" spans="2:3">
      <c r="B10542" s="12"/>
      <c r="C10542" s="12"/>
    </row>
    <row r="10543" spans="2:3">
      <c r="B10543" s="12"/>
      <c r="C10543" s="12"/>
    </row>
    <row r="10544" spans="2:3">
      <c r="B10544" s="12"/>
      <c r="C10544" s="12"/>
    </row>
    <row r="10545" spans="2:3">
      <c r="B10545" s="12"/>
      <c r="C10545" s="12"/>
    </row>
    <row r="10546" spans="2:3">
      <c r="B10546" s="12"/>
      <c r="C10546" s="12"/>
    </row>
    <row r="10547" spans="2:3">
      <c r="B10547" s="12"/>
      <c r="C10547" s="12"/>
    </row>
    <row r="10548" spans="2:3">
      <c r="B10548" s="12"/>
      <c r="C10548" s="12"/>
    </row>
    <row r="10549" spans="2:3">
      <c r="B10549" s="12"/>
      <c r="C10549" s="12"/>
    </row>
    <row r="10550" spans="2:3">
      <c r="B10550" s="12"/>
      <c r="C10550" s="12"/>
    </row>
    <row r="10551" spans="2:3">
      <c r="B10551" s="12"/>
      <c r="C10551" s="12"/>
    </row>
    <row r="10552" spans="2:3">
      <c r="B10552" s="12"/>
      <c r="C10552" s="12"/>
    </row>
    <row r="10553" spans="2:3">
      <c r="B10553" s="12"/>
      <c r="C10553" s="12"/>
    </row>
    <row r="10554" spans="2:3">
      <c r="B10554" s="12"/>
      <c r="C10554" s="12"/>
    </row>
    <row r="10555" spans="2:3">
      <c r="B10555" s="12"/>
      <c r="C10555" s="12"/>
    </row>
    <row r="10556" spans="2:3">
      <c r="B10556" s="12"/>
      <c r="C10556" s="12"/>
    </row>
    <row r="10557" spans="2:3">
      <c r="B10557" s="12"/>
      <c r="C10557" s="12"/>
    </row>
    <row r="10558" spans="2:3">
      <c r="B10558" s="12"/>
      <c r="C10558" s="12"/>
    </row>
    <row r="10559" spans="2:3">
      <c r="B10559" s="12"/>
      <c r="C10559" s="12"/>
    </row>
    <row r="10560" spans="2:3">
      <c r="B10560" s="12"/>
      <c r="C10560" s="12"/>
    </row>
    <row r="10561" spans="2:3">
      <c r="B10561" s="12"/>
      <c r="C10561" s="12"/>
    </row>
    <row r="10562" spans="2:3">
      <c r="B10562" s="12"/>
      <c r="C10562" s="12"/>
    </row>
    <row r="10563" spans="2:3">
      <c r="B10563" s="12"/>
      <c r="C10563" s="12"/>
    </row>
    <row r="10564" spans="2:3">
      <c r="B10564" s="12"/>
      <c r="C10564" s="12"/>
    </row>
    <row r="10565" spans="2:3">
      <c r="B10565" s="12"/>
      <c r="C10565" s="12"/>
    </row>
    <row r="10566" spans="2:3">
      <c r="B10566" s="12"/>
      <c r="C10566" s="12"/>
    </row>
    <row r="10567" spans="2:3">
      <c r="B10567" s="12"/>
      <c r="C10567" s="12"/>
    </row>
    <row r="10568" spans="2:3">
      <c r="B10568" s="12"/>
      <c r="C10568" s="12"/>
    </row>
    <row r="10569" spans="2:3">
      <c r="B10569" s="12"/>
      <c r="C10569" s="12"/>
    </row>
    <row r="10570" spans="2:3">
      <c r="B10570" s="12"/>
      <c r="C10570" s="12"/>
    </row>
    <row r="10571" spans="2:3">
      <c r="B10571" s="12"/>
      <c r="C10571" s="12"/>
    </row>
    <row r="10572" spans="2:3">
      <c r="B10572" s="12"/>
      <c r="C10572" s="12"/>
    </row>
    <row r="10573" spans="2:3">
      <c r="B10573" s="12"/>
      <c r="C10573" s="12"/>
    </row>
    <row r="10574" spans="2:3">
      <c r="B10574" s="12"/>
      <c r="C10574" s="12"/>
    </row>
    <row r="10575" spans="2:3">
      <c r="B10575" s="12"/>
      <c r="C10575" s="12"/>
    </row>
    <row r="10576" spans="2:3">
      <c r="B10576" s="12"/>
      <c r="C10576" s="12"/>
    </row>
    <row r="10577" spans="2:3">
      <c r="B10577" s="12"/>
      <c r="C10577" s="12"/>
    </row>
    <row r="10578" spans="2:3">
      <c r="B10578" s="12"/>
      <c r="C10578" s="12"/>
    </row>
    <row r="10579" spans="2:3">
      <c r="B10579" s="12"/>
      <c r="C10579" s="12"/>
    </row>
    <row r="10580" spans="2:3">
      <c r="B10580" s="12"/>
      <c r="C10580" s="12"/>
    </row>
    <row r="10581" spans="2:3">
      <c r="B10581" s="12"/>
      <c r="C10581" s="12"/>
    </row>
    <row r="10582" spans="2:3">
      <c r="B10582" s="12"/>
      <c r="C10582" s="12"/>
    </row>
    <row r="10583" spans="2:3">
      <c r="B10583" s="12"/>
      <c r="C10583" s="12"/>
    </row>
    <row r="10584" spans="2:3">
      <c r="B10584" s="12"/>
      <c r="C10584" s="12"/>
    </row>
    <row r="10585" spans="2:3">
      <c r="B10585" s="12"/>
      <c r="C10585" s="12"/>
    </row>
    <row r="10586" spans="2:3">
      <c r="B10586" s="12"/>
      <c r="C10586" s="12"/>
    </row>
    <row r="10587" spans="2:3">
      <c r="B10587" s="12"/>
      <c r="C10587" s="12"/>
    </row>
    <row r="10588" spans="2:3">
      <c r="B10588" s="12"/>
      <c r="C10588" s="12"/>
    </row>
    <row r="10589" spans="2:3">
      <c r="B10589" s="12"/>
      <c r="C10589" s="12"/>
    </row>
    <row r="10590" spans="2:3">
      <c r="B10590" s="12"/>
      <c r="C10590" s="12"/>
    </row>
    <row r="10591" spans="2:3">
      <c r="B10591" s="12"/>
      <c r="C10591" s="12"/>
    </row>
    <row r="10592" spans="2:3">
      <c r="B10592" s="12"/>
      <c r="C10592" s="12"/>
    </row>
    <row r="10593" spans="2:3">
      <c r="B10593" s="12"/>
      <c r="C10593" s="12"/>
    </row>
    <row r="10594" spans="2:3">
      <c r="B10594" s="12"/>
      <c r="C10594" s="12"/>
    </row>
    <row r="10595" spans="2:3">
      <c r="B10595" s="12"/>
      <c r="C10595" s="12"/>
    </row>
    <row r="10596" spans="2:3">
      <c r="B10596" s="12"/>
      <c r="C10596" s="12"/>
    </row>
    <row r="10597" spans="2:3">
      <c r="B10597" s="12"/>
      <c r="C10597" s="12"/>
    </row>
    <row r="10598" spans="2:3">
      <c r="B10598" s="12"/>
      <c r="C10598" s="12"/>
    </row>
    <row r="10599" spans="2:3">
      <c r="B10599" s="12"/>
      <c r="C10599" s="12"/>
    </row>
    <row r="10600" spans="2:3">
      <c r="B10600" s="12"/>
      <c r="C10600" s="12"/>
    </row>
    <row r="10601" spans="2:3">
      <c r="B10601" s="12"/>
      <c r="C10601" s="12"/>
    </row>
    <row r="10602" spans="2:3">
      <c r="B10602" s="12"/>
      <c r="C10602" s="12"/>
    </row>
    <row r="10603" spans="2:3">
      <c r="B10603" s="12"/>
      <c r="C10603" s="12"/>
    </row>
    <row r="10604" spans="2:3">
      <c r="B10604" s="12"/>
      <c r="C10604" s="12"/>
    </row>
    <row r="10605" spans="2:3">
      <c r="B10605" s="12"/>
      <c r="C10605" s="12"/>
    </row>
    <row r="10606" spans="2:3">
      <c r="B10606" s="12"/>
      <c r="C10606" s="12"/>
    </row>
    <row r="10607" spans="2:3">
      <c r="B10607" s="12"/>
      <c r="C10607" s="12"/>
    </row>
    <row r="10608" spans="2:3">
      <c r="B10608" s="12"/>
      <c r="C10608" s="12"/>
    </row>
    <row r="10609" spans="2:3">
      <c r="B10609" s="12"/>
      <c r="C10609" s="12"/>
    </row>
    <row r="10610" spans="2:3">
      <c r="B10610" s="12"/>
      <c r="C10610" s="12"/>
    </row>
    <row r="10611" spans="2:3">
      <c r="B10611" s="12"/>
      <c r="C10611" s="12"/>
    </row>
    <row r="10612" spans="2:3">
      <c r="B10612" s="12"/>
      <c r="C10612" s="12"/>
    </row>
    <row r="10613" spans="2:3">
      <c r="B10613" s="12"/>
      <c r="C10613" s="12"/>
    </row>
    <row r="10614" spans="2:3">
      <c r="B10614" s="12"/>
      <c r="C10614" s="12"/>
    </row>
    <row r="10615" spans="2:3">
      <c r="B10615" s="12"/>
      <c r="C10615" s="12"/>
    </row>
    <row r="10616" spans="2:3">
      <c r="B10616" s="12"/>
      <c r="C10616" s="12"/>
    </row>
    <row r="10617" spans="2:3">
      <c r="B10617" s="12"/>
      <c r="C10617" s="12"/>
    </row>
    <row r="10618" spans="2:3">
      <c r="B10618" s="12"/>
      <c r="C10618" s="12"/>
    </row>
    <row r="10619" spans="2:3">
      <c r="B10619" s="12"/>
      <c r="C10619" s="12"/>
    </row>
    <row r="10620" spans="2:3">
      <c r="B10620" s="12"/>
      <c r="C10620" s="12"/>
    </row>
    <row r="10621" spans="2:3">
      <c r="B10621" s="12"/>
      <c r="C10621" s="12"/>
    </row>
    <row r="10622" spans="2:3">
      <c r="B10622" s="12"/>
      <c r="C10622" s="12"/>
    </row>
    <row r="10623" spans="2:3">
      <c r="B10623" s="12"/>
      <c r="C10623" s="12"/>
    </row>
    <row r="10624" spans="2:3">
      <c r="B10624" s="12"/>
      <c r="C10624" s="12"/>
    </row>
    <row r="10625" spans="2:3">
      <c r="B10625" s="12"/>
      <c r="C10625" s="12"/>
    </row>
    <row r="10626" spans="2:3">
      <c r="B10626" s="12"/>
      <c r="C10626" s="12"/>
    </row>
    <row r="10627" spans="2:3">
      <c r="B10627" s="12"/>
      <c r="C10627" s="12"/>
    </row>
    <row r="10628" spans="2:3">
      <c r="B10628" s="12"/>
      <c r="C10628" s="12"/>
    </row>
    <row r="10629" spans="2:3">
      <c r="B10629" s="12"/>
      <c r="C10629" s="12"/>
    </row>
    <row r="10630" spans="2:3">
      <c r="B10630" s="12"/>
      <c r="C10630" s="12"/>
    </row>
    <row r="10631" spans="2:3">
      <c r="B10631" s="12"/>
      <c r="C10631" s="12"/>
    </row>
    <row r="10632" spans="2:3">
      <c r="B10632" s="12"/>
      <c r="C10632" s="12"/>
    </row>
    <row r="10633" spans="2:3">
      <c r="B10633" s="12"/>
      <c r="C10633" s="12"/>
    </row>
    <row r="10634" spans="2:3">
      <c r="B10634" s="12"/>
      <c r="C10634" s="12"/>
    </row>
    <row r="10635" spans="2:3">
      <c r="B10635" s="12"/>
      <c r="C10635" s="12"/>
    </row>
    <row r="10636" spans="2:3">
      <c r="B10636" s="12"/>
      <c r="C10636" s="12"/>
    </row>
    <row r="10637" spans="2:3">
      <c r="B10637" s="12"/>
      <c r="C10637" s="12"/>
    </row>
    <row r="10638" spans="2:3">
      <c r="B10638" s="12"/>
      <c r="C10638" s="12"/>
    </row>
    <row r="10639" spans="2:3">
      <c r="B10639" s="12"/>
      <c r="C10639" s="12"/>
    </row>
    <row r="10640" spans="2:3">
      <c r="B10640" s="12"/>
      <c r="C10640" s="12"/>
    </row>
    <row r="10641" spans="2:3">
      <c r="B10641" s="12"/>
      <c r="C10641" s="12"/>
    </row>
    <row r="10642" spans="2:3">
      <c r="B10642" s="12"/>
      <c r="C10642" s="12"/>
    </row>
    <row r="10643" spans="2:3">
      <c r="B10643" s="12"/>
      <c r="C10643" s="12"/>
    </row>
    <row r="10644" spans="2:3">
      <c r="B10644" s="12"/>
      <c r="C10644" s="12"/>
    </row>
    <row r="10645" spans="2:3">
      <c r="B10645" s="12"/>
      <c r="C10645" s="12"/>
    </row>
    <row r="10646" spans="2:3">
      <c r="B10646" s="12"/>
      <c r="C10646" s="12"/>
    </row>
    <row r="10647" spans="2:3">
      <c r="B10647" s="12"/>
      <c r="C10647" s="12"/>
    </row>
    <row r="10648" spans="2:3">
      <c r="B10648" s="12"/>
      <c r="C10648" s="12"/>
    </row>
    <row r="10649" spans="2:3">
      <c r="B10649" s="12"/>
      <c r="C10649" s="12"/>
    </row>
    <row r="10650" spans="2:3">
      <c r="B10650" s="12"/>
      <c r="C10650" s="12"/>
    </row>
    <row r="10651" spans="2:3">
      <c r="B10651" s="12"/>
      <c r="C10651" s="12"/>
    </row>
    <row r="10652" spans="2:3">
      <c r="B10652" s="12"/>
      <c r="C10652" s="12"/>
    </row>
    <row r="10653" spans="2:3">
      <c r="B10653" s="12"/>
      <c r="C10653" s="12"/>
    </row>
    <row r="10654" spans="2:3">
      <c r="B10654" s="12"/>
      <c r="C10654" s="12"/>
    </row>
    <row r="10655" spans="2:3">
      <c r="B10655" s="12"/>
      <c r="C10655" s="12"/>
    </row>
    <row r="10656" spans="2:3">
      <c r="B10656" s="12"/>
      <c r="C10656" s="12"/>
    </row>
    <row r="10657" spans="2:3">
      <c r="B10657" s="12"/>
      <c r="C10657" s="12"/>
    </row>
    <row r="10658" spans="2:3">
      <c r="B10658" s="12"/>
      <c r="C10658" s="12"/>
    </row>
    <row r="10659" spans="2:3">
      <c r="B10659" s="12"/>
      <c r="C10659" s="12"/>
    </row>
    <row r="10660" spans="2:3">
      <c r="B10660" s="12"/>
      <c r="C10660" s="12"/>
    </row>
    <row r="10661" spans="2:3">
      <c r="B10661" s="12"/>
      <c r="C10661" s="12"/>
    </row>
    <row r="10662" spans="2:3">
      <c r="B10662" s="12"/>
      <c r="C10662" s="12"/>
    </row>
    <row r="10663" spans="2:3">
      <c r="B10663" s="12"/>
      <c r="C10663" s="12"/>
    </row>
    <row r="10664" spans="2:3">
      <c r="B10664" s="12"/>
      <c r="C10664" s="12"/>
    </row>
    <row r="10665" spans="2:3">
      <c r="B10665" s="12"/>
      <c r="C10665" s="12"/>
    </row>
    <row r="10666" spans="2:3">
      <c r="B10666" s="12"/>
      <c r="C10666" s="12"/>
    </row>
    <row r="10667" spans="2:3">
      <c r="B10667" s="12"/>
      <c r="C10667" s="12"/>
    </row>
    <row r="10668" spans="2:3">
      <c r="B10668" s="12"/>
      <c r="C10668" s="12"/>
    </row>
    <row r="10669" spans="2:3">
      <c r="B10669" s="12"/>
      <c r="C10669" s="12"/>
    </row>
    <row r="10670" spans="2:3">
      <c r="B10670" s="12"/>
      <c r="C10670" s="12"/>
    </row>
    <row r="10671" spans="2:3">
      <c r="B10671" s="12"/>
      <c r="C10671" s="12"/>
    </row>
    <row r="10672" spans="2:3">
      <c r="B10672" s="12"/>
      <c r="C10672" s="12"/>
    </row>
    <row r="10673" spans="2:3">
      <c r="B10673" s="12"/>
      <c r="C10673" s="12"/>
    </row>
    <row r="10674" spans="2:3">
      <c r="B10674" s="12"/>
      <c r="C10674" s="12"/>
    </row>
    <row r="10675" spans="2:3">
      <c r="B10675" s="12"/>
      <c r="C10675" s="12"/>
    </row>
    <row r="10676" spans="2:3">
      <c r="B10676" s="12"/>
      <c r="C10676" s="12"/>
    </row>
    <row r="10677" spans="2:3">
      <c r="B10677" s="12"/>
      <c r="C10677" s="12"/>
    </row>
    <row r="10678" spans="2:3">
      <c r="B10678" s="12"/>
      <c r="C10678" s="12"/>
    </row>
    <row r="10679" spans="2:3">
      <c r="B10679" s="12"/>
      <c r="C10679" s="12"/>
    </row>
    <row r="10680" spans="2:3">
      <c r="B10680" s="12"/>
      <c r="C10680" s="12"/>
    </row>
    <row r="10681" spans="2:3">
      <c r="B10681" s="12"/>
      <c r="C10681" s="12"/>
    </row>
    <row r="10682" spans="2:3">
      <c r="B10682" s="12"/>
      <c r="C10682" s="12"/>
    </row>
    <row r="10683" spans="2:3">
      <c r="B10683" s="12"/>
      <c r="C10683" s="12"/>
    </row>
    <row r="10684" spans="2:3">
      <c r="B10684" s="12"/>
      <c r="C10684" s="12"/>
    </row>
    <row r="10685" spans="2:3">
      <c r="B10685" s="12"/>
      <c r="C10685" s="12"/>
    </row>
    <row r="10686" spans="2:3">
      <c r="B10686" s="12"/>
      <c r="C10686" s="12"/>
    </row>
    <row r="10687" spans="2:3">
      <c r="B10687" s="12"/>
      <c r="C10687" s="12"/>
    </row>
    <row r="10688" spans="2:3">
      <c r="B10688" s="12"/>
      <c r="C10688" s="12"/>
    </row>
    <row r="10689" spans="2:3">
      <c r="B10689" s="12"/>
      <c r="C10689" s="12"/>
    </row>
    <row r="10690" spans="2:3">
      <c r="B10690" s="12"/>
      <c r="C10690" s="12"/>
    </row>
    <row r="10691" spans="2:3">
      <c r="B10691" s="12"/>
      <c r="C10691" s="12"/>
    </row>
    <row r="10692" spans="2:3">
      <c r="B10692" s="12"/>
      <c r="C10692" s="12"/>
    </row>
    <row r="10693" spans="2:3">
      <c r="B10693" s="12"/>
      <c r="C10693" s="12"/>
    </row>
    <row r="10694" spans="2:3">
      <c r="B10694" s="12"/>
      <c r="C10694" s="12"/>
    </row>
    <row r="10695" spans="2:3">
      <c r="B10695" s="12"/>
      <c r="C10695" s="12"/>
    </row>
    <row r="10696" spans="2:3">
      <c r="B10696" s="12"/>
      <c r="C10696" s="12"/>
    </row>
    <row r="10697" spans="2:3">
      <c r="B10697" s="12"/>
      <c r="C10697" s="12"/>
    </row>
    <row r="10698" spans="2:3">
      <c r="B10698" s="12"/>
      <c r="C10698" s="12"/>
    </row>
    <row r="10699" spans="2:3">
      <c r="B10699" s="12"/>
      <c r="C10699" s="12"/>
    </row>
    <row r="10700" spans="2:3">
      <c r="B10700" s="12"/>
      <c r="C10700" s="12"/>
    </row>
    <row r="10701" spans="2:3">
      <c r="B10701" s="12"/>
      <c r="C10701" s="12"/>
    </row>
    <row r="10702" spans="2:3">
      <c r="B10702" s="12"/>
      <c r="C10702" s="12"/>
    </row>
    <row r="10703" spans="2:3">
      <c r="B10703" s="12"/>
      <c r="C10703" s="12"/>
    </row>
    <row r="10704" spans="2:3">
      <c r="B10704" s="12"/>
      <c r="C10704" s="12"/>
    </row>
    <row r="10705" spans="2:3">
      <c r="B10705" s="12"/>
      <c r="C10705" s="12"/>
    </row>
    <row r="10706" spans="2:3">
      <c r="B10706" s="12"/>
      <c r="C10706" s="12"/>
    </row>
    <row r="10707" spans="2:3">
      <c r="B10707" s="12"/>
      <c r="C10707" s="12"/>
    </row>
    <row r="10708" spans="2:3">
      <c r="B10708" s="12"/>
      <c r="C10708" s="12"/>
    </row>
    <row r="10709" spans="2:3">
      <c r="B10709" s="12"/>
      <c r="C10709" s="12"/>
    </row>
    <row r="10710" spans="2:3">
      <c r="B10710" s="12"/>
      <c r="C10710" s="12"/>
    </row>
    <row r="10711" spans="2:3">
      <c r="B10711" s="12"/>
      <c r="C10711" s="12"/>
    </row>
    <row r="10712" spans="2:3">
      <c r="B10712" s="12"/>
      <c r="C10712" s="12"/>
    </row>
    <row r="10713" spans="2:3">
      <c r="B10713" s="12"/>
      <c r="C10713" s="12"/>
    </row>
    <row r="10714" spans="2:3">
      <c r="B10714" s="12"/>
      <c r="C10714" s="12"/>
    </row>
    <row r="10715" spans="2:3">
      <c r="B10715" s="12"/>
      <c r="C10715" s="12"/>
    </row>
    <row r="10716" spans="2:3">
      <c r="B10716" s="12"/>
      <c r="C10716" s="12"/>
    </row>
    <row r="10717" spans="2:3">
      <c r="B10717" s="12"/>
      <c r="C10717" s="12"/>
    </row>
    <row r="10718" spans="2:3">
      <c r="B10718" s="12"/>
      <c r="C10718" s="12"/>
    </row>
    <row r="10719" spans="2:3">
      <c r="B10719" s="12"/>
      <c r="C10719" s="12"/>
    </row>
    <row r="10720" spans="2:3">
      <c r="B10720" s="12"/>
      <c r="C10720" s="12"/>
    </row>
    <row r="10721" spans="2:3">
      <c r="B10721" s="12"/>
      <c r="C10721" s="12"/>
    </row>
    <row r="10722" spans="2:3">
      <c r="B10722" s="12"/>
      <c r="C10722" s="12"/>
    </row>
    <row r="10723" spans="2:3">
      <c r="B10723" s="12"/>
      <c r="C10723" s="12"/>
    </row>
    <row r="10724" spans="2:3">
      <c r="B10724" s="12"/>
      <c r="C10724" s="12"/>
    </row>
    <row r="10725" spans="2:3">
      <c r="B10725" s="12"/>
      <c r="C10725" s="12"/>
    </row>
    <row r="10726" spans="2:3">
      <c r="B10726" s="12"/>
      <c r="C10726" s="12"/>
    </row>
    <row r="10727" spans="2:3">
      <c r="B10727" s="12"/>
      <c r="C10727" s="12"/>
    </row>
    <row r="10728" spans="2:3">
      <c r="B10728" s="12"/>
      <c r="C10728" s="12"/>
    </row>
    <row r="10729" spans="2:3">
      <c r="B10729" s="12"/>
      <c r="C10729" s="12"/>
    </row>
    <row r="10730" spans="2:3">
      <c r="B10730" s="12"/>
      <c r="C10730" s="12"/>
    </row>
    <row r="10731" spans="2:3">
      <c r="B10731" s="12"/>
      <c r="C10731" s="12"/>
    </row>
    <row r="10732" spans="2:3">
      <c r="B10732" s="12"/>
      <c r="C10732" s="12"/>
    </row>
    <row r="10733" spans="2:3">
      <c r="B10733" s="12"/>
      <c r="C10733" s="12"/>
    </row>
    <row r="10734" spans="2:3">
      <c r="B10734" s="12"/>
      <c r="C10734" s="12"/>
    </row>
    <row r="10735" spans="2:3">
      <c r="B10735" s="12"/>
      <c r="C10735" s="12"/>
    </row>
    <row r="10736" spans="2:3">
      <c r="B10736" s="12"/>
      <c r="C10736" s="12"/>
    </row>
    <row r="10737" spans="2:3">
      <c r="B10737" s="12"/>
      <c r="C10737" s="12"/>
    </row>
    <row r="10738" spans="2:3">
      <c r="B10738" s="12"/>
      <c r="C10738" s="12"/>
    </row>
    <row r="10739" spans="2:3">
      <c r="B10739" s="12"/>
      <c r="C10739" s="12"/>
    </row>
    <row r="10740" spans="2:3">
      <c r="B10740" s="12"/>
      <c r="C10740" s="12"/>
    </row>
    <row r="10741" spans="2:3">
      <c r="B10741" s="12"/>
      <c r="C10741" s="12"/>
    </row>
    <row r="10742" spans="2:3">
      <c r="B10742" s="12"/>
      <c r="C10742" s="12"/>
    </row>
    <row r="10743" spans="2:3">
      <c r="B10743" s="12"/>
      <c r="C10743" s="12"/>
    </row>
    <row r="10744" spans="2:3">
      <c r="B10744" s="12"/>
      <c r="C10744" s="12"/>
    </row>
    <row r="10745" spans="2:3">
      <c r="B10745" s="12"/>
      <c r="C10745" s="12"/>
    </row>
    <row r="10746" spans="2:3">
      <c r="B10746" s="12"/>
      <c r="C10746" s="12"/>
    </row>
    <row r="10747" spans="2:3">
      <c r="B10747" s="12"/>
      <c r="C10747" s="12"/>
    </row>
    <row r="10748" spans="2:3">
      <c r="B10748" s="12"/>
      <c r="C10748" s="12"/>
    </row>
    <row r="10749" spans="2:3">
      <c r="B10749" s="12"/>
      <c r="C10749" s="12"/>
    </row>
    <row r="10750" spans="2:3">
      <c r="B10750" s="12"/>
      <c r="C10750" s="12"/>
    </row>
    <row r="10751" spans="2:3">
      <c r="B10751" s="12"/>
      <c r="C10751" s="12"/>
    </row>
    <row r="10752" spans="2:3">
      <c r="B10752" s="12"/>
      <c r="C10752" s="12"/>
    </row>
    <row r="10753" spans="2:3">
      <c r="B10753" s="12"/>
      <c r="C10753" s="12"/>
    </row>
    <row r="10754" spans="2:3">
      <c r="B10754" s="12"/>
      <c r="C10754" s="12"/>
    </row>
    <row r="10755" spans="2:3">
      <c r="B10755" s="12"/>
      <c r="C10755" s="12"/>
    </row>
    <row r="10756" spans="2:3">
      <c r="B10756" s="12"/>
      <c r="C10756" s="12"/>
    </row>
    <row r="10757" spans="2:3">
      <c r="B10757" s="12"/>
      <c r="C10757" s="12"/>
    </row>
    <row r="10758" spans="2:3">
      <c r="B10758" s="12"/>
      <c r="C10758" s="12"/>
    </row>
    <row r="10759" spans="2:3">
      <c r="B10759" s="12"/>
      <c r="C10759" s="12"/>
    </row>
    <row r="10760" spans="2:3">
      <c r="B10760" s="12"/>
      <c r="C10760" s="12"/>
    </row>
    <row r="10761" spans="2:3">
      <c r="B10761" s="12"/>
      <c r="C10761" s="12"/>
    </row>
    <row r="10762" spans="2:3">
      <c r="B10762" s="12"/>
      <c r="C10762" s="12"/>
    </row>
    <row r="10763" spans="2:3">
      <c r="B10763" s="12"/>
      <c r="C10763" s="12"/>
    </row>
    <row r="10764" spans="2:3">
      <c r="B10764" s="12"/>
      <c r="C10764" s="12"/>
    </row>
    <row r="10765" spans="2:3">
      <c r="B10765" s="12"/>
      <c r="C10765" s="12"/>
    </row>
    <row r="10766" spans="2:3">
      <c r="B10766" s="12"/>
      <c r="C10766" s="12"/>
    </row>
    <row r="10767" spans="2:3">
      <c r="B10767" s="12"/>
      <c r="C10767" s="12"/>
    </row>
    <row r="10768" spans="2:3">
      <c r="B10768" s="12"/>
      <c r="C10768" s="12"/>
    </row>
    <row r="10769" spans="2:3">
      <c r="B10769" s="12"/>
      <c r="C10769" s="12"/>
    </row>
    <row r="10770" spans="2:3">
      <c r="B10770" s="12"/>
      <c r="C10770" s="12"/>
    </row>
    <row r="10771" spans="2:3">
      <c r="B10771" s="12"/>
      <c r="C10771" s="12"/>
    </row>
    <row r="10772" spans="2:3">
      <c r="B10772" s="12"/>
      <c r="C10772" s="12"/>
    </row>
    <row r="10773" spans="2:3">
      <c r="B10773" s="12"/>
      <c r="C10773" s="12"/>
    </row>
    <row r="10774" spans="2:3">
      <c r="B10774" s="12"/>
      <c r="C10774" s="12"/>
    </row>
    <row r="10775" spans="2:3">
      <c r="B10775" s="12"/>
      <c r="C10775" s="12"/>
    </row>
    <row r="10776" spans="2:3">
      <c r="B10776" s="12"/>
      <c r="C10776" s="12"/>
    </row>
    <row r="10777" spans="2:3">
      <c r="B10777" s="12"/>
      <c r="C10777" s="12"/>
    </row>
    <row r="10778" spans="2:3">
      <c r="B10778" s="12"/>
      <c r="C10778" s="12"/>
    </row>
    <row r="10779" spans="2:3">
      <c r="B10779" s="12"/>
      <c r="C10779" s="12"/>
    </row>
    <row r="10780" spans="2:3">
      <c r="B10780" s="12"/>
      <c r="C10780" s="12"/>
    </row>
    <row r="10781" spans="2:3">
      <c r="B10781" s="12"/>
      <c r="C10781" s="12"/>
    </row>
    <row r="10782" spans="2:3">
      <c r="B10782" s="12"/>
      <c r="C10782" s="12"/>
    </row>
    <row r="10783" spans="2:3">
      <c r="B10783" s="12"/>
      <c r="C10783" s="12"/>
    </row>
    <row r="10784" spans="2:3">
      <c r="B10784" s="12"/>
      <c r="C10784" s="12"/>
    </row>
    <row r="10785" spans="2:3">
      <c r="B10785" s="12"/>
      <c r="C10785" s="12"/>
    </row>
    <row r="10786" spans="2:3">
      <c r="B10786" s="12"/>
      <c r="C10786" s="12"/>
    </row>
    <row r="10787" spans="2:3">
      <c r="B10787" s="12"/>
      <c r="C10787" s="12"/>
    </row>
    <row r="10788" spans="2:3">
      <c r="B10788" s="12"/>
      <c r="C10788" s="12"/>
    </row>
    <row r="10789" spans="2:3">
      <c r="B10789" s="12"/>
      <c r="C10789" s="12"/>
    </row>
    <row r="10790" spans="2:3">
      <c r="B10790" s="12"/>
      <c r="C10790" s="12"/>
    </row>
    <row r="10791" spans="2:3">
      <c r="B10791" s="12"/>
      <c r="C10791" s="12"/>
    </row>
    <row r="10792" spans="2:3">
      <c r="B10792" s="12"/>
      <c r="C10792" s="12"/>
    </row>
    <row r="10793" spans="2:3">
      <c r="B10793" s="12"/>
      <c r="C10793" s="12"/>
    </row>
    <row r="10794" spans="2:3">
      <c r="B10794" s="12"/>
      <c r="C10794" s="12"/>
    </row>
    <row r="10795" spans="2:3">
      <c r="B10795" s="12"/>
      <c r="C10795" s="12"/>
    </row>
    <row r="10796" spans="2:3">
      <c r="B10796" s="12"/>
      <c r="C10796" s="12"/>
    </row>
    <row r="10797" spans="2:3">
      <c r="B10797" s="12"/>
      <c r="C10797" s="12"/>
    </row>
    <row r="10798" spans="2:3">
      <c r="B10798" s="12"/>
      <c r="C10798" s="12"/>
    </row>
    <row r="10799" spans="2:3">
      <c r="B10799" s="12"/>
      <c r="C10799" s="12"/>
    </row>
    <row r="10800" spans="2:3">
      <c r="B10800" s="12"/>
      <c r="C10800" s="12"/>
    </row>
    <row r="10801" spans="2:3">
      <c r="B10801" s="12"/>
      <c r="C10801" s="12"/>
    </row>
    <row r="10802" spans="2:3">
      <c r="B10802" s="12"/>
      <c r="C10802" s="12"/>
    </row>
    <row r="10803" spans="2:3">
      <c r="B10803" s="12"/>
      <c r="C10803" s="12"/>
    </row>
    <row r="10804" spans="2:3">
      <c r="B10804" s="12"/>
      <c r="C10804" s="12"/>
    </row>
    <row r="10805" spans="2:3">
      <c r="B10805" s="12"/>
      <c r="C10805" s="12"/>
    </row>
    <row r="10806" spans="2:3">
      <c r="B10806" s="12"/>
      <c r="C10806" s="12"/>
    </row>
    <row r="10807" spans="2:3">
      <c r="B10807" s="12"/>
      <c r="C10807" s="12"/>
    </row>
    <row r="10808" spans="2:3">
      <c r="B10808" s="12"/>
      <c r="C10808" s="12"/>
    </row>
    <row r="10809" spans="2:3">
      <c r="B10809" s="12"/>
      <c r="C10809" s="12"/>
    </row>
    <row r="10810" spans="2:3">
      <c r="B10810" s="12"/>
      <c r="C10810" s="12"/>
    </row>
    <row r="10811" spans="2:3">
      <c r="B10811" s="12"/>
      <c r="C10811" s="12"/>
    </row>
    <row r="10812" spans="2:3">
      <c r="B10812" s="12"/>
      <c r="C10812" s="12"/>
    </row>
    <row r="10813" spans="2:3">
      <c r="B10813" s="12"/>
      <c r="C10813" s="12"/>
    </row>
    <row r="10814" spans="2:3">
      <c r="B10814" s="12"/>
      <c r="C10814" s="12"/>
    </row>
    <row r="10815" spans="2:3">
      <c r="B10815" s="12"/>
      <c r="C10815" s="12"/>
    </row>
    <row r="10816" spans="2:3">
      <c r="B10816" s="12"/>
      <c r="C10816" s="12"/>
    </row>
    <row r="10817" spans="2:3">
      <c r="B10817" s="12"/>
      <c r="C10817" s="12"/>
    </row>
    <row r="10818" spans="2:3">
      <c r="B10818" s="12"/>
      <c r="C10818" s="12"/>
    </row>
    <row r="10819" spans="2:3">
      <c r="B10819" s="12"/>
      <c r="C10819" s="12"/>
    </row>
    <row r="10820" spans="2:3">
      <c r="B10820" s="12"/>
      <c r="C10820" s="12"/>
    </row>
    <row r="10821" spans="2:3">
      <c r="B10821" s="12"/>
      <c r="C10821" s="12"/>
    </row>
    <row r="10822" spans="2:3">
      <c r="B10822" s="12"/>
      <c r="C10822" s="12"/>
    </row>
    <row r="10823" spans="2:3">
      <c r="B10823" s="12"/>
      <c r="C10823" s="12"/>
    </row>
    <row r="10824" spans="2:3">
      <c r="B10824" s="12"/>
      <c r="C10824" s="12"/>
    </row>
    <row r="10825" spans="2:3">
      <c r="B10825" s="12"/>
      <c r="C10825" s="12"/>
    </row>
    <row r="10826" spans="2:3">
      <c r="B10826" s="12"/>
      <c r="C10826" s="12"/>
    </row>
    <row r="10827" spans="2:3">
      <c r="B10827" s="12"/>
      <c r="C10827" s="12"/>
    </row>
    <row r="10828" spans="2:3">
      <c r="B10828" s="12"/>
      <c r="C10828" s="12"/>
    </row>
    <row r="10829" spans="2:3">
      <c r="B10829" s="12"/>
      <c r="C10829" s="12"/>
    </row>
    <row r="10830" spans="2:3">
      <c r="B10830" s="12"/>
      <c r="C10830" s="12"/>
    </row>
    <row r="10831" spans="2:3">
      <c r="B10831" s="12"/>
      <c r="C10831" s="12"/>
    </row>
    <row r="10832" spans="2:3">
      <c r="B10832" s="12"/>
      <c r="C10832" s="12"/>
    </row>
    <row r="10833" spans="2:3">
      <c r="B10833" s="12"/>
      <c r="C10833" s="12"/>
    </row>
    <row r="10834" spans="2:3">
      <c r="B10834" s="12"/>
      <c r="C10834" s="12"/>
    </row>
    <row r="10835" spans="2:3">
      <c r="B10835" s="12"/>
      <c r="C10835" s="12"/>
    </row>
    <row r="10836" spans="2:3">
      <c r="B10836" s="12"/>
      <c r="C10836" s="12"/>
    </row>
    <row r="10837" spans="2:3">
      <c r="B10837" s="12"/>
      <c r="C10837" s="12"/>
    </row>
    <row r="10838" spans="2:3">
      <c r="B10838" s="12"/>
      <c r="C10838" s="12"/>
    </row>
    <row r="10839" spans="2:3">
      <c r="B10839" s="12"/>
      <c r="C10839" s="12"/>
    </row>
    <row r="10840" spans="2:3">
      <c r="B10840" s="12"/>
      <c r="C10840" s="12"/>
    </row>
    <row r="10841" spans="2:3">
      <c r="B10841" s="12"/>
      <c r="C10841" s="12"/>
    </row>
    <row r="10842" spans="2:3">
      <c r="B10842" s="12"/>
      <c r="C10842" s="12"/>
    </row>
    <row r="10843" spans="2:3">
      <c r="B10843" s="12"/>
      <c r="C10843" s="12"/>
    </row>
    <row r="10844" spans="2:3">
      <c r="B10844" s="12"/>
      <c r="C10844" s="12"/>
    </row>
    <row r="10845" spans="2:3">
      <c r="B10845" s="12"/>
      <c r="C10845" s="12"/>
    </row>
    <row r="10846" spans="2:3">
      <c r="B10846" s="12"/>
      <c r="C10846" s="12"/>
    </row>
    <row r="10847" spans="2:3">
      <c r="B10847" s="12"/>
      <c r="C10847" s="12"/>
    </row>
    <row r="10848" spans="2:3">
      <c r="B10848" s="12"/>
      <c r="C10848" s="12"/>
    </row>
    <row r="10849" spans="2:3">
      <c r="B10849" s="12"/>
      <c r="C10849" s="12"/>
    </row>
    <row r="10850" spans="2:3">
      <c r="B10850" s="12"/>
      <c r="C10850" s="12"/>
    </row>
    <row r="10851" spans="2:3">
      <c r="B10851" s="12"/>
      <c r="C10851" s="12"/>
    </row>
    <row r="10852" spans="2:3">
      <c r="B10852" s="12"/>
      <c r="C10852" s="12"/>
    </row>
    <row r="10853" spans="2:3">
      <c r="B10853" s="12"/>
      <c r="C10853" s="12"/>
    </row>
    <row r="10854" spans="2:3">
      <c r="B10854" s="12"/>
      <c r="C10854" s="12"/>
    </row>
    <row r="10855" spans="2:3">
      <c r="B10855" s="12"/>
      <c r="C10855" s="12"/>
    </row>
    <row r="10856" spans="2:3">
      <c r="B10856" s="12"/>
      <c r="C10856" s="12"/>
    </row>
    <row r="10857" spans="2:3">
      <c r="B10857" s="12"/>
      <c r="C10857" s="12"/>
    </row>
    <row r="10858" spans="2:3">
      <c r="B10858" s="12"/>
      <c r="C10858" s="12"/>
    </row>
    <row r="10859" spans="2:3">
      <c r="B10859" s="12"/>
      <c r="C10859" s="12"/>
    </row>
    <row r="10860" spans="2:3">
      <c r="B10860" s="12"/>
      <c r="C10860" s="12"/>
    </row>
    <row r="10861" spans="2:3">
      <c r="B10861" s="12"/>
      <c r="C10861" s="12"/>
    </row>
    <row r="10862" spans="2:3">
      <c r="B10862" s="12"/>
      <c r="C10862" s="12"/>
    </row>
    <row r="10863" spans="2:3">
      <c r="B10863" s="12"/>
      <c r="C10863" s="12"/>
    </row>
    <row r="10864" spans="2:3">
      <c r="B10864" s="12"/>
      <c r="C10864" s="12"/>
    </row>
    <row r="10865" spans="2:3">
      <c r="B10865" s="12"/>
      <c r="C10865" s="12"/>
    </row>
    <row r="10866" spans="2:3">
      <c r="B10866" s="12"/>
      <c r="C10866" s="12"/>
    </row>
    <row r="10867" spans="2:3">
      <c r="B10867" s="12"/>
      <c r="C10867" s="12"/>
    </row>
    <row r="10868" spans="2:3">
      <c r="B10868" s="12"/>
      <c r="C10868" s="12"/>
    </row>
    <row r="10869" spans="2:3">
      <c r="B10869" s="12"/>
      <c r="C10869" s="12"/>
    </row>
    <row r="10870" spans="2:3">
      <c r="B10870" s="12"/>
      <c r="C10870" s="12"/>
    </row>
    <row r="10871" spans="2:3">
      <c r="B10871" s="12"/>
      <c r="C10871" s="12"/>
    </row>
    <row r="10872" spans="2:3">
      <c r="B10872" s="12"/>
      <c r="C10872" s="12"/>
    </row>
    <row r="10873" spans="2:3">
      <c r="B10873" s="12"/>
      <c r="C10873" s="12"/>
    </row>
    <row r="10874" spans="2:3">
      <c r="B10874" s="12"/>
      <c r="C10874" s="12"/>
    </row>
    <row r="10875" spans="2:3">
      <c r="B10875" s="12"/>
      <c r="C10875" s="12"/>
    </row>
    <row r="10876" spans="2:3">
      <c r="B10876" s="12"/>
      <c r="C10876" s="12"/>
    </row>
    <row r="10877" spans="2:3">
      <c r="B10877" s="12"/>
      <c r="C10877" s="12"/>
    </row>
    <row r="10878" spans="2:3">
      <c r="B10878" s="12"/>
      <c r="C10878" s="12"/>
    </row>
    <row r="10879" spans="2:3">
      <c r="B10879" s="12"/>
      <c r="C10879" s="12"/>
    </row>
    <row r="10880" spans="2:3">
      <c r="B10880" s="12"/>
      <c r="C10880" s="12"/>
    </row>
    <row r="10881" spans="2:3">
      <c r="B10881" s="12"/>
      <c r="C10881" s="12"/>
    </row>
    <row r="10882" spans="2:3">
      <c r="B10882" s="12"/>
      <c r="C10882" s="12"/>
    </row>
    <row r="10883" spans="2:3">
      <c r="B10883" s="12"/>
      <c r="C10883" s="12"/>
    </row>
    <row r="10884" spans="2:3">
      <c r="B10884" s="12"/>
      <c r="C10884" s="12"/>
    </row>
    <row r="10885" spans="2:3">
      <c r="B10885" s="12"/>
      <c r="C10885" s="12"/>
    </row>
    <row r="10886" spans="2:3">
      <c r="B10886" s="12"/>
      <c r="C10886" s="12"/>
    </row>
    <row r="10887" spans="2:3">
      <c r="B10887" s="12"/>
      <c r="C10887" s="12"/>
    </row>
    <row r="10888" spans="2:3">
      <c r="B10888" s="12"/>
      <c r="C10888" s="12"/>
    </row>
    <row r="10889" spans="2:3">
      <c r="B10889" s="12"/>
      <c r="C10889" s="12"/>
    </row>
    <row r="10890" spans="2:3">
      <c r="B10890" s="12"/>
      <c r="C10890" s="12"/>
    </row>
    <row r="10891" spans="2:3">
      <c r="B10891" s="12"/>
      <c r="C10891" s="12"/>
    </row>
    <row r="10892" spans="2:3">
      <c r="B10892" s="12"/>
      <c r="C10892" s="12"/>
    </row>
    <row r="10893" spans="2:3">
      <c r="B10893" s="12"/>
      <c r="C10893" s="12"/>
    </row>
    <row r="10894" spans="2:3">
      <c r="B10894" s="12"/>
      <c r="C10894" s="12"/>
    </row>
    <row r="10895" spans="2:3">
      <c r="B10895" s="12"/>
      <c r="C10895" s="12"/>
    </row>
    <row r="10896" spans="2:3">
      <c r="B10896" s="12"/>
      <c r="C10896" s="12"/>
    </row>
    <row r="10897" spans="2:3">
      <c r="B10897" s="12"/>
      <c r="C10897" s="12"/>
    </row>
    <row r="10898" spans="2:3">
      <c r="B10898" s="12"/>
      <c r="C10898" s="12"/>
    </row>
    <row r="10899" spans="2:3">
      <c r="B10899" s="12"/>
      <c r="C10899" s="12"/>
    </row>
    <row r="10900" spans="2:3">
      <c r="B10900" s="12"/>
      <c r="C10900" s="12"/>
    </row>
    <row r="10901" spans="2:3">
      <c r="B10901" s="12"/>
      <c r="C10901" s="12"/>
    </row>
    <row r="10902" spans="2:3">
      <c r="B10902" s="12"/>
      <c r="C10902" s="12"/>
    </row>
    <row r="10903" spans="2:3">
      <c r="B10903" s="12"/>
      <c r="C10903" s="12"/>
    </row>
    <row r="10904" spans="2:3">
      <c r="B10904" s="12"/>
      <c r="C10904" s="12"/>
    </row>
    <row r="10905" spans="2:3">
      <c r="B10905" s="12"/>
      <c r="C10905" s="12"/>
    </row>
    <row r="10906" spans="2:3">
      <c r="B10906" s="12"/>
      <c r="C10906" s="12"/>
    </row>
    <row r="10907" spans="2:3">
      <c r="B10907" s="12"/>
      <c r="C10907" s="12"/>
    </row>
    <row r="10908" spans="2:3">
      <c r="B10908" s="12"/>
      <c r="C10908" s="12"/>
    </row>
    <row r="10909" spans="2:3">
      <c r="B10909" s="12"/>
      <c r="C10909" s="12"/>
    </row>
    <row r="10910" spans="2:3">
      <c r="B10910" s="12"/>
      <c r="C10910" s="12"/>
    </row>
    <row r="10911" spans="2:3">
      <c r="B10911" s="12"/>
      <c r="C10911" s="12"/>
    </row>
    <row r="10912" spans="2:3">
      <c r="B10912" s="12"/>
      <c r="C10912" s="12"/>
    </row>
    <row r="10913" spans="2:3">
      <c r="B10913" s="12"/>
      <c r="C10913" s="12"/>
    </row>
    <row r="10914" spans="2:3">
      <c r="B10914" s="12"/>
      <c r="C10914" s="12"/>
    </row>
    <row r="10915" spans="2:3">
      <c r="B10915" s="12"/>
      <c r="C10915" s="12"/>
    </row>
    <row r="10916" spans="2:3">
      <c r="B10916" s="12"/>
      <c r="C10916" s="12"/>
    </row>
    <row r="10917" spans="2:3">
      <c r="B10917" s="12"/>
      <c r="C10917" s="12"/>
    </row>
    <row r="10918" spans="2:3">
      <c r="B10918" s="12"/>
      <c r="C10918" s="12"/>
    </row>
    <row r="10919" spans="2:3">
      <c r="B10919" s="12"/>
      <c r="C10919" s="12"/>
    </row>
    <row r="10920" spans="2:3">
      <c r="B10920" s="12"/>
      <c r="C10920" s="12"/>
    </row>
    <row r="10921" spans="2:3">
      <c r="B10921" s="12"/>
      <c r="C10921" s="12"/>
    </row>
    <row r="10922" spans="2:3">
      <c r="B10922" s="12"/>
      <c r="C10922" s="12"/>
    </row>
    <row r="10923" spans="2:3">
      <c r="B10923" s="12"/>
      <c r="C10923" s="12"/>
    </row>
    <row r="10924" spans="2:3">
      <c r="B10924" s="12"/>
      <c r="C10924" s="12"/>
    </row>
    <row r="10925" spans="2:3">
      <c r="B10925" s="12"/>
      <c r="C10925" s="12"/>
    </row>
    <row r="10926" spans="2:3">
      <c r="B10926" s="12"/>
      <c r="C10926" s="12"/>
    </row>
    <row r="10927" spans="2:3">
      <c r="B10927" s="12"/>
      <c r="C10927" s="12"/>
    </row>
    <row r="10928" spans="2:3">
      <c r="B10928" s="12"/>
      <c r="C10928" s="12"/>
    </row>
    <row r="10929" spans="2:3">
      <c r="B10929" s="12"/>
      <c r="C10929" s="12"/>
    </row>
    <row r="10930" spans="2:3">
      <c r="B10930" s="12"/>
      <c r="C10930" s="12"/>
    </row>
    <row r="10931" spans="2:3">
      <c r="B10931" s="12"/>
      <c r="C10931" s="12"/>
    </row>
    <row r="10932" spans="2:3">
      <c r="B10932" s="12"/>
      <c r="C10932" s="12"/>
    </row>
    <row r="10933" spans="2:3">
      <c r="B10933" s="12"/>
      <c r="C10933" s="12"/>
    </row>
    <row r="10934" spans="2:3">
      <c r="B10934" s="12"/>
      <c r="C10934" s="12"/>
    </row>
    <row r="10935" spans="2:3">
      <c r="B10935" s="12"/>
      <c r="C10935" s="12"/>
    </row>
    <row r="10936" spans="2:3">
      <c r="B10936" s="12"/>
      <c r="C10936" s="12"/>
    </row>
    <row r="10937" spans="2:3">
      <c r="B10937" s="12"/>
      <c r="C10937" s="12"/>
    </row>
    <row r="10938" spans="2:3">
      <c r="B10938" s="12"/>
      <c r="C10938" s="12"/>
    </row>
    <row r="10939" spans="2:3">
      <c r="B10939" s="12"/>
      <c r="C10939" s="12"/>
    </row>
    <row r="10940" spans="2:3">
      <c r="B10940" s="12"/>
      <c r="C10940" s="12"/>
    </row>
    <row r="10941" spans="2:3">
      <c r="B10941" s="12"/>
      <c r="C10941" s="12"/>
    </row>
    <row r="10942" spans="2:3">
      <c r="B10942" s="12"/>
      <c r="C10942" s="12"/>
    </row>
    <row r="10943" spans="2:3">
      <c r="B10943" s="12"/>
      <c r="C10943" s="12"/>
    </row>
    <row r="10944" spans="2:3">
      <c r="B10944" s="12"/>
      <c r="C10944" s="12"/>
    </row>
    <row r="10945" spans="2:3">
      <c r="B10945" s="12"/>
      <c r="C10945" s="12"/>
    </row>
    <row r="10946" spans="2:3">
      <c r="B10946" s="12"/>
      <c r="C10946" s="12"/>
    </row>
    <row r="10947" spans="2:3">
      <c r="B10947" s="12"/>
      <c r="C10947" s="12"/>
    </row>
    <row r="10948" spans="2:3">
      <c r="B10948" s="12"/>
      <c r="C10948" s="12"/>
    </row>
    <row r="10949" spans="2:3">
      <c r="B10949" s="12"/>
      <c r="C10949" s="12"/>
    </row>
    <row r="10950" spans="2:3">
      <c r="B10950" s="12"/>
      <c r="C10950" s="12"/>
    </row>
    <row r="10951" spans="2:3">
      <c r="B10951" s="12"/>
      <c r="C10951" s="12"/>
    </row>
    <row r="10952" spans="2:3">
      <c r="B10952" s="12"/>
      <c r="C10952" s="12"/>
    </row>
    <row r="10953" spans="2:3">
      <c r="B10953" s="12"/>
      <c r="C10953" s="12"/>
    </row>
    <row r="10954" spans="2:3">
      <c r="B10954" s="12"/>
      <c r="C10954" s="12"/>
    </row>
    <row r="10955" spans="2:3">
      <c r="B10955" s="12"/>
      <c r="C10955" s="12"/>
    </row>
    <row r="10956" spans="2:3">
      <c r="B10956" s="12"/>
      <c r="C10956" s="12"/>
    </row>
    <row r="10957" spans="2:3">
      <c r="B10957" s="12"/>
      <c r="C10957" s="12"/>
    </row>
    <row r="10958" spans="2:3">
      <c r="B10958" s="12"/>
      <c r="C10958" s="12"/>
    </row>
    <row r="10959" spans="2:3">
      <c r="B10959" s="12"/>
      <c r="C10959" s="12"/>
    </row>
    <row r="10960" spans="2:3">
      <c r="B10960" s="12"/>
      <c r="C10960" s="12"/>
    </row>
    <row r="10961" spans="2:3">
      <c r="B10961" s="12"/>
      <c r="C10961" s="12"/>
    </row>
    <row r="10962" spans="2:3">
      <c r="B10962" s="12"/>
      <c r="C10962" s="12"/>
    </row>
    <row r="10963" spans="2:3">
      <c r="B10963" s="12"/>
      <c r="C10963" s="12"/>
    </row>
    <row r="10964" spans="2:3">
      <c r="B10964" s="12"/>
      <c r="C10964" s="12"/>
    </row>
    <row r="10965" spans="2:3">
      <c r="B10965" s="12"/>
      <c r="C10965" s="12"/>
    </row>
    <row r="10966" spans="2:3">
      <c r="B10966" s="12"/>
      <c r="C10966" s="12"/>
    </row>
    <row r="10967" spans="2:3">
      <c r="B10967" s="12"/>
      <c r="C10967" s="12"/>
    </row>
    <row r="10968" spans="2:3">
      <c r="B10968" s="12"/>
      <c r="C10968" s="12"/>
    </row>
    <row r="10969" spans="2:3">
      <c r="B10969" s="12"/>
      <c r="C10969" s="12"/>
    </row>
    <row r="10970" spans="2:3">
      <c r="B10970" s="12"/>
      <c r="C10970" s="12"/>
    </row>
    <row r="10971" spans="2:3">
      <c r="B10971" s="12"/>
      <c r="C10971" s="12"/>
    </row>
    <row r="10972" spans="2:3">
      <c r="B10972" s="12"/>
      <c r="C10972" s="12"/>
    </row>
    <row r="10973" spans="2:3">
      <c r="B10973" s="12"/>
      <c r="C10973" s="12"/>
    </row>
    <row r="10974" spans="2:3">
      <c r="B10974" s="12"/>
      <c r="C10974" s="12"/>
    </row>
    <row r="10975" spans="2:3">
      <c r="B10975" s="12"/>
      <c r="C10975" s="12"/>
    </row>
    <row r="10976" spans="2:3">
      <c r="B10976" s="12"/>
      <c r="C10976" s="12"/>
    </row>
    <row r="10977" spans="2:3">
      <c r="B10977" s="12"/>
      <c r="C10977" s="12"/>
    </row>
    <row r="10978" spans="2:3">
      <c r="B10978" s="12"/>
      <c r="C10978" s="12"/>
    </row>
    <row r="10979" spans="2:3">
      <c r="B10979" s="12"/>
      <c r="C10979" s="12"/>
    </row>
    <row r="10980" spans="2:3">
      <c r="B10980" s="12"/>
      <c r="C10980" s="12"/>
    </row>
    <row r="10981" spans="2:3">
      <c r="B10981" s="12"/>
      <c r="C10981" s="12"/>
    </row>
    <row r="10982" spans="2:3">
      <c r="B10982" s="12"/>
      <c r="C10982" s="12"/>
    </row>
    <row r="10983" spans="2:3">
      <c r="B10983" s="12"/>
      <c r="C10983" s="12"/>
    </row>
    <row r="10984" spans="2:3">
      <c r="B10984" s="12"/>
      <c r="C10984" s="12"/>
    </row>
    <row r="10985" spans="2:3">
      <c r="B10985" s="12"/>
      <c r="C10985" s="12"/>
    </row>
    <row r="10986" spans="2:3">
      <c r="B10986" s="12"/>
      <c r="C10986" s="12"/>
    </row>
    <row r="10987" spans="2:3">
      <c r="B10987" s="12"/>
      <c r="C10987" s="12"/>
    </row>
    <row r="10988" spans="2:3">
      <c r="B10988" s="12"/>
      <c r="C10988" s="12"/>
    </row>
    <row r="10989" spans="2:3">
      <c r="B10989" s="12"/>
      <c r="C10989" s="12"/>
    </row>
    <row r="10990" spans="2:3">
      <c r="B10990" s="12"/>
      <c r="C10990" s="12"/>
    </row>
    <row r="10991" spans="2:3">
      <c r="B10991" s="12"/>
      <c r="C10991" s="12"/>
    </row>
    <row r="10992" spans="2:3">
      <c r="B10992" s="12"/>
      <c r="C10992" s="12"/>
    </row>
    <row r="10993" spans="2:3">
      <c r="B10993" s="12"/>
      <c r="C10993" s="12"/>
    </row>
    <row r="10994" spans="2:3">
      <c r="B10994" s="12"/>
      <c r="C10994" s="12"/>
    </row>
    <row r="10995" spans="2:3">
      <c r="B10995" s="12"/>
      <c r="C10995" s="12"/>
    </row>
    <row r="10996" spans="2:3">
      <c r="B10996" s="12"/>
      <c r="C10996" s="12"/>
    </row>
    <row r="10997" spans="2:3">
      <c r="B10997" s="12"/>
      <c r="C10997" s="12"/>
    </row>
    <row r="10998" spans="2:3">
      <c r="B10998" s="12"/>
      <c r="C10998" s="12"/>
    </row>
    <row r="10999" spans="2:3">
      <c r="B10999" s="12"/>
      <c r="C10999" s="12"/>
    </row>
    <row r="11000" spans="2:3">
      <c r="B11000" s="12"/>
      <c r="C11000" s="12"/>
    </row>
    <row r="11001" spans="2:3">
      <c r="B11001" s="12"/>
      <c r="C11001" s="12"/>
    </row>
    <row r="11002" spans="2:3">
      <c r="B11002" s="12"/>
      <c r="C11002" s="12"/>
    </row>
    <row r="11003" spans="2:3">
      <c r="B11003" s="12"/>
      <c r="C11003" s="12"/>
    </row>
    <row r="11004" spans="2:3">
      <c r="B11004" s="12"/>
      <c r="C11004" s="12"/>
    </row>
    <row r="11005" spans="2:3">
      <c r="B11005" s="12"/>
      <c r="C11005" s="12"/>
    </row>
    <row r="11006" spans="2:3">
      <c r="B11006" s="12"/>
      <c r="C11006" s="12"/>
    </row>
    <row r="11007" spans="2:3">
      <c r="B11007" s="12"/>
      <c r="C11007" s="12"/>
    </row>
    <row r="11008" spans="2:3">
      <c r="B11008" s="12"/>
      <c r="C11008" s="12"/>
    </row>
    <row r="11009" spans="2:3">
      <c r="B11009" s="12"/>
      <c r="C11009" s="12"/>
    </row>
    <row r="11010" spans="2:3">
      <c r="B11010" s="12"/>
      <c r="C11010" s="12"/>
    </row>
    <row r="11011" spans="2:3">
      <c r="B11011" s="12"/>
      <c r="C11011" s="12"/>
    </row>
    <row r="11012" spans="2:3">
      <c r="B11012" s="12"/>
      <c r="C11012" s="12"/>
    </row>
    <row r="11013" spans="2:3">
      <c r="B11013" s="12"/>
      <c r="C11013" s="12"/>
    </row>
    <row r="11014" spans="2:3">
      <c r="B11014" s="12"/>
      <c r="C11014" s="12"/>
    </row>
    <row r="11015" spans="2:3">
      <c r="B11015" s="12"/>
      <c r="C11015" s="12"/>
    </row>
    <row r="11016" spans="2:3">
      <c r="B11016" s="12"/>
      <c r="C11016" s="12"/>
    </row>
    <row r="11017" spans="2:3">
      <c r="B11017" s="12"/>
      <c r="C11017" s="12"/>
    </row>
    <row r="11018" spans="2:3">
      <c r="B11018" s="12"/>
      <c r="C11018" s="12"/>
    </row>
    <row r="11019" spans="2:3">
      <c r="B11019" s="12"/>
      <c r="C11019" s="12"/>
    </row>
    <row r="11020" spans="2:3">
      <c r="B11020" s="12"/>
      <c r="C11020" s="12"/>
    </row>
    <row r="11021" spans="2:3">
      <c r="B11021" s="12"/>
      <c r="C11021" s="12"/>
    </row>
    <row r="11022" spans="2:3">
      <c r="B11022" s="12"/>
      <c r="C11022" s="12"/>
    </row>
    <row r="11023" spans="2:3">
      <c r="B11023" s="12"/>
      <c r="C11023" s="12"/>
    </row>
    <row r="11024" spans="2:3">
      <c r="B11024" s="12"/>
      <c r="C11024" s="12"/>
    </row>
    <row r="11025" spans="2:3">
      <c r="B11025" s="12"/>
      <c r="C11025" s="12"/>
    </row>
    <row r="11026" spans="2:3">
      <c r="B11026" s="12"/>
      <c r="C11026" s="12"/>
    </row>
    <row r="11027" spans="2:3">
      <c r="B11027" s="12"/>
      <c r="C11027" s="12"/>
    </row>
    <row r="11028" spans="2:3">
      <c r="B11028" s="12"/>
      <c r="C11028" s="12"/>
    </row>
    <row r="11029" spans="2:3">
      <c r="B11029" s="12"/>
      <c r="C11029" s="12"/>
    </row>
    <row r="11030" spans="2:3">
      <c r="B11030" s="12"/>
      <c r="C11030" s="12"/>
    </row>
    <row r="11031" spans="2:3">
      <c r="B11031" s="12"/>
      <c r="C11031" s="12"/>
    </row>
    <row r="11032" spans="2:3">
      <c r="B11032" s="12"/>
      <c r="C11032" s="12"/>
    </row>
    <row r="11033" spans="2:3">
      <c r="B11033" s="12"/>
      <c r="C11033" s="12"/>
    </row>
    <row r="11034" spans="2:3">
      <c r="B11034" s="12"/>
      <c r="C11034" s="12"/>
    </row>
    <row r="11035" spans="2:3">
      <c r="B11035" s="12"/>
      <c r="C11035" s="12"/>
    </row>
    <row r="11036" spans="2:3">
      <c r="B11036" s="12"/>
      <c r="C11036" s="12"/>
    </row>
    <row r="11037" spans="2:3">
      <c r="B11037" s="12"/>
      <c r="C11037" s="12"/>
    </row>
    <row r="11038" spans="2:3">
      <c r="B11038" s="12"/>
      <c r="C11038" s="12"/>
    </row>
    <row r="11039" spans="2:3">
      <c r="B11039" s="12"/>
      <c r="C11039" s="12"/>
    </row>
    <row r="11040" spans="2:3">
      <c r="B11040" s="12"/>
      <c r="C11040" s="12"/>
    </row>
    <row r="11041" spans="2:3">
      <c r="B11041" s="12"/>
      <c r="C11041" s="12"/>
    </row>
    <row r="11042" spans="2:3">
      <c r="B11042" s="12"/>
      <c r="C11042" s="12"/>
    </row>
    <row r="11043" spans="2:3">
      <c r="B11043" s="12"/>
      <c r="C11043" s="12"/>
    </row>
    <row r="11044" spans="2:3">
      <c r="B11044" s="12"/>
      <c r="C11044" s="12"/>
    </row>
    <row r="11045" spans="2:3">
      <c r="B11045" s="12"/>
      <c r="C11045" s="12"/>
    </row>
    <row r="11046" spans="2:3">
      <c r="B11046" s="12"/>
      <c r="C11046" s="12"/>
    </row>
    <row r="11047" spans="2:3">
      <c r="B11047" s="12"/>
      <c r="C11047" s="12"/>
    </row>
    <row r="11048" spans="2:3">
      <c r="B11048" s="12"/>
      <c r="C11048" s="12"/>
    </row>
    <row r="11049" spans="2:3">
      <c r="B11049" s="12"/>
      <c r="C11049" s="12"/>
    </row>
    <row r="11050" spans="2:3">
      <c r="B11050" s="12"/>
      <c r="C11050" s="12"/>
    </row>
    <row r="11051" spans="2:3">
      <c r="B11051" s="12"/>
      <c r="C11051" s="12"/>
    </row>
    <row r="11052" spans="2:3">
      <c r="B11052" s="12"/>
      <c r="C11052" s="12"/>
    </row>
    <row r="11053" spans="2:3">
      <c r="B11053" s="12"/>
      <c r="C11053" s="12"/>
    </row>
    <row r="11054" spans="2:3">
      <c r="B11054" s="12"/>
      <c r="C11054" s="12"/>
    </row>
    <row r="11055" spans="2:3">
      <c r="B11055" s="12"/>
      <c r="C11055" s="12"/>
    </row>
    <row r="11056" spans="2:3">
      <c r="B11056" s="12"/>
      <c r="C11056" s="12"/>
    </row>
    <row r="11057" spans="2:3">
      <c r="B11057" s="12"/>
      <c r="C11057" s="12"/>
    </row>
    <row r="11058" spans="2:3">
      <c r="B11058" s="12"/>
      <c r="C11058" s="12"/>
    </row>
    <row r="11059" spans="2:3">
      <c r="B11059" s="12"/>
      <c r="C11059" s="12"/>
    </row>
    <row r="11060" spans="2:3">
      <c r="B11060" s="12"/>
      <c r="C11060" s="12"/>
    </row>
    <row r="11061" spans="2:3">
      <c r="B11061" s="12"/>
      <c r="C11061" s="12"/>
    </row>
    <row r="11062" spans="2:3">
      <c r="B11062" s="12"/>
      <c r="C11062" s="12"/>
    </row>
    <row r="11063" spans="2:3">
      <c r="B11063" s="12"/>
      <c r="C11063" s="12"/>
    </row>
    <row r="11064" spans="2:3">
      <c r="B11064" s="12"/>
      <c r="C11064" s="12"/>
    </row>
    <row r="11065" spans="2:3">
      <c r="B11065" s="12"/>
      <c r="C11065" s="12"/>
    </row>
    <row r="11066" spans="2:3">
      <c r="B11066" s="12"/>
      <c r="C11066" s="12"/>
    </row>
    <row r="11067" spans="2:3">
      <c r="B11067" s="12"/>
      <c r="C11067" s="12"/>
    </row>
    <row r="11068" spans="2:3">
      <c r="B11068" s="12"/>
      <c r="C11068" s="12"/>
    </row>
    <row r="11069" spans="2:3">
      <c r="B11069" s="12"/>
      <c r="C11069" s="12"/>
    </row>
    <row r="11070" spans="2:3">
      <c r="B11070" s="12"/>
      <c r="C11070" s="12"/>
    </row>
    <row r="11071" spans="2:3">
      <c r="B11071" s="12"/>
      <c r="C11071" s="12"/>
    </row>
    <row r="11072" spans="2:3">
      <c r="B11072" s="12"/>
      <c r="C11072" s="12"/>
    </row>
    <row r="11073" spans="2:3">
      <c r="B11073" s="12"/>
      <c r="C11073" s="12"/>
    </row>
    <row r="11074" spans="2:3">
      <c r="B11074" s="12"/>
      <c r="C11074" s="12"/>
    </row>
    <row r="11075" spans="2:3">
      <c r="B11075" s="12"/>
      <c r="C11075" s="12"/>
    </row>
    <row r="11076" spans="2:3">
      <c r="B11076" s="12"/>
      <c r="C11076" s="12"/>
    </row>
    <row r="11077" spans="2:3">
      <c r="B11077" s="12"/>
      <c r="C11077" s="12"/>
    </row>
    <row r="11078" spans="2:3">
      <c r="B11078" s="12"/>
      <c r="C11078" s="12"/>
    </row>
    <row r="11079" spans="2:3">
      <c r="B11079" s="12"/>
      <c r="C11079" s="12"/>
    </row>
    <row r="11080" spans="2:3">
      <c r="B11080" s="12"/>
      <c r="C11080" s="12"/>
    </row>
    <row r="11081" spans="2:3">
      <c r="B11081" s="12"/>
      <c r="C11081" s="12"/>
    </row>
    <row r="11082" spans="2:3">
      <c r="B11082" s="12"/>
      <c r="C11082" s="12"/>
    </row>
    <row r="11083" spans="2:3">
      <c r="B11083" s="12"/>
      <c r="C11083" s="12"/>
    </row>
    <row r="11084" spans="2:3">
      <c r="B11084" s="12"/>
      <c r="C11084" s="12"/>
    </row>
    <row r="11085" spans="2:3">
      <c r="B11085" s="12"/>
      <c r="C11085" s="12"/>
    </row>
    <row r="11086" spans="2:3">
      <c r="B11086" s="12"/>
      <c r="C11086" s="12"/>
    </row>
    <row r="11087" spans="2:3">
      <c r="B11087" s="12"/>
      <c r="C11087" s="12"/>
    </row>
    <row r="11088" spans="2:3">
      <c r="B11088" s="12"/>
      <c r="C11088" s="12"/>
    </row>
    <row r="11089" spans="2:3">
      <c r="B11089" s="12"/>
      <c r="C11089" s="12"/>
    </row>
    <row r="11090" spans="2:3">
      <c r="B11090" s="12"/>
      <c r="C11090" s="12"/>
    </row>
    <row r="11091" spans="2:3">
      <c r="B11091" s="12"/>
      <c r="C11091" s="12"/>
    </row>
    <row r="11092" spans="2:3">
      <c r="B11092" s="12"/>
      <c r="C11092" s="12"/>
    </row>
    <row r="11093" spans="2:3">
      <c r="B11093" s="12"/>
      <c r="C11093" s="12"/>
    </row>
    <row r="11094" spans="2:3">
      <c r="B11094" s="12"/>
      <c r="C11094" s="12"/>
    </row>
    <row r="11095" spans="2:3">
      <c r="B11095" s="12"/>
      <c r="C11095" s="12"/>
    </row>
    <row r="11096" spans="2:3">
      <c r="B11096" s="12"/>
      <c r="C11096" s="12"/>
    </row>
    <row r="11097" spans="2:3">
      <c r="B11097" s="12"/>
      <c r="C11097" s="12"/>
    </row>
    <row r="11098" spans="2:3">
      <c r="B11098" s="12"/>
      <c r="C11098" s="12"/>
    </row>
    <row r="11099" spans="2:3">
      <c r="B11099" s="12"/>
      <c r="C11099" s="12"/>
    </row>
    <row r="11100" spans="2:3">
      <c r="B11100" s="12"/>
      <c r="C11100" s="12"/>
    </row>
    <row r="11101" spans="2:3">
      <c r="B11101" s="12"/>
      <c r="C11101" s="12"/>
    </row>
    <row r="11102" spans="2:3">
      <c r="B11102" s="12"/>
      <c r="C11102" s="12"/>
    </row>
    <row r="11103" spans="2:3">
      <c r="B11103" s="12"/>
      <c r="C11103" s="12"/>
    </row>
    <row r="11104" spans="2:3">
      <c r="B11104" s="12"/>
      <c r="C11104" s="12"/>
    </row>
    <row r="11105" spans="2:3">
      <c r="B11105" s="12"/>
      <c r="C11105" s="12"/>
    </row>
    <row r="11106" spans="2:3">
      <c r="B11106" s="12"/>
      <c r="C11106" s="12"/>
    </row>
    <row r="11107" spans="2:3">
      <c r="B11107" s="12"/>
      <c r="C11107" s="12"/>
    </row>
    <row r="11108" spans="2:3">
      <c r="B11108" s="12"/>
      <c r="C11108" s="12"/>
    </row>
    <row r="11109" spans="2:3">
      <c r="B11109" s="12"/>
      <c r="C11109" s="12"/>
    </row>
    <row r="11110" spans="2:3">
      <c r="B11110" s="12"/>
      <c r="C11110" s="12"/>
    </row>
    <row r="11111" spans="2:3">
      <c r="B11111" s="12"/>
      <c r="C11111" s="12"/>
    </row>
    <row r="11112" spans="2:3">
      <c r="B11112" s="12"/>
      <c r="C11112" s="12"/>
    </row>
    <row r="11113" spans="2:3">
      <c r="B11113" s="12"/>
      <c r="C11113" s="12"/>
    </row>
    <row r="11114" spans="2:3">
      <c r="B11114" s="12"/>
      <c r="C11114" s="12"/>
    </row>
    <row r="11115" spans="2:3">
      <c r="B11115" s="12"/>
      <c r="C11115" s="12"/>
    </row>
    <row r="11116" spans="2:3">
      <c r="B11116" s="12"/>
      <c r="C11116" s="12"/>
    </row>
    <row r="11117" spans="2:3">
      <c r="B11117" s="12"/>
      <c r="C11117" s="12"/>
    </row>
    <row r="11118" spans="2:3">
      <c r="B11118" s="12"/>
      <c r="C11118" s="12"/>
    </row>
    <row r="11119" spans="2:3">
      <c r="B11119" s="12"/>
      <c r="C11119" s="12"/>
    </row>
    <row r="11120" spans="2:3">
      <c r="B11120" s="12"/>
      <c r="C11120" s="12"/>
    </row>
    <row r="11121" spans="2:3">
      <c r="B11121" s="12"/>
      <c r="C11121" s="12"/>
    </row>
    <row r="11122" spans="2:3">
      <c r="B11122" s="12"/>
      <c r="C11122" s="12"/>
    </row>
    <row r="11123" spans="2:3">
      <c r="B11123" s="12"/>
      <c r="C11123" s="12"/>
    </row>
    <row r="11124" spans="2:3">
      <c r="B11124" s="12"/>
      <c r="C11124" s="12"/>
    </row>
    <row r="11125" spans="2:3">
      <c r="B11125" s="12"/>
      <c r="C11125" s="12"/>
    </row>
    <row r="11126" spans="2:3">
      <c r="B11126" s="12"/>
      <c r="C11126" s="12"/>
    </row>
    <row r="11127" spans="2:3">
      <c r="B11127" s="12"/>
      <c r="C11127" s="12"/>
    </row>
    <row r="11128" spans="2:3">
      <c r="B11128" s="12"/>
      <c r="C11128" s="12"/>
    </row>
    <row r="11129" spans="2:3">
      <c r="B11129" s="12"/>
      <c r="C11129" s="12"/>
    </row>
    <row r="11130" spans="2:3">
      <c r="B11130" s="12"/>
      <c r="C11130" s="12"/>
    </row>
    <row r="11131" spans="2:3">
      <c r="B11131" s="12"/>
      <c r="C11131" s="12"/>
    </row>
    <row r="11132" spans="2:3">
      <c r="B11132" s="12"/>
      <c r="C11132" s="12"/>
    </row>
    <row r="11133" spans="2:3">
      <c r="B11133" s="12"/>
      <c r="C11133" s="12"/>
    </row>
    <row r="11134" spans="2:3">
      <c r="B11134" s="12"/>
      <c r="C11134" s="12"/>
    </row>
    <row r="11135" spans="2:3">
      <c r="B11135" s="12"/>
      <c r="C11135" s="12"/>
    </row>
    <row r="11136" spans="2:3">
      <c r="B11136" s="12"/>
      <c r="C11136" s="12"/>
    </row>
    <row r="11137" spans="2:3">
      <c r="B11137" s="12"/>
      <c r="C11137" s="12"/>
    </row>
    <row r="11138" spans="2:3">
      <c r="B11138" s="12"/>
      <c r="C11138" s="12"/>
    </row>
    <row r="11139" spans="2:3">
      <c r="B11139" s="12"/>
      <c r="C11139" s="12"/>
    </row>
    <row r="11140" spans="2:3">
      <c r="B11140" s="12"/>
      <c r="C11140" s="12"/>
    </row>
    <row r="11141" spans="2:3">
      <c r="B11141" s="12"/>
      <c r="C11141" s="12"/>
    </row>
    <row r="11142" spans="2:3">
      <c r="B11142" s="12"/>
      <c r="C11142" s="12"/>
    </row>
    <row r="11143" spans="2:3">
      <c r="B11143" s="12"/>
      <c r="C11143" s="12"/>
    </row>
    <row r="11144" spans="2:3">
      <c r="B11144" s="12"/>
      <c r="C11144" s="12"/>
    </row>
    <row r="11145" spans="2:3">
      <c r="B11145" s="12"/>
      <c r="C11145" s="12"/>
    </row>
    <row r="11146" spans="2:3">
      <c r="B11146" s="12"/>
      <c r="C11146" s="12"/>
    </row>
    <row r="11147" spans="2:3">
      <c r="B11147" s="12"/>
      <c r="C11147" s="12"/>
    </row>
    <row r="11148" spans="2:3">
      <c r="B11148" s="12"/>
      <c r="C11148" s="12"/>
    </row>
    <row r="11149" spans="2:3">
      <c r="B11149" s="12"/>
      <c r="C11149" s="12"/>
    </row>
    <row r="11150" spans="2:3">
      <c r="B11150" s="12"/>
      <c r="C11150" s="12"/>
    </row>
    <row r="11151" spans="2:3">
      <c r="B11151" s="12"/>
      <c r="C11151" s="12"/>
    </row>
    <row r="11152" spans="2:3">
      <c r="B11152" s="12"/>
      <c r="C11152" s="12"/>
    </row>
    <row r="11153" spans="2:3">
      <c r="B11153" s="12"/>
      <c r="C11153" s="12"/>
    </row>
    <row r="11154" spans="2:3">
      <c r="B11154" s="12"/>
      <c r="C11154" s="12"/>
    </row>
    <row r="11155" spans="2:3">
      <c r="B11155" s="12"/>
      <c r="C11155" s="12"/>
    </row>
    <row r="11156" spans="2:3">
      <c r="B11156" s="12"/>
      <c r="C11156" s="12"/>
    </row>
    <row r="11157" spans="2:3">
      <c r="B11157" s="12"/>
      <c r="C11157" s="12"/>
    </row>
    <row r="11158" spans="2:3">
      <c r="B11158" s="12"/>
      <c r="C11158" s="12"/>
    </row>
    <row r="11159" spans="2:3">
      <c r="B11159" s="12"/>
      <c r="C11159" s="12"/>
    </row>
    <row r="11160" spans="2:3">
      <c r="B11160" s="12"/>
      <c r="C11160" s="12"/>
    </row>
    <row r="11161" spans="2:3">
      <c r="B11161" s="12"/>
      <c r="C11161" s="12"/>
    </row>
    <row r="11162" spans="2:3">
      <c r="B11162" s="12"/>
      <c r="C11162" s="12"/>
    </row>
    <row r="11163" spans="2:3">
      <c r="B11163" s="12"/>
      <c r="C11163" s="12"/>
    </row>
    <row r="11164" spans="2:3">
      <c r="B11164" s="12"/>
      <c r="C11164" s="12"/>
    </row>
    <row r="11165" spans="2:3">
      <c r="B11165" s="12"/>
      <c r="C11165" s="12"/>
    </row>
    <row r="11166" spans="2:3">
      <c r="B11166" s="12"/>
      <c r="C11166" s="12"/>
    </row>
    <row r="11167" spans="2:3">
      <c r="B11167" s="12"/>
      <c r="C11167" s="12"/>
    </row>
    <row r="11168" spans="2:3">
      <c r="B11168" s="12"/>
      <c r="C11168" s="12"/>
    </row>
    <row r="11169" spans="2:3">
      <c r="B11169" s="12"/>
      <c r="C11169" s="12"/>
    </row>
    <row r="11170" spans="2:3">
      <c r="B11170" s="12"/>
      <c r="C11170" s="12"/>
    </row>
    <row r="11171" spans="2:3">
      <c r="B11171" s="12"/>
      <c r="C11171" s="12"/>
    </row>
    <row r="11172" spans="2:3">
      <c r="B11172" s="12"/>
      <c r="C11172" s="12"/>
    </row>
    <row r="11173" spans="2:3">
      <c r="B11173" s="12"/>
      <c r="C11173" s="12"/>
    </row>
    <row r="11174" spans="2:3">
      <c r="B11174" s="12"/>
      <c r="C11174" s="12"/>
    </row>
    <row r="11175" spans="2:3">
      <c r="B11175" s="12"/>
      <c r="C11175" s="12"/>
    </row>
    <row r="11176" spans="2:3">
      <c r="B11176" s="12"/>
      <c r="C11176" s="12"/>
    </row>
    <row r="11177" spans="2:3">
      <c r="B11177" s="12"/>
      <c r="C11177" s="12"/>
    </row>
    <row r="11178" spans="2:3">
      <c r="B11178" s="12"/>
      <c r="C11178" s="12"/>
    </row>
    <row r="11179" spans="2:3">
      <c r="B11179" s="12"/>
      <c r="C11179" s="12"/>
    </row>
    <row r="11180" spans="2:3">
      <c r="B11180" s="12"/>
      <c r="C11180" s="12"/>
    </row>
    <row r="11181" spans="2:3">
      <c r="B11181" s="12"/>
      <c r="C11181" s="12"/>
    </row>
    <row r="11182" spans="2:3">
      <c r="B11182" s="12"/>
      <c r="C11182" s="12"/>
    </row>
    <row r="11183" spans="2:3">
      <c r="B11183" s="12"/>
      <c r="C11183" s="12"/>
    </row>
    <row r="11184" spans="2:3">
      <c r="B11184" s="12"/>
      <c r="C11184" s="12"/>
    </row>
    <row r="11185" spans="2:3">
      <c r="B11185" s="12"/>
      <c r="C11185" s="12"/>
    </row>
    <row r="11186" spans="2:3">
      <c r="B11186" s="12"/>
      <c r="C11186" s="12"/>
    </row>
    <row r="11187" spans="2:3">
      <c r="B11187" s="12"/>
      <c r="C11187" s="12"/>
    </row>
    <row r="11188" spans="2:3">
      <c r="B11188" s="12"/>
      <c r="C11188" s="12"/>
    </row>
    <row r="11189" spans="2:3">
      <c r="B11189" s="12"/>
      <c r="C11189" s="12"/>
    </row>
    <row r="11190" spans="2:3">
      <c r="B11190" s="12"/>
      <c r="C11190" s="12"/>
    </row>
    <row r="11191" spans="2:3">
      <c r="B11191" s="12"/>
      <c r="C11191" s="12"/>
    </row>
    <row r="11192" spans="2:3">
      <c r="B11192" s="12"/>
      <c r="C11192" s="12"/>
    </row>
    <row r="11193" spans="2:3">
      <c r="B11193" s="12"/>
      <c r="C11193" s="12"/>
    </row>
    <row r="11194" spans="2:3">
      <c r="B11194" s="12"/>
      <c r="C11194" s="12"/>
    </row>
    <row r="11195" spans="2:3">
      <c r="B11195" s="12"/>
      <c r="C11195" s="12"/>
    </row>
    <row r="11196" spans="2:3">
      <c r="B11196" s="12"/>
      <c r="C11196" s="12"/>
    </row>
    <row r="11197" spans="2:3">
      <c r="B11197" s="12"/>
      <c r="C11197" s="12"/>
    </row>
    <row r="11198" spans="2:3">
      <c r="B11198" s="12"/>
      <c r="C11198" s="12"/>
    </row>
    <row r="11199" spans="2:3">
      <c r="B11199" s="12"/>
      <c r="C11199" s="12"/>
    </row>
    <row r="11200" spans="2:3">
      <c r="B11200" s="12"/>
      <c r="C11200" s="12"/>
    </row>
    <row r="11201" spans="2:3">
      <c r="B11201" s="12"/>
      <c r="C11201" s="12"/>
    </row>
    <row r="11202" spans="2:3">
      <c r="B11202" s="12"/>
      <c r="C11202" s="12"/>
    </row>
    <row r="11203" spans="2:3">
      <c r="B11203" s="12"/>
      <c r="C11203" s="12"/>
    </row>
    <row r="11204" spans="2:3">
      <c r="B11204" s="12"/>
      <c r="C11204" s="12"/>
    </row>
    <row r="11205" spans="2:3">
      <c r="B11205" s="12"/>
      <c r="C11205" s="12"/>
    </row>
    <row r="11206" spans="2:3">
      <c r="B11206" s="12"/>
      <c r="C11206" s="12"/>
    </row>
    <row r="11207" spans="2:3">
      <c r="B11207" s="12"/>
      <c r="C11207" s="12"/>
    </row>
    <row r="11208" spans="2:3">
      <c r="B11208" s="12"/>
      <c r="C11208" s="12"/>
    </row>
    <row r="11209" spans="2:3">
      <c r="B11209" s="12"/>
      <c r="C11209" s="12"/>
    </row>
    <row r="11210" spans="2:3">
      <c r="B11210" s="12"/>
      <c r="C11210" s="12"/>
    </row>
    <row r="11211" spans="2:3">
      <c r="B11211" s="12"/>
      <c r="C11211" s="12"/>
    </row>
    <row r="11212" spans="2:3">
      <c r="B11212" s="12"/>
      <c r="C11212" s="12"/>
    </row>
    <row r="11213" spans="2:3">
      <c r="B11213" s="12"/>
      <c r="C11213" s="12"/>
    </row>
    <row r="11214" spans="2:3">
      <c r="B11214" s="12"/>
      <c r="C11214" s="12"/>
    </row>
    <row r="11215" spans="2:3">
      <c r="B11215" s="12"/>
      <c r="C11215" s="12"/>
    </row>
    <row r="11216" spans="2:3">
      <c r="B11216" s="12"/>
      <c r="C11216" s="12"/>
    </row>
    <row r="11217" spans="2:3">
      <c r="B11217" s="12"/>
      <c r="C11217" s="12"/>
    </row>
    <row r="11218" spans="2:3">
      <c r="B11218" s="12"/>
      <c r="C11218" s="12"/>
    </row>
    <row r="11219" spans="2:3">
      <c r="B11219" s="12"/>
      <c r="C11219" s="12"/>
    </row>
    <row r="11220" spans="2:3">
      <c r="B11220" s="12"/>
      <c r="C11220" s="12"/>
    </row>
    <row r="11221" spans="2:3">
      <c r="B11221" s="12"/>
      <c r="C11221" s="12"/>
    </row>
    <row r="11222" spans="2:3">
      <c r="B11222" s="12"/>
      <c r="C11222" s="12"/>
    </row>
    <row r="11223" spans="2:3">
      <c r="B11223" s="12"/>
      <c r="C11223" s="12"/>
    </row>
    <row r="11224" spans="2:3">
      <c r="B11224" s="12"/>
      <c r="C11224" s="12"/>
    </row>
    <row r="11225" spans="2:3">
      <c r="B11225" s="12"/>
      <c r="C11225" s="12"/>
    </row>
    <row r="11226" spans="2:3">
      <c r="B11226" s="12"/>
      <c r="C11226" s="12"/>
    </row>
    <row r="11227" spans="2:3">
      <c r="B11227" s="12"/>
      <c r="C11227" s="12"/>
    </row>
    <row r="11228" spans="2:3">
      <c r="B11228" s="12"/>
      <c r="C11228" s="12"/>
    </row>
    <row r="11229" spans="2:3">
      <c r="B11229" s="12"/>
      <c r="C11229" s="12"/>
    </row>
    <row r="11230" spans="2:3">
      <c r="B11230" s="12"/>
      <c r="C11230" s="12"/>
    </row>
    <row r="11231" spans="2:3">
      <c r="B11231" s="12"/>
      <c r="C11231" s="12"/>
    </row>
    <row r="11232" spans="2:3">
      <c r="B11232" s="12"/>
      <c r="C11232" s="12"/>
    </row>
    <row r="11233" spans="2:3">
      <c r="B11233" s="12"/>
      <c r="C11233" s="12"/>
    </row>
    <row r="11234" spans="2:3">
      <c r="B11234" s="12"/>
      <c r="C11234" s="12"/>
    </row>
    <row r="11235" spans="2:3">
      <c r="B11235" s="12"/>
      <c r="C11235" s="12"/>
    </row>
    <row r="11236" spans="2:3">
      <c r="B11236" s="12"/>
      <c r="C11236" s="12"/>
    </row>
    <row r="11237" spans="2:3">
      <c r="B11237" s="12"/>
      <c r="C11237" s="12"/>
    </row>
    <row r="11238" spans="2:3">
      <c r="B11238" s="12"/>
      <c r="C11238" s="12"/>
    </row>
    <row r="11239" spans="2:3">
      <c r="B11239" s="12"/>
      <c r="C11239" s="12"/>
    </row>
    <row r="11240" spans="2:3">
      <c r="B11240" s="12"/>
      <c r="C11240" s="12"/>
    </row>
    <row r="11241" spans="2:3">
      <c r="B11241" s="12"/>
      <c r="C11241" s="12"/>
    </row>
    <row r="11242" spans="2:3">
      <c r="B11242" s="12"/>
      <c r="C11242" s="12"/>
    </row>
    <row r="11243" spans="2:3">
      <c r="B11243" s="12"/>
      <c r="C11243" s="12"/>
    </row>
    <row r="11244" spans="2:3">
      <c r="B11244" s="12"/>
      <c r="C11244" s="12"/>
    </row>
    <row r="11245" spans="2:3">
      <c r="B11245" s="12"/>
      <c r="C11245" s="12"/>
    </row>
    <row r="11246" spans="2:3">
      <c r="B11246" s="12"/>
      <c r="C11246" s="12"/>
    </row>
    <row r="11247" spans="2:3">
      <c r="B11247" s="12"/>
      <c r="C11247" s="12"/>
    </row>
    <row r="11248" spans="2:3">
      <c r="B11248" s="12"/>
      <c r="C11248" s="12"/>
    </row>
    <row r="11249" spans="2:3">
      <c r="B11249" s="12"/>
      <c r="C11249" s="12"/>
    </row>
    <row r="11250" spans="2:3">
      <c r="B11250" s="12"/>
      <c r="C11250" s="12"/>
    </row>
    <row r="11251" spans="2:3">
      <c r="B11251" s="12"/>
      <c r="C11251" s="12"/>
    </row>
    <row r="11252" spans="2:3">
      <c r="B11252" s="12"/>
      <c r="C11252" s="12"/>
    </row>
    <row r="11253" spans="2:3">
      <c r="B11253" s="12"/>
      <c r="C11253" s="12"/>
    </row>
    <row r="11254" spans="2:3">
      <c r="B11254" s="12"/>
      <c r="C11254" s="12"/>
    </row>
    <row r="11255" spans="2:3">
      <c r="B11255" s="12"/>
      <c r="C11255" s="12"/>
    </row>
    <row r="11256" spans="2:3">
      <c r="B11256" s="12"/>
      <c r="C11256" s="12"/>
    </row>
    <row r="11257" spans="2:3">
      <c r="B11257" s="12"/>
      <c r="C11257" s="12"/>
    </row>
    <row r="11258" spans="2:3">
      <c r="B11258" s="12"/>
      <c r="C11258" s="12"/>
    </row>
    <row r="11259" spans="2:3">
      <c r="B11259" s="12"/>
      <c r="C11259" s="12"/>
    </row>
    <row r="11260" spans="2:3">
      <c r="B11260" s="12"/>
      <c r="C11260" s="12"/>
    </row>
    <row r="11261" spans="2:3">
      <c r="B11261" s="12"/>
      <c r="C11261" s="12"/>
    </row>
    <row r="11262" spans="2:3">
      <c r="B11262" s="12"/>
      <c r="C11262" s="12"/>
    </row>
    <row r="11263" spans="2:3">
      <c r="B11263" s="12"/>
      <c r="C11263" s="12"/>
    </row>
    <row r="11264" spans="2:3">
      <c r="B11264" s="12"/>
      <c r="C11264" s="12"/>
    </row>
    <row r="11265" spans="2:3">
      <c r="B11265" s="12"/>
      <c r="C11265" s="12"/>
    </row>
    <row r="11266" spans="2:3">
      <c r="B11266" s="12"/>
      <c r="C11266" s="12"/>
    </row>
    <row r="11267" spans="2:3">
      <c r="B11267" s="12"/>
      <c r="C11267" s="12"/>
    </row>
    <row r="11268" spans="2:3">
      <c r="B11268" s="12"/>
      <c r="C11268" s="12"/>
    </row>
    <row r="11269" spans="2:3">
      <c r="B11269" s="12"/>
      <c r="C11269" s="12"/>
    </row>
    <row r="11270" spans="2:3">
      <c r="B11270" s="12"/>
      <c r="C11270" s="12"/>
    </row>
    <row r="11271" spans="2:3">
      <c r="B11271" s="12"/>
      <c r="C11271" s="12"/>
    </row>
    <row r="11272" spans="2:3">
      <c r="B11272" s="12"/>
      <c r="C11272" s="12"/>
    </row>
    <row r="11273" spans="2:3">
      <c r="B11273" s="12"/>
      <c r="C11273" s="12"/>
    </row>
    <row r="11274" spans="2:3">
      <c r="B11274" s="12"/>
      <c r="C11274" s="12"/>
    </row>
    <row r="11275" spans="2:3">
      <c r="B11275" s="12"/>
      <c r="C11275" s="12"/>
    </row>
    <row r="11276" spans="2:3">
      <c r="B11276" s="12"/>
      <c r="C11276" s="12"/>
    </row>
    <row r="11277" spans="2:3">
      <c r="B11277" s="12"/>
      <c r="C11277" s="12"/>
    </row>
    <row r="11278" spans="2:3">
      <c r="B11278" s="12"/>
      <c r="C11278" s="12"/>
    </row>
    <row r="11279" spans="2:3">
      <c r="B11279" s="12"/>
      <c r="C11279" s="12"/>
    </row>
    <row r="11280" spans="2:3">
      <c r="B11280" s="12"/>
      <c r="C11280" s="12"/>
    </row>
    <row r="11281" spans="2:3">
      <c r="B11281" s="12"/>
      <c r="C11281" s="12"/>
    </row>
    <row r="11282" spans="2:3">
      <c r="B11282" s="12"/>
      <c r="C11282" s="12"/>
    </row>
    <row r="11283" spans="2:3">
      <c r="B11283" s="12"/>
      <c r="C11283" s="12"/>
    </row>
    <row r="11284" spans="2:3">
      <c r="B11284" s="12"/>
      <c r="C11284" s="12"/>
    </row>
    <row r="11285" spans="2:3">
      <c r="B11285" s="12"/>
      <c r="C11285" s="12"/>
    </row>
    <row r="11286" spans="2:3">
      <c r="B11286" s="12"/>
      <c r="C11286" s="12"/>
    </row>
    <row r="11287" spans="2:3">
      <c r="B11287" s="12"/>
      <c r="C11287" s="12"/>
    </row>
    <row r="11288" spans="2:3">
      <c r="B11288" s="12"/>
      <c r="C11288" s="12"/>
    </row>
    <row r="11289" spans="2:3">
      <c r="B11289" s="12"/>
      <c r="C11289" s="12"/>
    </row>
    <row r="11290" spans="2:3">
      <c r="B11290" s="12"/>
      <c r="C11290" s="12"/>
    </row>
    <row r="11291" spans="2:3">
      <c r="B11291" s="12"/>
      <c r="C11291" s="12"/>
    </row>
    <row r="11292" spans="2:3">
      <c r="B11292" s="12"/>
      <c r="C11292" s="12"/>
    </row>
    <row r="11293" spans="2:3">
      <c r="B11293" s="12"/>
      <c r="C11293" s="12"/>
    </row>
    <row r="11294" spans="2:3">
      <c r="B11294" s="12"/>
      <c r="C11294" s="12"/>
    </row>
    <row r="11295" spans="2:3">
      <c r="B11295" s="12"/>
      <c r="C11295" s="12"/>
    </row>
    <row r="11296" spans="2:3">
      <c r="B11296" s="12"/>
      <c r="C11296" s="12"/>
    </row>
    <row r="11297" spans="2:3">
      <c r="B11297" s="12"/>
      <c r="C11297" s="12"/>
    </row>
    <row r="11298" spans="2:3">
      <c r="B11298" s="12"/>
      <c r="C11298" s="12"/>
    </row>
    <row r="11299" spans="2:3">
      <c r="B11299" s="12"/>
      <c r="C11299" s="12"/>
    </row>
    <row r="11300" spans="2:3">
      <c r="B11300" s="12"/>
      <c r="C11300" s="12"/>
    </row>
    <row r="11301" spans="2:3">
      <c r="B11301" s="12"/>
      <c r="C11301" s="12"/>
    </row>
    <row r="11302" spans="2:3">
      <c r="B11302" s="12"/>
      <c r="C11302" s="12"/>
    </row>
    <row r="11303" spans="2:3">
      <c r="B11303" s="12"/>
      <c r="C11303" s="12"/>
    </row>
    <row r="11304" spans="2:3">
      <c r="B11304" s="12"/>
      <c r="C11304" s="12"/>
    </row>
    <row r="11305" spans="2:3">
      <c r="B11305" s="12"/>
      <c r="C11305" s="12"/>
    </row>
    <row r="11306" spans="2:3">
      <c r="B11306" s="12"/>
      <c r="C11306" s="12"/>
    </row>
    <row r="11307" spans="2:3">
      <c r="B11307" s="12"/>
      <c r="C11307" s="12"/>
    </row>
    <row r="11308" spans="2:3">
      <c r="B11308" s="12"/>
      <c r="C11308" s="12"/>
    </row>
    <row r="11309" spans="2:3">
      <c r="B11309" s="12"/>
      <c r="C11309" s="12"/>
    </row>
    <row r="11310" spans="2:3">
      <c r="B11310" s="12"/>
      <c r="C11310" s="12"/>
    </row>
    <row r="11311" spans="2:3">
      <c r="B11311" s="12"/>
      <c r="C11311" s="12"/>
    </row>
    <row r="11312" spans="2:3">
      <c r="B11312" s="12"/>
      <c r="C11312" s="12"/>
    </row>
    <row r="11313" spans="2:3">
      <c r="B11313" s="12"/>
      <c r="C11313" s="12"/>
    </row>
    <row r="11314" spans="2:3">
      <c r="B11314" s="12"/>
      <c r="C11314" s="12"/>
    </row>
    <row r="11315" spans="2:3">
      <c r="B11315" s="12"/>
      <c r="C11315" s="12"/>
    </row>
    <row r="11316" spans="2:3">
      <c r="B11316" s="12"/>
      <c r="C11316" s="12"/>
    </row>
    <row r="11317" spans="2:3">
      <c r="B11317" s="12"/>
      <c r="C11317" s="12"/>
    </row>
    <row r="11318" spans="2:3">
      <c r="B11318" s="12"/>
      <c r="C11318" s="12"/>
    </row>
    <row r="11319" spans="2:3">
      <c r="B11319" s="12"/>
      <c r="C11319" s="12"/>
    </row>
    <row r="11320" spans="2:3">
      <c r="B11320" s="12"/>
      <c r="C11320" s="12"/>
    </row>
    <row r="11321" spans="2:3">
      <c r="B11321" s="12"/>
      <c r="C11321" s="12"/>
    </row>
    <row r="11322" spans="2:3">
      <c r="B11322" s="12"/>
      <c r="C11322" s="12"/>
    </row>
    <row r="11323" spans="2:3">
      <c r="B11323" s="12"/>
      <c r="C11323" s="12"/>
    </row>
    <row r="11324" spans="2:3">
      <c r="B11324" s="12"/>
      <c r="C11324" s="12"/>
    </row>
    <row r="11325" spans="2:3">
      <c r="B11325" s="12"/>
      <c r="C11325" s="12"/>
    </row>
    <row r="11326" spans="2:3">
      <c r="B11326" s="12"/>
      <c r="C11326" s="12"/>
    </row>
    <row r="11327" spans="2:3">
      <c r="B11327" s="12"/>
      <c r="C11327" s="12"/>
    </row>
    <row r="11328" spans="2:3">
      <c r="B11328" s="12"/>
      <c r="C11328" s="12"/>
    </row>
    <row r="11329" spans="2:3">
      <c r="B11329" s="12"/>
      <c r="C11329" s="12"/>
    </row>
    <row r="11330" spans="2:3">
      <c r="B11330" s="12"/>
      <c r="C11330" s="12"/>
    </row>
    <row r="11331" spans="2:3">
      <c r="B11331" s="12"/>
      <c r="C11331" s="12"/>
    </row>
    <row r="11332" spans="2:3">
      <c r="B11332" s="12"/>
      <c r="C11332" s="12"/>
    </row>
    <row r="11333" spans="2:3">
      <c r="B11333" s="12"/>
      <c r="C11333" s="12"/>
    </row>
    <row r="11334" spans="2:3">
      <c r="B11334" s="12"/>
      <c r="C11334" s="12"/>
    </row>
    <row r="11335" spans="2:3">
      <c r="B11335" s="12"/>
      <c r="C11335" s="12"/>
    </row>
    <row r="11336" spans="2:3">
      <c r="B11336" s="12"/>
      <c r="C11336" s="12"/>
    </row>
    <row r="11337" spans="2:3">
      <c r="B11337" s="12"/>
      <c r="C11337" s="12"/>
    </row>
    <row r="11338" spans="2:3">
      <c r="B11338" s="12"/>
      <c r="C11338" s="12"/>
    </row>
    <row r="11339" spans="2:3">
      <c r="B11339" s="12"/>
      <c r="C11339" s="12"/>
    </row>
    <row r="11340" spans="2:3">
      <c r="B11340" s="12"/>
      <c r="C11340" s="12"/>
    </row>
    <row r="11341" spans="2:3">
      <c r="B11341" s="12"/>
      <c r="C11341" s="12"/>
    </row>
    <row r="11342" spans="2:3">
      <c r="B11342" s="12"/>
      <c r="C11342" s="12"/>
    </row>
    <row r="11343" spans="2:3">
      <c r="B11343" s="12"/>
      <c r="C11343" s="12"/>
    </row>
    <row r="11344" spans="2:3">
      <c r="B11344" s="12"/>
      <c r="C11344" s="12"/>
    </row>
    <row r="11345" spans="2:3">
      <c r="B11345" s="12"/>
      <c r="C11345" s="12"/>
    </row>
    <row r="11346" spans="2:3">
      <c r="B11346" s="12"/>
      <c r="C11346" s="12"/>
    </row>
    <row r="11347" spans="2:3">
      <c r="B11347" s="12"/>
      <c r="C11347" s="12"/>
    </row>
    <row r="11348" spans="2:3">
      <c r="B11348" s="12"/>
      <c r="C11348" s="12"/>
    </row>
    <row r="11349" spans="2:3">
      <c r="B11349" s="12"/>
      <c r="C11349" s="12"/>
    </row>
    <row r="11350" spans="2:3">
      <c r="B11350" s="12"/>
      <c r="C11350" s="12"/>
    </row>
    <row r="11351" spans="2:3">
      <c r="B11351" s="12"/>
      <c r="C11351" s="12"/>
    </row>
    <row r="11352" spans="2:3">
      <c r="B11352" s="12"/>
      <c r="C11352" s="12"/>
    </row>
    <row r="11353" spans="2:3">
      <c r="B11353" s="12"/>
      <c r="C11353" s="12"/>
    </row>
    <row r="11354" spans="2:3">
      <c r="B11354" s="12"/>
      <c r="C11354" s="12"/>
    </row>
    <row r="11355" spans="2:3">
      <c r="B11355" s="12"/>
      <c r="C11355" s="12"/>
    </row>
    <row r="11356" spans="2:3">
      <c r="B11356" s="12"/>
      <c r="C11356" s="12"/>
    </row>
    <row r="11357" spans="2:3">
      <c r="B11357" s="12"/>
      <c r="C11357" s="12"/>
    </row>
    <row r="11358" spans="2:3">
      <c r="B11358" s="12"/>
      <c r="C11358" s="12"/>
    </row>
    <row r="11359" spans="2:3">
      <c r="B11359" s="12"/>
      <c r="C11359" s="12"/>
    </row>
    <row r="11360" spans="2:3">
      <c r="B11360" s="12"/>
      <c r="C11360" s="12"/>
    </row>
    <row r="11361" spans="2:3">
      <c r="B11361" s="12"/>
      <c r="C11361" s="12"/>
    </row>
    <row r="11362" spans="2:3">
      <c r="B11362" s="12"/>
      <c r="C11362" s="12"/>
    </row>
    <row r="11363" spans="2:3">
      <c r="B11363" s="12"/>
      <c r="C11363" s="12"/>
    </row>
    <row r="11364" spans="2:3">
      <c r="B11364" s="12"/>
      <c r="C11364" s="12"/>
    </row>
    <row r="11365" spans="2:3">
      <c r="B11365" s="12"/>
      <c r="C11365" s="12"/>
    </row>
    <row r="11366" spans="2:3">
      <c r="B11366" s="12"/>
      <c r="C11366" s="12"/>
    </row>
    <row r="11367" spans="2:3">
      <c r="B11367" s="12"/>
      <c r="C11367" s="12"/>
    </row>
    <row r="11368" spans="2:3">
      <c r="B11368" s="12"/>
      <c r="C11368" s="12"/>
    </row>
    <row r="11369" spans="2:3">
      <c r="B11369" s="12"/>
      <c r="C11369" s="12"/>
    </row>
    <row r="11370" spans="2:3">
      <c r="B11370" s="12"/>
      <c r="C11370" s="12"/>
    </row>
    <row r="11371" spans="2:3">
      <c r="B11371" s="12"/>
      <c r="C11371" s="12"/>
    </row>
    <row r="11372" spans="2:3">
      <c r="B11372" s="12"/>
      <c r="C11372" s="12"/>
    </row>
    <row r="11373" spans="2:3">
      <c r="B11373" s="12"/>
      <c r="C11373" s="12"/>
    </row>
    <row r="11374" spans="2:3">
      <c r="B11374" s="12"/>
      <c r="C11374" s="12"/>
    </row>
    <row r="11375" spans="2:3">
      <c r="B11375" s="12"/>
      <c r="C11375" s="12"/>
    </row>
    <row r="11376" spans="2:3">
      <c r="B11376" s="12"/>
      <c r="C11376" s="12"/>
    </row>
    <row r="11377" spans="2:3">
      <c r="B11377" s="12"/>
      <c r="C11377" s="12"/>
    </row>
    <row r="11378" spans="2:3">
      <c r="B11378" s="12"/>
      <c r="C11378" s="12"/>
    </row>
    <row r="11379" spans="2:3">
      <c r="B11379" s="12"/>
      <c r="C11379" s="12"/>
    </row>
    <row r="11380" spans="2:3">
      <c r="B11380" s="12"/>
      <c r="C11380" s="12"/>
    </row>
    <row r="11381" spans="2:3">
      <c r="B11381" s="12"/>
      <c r="C11381" s="12"/>
    </row>
    <row r="11382" spans="2:3">
      <c r="B11382" s="12"/>
      <c r="C11382" s="12"/>
    </row>
    <row r="11383" spans="2:3">
      <c r="B11383" s="12"/>
      <c r="C11383" s="12"/>
    </row>
    <row r="11384" spans="2:3">
      <c r="B11384" s="12"/>
      <c r="C11384" s="12"/>
    </row>
    <row r="11385" spans="2:3">
      <c r="B11385" s="12"/>
      <c r="C11385" s="12"/>
    </row>
    <row r="11386" spans="2:3">
      <c r="B11386" s="12"/>
      <c r="C11386" s="12"/>
    </row>
    <row r="11387" spans="2:3">
      <c r="B11387" s="12"/>
      <c r="C11387" s="12"/>
    </row>
    <row r="11388" spans="2:3">
      <c r="B11388" s="12"/>
      <c r="C11388" s="12"/>
    </row>
    <row r="11389" spans="2:3">
      <c r="B11389" s="12"/>
      <c r="C11389" s="12"/>
    </row>
    <row r="11390" spans="2:3">
      <c r="B11390" s="12"/>
      <c r="C11390" s="12"/>
    </row>
    <row r="11391" spans="2:3">
      <c r="B11391" s="12"/>
      <c r="C11391" s="12"/>
    </row>
    <row r="11392" spans="2:3">
      <c r="B11392" s="12"/>
      <c r="C11392" s="12"/>
    </row>
    <row r="11393" spans="2:3">
      <c r="B11393" s="12"/>
      <c r="C11393" s="12"/>
    </row>
    <row r="11394" spans="2:3">
      <c r="B11394" s="12"/>
      <c r="C11394" s="12"/>
    </row>
    <row r="11395" spans="2:3">
      <c r="B11395" s="12"/>
      <c r="C11395" s="12"/>
    </row>
    <row r="11396" spans="2:3">
      <c r="B11396" s="12"/>
      <c r="C11396" s="12"/>
    </row>
    <row r="11397" spans="2:3">
      <c r="B11397" s="12"/>
      <c r="C11397" s="12"/>
    </row>
    <row r="11398" spans="2:3">
      <c r="B11398" s="12"/>
      <c r="C11398" s="12"/>
    </row>
    <row r="11399" spans="2:3">
      <c r="B11399" s="12"/>
      <c r="C11399" s="12"/>
    </row>
    <row r="11400" spans="2:3">
      <c r="B11400" s="12"/>
      <c r="C11400" s="12"/>
    </row>
    <row r="11401" spans="2:3">
      <c r="B11401" s="12"/>
      <c r="C11401" s="12"/>
    </row>
    <row r="11402" spans="2:3">
      <c r="B11402" s="12"/>
      <c r="C11402" s="12"/>
    </row>
    <row r="11403" spans="2:3">
      <c r="B11403" s="12"/>
      <c r="C11403" s="12"/>
    </row>
    <row r="11404" spans="2:3">
      <c r="B11404" s="12"/>
      <c r="C11404" s="12"/>
    </row>
    <row r="11405" spans="2:3">
      <c r="B11405" s="12"/>
      <c r="C11405" s="12"/>
    </row>
    <row r="11406" spans="2:3">
      <c r="B11406" s="12"/>
      <c r="C11406" s="12"/>
    </row>
    <row r="11407" spans="2:3">
      <c r="B11407" s="12"/>
      <c r="C11407" s="12"/>
    </row>
    <row r="11408" spans="2:3">
      <c r="B11408" s="12"/>
      <c r="C11408" s="12"/>
    </row>
    <row r="11409" spans="2:3">
      <c r="B11409" s="12"/>
      <c r="C11409" s="12"/>
    </row>
    <row r="11410" spans="2:3">
      <c r="B11410" s="12"/>
      <c r="C11410" s="12"/>
    </row>
    <row r="11411" spans="2:3">
      <c r="B11411" s="12"/>
      <c r="C11411" s="12"/>
    </row>
    <row r="11412" spans="2:3">
      <c r="B11412" s="12"/>
      <c r="C11412" s="12"/>
    </row>
    <row r="11413" spans="2:3">
      <c r="B11413" s="12"/>
      <c r="C11413" s="12"/>
    </row>
    <row r="11414" spans="2:3">
      <c r="B11414" s="12"/>
      <c r="C11414" s="12"/>
    </row>
    <row r="11415" spans="2:3">
      <c r="B11415" s="12"/>
      <c r="C11415" s="12"/>
    </row>
    <row r="11416" spans="2:3">
      <c r="B11416" s="12"/>
      <c r="C11416" s="12"/>
    </row>
    <row r="11417" spans="2:3">
      <c r="B11417" s="12"/>
      <c r="C11417" s="12"/>
    </row>
    <row r="11418" spans="2:3">
      <c r="B11418" s="12"/>
      <c r="C11418" s="12"/>
    </row>
    <row r="11419" spans="2:3">
      <c r="B11419" s="12"/>
      <c r="C11419" s="12"/>
    </row>
    <row r="11420" spans="2:3">
      <c r="B11420" s="12"/>
      <c r="C11420" s="12"/>
    </row>
    <row r="11421" spans="2:3">
      <c r="B11421" s="12"/>
      <c r="C11421" s="12"/>
    </row>
    <row r="11422" spans="2:3">
      <c r="B11422" s="12"/>
      <c r="C11422" s="12"/>
    </row>
    <row r="11423" spans="2:3">
      <c r="B11423" s="12"/>
      <c r="C11423" s="12"/>
    </row>
    <row r="11424" spans="2:3">
      <c r="B11424" s="12"/>
      <c r="C11424" s="12"/>
    </row>
    <row r="11425" spans="2:3">
      <c r="B11425" s="12"/>
      <c r="C11425" s="12"/>
    </row>
    <row r="11426" spans="2:3">
      <c r="B11426" s="12"/>
      <c r="C11426" s="12"/>
    </row>
    <row r="11427" spans="2:3">
      <c r="B11427" s="12"/>
      <c r="C11427" s="12"/>
    </row>
    <row r="11428" spans="2:3">
      <c r="B11428" s="12"/>
      <c r="C11428" s="12"/>
    </row>
    <row r="11429" spans="2:3">
      <c r="B11429" s="12"/>
      <c r="C11429" s="12"/>
    </row>
    <row r="11430" spans="2:3">
      <c r="B11430" s="12"/>
      <c r="C11430" s="12"/>
    </row>
    <row r="11431" spans="2:3">
      <c r="B11431" s="12"/>
      <c r="C11431" s="12"/>
    </row>
    <row r="11432" spans="2:3">
      <c r="B11432" s="12"/>
      <c r="C11432" s="12"/>
    </row>
    <row r="11433" spans="2:3">
      <c r="B11433" s="12"/>
      <c r="C11433" s="12"/>
    </row>
    <row r="11434" spans="2:3">
      <c r="B11434" s="12"/>
      <c r="C11434" s="12"/>
    </row>
    <row r="11435" spans="2:3">
      <c r="B11435" s="12"/>
      <c r="C11435" s="12"/>
    </row>
    <row r="11436" spans="2:3">
      <c r="B11436" s="12"/>
      <c r="C11436" s="12"/>
    </row>
    <row r="11437" spans="2:3">
      <c r="B11437" s="12"/>
      <c r="C11437" s="12"/>
    </row>
    <row r="11438" spans="2:3">
      <c r="B11438" s="12"/>
      <c r="C11438" s="12"/>
    </row>
    <row r="11439" spans="2:3">
      <c r="B11439" s="12"/>
      <c r="C11439" s="12"/>
    </row>
    <row r="11440" spans="2:3">
      <c r="B11440" s="12"/>
      <c r="C11440" s="12"/>
    </row>
    <row r="11441" spans="2:3">
      <c r="B11441" s="12"/>
      <c r="C11441" s="12"/>
    </row>
    <row r="11442" spans="2:3">
      <c r="B11442" s="12"/>
      <c r="C11442" s="12"/>
    </row>
    <row r="11443" spans="2:3">
      <c r="B11443" s="12"/>
      <c r="C11443" s="12"/>
    </row>
    <row r="11444" spans="2:3">
      <c r="B11444" s="12"/>
      <c r="C11444" s="12"/>
    </row>
    <row r="11445" spans="2:3">
      <c r="B11445" s="12"/>
      <c r="C11445" s="12"/>
    </row>
    <row r="11446" spans="2:3">
      <c r="B11446" s="12"/>
      <c r="C11446" s="12"/>
    </row>
    <row r="11447" spans="2:3">
      <c r="B11447" s="12"/>
      <c r="C11447" s="12"/>
    </row>
    <row r="11448" spans="2:3">
      <c r="B11448" s="12"/>
      <c r="C11448" s="12"/>
    </row>
    <row r="11449" spans="2:3">
      <c r="B11449" s="12"/>
      <c r="C11449" s="12"/>
    </row>
    <row r="11450" spans="2:3">
      <c r="B11450" s="12"/>
      <c r="C11450" s="12"/>
    </row>
    <row r="11451" spans="2:3">
      <c r="B11451" s="12"/>
      <c r="C11451" s="12"/>
    </row>
    <row r="11452" spans="2:3">
      <c r="B11452" s="12"/>
      <c r="C11452" s="12"/>
    </row>
    <row r="11453" spans="2:3">
      <c r="B11453" s="12"/>
      <c r="C11453" s="12"/>
    </row>
    <row r="11454" spans="2:3">
      <c r="B11454" s="12"/>
      <c r="C11454" s="12"/>
    </row>
    <row r="11455" spans="2:3">
      <c r="B11455" s="12"/>
      <c r="C11455" s="12"/>
    </row>
    <row r="11456" spans="2:3">
      <c r="B11456" s="12"/>
      <c r="C11456" s="12"/>
    </row>
    <row r="11457" spans="2:3">
      <c r="B11457" s="12"/>
      <c r="C11457" s="12"/>
    </row>
    <row r="11458" spans="2:3">
      <c r="B11458" s="12"/>
      <c r="C11458" s="12"/>
    </row>
    <row r="11459" spans="2:3">
      <c r="B11459" s="12"/>
      <c r="C11459" s="12"/>
    </row>
    <row r="11460" spans="2:3">
      <c r="B11460" s="12"/>
      <c r="C11460" s="12"/>
    </row>
    <row r="11461" spans="2:3">
      <c r="B11461" s="12"/>
      <c r="C11461" s="12"/>
    </row>
    <row r="11462" spans="2:3">
      <c r="B11462" s="12"/>
      <c r="C11462" s="12"/>
    </row>
    <row r="11463" spans="2:3">
      <c r="B11463" s="12"/>
      <c r="C11463" s="12"/>
    </row>
    <row r="11464" spans="2:3">
      <c r="B11464" s="12"/>
      <c r="C11464" s="12"/>
    </row>
    <row r="11465" spans="2:3">
      <c r="B11465" s="12"/>
      <c r="C11465" s="12"/>
    </row>
    <row r="11466" spans="2:3">
      <c r="B11466" s="12"/>
      <c r="C11466" s="12"/>
    </row>
    <row r="11467" spans="2:3">
      <c r="B11467" s="12"/>
      <c r="C11467" s="12"/>
    </row>
    <row r="11468" spans="2:3">
      <c r="B11468" s="12"/>
      <c r="C11468" s="12"/>
    </row>
    <row r="11469" spans="2:3">
      <c r="B11469" s="12"/>
      <c r="C11469" s="12"/>
    </row>
    <row r="11470" spans="2:3">
      <c r="B11470" s="12"/>
      <c r="C11470" s="12"/>
    </row>
    <row r="11471" spans="2:3">
      <c r="B11471" s="12"/>
      <c r="C11471" s="12"/>
    </row>
    <row r="11472" spans="2:3">
      <c r="B11472" s="12"/>
      <c r="C11472" s="12"/>
    </row>
    <row r="11473" spans="2:3">
      <c r="B11473" s="12"/>
      <c r="C11473" s="12"/>
    </row>
    <row r="11474" spans="2:3">
      <c r="B11474" s="12"/>
      <c r="C11474" s="12"/>
    </row>
    <row r="11475" spans="2:3">
      <c r="B11475" s="12"/>
      <c r="C11475" s="12"/>
    </row>
    <row r="11476" spans="2:3">
      <c r="B11476" s="12"/>
      <c r="C11476" s="12"/>
    </row>
    <row r="11477" spans="2:3">
      <c r="B11477" s="12"/>
      <c r="C11477" s="12"/>
    </row>
    <row r="11478" spans="2:3">
      <c r="B11478" s="12"/>
      <c r="C11478" s="12"/>
    </row>
    <row r="11479" spans="2:3">
      <c r="B11479" s="12"/>
      <c r="C11479" s="12"/>
    </row>
    <row r="11480" spans="2:3">
      <c r="B11480" s="12"/>
      <c r="C11480" s="12"/>
    </row>
    <row r="11481" spans="2:3">
      <c r="B11481" s="12"/>
      <c r="C11481" s="12"/>
    </row>
    <row r="11482" spans="2:3">
      <c r="B11482" s="12"/>
      <c r="C11482" s="12"/>
    </row>
    <row r="11483" spans="2:3">
      <c r="B11483" s="12"/>
      <c r="C11483" s="12"/>
    </row>
    <row r="11484" spans="2:3">
      <c r="B11484" s="12"/>
      <c r="C11484" s="12"/>
    </row>
    <row r="11485" spans="2:3">
      <c r="B11485" s="12"/>
      <c r="C11485" s="12"/>
    </row>
    <row r="11486" spans="2:3">
      <c r="B11486" s="12"/>
      <c r="C11486" s="12"/>
    </row>
    <row r="11487" spans="2:3">
      <c r="B11487" s="12"/>
      <c r="C11487" s="12"/>
    </row>
    <row r="11488" spans="2:3">
      <c r="B11488" s="12"/>
      <c r="C11488" s="12"/>
    </row>
    <row r="11489" spans="2:3">
      <c r="B11489" s="12"/>
      <c r="C11489" s="12"/>
    </row>
    <row r="11490" spans="2:3">
      <c r="B11490" s="12"/>
      <c r="C11490" s="12"/>
    </row>
    <row r="11491" spans="2:3">
      <c r="B11491" s="12"/>
      <c r="C11491" s="12"/>
    </row>
    <row r="11492" spans="2:3">
      <c r="B11492" s="12"/>
      <c r="C11492" s="12"/>
    </row>
    <row r="11493" spans="2:3">
      <c r="B11493" s="12"/>
      <c r="C11493" s="12"/>
    </row>
    <row r="11494" spans="2:3">
      <c r="B11494" s="12"/>
      <c r="C11494" s="12"/>
    </row>
    <row r="11495" spans="2:3">
      <c r="B11495" s="12"/>
      <c r="C11495" s="12"/>
    </row>
    <row r="11496" spans="2:3">
      <c r="B11496" s="12"/>
      <c r="C11496" s="12"/>
    </row>
    <row r="11497" spans="2:3">
      <c r="B11497" s="12"/>
      <c r="C11497" s="12"/>
    </row>
    <row r="11498" spans="2:3">
      <c r="B11498" s="12"/>
      <c r="C11498" s="12"/>
    </row>
    <row r="11499" spans="2:3">
      <c r="B11499" s="12"/>
      <c r="C11499" s="12"/>
    </row>
    <row r="11500" spans="2:3">
      <c r="B11500" s="12"/>
      <c r="C11500" s="12"/>
    </row>
    <row r="11501" spans="2:3">
      <c r="B11501" s="12"/>
      <c r="C11501" s="12"/>
    </row>
    <row r="11502" spans="2:3">
      <c r="B11502" s="12"/>
      <c r="C11502" s="12"/>
    </row>
    <row r="11503" spans="2:3">
      <c r="B11503" s="12"/>
      <c r="C11503" s="12"/>
    </row>
    <row r="11504" spans="2:3">
      <c r="B11504" s="12"/>
      <c r="C11504" s="12"/>
    </row>
    <row r="11505" spans="2:3">
      <c r="B11505" s="12"/>
      <c r="C11505" s="12"/>
    </row>
    <row r="11506" spans="2:3">
      <c r="B11506" s="12"/>
      <c r="C11506" s="12"/>
    </row>
    <row r="11507" spans="2:3">
      <c r="B11507" s="12"/>
      <c r="C11507" s="12"/>
    </row>
    <row r="11508" spans="2:3">
      <c r="B11508" s="12"/>
      <c r="C11508" s="12"/>
    </row>
    <row r="11509" spans="2:3">
      <c r="B11509" s="12"/>
      <c r="C11509" s="12"/>
    </row>
    <row r="11510" spans="2:3">
      <c r="B11510" s="12"/>
      <c r="C11510" s="12"/>
    </row>
    <row r="11511" spans="2:3">
      <c r="B11511" s="12"/>
      <c r="C11511" s="12"/>
    </row>
    <row r="11512" spans="2:3">
      <c r="B11512" s="12"/>
      <c r="C11512" s="12"/>
    </row>
    <row r="11513" spans="2:3">
      <c r="B11513" s="12"/>
      <c r="C11513" s="12"/>
    </row>
    <row r="11514" spans="2:3">
      <c r="B11514" s="12"/>
      <c r="C11514" s="12"/>
    </row>
    <row r="11515" spans="2:3">
      <c r="B11515" s="12"/>
      <c r="C11515" s="12"/>
    </row>
    <row r="11516" spans="2:3">
      <c r="B11516" s="12"/>
      <c r="C11516" s="12"/>
    </row>
    <row r="11517" spans="2:3">
      <c r="B11517" s="12"/>
      <c r="C11517" s="12"/>
    </row>
    <row r="11518" spans="2:3">
      <c r="B11518" s="12"/>
      <c r="C11518" s="12"/>
    </row>
    <row r="11519" spans="2:3">
      <c r="B11519" s="12"/>
      <c r="C11519" s="12"/>
    </row>
    <row r="11520" spans="2:3">
      <c r="B11520" s="12"/>
      <c r="C11520" s="12"/>
    </row>
    <row r="11521" spans="2:3">
      <c r="B11521" s="12"/>
      <c r="C11521" s="12"/>
    </row>
    <row r="11522" spans="2:3">
      <c r="B11522" s="12"/>
      <c r="C11522" s="12"/>
    </row>
    <row r="11523" spans="2:3">
      <c r="B11523" s="12"/>
      <c r="C11523" s="12"/>
    </row>
    <row r="11524" spans="2:3">
      <c r="B11524" s="12"/>
      <c r="C11524" s="12"/>
    </row>
    <row r="11525" spans="2:3">
      <c r="B11525" s="12"/>
      <c r="C11525" s="12"/>
    </row>
    <row r="11526" spans="2:3">
      <c r="B11526" s="12"/>
      <c r="C11526" s="12"/>
    </row>
    <row r="11527" spans="2:3">
      <c r="B11527" s="12"/>
      <c r="C11527" s="12"/>
    </row>
    <row r="11528" spans="2:3">
      <c r="B11528" s="12"/>
      <c r="C11528" s="12"/>
    </row>
    <row r="11529" spans="2:3">
      <c r="B11529" s="12"/>
      <c r="C11529" s="12"/>
    </row>
    <row r="11530" spans="2:3">
      <c r="B11530" s="12"/>
      <c r="C11530" s="12"/>
    </row>
    <row r="11531" spans="2:3">
      <c r="B11531" s="12"/>
      <c r="C11531" s="12"/>
    </row>
    <row r="11532" spans="2:3">
      <c r="B11532" s="12"/>
      <c r="C11532" s="12"/>
    </row>
    <row r="11533" spans="2:3">
      <c r="B11533" s="12"/>
      <c r="C11533" s="12"/>
    </row>
    <row r="11534" spans="2:3">
      <c r="B11534" s="12"/>
      <c r="C11534" s="12"/>
    </row>
    <row r="11535" spans="2:3">
      <c r="B11535" s="12"/>
      <c r="C11535" s="12"/>
    </row>
    <row r="11536" spans="2:3">
      <c r="B11536" s="12"/>
      <c r="C11536" s="12"/>
    </row>
    <row r="11537" spans="2:3">
      <c r="B11537" s="12"/>
      <c r="C11537" s="12"/>
    </row>
    <row r="11538" spans="2:3">
      <c r="B11538" s="12"/>
      <c r="C11538" s="12"/>
    </row>
    <row r="11539" spans="2:3">
      <c r="B11539" s="12"/>
      <c r="C11539" s="12"/>
    </row>
    <row r="11540" spans="2:3">
      <c r="B11540" s="12"/>
      <c r="C11540" s="12"/>
    </row>
    <row r="11541" spans="2:3">
      <c r="B11541" s="12"/>
      <c r="C11541" s="12"/>
    </row>
    <row r="11542" spans="2:3">
      <c r="B11542" s="12"/>
      <c r="C11542" s="12"/>
    </row>
    <row r="11543" spans="2:3">
      <c r="B11543" s="12"/>
      <c r="C11543" s="12"/>
    </row>
    <row r="11544" spans="2:3">
      <c r="B11544" s="12"/>
      <c r="C11544" s="12"/>
    </row>
    <row r="11545" spans="2:3">
      <c r="B11545" s="12"/>
      <c r="C11545" s="12"/>
    </row>
    <row r="11546" spans="2:3">
      <c r="B11546" s="12"/>
      <c r="C11546" s="12"/>
    </row>
    <row r="11547" spans="2:3">
      <c r="B11547" s="12"/>
      <c r="C11547" s="12"/>
    </row>
    <row r="11548" spans="2:3">
      <c r="B11548" s="12"/>
      <c r="C11548" s="12"/>
    </row>
    <row r="11549" spans="2:3">
      <c r="B11549" s="12"/>
      <c r="C11549" s="12"/>
    </row>
    <row r="11550" spans="2:3">
      <c r="B11550" s="12"/>
      <c r="C11550" s="12"/>
    </row>
    <row r="11551" spans="2:3">
      <c r="B11551" s="12"/>
      <c r="C11551" s="12"/>
    </row>
    <row r="11552" spans="2:3">
      <c r="B11552" s="12"/>
      <c r="C11552" s="12"/>
    </row>
    <row r="11553" spans="2:3">
      <c r="B11553" s="12"/>
      <c r="C11553" s="12"/>
    </row>
    <row r="11554" spans="2:3">
      <c r="B11554" s="12"/>
      <c r="C11554" s="12"/>
    </row>
    <row r="11555" spans="2:3">
      <c r="B11555" s="12"/>
      <c r="C11555" s="12"/>
    </row>
    <row r="11556" spans="2:3">
      <c r="B11556" s="12"/>
      <c r="C11556" s="12"/>
    </row>
    <row r="11557" spans="2:3">
      <c r="B11557" s="12"/>
      <c r="C11557" s="12"/>
    </row>
    <row r="11558" spans="2:3">
      <c r="B11558" s="12"/>
      <c r="C11558" s="12"/>
    </row>
    <row r="11559" spans="2:3">
      <c r="B11559" s="12"/>
      <c r="C11559" s="12"/>
    </row>
    <row r="11560" spans="2:3">
      <c r="B11560" s="12"/>
      <c r="C11560" s="12"/>
    </row>
    <row r="11561" spans="2:3">
      <c r="B11561" s="12"/>
      <c r="C11561" s="12"/>
    </row>
    <row r="11562" spans="2:3">
      <c r="B11562" s="12"/>
      <c r="C11562" s="12"/>
    </row>
    <row r="11563" spans="2:3">
      <c r="B11563" s="12"/>
      <c r="C11563" s="12"/>
    </row>
    <row r="11564" spans="2:3">
      <c r="B11564" s="12"/>
      <c r="C11564" s="12"/>
    </row>
    <row r="11565" spans="2:3">
      <c r="B11565" s="12"/>
      <c r="C11565" s="12"/>
    </row>
    <row r="11566" spans="2:3">
      <c r="B11566" s="12"/>
      <c r="C11566" s="12"/>
    </row>
    <row r="11567" spans="2:3">
      <c r="B11567" s="12"/>
      <c r="C11567" s="12"/>
    </row>
    <row r="11568" spans="2:3">
      <c r="B11568" s="12"/>
      <c r="C11568" s="12"/>
    </row>
    <row r="11569" spans="2:3">
      <c r="B11569" s="12"/>
      <c r="C11569" s="12"/>
    </row>
    <row r="11570" spans="2:3">
      <c r="B11570" s="12"/>
      <c r="C11570" s="12"/>
    </row>
    <row r="11571" spans="2:3">
      <c r="B11571" s="12"/>
      <c r="C11571" s="12"/>
    </row>
    <row r="11572" spans="2:3">
      <c r="B11572" s="12"/>
      <c r="C11572" s="12"/>
    </row>
    <row r="11573" spans="2:3">
      <c r="B11573" s="12"/>
      <c r="C11573" s="12"/>
    </row>
    <row r="11574" spans="2:3">
      <c r="B11574" s="12"/>
      <c r="C11574" s="12"/>
    </row>
    <row r="11575" spans="2:3">
      <c r="B11575" s="12"/>
      <c r="C11575" s="12"/>
    </row>
    <row r="11576" spans="2:3">
      <c r="B11576" s="12"/>
      <c r="C11576" s="12"/>
    </row>
    <row r="11577" spans="2:3">
      <c r="B11577" s="12"/>
      <c r="C11577" s="12"/>
    </row>
    <row r="11578" spans="2:3">
      <c r="B11578" s="12"/>
      <c r="C11578" s="12"/>
    </row>
    <row r="11579" spans="2:3">
      <c r="B11579" s="12"/>
      <c r="C11579" s="12"/>
    </row>
    <row r="11580" spans="2:3">
      <c r="B11580" s="12"/>
      <c r="C11580" s="12"/>
    </row>
    <row r="11581" spans="2:3">
      <c r="B11581" s="12"/>
      <c r="C11581" s="12"/>
    </row>
    <row r="11582" spans="2:3">
      <c r="B11582" s="12"/>
      <c r="C11582" s="12"/>
    </row>
    <row r="11583" spans="2:3">
      <c r="B11583" s="12"/>
      <c r="C11583" s="12"/>
    </row>
    <row r="11584" spans="2:3">
      <c r="B11584" s="12"/>
      <c r="C11584" s="12"/>
    </row>
    <row r="11585" spans="2:3">
      <c r="B11585" s="12"/>
      <c r="C11585" s="12"/>
    </row>
    <row r="11586" spans="2:3">
      <c r="B11586" s="12"/>
      <c r="C11586" s="12"/>
    </row>
    <row r="11587" spans="2:3">
      <c r="B11587" s="12"/>
      <c r="C11587" s="12"/>
    </row>
    <row r="11588" spans="2:3">
      <c r="B11588" s="12"/>
      <c r="C11588" s="12"/>
    </row>
    <row r="11589" spans="2:3">
      <c r="B11589" s="12"/>
      <c r="C11589" s="12"/>
    </row>
    <row r="11590" spans="2:3">
      <c r="B11590" s="12"/>
      <c r="C11590" s="12"/>
    </row>
    <row r="11591" spans="2:3">
      <c r="B11591" s="12"/>
      <c r="C11591" s="12"/>
    </row>
    <row r="11592" spans="2:3">
      <c r="B11592" s="12"/>
      <c r="C11592" s="12"/>
    </row>
    <row r="11593" spans="2:3">
      <c r="B11593" s="12"/>
      <c r="C11593" s="12"/>
    </row>
    <row r="11594" spans="2:3">
      <c r="B11594" s="12"/>
      <c r="C11594" s="12"/>
    </row>
    <row r="11595" spans="2:3">
      <c r="B11595" s="12"/>
      <c r="C11595" s="12"/>
    </row>
    <row r="11596" spans="2:3">
      <c r="B11596" s="12"/>
      <c r="C11596" s="12"/>
    </row>
    <row r="11597" spans="2:3">
      <c r="B11597" s="12"/>
      <c r="C11597" s="12"/>
    </row>
    <row r="11598" spans="2:3">
      <c r="B11598" s="12"/>
      <c r="C11598" s="12"/>
    </row>
    <row r="11599" spans="2:3">
      <c r="B11599" s="12"/>
      <c r="C11599" s="12"/>
    </row>
    <row r="11600" spans="2:3">
      <c r="B11600" s="12"/>
      <c r="C11600" s="12"/>
    </row>
    <row r="11601" spans="2:3">
      <c r="B11601" s="12"/>
      <c r="C11601" s="12"/>
    </row>
    <row r="11602" spans="2:3">
      <c r="B11602" s="12"/>
      <c r="C11602" s="12"/>
    </row>
    <row r="11603" spans="2:3">
      <c r="B11603" s="12"/>
      <c r="C11603" s="12"/>
    </row>
    <row r="11604" spans="2:3">
      <c r="B11604" s="12"/>
      <c r="C11604" s="12"/>
    </row>
    <row r="11605" spans="2:3">
      <c r="B11605" s="12"/>
      <c r="C11605" s="12"/>
    </row>
    <row r="11606" spans="2:3">
      <c r="B11606" s="12"/>
      <c r="C11606" s="12"/>
    </row>
    <row r="11607" spans="2:3">
      <c r="B11607" s="12"/>
      <c r="C11607" s="12"/>
    </row>
    <row r="11608" spans="2:3">
      <c r="B11608" s="12"/>
      <c r="C11608" s="12"/>
    </row>
    <row r="11609" spans="2:3">
      <c r="B11609" s="12"/>
      <c r="C11609" s="12"/>
    </row>
    <row r="11610" spans="2:3">
      <c r="B11610" s="12"/>
      <c r="C11610" s="12"/>
    </row>
    <row r="11611" spans="2:3">
      <c r="B11611" s="12"/>
      <c r="C11611" s="12"/>
    </row>
    <row r="11612" spans="2:3">
      <c r="B11612" s="12"/>
      <c r="C11612" s="12"/>
    </row>
    <row r="11613" spans="2:3">
      <c r="B11613" s="12"/>
      <c r="C11613" s="12"/>
    </row>
    <row r="11614" spans="2:3">
      <c r="B11614" s="12"/>
      <c r="C11614" s="12"/>
    </row>
    <row r="11615" spans="2:3">
      <c r="B11615" s="12"/>
      <c r="C11615" s="12"/>
    </row>
    <row r="11616" spans="2:3">
      <c r="B11616" s="12"/>
      <c r="C11616" s="12"/>
    </row>
    <row r="11617" spans="2:3">
      <c r="B11617" s="12"/>
      <c r="C11617" s="12"/>
    </row>
    <row r="11618" spans="2:3">
      <c r="B11618" s="12"/>
      <c r="C11618" s="12"/>
    </row>
    <row r="11619" spans="2:3">
      <c r="B11619" s="12"/>
      <c r="C11619" s="12"/>
    </row>
    <row r="11620" spans="2:3">
      <c r="B11620" s="12"/>
      <c r="C11620" s="12"/>
    </row>
    <row r="11621" spans="2:3">
      <c r="B11621" s="12"/>
      <c r="C11621" s="12"/>
    </row>
    <row r="11622" spans="2:3">
      <c r="B11622" s="12"/>
      <c r="C11622" s="12"/>
    </row>
    <row r="11623" spans="2:3">
      <c r="B11623" s="12"/>
      <c r="C11623" s="12"/>
    </row>
    <row r="11624" spans="2:3">
      <c r="B11624" s="12"/>
      <c r="C11624" s="12"/>
    </row>
    <row r="11625" spans="2:3">
      <c r="B11625" s="12"/>
      <c r="C11625" s="12"/>
    </row>
    <row r="11626" spans="2:3">
      <c r="B11626" s="12"/>
      <c r="C11626" s="12"/>
    </row>
    <row r="11627" spans="2:3">
      <c r="B11627" s="12"/>
      <c r="C11627" s="12"/>
    </row>
    <row r="11628" spans="2:3">
      <c r="B11628" s="12"/>
      <c r="C11628" s="12"/>
    </row>
    <row r="11629" spans="2:3">
      <c r="B11629" s="12"/>
      <c r="C11629" s="12"/>
    </row>
    <row r="11630" spans="2:3">
      <c r="B11630" s="12"/>
      <c r="C11630" s="12"/>
    </row>
    <row r="11631" spans="2:3">
      <c r="B11631" s="12"/>
      <c r="C11631" s="12"/>
    </row>
    <row r="11632" spans="2:3">
      <c r="B11632" s="12"/>
      <c r="C11632" s="12"/>
    </row>
    <row r="11633" spans="2:3">
      <c r="B11633" s="12"/>
      <c r="C11633" s="12"/>
    </row>
    <row r="11634" spans="2:3">
      <c r="B11634" s="12"/>
      <c r="C11634" s="12"/>
    </row>
    <row r="11635" spans="2:3">
      <c r="B11635" s="12"/>
      <c r="C11635" s="12"/>
    </row>
    <row r="11636" spans="2:3">
      <c r="B11636" s="12"/>
      <c r="C11636" s="12"/>
    </row>
    <row r="11637" spans="2:3">
      <c r="B11637" s="12"/>
      <c r="C11637" s="12"/>
    </row>
    <row r="11638" spans="2:3">
      <c r="B11638" s="12"/>
      <c r="C11638" s="12"/>
    </row>
    <row r="11639" spans="2:3">
      <c r="B11639" s="12"/>
      <c r="C11639" s="12"/>
    </row>
    <row r="11640" spans="2:3">
      <c r="B11640" s="12"/>
      <c r="C11640" s="12"/>
    </row>
    <row r="11641" spans="2:3">
      <c r="B11641" s="12"/>
      <c r="C11641" s="12"/>
    </row>
    <row r="11642" spans="2:3">
      <c r="B11642" s="12"/>
      <c r="C11642" s="12"/>
    </row>
    <row r="11643" spans="2:3">
      <c r="B11643" s="12"/>
      <c r="C11643" s="12"/>
    </row>
    <row r="11644" spans="2:3">
      <c r="B11644" s="12"/>
      <c r="C11644" s="12"/>
    </row>
    <row r="11645" spans="2:3">
      <c r="B11645" s="12"/>
      <c r="C11645" s="12"/>
    </row>
    <row r="11646" spans="2:3">
      <c r="B11646" s="12"/>
      <c r="C11646" s="12"/>
    </row>
    <row r="11647" spans="2:3">
      <c r="B11647" s="12"/>
      <c r="C11647" s="12"/>
    </row>
    <row r="11648" spans="2:3">
      <c r="B11648" s="12"/>
      <c r="C11648" s="12"/>
    </row>
    <row r="11649" spans="2:3">
      <c r="B11649" s="12"/>
      <c r="C11649" s="12"/>
    </row>
    <row r="11650" spans="2:3">
      <c r="B11650" s="12"/>
      <c r="C11650" s="12"/>
    </row>
    <row r="11651" spans="2:3">
      <c r="B11651" s="12"/>
      <c r="C11651" s="12"/>
    </row>
    <row r="11652" spans="2:3">
      <c r="B11652" s="12"/>
      <c r="C11652" s="12"/>
    </row>
    <row r="11653" spans="2:3">
      <c r="B11653" s="12"/>
      <c r="C11653" s="12"/>
    </row>
    <row r="11654" spans="2:3">
      <c r="B11654" s="12"/>
      <c r="C11654" s="12"/>
    </row>
    <row r="11655" spans="2:3">
      <c r="B11655" s="12"/>
      <c r="C11655" s="12"/>
    </row>
    <row r="11656" spans="2:3">
      <c r="B11656" s="12"/>
      <c r="C11656" s="12"/>
    </row>
    <row r="11657" spans="2:3">
      <c r="B11657" s="12"/>
      <c r="C11657" s="12"/>
    </row>
    <row r="11658" spans="2:3">
      <c r="B11658" s="12"/>
      <c r="C11658" s="12"/>
    </row>
    <row r="11659" spans="2:3">
      <c r="B11659" s="12"/>
      <c r="C11659" s="12"/>
    </row>
    <row r="11660" spans="2:3">
      <c r="B11660" s="12"/>
      <c r="C11660" s="12"/>
    </row>
    <row r="11661" spans="2:3">
      <c r="B11661" s="12"/>
      <c r="C11661" s="12"/>
    </row>
    <row r="11662" spans="2:3">
      <c r="B11662" s="12"/>
      <c r="C11662" s="12"/>
    </row>
    <row r="11663" spans="2:3">
      <c r="B11663" s="12"/>
      <c r="C11663" s="12"/>
    </row>
    <row r="11664" spans="2:3">
      <c r="B11664" s="12"/>
      <c r="C11664" s="12"/>
    </row>
    <row r="11665" spans="2:3">
      <c r="B11665" s="12"/>
      <c r="C11665" s="12"/>
    </row>
    <row r="11666" spans="2:3">
      <c r="B11666" s="12"/>
      <c r="C11666" s="12"/>
    </row>
    <row r="11667" spans="2:3">
      <c r="B11667" s="12"/>
      <c r="C11667" s="12"/>
    </row>
    <row r="11668" spans="2:3">
      <c r="B11668" s="12"/>
      <c r="C11668" s="12"/>
    </row>
    <row r="11669" spans="2:3">
      <c r="B11669" s="12"/>
      <c r="C11669" s="12"/>
    </row>
    <row r="11670" spans="2:3">
      <c r="B11670" s="12"/>
      <c r="C11670" s="12"/>
    </row>
    <row r="11671" spans="2:3">
      <c r="B11671" s="12"/>
      <c r="C11671" s="12"/>
    </row>
    <row r="11672" spans="2:3">
      <c r="B11672" s="12"/>
      <c r="C11672" s="12"/>
    </row>
    <row r="11673" spans="2:3">
      <c r="B11673" s="12"/>
      <c r="C11673" s="12"/>
    </row>
    <row r="11674" spans="2:3">
      <c r="B11674" s="12"/>
      <c r="C11674" s="12"/>
    </row>
    <row r="11675" spans="2:3">
      <c r="B11675" s="12"/>
      <c r="C11675" s="12"/>
    </row>
    <row r="11676" spans="2:3">
      <c r="B11676" s="12"/>
      <c r="C11676" s="12"/>
    </row>
    <row r="11677" spans="2:3">
      <c r="B11677" s="12"/>
      <c r="C11677" s="12"/>
    </row>
    <row r="11678" spans="2:3">
      <c r="B11678" s="12"/>
      <c r="C11678" s="12"/>
    </row>
    <row r="11679" spans="2:3">
      <c r="B11679" s="12"/>
      <c r="C11679" s="12"/>
    </row>
    <row r="11680" spans="2:3">
      <c r="B11680" s="12"/>
      <c r="C11680" s="12"/>
    </row>
    <row r="11681" spans="2:3">
      <c r="B11681" s="12"/>
      <c r="C11681" s="12"/>
    </row>
    <row r="11682" spans="2:3">
      <c r="B11682" s="12"/>
      <c r="C11682" s="12"/>
    </row>
    <row r="11683" spans="2:3">
      <c r="B11683" s="12"/>
      <c r="C11683" s="12"/>
    </row>
    <row r="11684" spans="2:3">
      <c r="B11684" s="12"/>
      <c r="C11684" s="12"/>
    </row>
    <row r="11685" spans="2:3">
      <c r="B11685" s="12"/>
      <c r="C11685" s="12"/>
    </row>
    <row r="11686" spans="2:3">
      <c r="B11686" s="12"/>
      <c r="C11686" s="12"/>
    </row>
    <row r="11687" spans="2:3">
      <c r="B11687" s="12"/>
      <c r="C11687" s="12"/>
    </row>
    <row r="11688" spans="2:3">
      <c r="B11688" s="12"/>
      <c r="C11688" s="12"/>
    </row>
    <row r="11689" spans="2:3">
      <c r="B11689" s="12"/>
      <c r="C11689" s="12"/>
    </row>
    <row r="11690" spans="2:3">
      <c r="B11690" s="12"/>
      <c r="C11690" s="12"/>
    </row>
    <row r="11691" spans="2:3">
      <c r="B11691" s="12"/>
      <c r="C11691" s="12"/>
    </row>
    <row r="11692" spans="2:3">
      <c r="B11692" s="12"/>
      <c r="C11692" s="12"/>
    </row>
    <row r="11693" spans="2:3">
      <c r="B11693" s="12"/>
      <c r="C11693" s="12"/>
    </row>
    <row r="11694" spans="2:3">
      <c r="B11694" s="12"/>
      <c r="C11694" s="12"/>
    </row>
    <row r="11695" spans="2:3">
      <c r="B11695" s="12"/>
      <c r="C11695" s="12"/>
    </row>
    <row r="11696" spans="2:3">
      <c r="B11696" s="12"/>
      <c r="C11696" s="12"/>
    </row>
    <row r="11697" spans="2:3">
      <c r="B11697" s="12"/>
      <c r="C11697" s="12"/>
    </row>
    <row r="11698" spans="2:3">
      <c r="B11698" s="12"/>
      <c r="C11698" s="12"/>
    </row>
    <row r="11699" spans="2:3">
      <c r="B11699" s="12"/>
      <c r="C11699" s="12"/>
    </row>
    <row r="11700" spans="2:3">
      <c r="B11700" s="12"/>
      <c r="C11700" s="12"/>
    </row>
    <row r="11701" spans="2:3">
      <c r="B11701" s="12"/>
      <c r="C11701" s="12"/>
    </row>
    <row r="11702" spans="2:3">
      <c r="B11702" s="12"/>
      <c r="C11702" s="12"/>
    </row>
    <row r="11703" spans="2:3">
      <c r="B11703" s="12"/>
      <c r="C11703" s="12"/>
    </row>
    <row r="11704" spans="2:3">
      <c r="B11704" s="12"/>
      <c r="C11704" s="12"/>
    </row>
    <row r="11705" spans="2:3">
      <c r="B11705" s="12"/>
      <c r="C11705" s="12"/>
    </row>
    <row r="11706" spans="2:3">
      <c r="B11706" s="12"/>
      <c r="C11706" s="12"/>
    </row>
    <row r="11707" spans="2:3">
      <c r="B11707" s="12"/>
      <c r="C11707" s="12"/>
    </row>
    <row r="11708" spans="2:3">
      <c r="B11708" s="12"/>
      <c r="C11708" s="12"/>
    </row>
    <row r="11709" spans="2:3">
      <c r="B11709" s="12"/>
      <c r="C11709" s="12"/>
    </row>
    <row r="11710" spans="2:3">
      <c r="B11710" s="12"/>
      <c r="C11710" s="12"/>
    </row>
    <row r="11711" spans="2:3">
      <c r="B11711" s="12"/>
      <c r="C11711" s="12"/>
    </row>
    <row r="11712" spans="2:3">
      <c r="B11712" s="12"/>
      <c r="C11712" s="12"/>
    </row>
    <row r="11713" spans="2:3">
      <c r="B11713" s="12"/>
      <c r="C11713" s="12"/>
    </row>
    <row r="11714" spans="2:3">
      <c r="B11714" s="12"/>
      <c r="C11714" s="12"/>
    </row>
    <row r="11715" spans="2:3">
      <c r="B11715" s="12"/>
      <c r="C11715" s="12"/>
    </row>
    <row r="11716" spans="2:3">
      <c r="B11716" s="12"/>
      <c r="C11716" s="12"/>
    </row>
    <row r="11717" spans="2:3">
      <c r="B11717" s="12"/>
      <c r="C11717" s="12"/>
    </row>
    <row r="11718" spans="2:3">
      <c r="B11718" s="12"/>
      <c r="C11718" s="12"/>
    </row>
    <row r="11719" spans="2:3">
      <c r="B11719" s="12"/>
      <c r="C11719" s="12"/>
    </row>
    <row r="11720" spans="2:3">
      <c r="B11720" s="12"/>
      <c r="C11720" s="12"/>
    </row>
    <row r="11721" spans="2:3">
      <c r="B11721" s="12"/>
      <c r="C11721" s="12"/>
    </row>
    <row r="11722" spans="2:3">
      <c r="B11722" s="12"/>
      <c r="C11722" s="12"/>
    </row>
    <row r="11723" spans="2:3">
      <c r="B11723" s="12"/>
      <c r="C11723" s="12"/>
    </row>
    <row r="11724" spans="2:3">
      <c r="B11724" s="12"/>
      <c r="C11724" s="12"/>
    </row>
    <row r="11725" spans="2:3">
      <c r="B11725" s="12"/>
      <c r="C11725" s="12"/>
    </row>
    <row r="11726" spans="2:3">
      <c r="B11726" s="12"/>
      <c r="C11726" s="12"/>
    </row>
    <row r="11727" spans="2:3">
      <c r="B11727" s="12"/>
      <c r="C11727" s="12"/>
    </row>
    <row r="11728" spans="2:3">
      <c r="B11728" s="12"/>
      <c r="C11728" s="12"/>
    </row>
    <row r="11729" spans="2:3">
      <c r="B11729" s="12"/>
      <c r="C11729" s="12"/>
    </row>
    <row r="11730" spans="2:3">
      <c r="B11730" s="12"/>
      <c r="C11730" s="12"/>
    </row>
    <row r="11731" spans="2:3">
      <c r="B11731" s="12"/>
      <c r="C11731" s="12"/>
    </row>
    <row r="11732" spans="2:3">
      <c r="B11732" s="12"/>
      <c r="C11732" s="12"/>
    </row>
    <row r="11733" spans="2:3">
      <c r="B11733" s="12"/>
      <c r="C11733" s="12"/>
    </row>
    <row r="11734" spans="2:3">
      <c r="B11734" s="12"/>
      <c r="C11734" s="12"/>
    </row>
    <row r="11735" spans="2:3">
      <c r="B11735" s="12"/>
      <c r="C11735" s="12"/>
    </row>
    <row r="11736" spans="2:3">
      <c r="B11736" s="12"/>
      <c r="C11736" s="12"/>
    </row>
    <row r="11737" spans="2:3">
      <c r="B11737" s="12"/>
      <c r="C11737" s="12"/>
    </row>
    <row r="11738" spans="2:3">
      <c r="B11738" s="12"/>
      <c r="C11738" s="12"/>
    </row>
    <row r="11739" spans="2:3">
      <c r="B11739" s="12"/>
      <c r="C11739" s="12"/>
    </row>
    <row r="11740" spans="2:3">
      <c r="B11740" s="12"/>
      <c r="C11740" s="12"/>
    </row>
    <row r="11741" spans="2:3">
      <c r="B11741" s="12"/>
      <c r="C11741" s="12"/>
    </row>
    <row r="11742" spans="2:3">
      <c r="B11742" s="12"/>
      <c r="C11742" s="12"/>
    </row>
    <row r="11743" spans="2:3">
      <c r="B11743" s="12"/>
      <c r="C11743" s="12"/>
    </row>
    <row r="11744" spans="2:3">
      <c r="B11744" s="12"/>
      <c r="C11744" s="12"/>
    </row>
    <row r="11745" spans="2:3">
      <c r="B11745" s="12"/>
      <c r="C11745" s="12"/>
    </row>
    <row r="11746" spans="2:3">
      <c r="B11746" s="12"/>
      <c r="C11746" s="12"/>
    </row>
    <row r="11747" spans="2:3">
      <c r="B11747" s="12"/>
      <c r="C11747" s="12"/>
    </row>
    <row r="11748" spans="2:3">
      <c r="B11748" s="12"/>
      <c r="C11748" s="12"/>
    </row>
    <row r="11749" spans="2:3">
      <c r="B11749" s="12"/>
      <c r="C11749" s="12"/>
    </row>
    <row r="11750" spans="2:3">
      <c r="B11750" s="12"/>
      <c r="C11750" s="12"/>
    </row>
    <row r="11751" spans="2:3">
      <c r="B11751" s="12"/>
      <c r="C11751" s="12"/>
    </row>
    <row r="11752" spans="2:3">
      <c r="B11752" s="12"/>
      <c r="C11752" s="12"/>
    </row>
    <row r="11753" spans="2:3">
      <c r="B11753" s="12"/>
      <c r="C11753" s="12"/>
    </row>
    <row r="11754" spans="2:3">
      <c r="B11754" s="12"/>
      <c r="C11754" s="12"/>
    </row>
    <row r="11755" spans="2:3">
      <c r="B11755" s="12"/>
      <c r="C11755" s="12"/>
    </row>
    <row r="11756" spans="2:3">
      <c r="B11756" s="12"/>
      <c r="C11756" s="12"/>
    </row>
    <row r="11757" spans="2:3">
      <c r="B11757" s="12"/>
      <c r="C11757" s="12"/>
    </row>
    <row r="11758" spans="2:3">
      <c r="B11758" s="12"/>
      <c r="C11758" s="12"/>
    </row>
    <row r="11759" spans="2:3">
      <c r="B11759" s="12"/>
      <c r="C11759" s="12"/>
    </row>
    <row r="11760" spans="2:3">
      <c r="B11760" s="12"/>
      <c r="C11760" s="12"/>
    </row>
    <row r="11761" spans="2:3">
      <c r="B11761" s="12"/>
      <c r="C11761" s="12"/>
    </row>
    <row r="11762" spans="2:3">
      <c r="B11762" s="12"/>
      <c r="C11762" s="12"/>
    </row>
    <row r="11763" spans="2:3">
      <c r="B11763" s="12"/>
      <c r="C11763" s="12"/>
    </row>
    <row r="11764" spans="2:3">
      <c r="B11764" s="12"/>
      <c r="C11764" s="12"/>
    </row>
    <row r="11765" spans="2:3">
      <c r="B11765" s="12"/>
      <c r="C11765" s="12"/>
    </row>
    <row r="11766" spans="2:3">
      <c r="B11766" s="12"/>
      <c r="C11766" s="12"/>
    </row>
    <row r="11767" spans="2:3">
      <c r="B11767" s="12"/>
      <c r="C11767" s="12"/>
    </row>
    <row r="11768" spans="2:3">
      <c r="B11768" s="12"/>
      <c r="C11768" s="12"/>
    </row>
    <row r="11769" spans="2:3">
      <c r="B11769" s="12"/>
      <c r="C11769" s="12"/>
    </row>
    <row r="11770" spans="2:3">
      <c r="B11770" s="12"/>
      <c r="C11770" s="12"/>
    </row>
    <row r="11771" spans="2:3">
      <c r="B11771" s="12"/>
      <c r="C11771" s="12"/>
    </row>
    <row r="11772" spans="2:3">
      <c r="B11772" s="12"/>
      <c r="C11772" s="12"/>
    </row>
    <row r="11773" spans="2:3">
      <c r="B11773" s="12"/>
      <c r="C11773" s="12"/>
    </row>
    <row r="11774" spans="2:3">
      <c r="B11774" s="12"/>
      <c r="C11774" s="12"/>
    </row>
    <row r="11775" spans="2:3">
      <c r="B11775" s="12"/>
      <c r="C11775" s="12"/>
    </row>
    <row r="11776" spans="2:3">
      <c r="B11776" s="12"/>
      <c r="C11776" s="12"/>
    </row>
    <row r="11777" spans="2:3">
      <c r="B11777" s="12"/>
      <c r="C11777" s="12"/>
    </row>
    <row r="11778" spans="2:3">
      <c r="B11778" s="12"/>
      <c r="C11778" s="12"/>
    </row>
    <row r="11779" spans="2:3">
      <c r="B11779" s="12"/>
      <c r="C11779" s="12"/>
    </row>
    <row r="11780" spans="2:3">
      <c r="B11780" s="12"/>
      <c r="C11780" s="12"/>
    </row>
    <row r="11781" spans="2:3">
      <c r="B11781" s="12"/>
      <c r="C11781" s="12"/>
    </row>
    <row r="11782" spans="2:3">
      <c r="B11782" s="12"/>
      <c r="C11782" s="12"/>
    </row>
    <row r="11783" spans="2:3">
      <c r="B11783" s="12"/>
      <c r="C11783" s="12"/>
    </row>
    <row r="11784" spans="2:3">
      <c r="B11784" s="12"/>
      <c r="C11784" s="12"/>
    </row>
    <row r="11785" spans="2:3">
      <c r="B11785" s="12"/>
      <c r="C11785" s="12"/>
    </row>
    <row r="11786" spans="2:3">
      <c r="B11786" s="12"/>
      <c r="C11786" s="12"/>
    </row>
    <row r="11787" spans="2:3">
      <c r="B11787" s="12"/>
      <c r="C11787" s="12"/>
    </row>
    <row r="11788" spans="2:3">
      <c r="B11788" s="12"/>
      <c r="C11788" s="12"/>
    </row>
    <row r="11789" spans="2:3">
      <c r="B11789" s="12"/>
      <c r="C11789" s="12"/>
    </row>
    <row r="11790" spans="2:3">
      <c r="B11790" s="12"/>
      <c r="C11790" s="12"/>
    </row>
    <row r="11791" spans="2:3">
      <c r="B11791" s="12"/>
      <c r="C11791" s="12"/>
    </row>
    <row r="11792" spans="2:3">
      <c r="B11792" s="12"/>
      <c r="C11792" s="12"/>
    </row>
    <row r="11793" spans="2:3">
      <c r="B11793" s="12"/>
      <c r="C11793" s="12"/>
    </row>
    <row r="11794" spans="2:3">
      <c r="B11794" s="12"/>
      <c r="C11794" s="12"/>
    </row>
    <row r="11795" spans="2:3">
      <c r="B11795" s="12"/>
      <c r="C11795" s="12"/>
    </row>
    <row r="11796" spans="2:3">
      <c r="B11796" s="12"/>
      <c r="C11796" s="12"/>
    </row>
    <row r="11797" spans="2:3">
      <c r="B11797" s="12"/>
      <c r="C11797" s="12"/>
    </row>
    <row r="11798" spans="2:3">
      <c r="B11798" s="12"/>
      <c r="C11798" s="12"/>
    </row>
    <row r="11799" spans="2:3">
      <c r="B11799" s="12"/>
      <c r="C11799" s="12"/>
    </row>
    <row r="11800" spans="2:3">
      <c r="B11800" s="12"/>
      <c r="C11800" s="12"/>
    </row>
    <row r="11801" spans="2:3">
      <c r="B11801" s="12"/>
      <c r="C11801" s="12"/>
    </row>
    <row r="11802" spans="2:3">
      <c r="B11802" s="12"/>
      <c r="C11802" s="12"/>
    </row>
    <row r="11803" spans="2:3">
      <c r="B11803" s="12"/>
      <c r="C11803" s="12"/>
    </row>
    <row r="11804" spans="2:3">
      <c r="B11804" s="12"/>
      <c r="C11804" s="12"/>
    </row>
    <row r="11805" spans="2:3">
      <c r="B11805" s="12"/>
      <c r="C11805" s="12"/>
    </row>
    <row r="11806" spans="2:3">
      <c r="B11806" s="12"/>
      <c r="C11806" s="12"/>
    </row>
    <row r="11807" spans="2:3">
      <c r="B11807" s="12"/>
      <c r="C11807" s="12"/>
    </row>
    <row r="11808" spans="2:3">
      <c r="B11808" s="12"/>
      <c r="C11808" s="12"/>
    </row>
    <row r="11809" spans="2:3">
      <c r="B11809" s="12"/>
      <c r="C11809" s="12"/>
    </row>
    <row r="11810" spans="2:3">
      <c r="B11810" s="12"/>
      <c r="C11810" s="12"/>
    </row>
    <row r="11811" spans="2:3">
      <c r="B11811" s="12"/>
      <c r="C11811" s="12"/>
    </row>
    <row r="11812" spans="2:3">
      <c r="B11812" s="12"/>
      <c r="C11812" s="12"/>
    </row>
    <row r="11813" spans="2:3">
      <c r="B11813" s="12"/>
      <c r="C11813" s="12"/>
    </row>
    <row r="11814" spans="2:3">
      <c r="B11814" s="12"/>
      <c r="C11814" s="12"/>
    </row>
    <row r="11815" spans="2:3">
      <c r="B11815" s="12"/>
      <c r="C11815" s="12"/>
    </row>
    <row r="11816" spans="2:3">
      <c r="B11816" s="12"/>
      <c r="C11816" s="12"/>
    </row>
    <row r="11817" spans="2:3">
      <c r="B11817" s="12"/>
      <c r="C11817" s="12"/>
    </row>
    <row r="11818" spans="2:3">
      <c r="B11818" s="12"/>
      <c r="C11818" s="12"/>
    </row>
    <row r="11819" spans="2:3">
      <c r="B11819" s="12"/>
      <c r="C11819" s="12"/>
    </row>
    <row r="11820" spans="2:3">
      <c r="B11820" s="12"/>
      <c r="C11820" s="12"/>
    </row>
    <row r="11821" spans="2:3">
      <c r="B11821" s="12"/>
      <c r="C11821" s="12"/>
    </row>
    <row r="11822" spans="2:3">
      <c r="B11822" s="12"/>
      <c r="C11822" s="12"/>
    </row>
    <row r="11823" spans="2:3">
      <c r="B11823" s="12"/>
      <c r="C11823" s="12"/>
    </row>
    <row r="11824" spans="2:3">
      <c r="B11824" s="12"/>
      <c r="C11824" s="12"/>
    </row>
    <row r="11825" spans="2:3">
      <c r="B11825" s="12"/>
      <c r="C11825" s="12"/>
    </row>
    <row r="11826" spans="2:3">
      <c r="B11826" s="12"/>
      <c r="C11826" s="12"/>
    </row>
    <row r="11827" spans="2:3">
      <c r="B11827" s="12"/>
      <c r="C11827" s="12"/>
    </row>
    <row r="11828" spans="2:3">
      <c r="B11828" s="12"/>
      <c r="C11828" s="12"/>
    </row>
    <row r="11829" spans="2:3">
      <c r="B11829" s="12"/>
      <c r="C11829" s="12"/>
    </row>
    <row r="11830" spans="2:3">
      <c r="B11830" s="12"/>
      <c r="C11830" s="12"/>
    </row>
    <row r="11831" spans="2:3">
      <c r="B11831" s="12"/>
      <c r="C11831" s="12"/>
    </row>
    <row r="11832" spans="2:3">
      <c r="B11832" s="12"/>
      <c r="C11832" s="12"/>
    </row>
    <row r="11833" spans="2:3">
      <c r="B11833" s="12"/>
      <c r="C11833" s="12"/>
    </row>
    <row r="11834" spans="2:3">
      <c r="B11834" s="12"/>
      <c r="C11834" s="12"/>
    </row>
    <row r="11835" spans="2:3">
      <c r="B11835" s="12"/>
      <c r="C11835" s="12"/>
    </row>
    <row r="11836" spans="2:3">
      <c r="B11836" s="12"/>
      <c r="C11836" s="12"/>
    </row>
    <row r="11837" spans="2:3">
      <c r="B11837" s="12"/>
      <c r="C11837" s="12"/>
    </row>
    <row r="11838" spans="2:3">
      <c r="B11838" s="12"/>
      <c r="C11838" s="12"/>
    </row>
    <row r="11839" spans="2:3">
      <c r="B11839" s="12"/>
      <c r="C11839" s="12"/>
    </row>
    <row r="11840" spans="2:3">
      <c r="B11840" s="12"/>
      <c r="C11840" s="12"/>
    </row>
    <row r="11841" spans="2:3">
      <c r="B11841" s="12"/>
      <c r="C11841" s="12"/>
    </row>
    <row r="11842" spans="2:3">
      <c r="B11842" s="12"/>
      <c r="C11842" s="12"/>
    </row>
    <row r="11843" spans="2:3">
      <c r="B11843" s="12"/>
      <c r="C11843" s="12"/>
    </row>
    <row r="11844" spans="2:3">
      <c r="B11844" s="12"/>
      <c r="C11844" s="12"/>
    </row>
    <row r="11845" spans="2:3">
      <c r="B11845" s="12"/>
      <c r="C11845" s="12"/>
    </row>
    <row r="11846" spans="2:3">
      <c r="B11846" s="12"/>
      <c r="C11846" s="12"/>
    </row>
    <row r="11847" spans="2:3">
      <c r="B11847" s="12"/>
      <c r="C11847" s="12"/>
    </row>
    <row r="11848" spans="2:3">
      <c r="B11848" s="12"/>
      <c r="C11848" s="12"/>
    </row>
    <row r="11849" spans="2:3">
      <c r="B11849" s="12"/>
      <c r="C11849" s="12"/>
    </row>
    <row r="11850" spans="2:3">
      <c r="B11850" s="12"/>
      <c r="C11850" s="12"/>
    </row>
    <row r="11851" spans="2:3">
      <c r="B11851" s="12"/>
      <c r="C11851" s="12"/>
    </row>
    <row r="11852" spans="2:3">
      <c r="B11852" s="12"/>
      <c r="C11852" s="12"/>
    </row>
    <row r="11853" spans="2:3">
      <c r="B11853" s="12"/>
      <c r="C11853" s="12"/>
    </row>
    <row r="11854" spans="2:3">
      <c r="B11854" s="12"/>
      <c r="C11854" s="12"/>
    </row>
    <row r="11855" spans="2:3">
      <c r="B11855" s="12"/>
      <c r="C11855" s="12"/>
    </row>
    <row r="11856" spans="2:3">
      <c r="B11856" s="12"/>
      <c r="C11856" s="12"/>
    </row>
    <row r="11857" spans="2:3">
      <c r="B11857" s="12"/>
      <c r="C11857" s="12"/>
    </row>
    <row r="11858" spans="2:3">
      <c r="B11858" s="12"/>
      <c r="C11858" s="12"/>
    </row>
    <row r="11859" spans="2:3">
      <c r="B11859" s="12"/>
      <c r="C11859" s="12"/>
    </row>
    <row r="11860" spans="2:3">
      <c r="B11860" s="12"/>
      <c r="C11860" s="12"/>
    </row>
    <row r="11861" spans="2:3">
      <c r="B11861" s="12"/>
      <c r="C11861" s="12"/>
    </row>
    <row r="11862" spans="2:3">
      <c r="B11862" s="12"/>
      <c r="C11862" s="12"/>
    </row>
    <row r="11863" spans="2:3">
      <c r="B11863" s="12"/>
      <c r="C11863" s="12"/>
    </row>
    <row r="11864" spans="2:3">
      <c r="B11864" s="12"/>
      <c r="C11864" s="12"/>
    </row>
    <row r="11865" spans="2:3">
      <c r="B11865" s="12"/>
      <c r="C11865" s="12"/>
    </row>
    <row r="11866" spans="2:3">
      <c r="B11866" s="12"/>
      <c r="C11866" s="12"/>
    </row>
    <row r="11867" spans="2:3">
      <c r="B11867" s="12"/>
      <c r="C11867" s="12"/>
    </row>
    <row r="11868" spans="2:3">
      <c r="B11868" s="12"/>
      <c r="C11868" s="12"/>
    </row>
    <row r="11869" spans="2:3">
      <c r="B11869" s="12"/>
      <c r="C11869" s="12"/>
    </row>
    <row r="11870" spans="2:3">
      <c r="B11870" s="12"/>
      <c r="C11870" s="12"/>
    </row>
    <row r="11871" spans="2:3">
      <c r="B11871" s="12"/>
      <c r="C11871" s="12"/>
    </row>
    <row r="11872" spans="2:3">
      <c r="B11872" s="12"/>
      <c r="C11872" s="12"/>
    </row>
    <row r="11873" spans="2:3">
      <c r="B11873" s="12"/>
      <c r="C11873" s="12"/>
    </row>
    <row r="11874" spans="2:3">
      <c r="B11874" s="12"/>
      <c r="C11874" s="12"/>
    </row>
    <row r="11875" spans="2:3">
      <c r="B11875" s="12"/>
      <c r="C11875" s="12"/>
    </row>
    <row r="11876" spans="2:3">
      <c r="B11876" s="12"/>
      <c r="C11876" s="12"/>
    </row>
    <row r="11877" spans="2:3">
      <c r="B11877" s="12"/>
      <c r="C11877" s="12"/>
    </row>
    <row r="11878" spans="2:3">
      <c r="B11878" s="12"/>
      <c r="C11878" s="12"/>
    </row>
    <row r="11879" spans="2:3">
      <c r="B11879" s="12"/>
      <c r="C11879" s="12"/>
    </row>
    <row r="11880" spans="2:3">
      <c r="B11880" s="12"/>
      <c r="C11880" s="12"/>
    </row>
    <row r="11881" spans="2:3">
      <c r="B11881" s="12"/>
      <c r="C11881" s="12"/>
    </row>
    <row r="11882" spans="2:3">
      <c r="B11882" s="12"/>
      <c r="C11882" s="12"/>
    </row>
    <row r="11883" spans="2:3">
      <c r="B11883" s="12"/>
      <c r="C11883" s="12"/>
    </row>
    <row r="11884" spans="2:3">
      <c r="B11884" s="12"/>
      <c r="C11884" s="12"/>
    </row>
    <row r="11885" spans="2:3">
      <c r="B11885" s="12"/>
      <c r="C11885" s="12"/>
    </row>
    <row r="11886" spans="2:3">
      <c r="B11886" s="12"/>
      <c r="C11886" s="12"/>
    </row>
    <row r="11887" spans="2:3">
      <c r="B11887" s="12"/>
      <c r="C11887" s="12"/>
    </row>
    <row r="11888" spans="2:3">
      <c r="B11888" s="12"/>
      <c r="C11888" s="12"/>
    </row>
    <row r="11889" spans="2:3">
      <c r="B11889" s="12"/>
      <c r="C11889" s="12"/>
    </row>
    <row r="11890" spans="2:3">
      <c r="B11890" s="12"/>
      <c r="C11890" s="12"/>
    </row>
    <row r="11891" spans="2:3">
      <c r="B11891" s="12"/>
      <c r="C11891" s="12"/>
    </row>
    <row r="11892" spans="2:3">
      <c r="B11892" s="12"/>
      <c r="C11892" s="12"/>
    </row>
    <row r="11893" spans="2:3">
      <c r="B11893" s="12"/>
      <c r="C11893" s="12"/>
    </row>
    <row r="11894" spans="2:3">
      <c r="B11894" s="12"/>
      <c r="C11894" s="12"/>
    </row>
    <row r="11895" spans="2:3">
      <c r="B11895" s="12"/>
      <c r="C11895" s="12"/>
    </row>
    <row r="11896" spans="2:3">
      <c r="B11896" s="12"/>
      <c r="C11896" s="12"/>
    </row>
    <row r="11897" spans="2:3">
      <c r="B11897" s="12"/>
      <c r="C11897" s="12"/>
    </row>
    <row r="11898" spans="2:3">
      <c r="B11898" s="12"/>
      <c r="C11898" s="12"/>
    </row>
    <row r="11899" spans="2:3">
      <c r="B11899" s="12"/>
      <c r="C11899" s="12"/>
    </row>
    <row r="11900" spans="2:3">
      <c r="B11900" s="12"/>
      <c r="C11900" s="12"/>
    </row>
    <row r="11901" spans="2:3">
      <c r="B11901" s="12"/>
      <c r="C11901" s="12"/>
    </row>
    <row r="11902" spans="2:3">
      <c r="B11902" s="12"/>
      <c r="C11902" s="12"/>
    </row>
    <row r="11903" spans="2:3">
      <c r="B11903" s="12"/>
      <c r="C11903" s="12"/>
    </row>
    <row r="11904" spans="2:3">
      <c r="B11904" s="12"/>
      <c r="C11904" s="12"/>
    </row>
    <row r="11905" spans="2:3">
      <c r="B11905" s="12"/>
      <c r="C11905" s="12"/>
    </row>
    <row r="11906" spans="2:3">
      <c r="B11906" s="12"/>
      <c r="C11906" s="12"/>
    </row>
    <row r="11907" spans="2:3">
      <c r="B11907" s="12"/>
      <c r="C11907" s="12"/>
    </row>
    <row r="11908" spans="2:3">
      <c r="B11908" s="12"/>
      <c r="C11908" s="12"/>
    </row>
    <row r="11909" spans="2:3">
      <c r="B11909" s="12"/>
      <c r="C11909" s="12"/>
    </row>
    <row r="11910" spans="2:3">
      <c r="B11910" s="12"/>
      <c r="C11910" s="12"/>
    </row>
    <row r="11911" spans="2:3">
      <c r="B11911" s="12"/>
      <c r="C11911" s="12"/>
    </row>
    <row r="11912" spans="2:3">
      <c r="B11912" s="12"/>
      <c r="C11912" s="12"/>
    </row>
    <row r="11913" spans="2:3">
      <c r="B11913" s="12"/>
      <c r="C11913" s="12"/>
    </row>
    <row r="11914" spans="2:3">
      <c r="B11914" s="12"/>
      <c r="C11914" s="12"/>
    </row>
    <row r="11915" spans="2:3">
      <c r="B11915" s="12"/>
      <c r="C11915" s="12"/>
    </row>
    <row r="11916" spans="2:3">
      <c r="B11916" s="12"/>
      <c r="C11916" s="12"/>
    </row>
    <row r="11917" spans="2:3">
      <c r="B11917" s="12"/>
      <c r="C11917" s="12"/>
    </row>
    <row r="11918" spans="2:3">
      <c r="B11918" s="12"/>
      <c r="C11918" s="12"/>
    </row>
    <row r="11919" spans="2:3">
      <c r="B11919" s="12"/>
      <c r="C11919" s="12"/>
    </row>
    <row r="11920" spans="2:3">
      <c r="B11920" s="12"/>
      <c r="C11920" s="12"/>
    </row>
    <row r="11921" spans="2:3">
      <c r="B11921" s="12"/>
      <c r="C11921" s="12"/>
    </row>
    <row r="11922" spans="2:3">
      <c r="B11922" s="12"/>
      <c r="C11922" s="12"/>
    </row>
    <row r="11923" spans="2:3">
      <c r="B11923" s="12"/>
      <c r="C11923" s="12"/>
    </row>
    <row r="11924" spans="2:3">
      <c r="B11924" s="12"/>
      <c r="C11924" s="12"/>
    </row>
    <row r="11925" spans="2:3">
      <c r="B11925" s="12"/>
      <c r="C11925" s="12"/>
    </row>
    <row r="11926" spans="2:3">
      <c r="B11926" s="12"/>
      <c r="C11926" s="12"/>
    </row>
    <row r="11927" spans="2:3">
      <c r="B11927" s="12"/>
      <c r="C11927" s="12"/>
    </row>
    <row r="11928" spans="2:3">
      <c r="B11928" s="12"/>
      <c r="C11928" s="12"/>
    </row>
    <row r="11929" spans="2:3">
      <c r="B11929" s="12"/>
      <c r="C11929" s="12"/>
    </row>
    <row r="11930" spans="2:3">
      <c r="B11930" s="12"/>
      <c r="C11930" s="12"/>
    </row>
    <row r="11931" spans="2:3">
      <c r="B11931" s="12"/>
      <c r="C11931" s="12"/>
    </row>
    <row r="11932" spans="2:3">
      <c r="B11932" s="12"/>
      <c r="C11932" s="12"/>
    </row>
    <row r="11933" spans="2:3">
      <c r="B11933" s="12"/>
      <c r="C11933" s="12"/>
    </row>
    <row r="11934" spans="2:3">
      <c r="B11934" s="12"/>
      <c r="C11934" s="12"/>
    </row>
    <row r="11935" spans="2:3">
      <c r="B11935" s="12"/>
      <c r="C11935" s="12"/>
    </row>
    <row r="11936" spans="2:3">
      <c r="B11936" s="12"/>
      <c r="C11936" s="12"/>
    </row>
    <row r="11937" spans="2:3">
      <c r="B11937" s="12"/>
      <c r="C11937" s="12"/>
    </row>
    <row r="11938" spans="2:3">
      <c r="B11938" s="12"/>
      <c r="C11938" s="12"/>
    </row>
    <row r="11939" spans="2:3">
      <c r="B11939" s="12"/>
      <c r="C11939" s="12"/>
    </row>
    <row r="11940" spans="2:3">
      <c r="B11940" s="12"/>
      <c r="C11940" s="12"/>
    </row>
    <row r="11941" spans="2:3">
      <c r="B11941" s="12"/>
      <c r="C11941" s="12"/>
    </row>
    <row r="11942" spans="2:3">
      <c r="B11942" s="12"/>
      <c r="C11942" s="12"/>
    </row>
    <row r="11943" spans="2:3">
      <c r="B11943" s="12"/>
      <c r="C11943" s="12"/>
    </row>
    <row r="11944" spans="2:3">
      <c r="B11944" s="12"/>
      <c r="C11944" s="12"/>
    </row>
    <row r="11945" spans="2:3">
      <c r="B11945" s="12"/>
      <c r="C11945" s="12"/>
    </row>
    <row r="11946" spans="2:3">
      <c r="B11946" s="12"/>
      <c r="C11946" s="12"/>
    </row>
    <row r="11947" spans="2:3">
      <c r="B11947" s="12"/>
      <c r="C11947" s="12"/>
    </row>
    <row r="11948" spans="2:3">
      <c r="B11948" s="12"/>
      <c r="C11948" s="12"/>
    </row>
    <row r="11949" spans="2:3">
      <c r="B11949" s="12"/>
      <c r="C11949" s="12"/>
    </row>
    <row r="11950" spans="2:3">
      <c r="B11950" s="12"/>
      <c r="C11950" s="12"/>
    </row>
    <row r="11951" spans="2:3">
      <c r="B11951" s="12"/>
      <c r="C11951" s="12"/>
    </row>
    <row r="11952" spans="2:3">
      <c r="B11952" s="12"/>
      <c r="C11952" s="12"/>
    </row>
    <row r="11953" spans="2:3">
      <c r="B11953" s="12"/>
      <c r="C11953" s="12"/>
    </row>
    <row r="11954" spans="2:3">
      <c r="B11954" s="12"/>
      <c r="C11954" s="12"/>
    </row>
    <row r="11955" spans="2:3">
      <c r="B11955" s="12"/>
      <c r="C11955" s="12"/>
    </row>
    <row r="11956" spans="2:3">
      <c r="B11956" s="12"/>
      <c r="C11956" s="12"/>
    </row>
    <row r="11957" spans="2:3">
      <c r="B11957" s="12"/>
      <c r="C11957" s="12"/>
    </row>
    <row r="11958" spans="2:3">
      <c r="B11958" s="12"/>
      <c r="C11958" s="12"/>
    </row>
    <row r="11959" spans="2:3">
      <c r="B11959" s="12"/>
      <c r="C11959" s="12"/>
    </row>
    <row r="11960" spans="2:3">
      <c r="B11960" s="12"/>
      <c r="C11960" s="12"/>
    </row>
    <row r="11961" spans="2:3">
      <c r="B11961" s="12"/>
      <c r="C11961" s="12"/>
    </row>
    <row r="11962" spans="2:3">
      <c r="B11962" s="12"/>
      <c r="C11962" s="12"/>
    </row>
    <row r="11963" spans="2:3">
      <c r="B11963" s="12"/>
      <c r="C11963" s="12"/>
    </row>
    <row r="11964" spans="2:3">
      <c r="B11964" s="12"/>
      <c r="C11964" s="12"/>
    </row>
    <row r="11965" spans="2:3">
      <c r="B11965" s="12"/>
      <c r="C11965" s="12"/>
    </row>
    <row r="11966" spans="2:3">
      <c r="B11966" s="12"/>
      <c r="C11966" s="12"/>
    </row>
    <row r="11967" spans="2:3">
      <c r="B11967" s="12"/>
      <c r="C11967" s="12"/>
    </row>
    <row r="11968" spans="2:3">
      <c r="B11968" s="12"/>
      <c r="C11968" s="12"/>
    </row>
    <row r="11969" spans="2:3">
      <c r="B11969" s="12"/>
      <c r="C11969" s="12"/>
    </row>
    <row r="11970" spans="2:3">
      <c r="B11970" s="12"/>
      <c r="C11970" s="12"/>
    </row>
    <row r="11971" spans="2:3">
      <c r="B11971" s="12"/>
      <c r="C11971" s="12"/>
    </row>
    <row r="11972" spans="2:3">
      <c r="B11972" s="12"/>
      <c r="C11972" s="12"/>
    </row>
    <row r="11973" spans="2:3">
      <c r="B11973" s="12"/>
      <c r="C11973" s="12"/>
    </row>
    <row r="11974" spans="2:3">
      <c r="B11974" s="12"/>
      <c r="C11974" s="12"/>
    </row>
    <row r="11975" spans="2:3">
      <c r="B11975" s="12"/>
      <c r="C11975" s="12"/>
    </row>
    <row r="11976" spans="2:3">
      <c r="B11976" s="12"/>
      <c r="C11976" s="12"/>
    </row>
    <row r="11977" spans="2:3">
      <c r="B11977" s="12"/>
      <c r="C11977" s="12"/>
    </row>
    <row r="11978" spans="2:3">
      <c r="B11978" s="12"/>
      <c r="C11978" s="12"/>
    </row>
    <row r="11979" spans="2:3">
      <c r="B11979" s="12"/>
      <c r="C11979" s="12"/>
    </row>
    <row r="11980" spans="2:3">
      <c r="B11980" s="12"/>
      <c r="C11980" s="12"/>
    </row>
    <row r="11981" spans="2:3">
      <c r="B11981" s="12"/>
      <c r="C11981" s="12"/>
    </row>
    <row r="11982" spans="2:3">
      <c r="B11982" s="12"/>
      <c r="C11982" s="12"/>
    </row>
    <row r="11983" spans="2:3">
      <c r="B11983" s="12"/>
      <c r="C11983" s="12"/>
    </row>
    <row r="11984" spans="2:3">
      <c r="B11984" s="12"/>
      <c r="C11984" s="12"/>
    </row>
    <row r="11985" spans="2:3">
      <c r="B11985" s="12"/>
      <c r="C11985" s="12"/>
    </row>
    <row r="11986" spans="2:3">
      <c r="B11986" s="12"/>
      <c r="C11986" s="12"/>
    </row>
    <row r="11987" spans="2:3">
      <c r="B11987" s="12"/>
      <c r="C11987" s="12"/>
    </row>
    <row r="11988" spans="2:3">
      <c r="B11988" s="12"/>
      <c r="C11988" s="12"/>
    </row>
    <row r="11989" spans="2:3">
      <c r="B11989" s="12"/>
      <c r="C11989" s="12"/>
    </row>
    <row r="11990" spans="2:3">
      <c r="B11990" s="12"/>
      <c r="C11990" s="12"/>
    </row>
    <row r="11991" spans="2:3">
      <c r="B11991" s="12"/>
      <c r="C11991" s="12"/>
    </row>
    <row r="11992" spans="2:3">
      <c r="B11992" s="12"/>
      <c r="C11992" s="12"/>
    </row>
    <row r="11993" spans="2:3">
      <c r="B11993" s="12"/>
      <c r="C11993" s="12"/>
    </row>
    <row r="11994" spans="2:3">
      <c r="B11994" s="12"/>
      <c r="C11994" s="12"/>
    </row>
    <row r="11995" spans="2:3">
      <c r="B11995" s="12"/>
      <c r="C11995" s="12"/>
    </row>
    <row r="11996" spans="2:3">
      <c r="B11996" s="12"/>
      <c r="C11996" s="12"/>
    </row>
    <row r="11997" spans="2:3">
      <c r="B11997" s="12"/>
      <c r="C11997" s="12"/>
    </row>
    <row r="11998" spans="2:3">
      <c r="B11998" s="12"/>
      <c r="C11998" s="12"/>
    </row>
    <row r="11999" spans="2:3">
      <c r="B11999" s="12"/>
      <c r="C11999" s="12"/>
    </row>
    <row r="12000" spans="2:3">
      <c r="B12000" s="12"/>
      <c r="C12000" s="12"/>
    </row>
    <row r="12001" spans="2:3">
      <c r="B12001" s="12"/>
      <c r="C12001" s="12"/>
    </row>
    <row r="12002" spans="2:3">
      <c r="B12002" s="12"/>
      <c r="C12002" s="12"/>
    </row>
    <row r="12003" spans="2:3">
      <c r="B12003" s="12"/>
      <c r="C12003" s="12"/>
    </row>
    <row r="12004" spans="2:3">
      <c r="B12004" s="12"/>
      <c r="C12004" s="12"/>
    </row>
    <row r="12005" spans="2:3">
      <c r="B12005" s="12"/>
      <c r="C12005" s="12"/>
    </row>
    <row r="12006" spans="2:3">
      <c r="B12006" s="12"/>
      <c r="C12006" s="12"/>
    </row>
    <row r="12007" spans="2:3">
      <c r="B12007" s="12"/>
      <c r="C12007" s="12"/>
    </row>
    <row r="12008" spans="2:3">
      <c r="B12008" s="12"/>
      <c r="C12008" s="12"/>
    </row>
    <row r="12009" spans="2:3">
      <c r="B12009" s="12"/>
      <c r="C12009" s="12"/>
    </row>
    <row r="12010" spans="2:3">
      <c r="B12010" s="12"/>
      <c r="C12010" s="12"/>
    </row>
    <row r="12011" spans="2:3">
      <c r="B12011" s="12"/>
      <c r="C12011" s="12"/>
    </row>
    <row r="12012" spans="2:3">
      <c r="B12012" s="12"/>
      <c r="C12012" s="12"/>
    </row>
    <row r="12013" spans="2:3">
      <c r="B12013" s="12"/>
      <c r="C12013" s="12"/>
    </row>
    <row r="12014" spans="2:3">
      <c r="B12014" s="12"/>
      <c r="C12014" s="12"/>
    </row>
    <row r="12015" spans="2:3">
      <c r="B12015" s="12"/>
      <c r="C12015" s="12"/>
    </row>
    <row r="12016" spans="2:3">
      <c r="B12016" s="12"/>
      <c r="C12016" s="12"/>
    </row>
    <row r="12017" spans="2:3">
      <c r="B12017" s="12"/>
      <c r="C12017" s="12"/>
    </row>
    <row r="12018" spans="2:3">
      <c r="B12018" s="12"/>
      <c r="C12018" s="12"/>
    </row>
    <row r="12019" spans="2:3">
      <c r="B12019" s="12"/>
      <c r="C12019" s="12"/>
    </row>
    <row r="12020" spans="2:3">
      <c r="B12020" s="12"/>
      <c r="C12020" s="12"/>
    </row>
    <row r="12021" spans="2:3">
      <c r="B12021" s="12"/>
      <c r="C12021" s="12"/>
    </row>
    <row r="12022" spans="2:3">
      <c r="B12022" s="12"/>
      <c r="C12022" s="12"/>
    </row>
    <row r="12023" spans="2:3">
      <c r="B12023" s="12"/>
      <c r="C12023" s="12"/>
    </row>
    <row r="12024" spans="2:3">
      <c r="B12024" s="12"/>
      <c r="C12024" s="12"/>
    </row>
    <row r="12025" spans="2:3">
      <c r="B12025" s="12"/>
      <c r="C12025" s="12"/>
    </row>
    <row r="12026" spans="2:3">
      <c r="B12026" s="12"/>
      <c r="C12026" s="12"/>
    </row>
    <row r="12027" spans="2:3">
      <c r="B12027" s="12"/>
      <c r="C12027" s="12"/>
    </row>
    <row r="12028" spans="2:3">
      <c r="B12028" s="12"/>
      <c r="C12028" s="12"/>
    </row>
    <row r="12029" spans="2:3">
      <c r="B12029" s="12"/>
      <c r="C12029" s="12"/>
    </row>
    <row r="12030" spans="2:3">
      <c r="B12030" s="12"/>
      <c r="C12030" s="12"/>
    </row>
    <row r="12031" spans="2:3">
      <c r="B12031" s="12"/>
      <c r="C12031" s="12"/>
    </row>
    <row r="12032" spans="2:3">
      <c r="B12032" s="12"/>
      <c r="C12032" s="12"/>
    </row>
    <row r="12033" spans="2:3">
      <c r="B12033" s="12"/>
      <c r="C12033" s="12"/>
    </row>
    <row r="12034" spans="2:3">
      <c r="B12034" s="12"/>
      <c r="C12034" s="12"/>
    </row>
    <row r="12035" spans="2:3">
      <c r="B12035" s="12"/>
      <c r="C12035" s="12"/>
    </row>
    <row r="12036" spans="2:3">
      <c r="B12036" s="12"/>
      <c r="C12036" s="12"/>
    </row>
    <row r="12037" spans="2:3">
      <c r="B12037" s="12"/>
      <c r="C12037" s="12"/>
    </row>
    <row r="12038" spans="2:3">
      <c r="B12038" s="12"/>
      <c r="C12038" s="12"/>
    </row>
    <row r="12039" spans="2:3">
      <c r="B12039" s="12"/>
      <c r="C12039" s="12"/>
    </row>
    <row r="12040" spans="2:3">
      <c r="B12040" s="12"/>
      <c r="C12040" s="12"/>
    </row>
    <row r="12041" spans="2:3">
      <c r="B12041" s="12"/>
      <c r="C12041" s="12"/>
    </row>
    <row r="12042" spans="2:3">
      <c r="B12042" s="12"/>
      <c r="C12042" s="12"/>
    </row>
    <row r="12043" spans="2:3">
      <c r="B12043" s="12"/>
      <c r="C12043" s="12"/>
    </row>
    <row r="12044" spans="2:3">
      <c r="B12044" s="12"/>
      <c r="C12044" s="12"/>
    </row>
    <row r="12045" spans="2:3">
      <c r="B12045" s="12"/>
      <c r="C12045" s="12"/>
    </row>
    <row r="12046" spans="2:3">
      <c r="B12046" s="12"/>
      <c r="C12046" s="12"/>
    </row>
    <row r="12047" spans="2:3">
      <c r="B12047" s="12"/>
      <c r="C12047" s="12"/>
    </row>
    <row r="12048" spans="2:3">
      <c r="B12048" s="12"/>
      <c r="C12048" s="12"/>
    </row>
    <row r="12049" spans="2:3">
      <c r="B12049" s="12"/>
      <c r="C12049" s="12"/>
    </row>
    <row r="12050" spans="2:3">
      <c r="B12050" s="12"/>
      <c r="C12050" s="12"/>
    </row>
    <row r="12051" spans="2:3">
      <c r="B12051" s="12"/>
      <c r="C12051" s="12"/>
    </row>
    <row r="12052" spans="2:3">
      <c r="B12052" s="12"/>
      <c r="C12052" s="12"/>
    </row>
    <row r="12053" spans="2:3">
      <c r="B12053" s="12"/>
      <c r="C12053" s="12"/>
    </row>
    <row r="12054" spans="2:3">
      <c r="B12054" s="12"/>
      <c r="C12054" s="12"/>
    </row>
    <row r="12055" spans="2:3">
      <c r="B12055" s="12"/>
      <c r="C12055" s="12"/>
    </row>
    <row r="12056" spans="2:3">
      <c r="B12056" s="12"/>
      <c r="C12056" s="12"/>
    </row>
    <row r="12057" spans="2:3">
      <c r="B12057" s="12"/>
      <c r="C12057" s="12"/>
    </row>
    <row r="12058" spans="2:3">
      <c r="B12058" s="12"/>
      <c r="C12058" s="12"/>
    </row>
    <row r="12059" spans="2:3">
      <c r="B12059" s="12"/>
      <c r="C12059" s="12"/>
    </row>
    <row r="12060" spans="2:3">
      <c r="B12060" s="12"/>
      <c r="C12060" s="12"/>
    </row>
    <row r="12061" spans="2:3">
      <c r="B12061" s="12"/>
      <c r="C12061" s="12"/>
    </row>
    <row r="12062" spans="2:3">
      <c r="B12062" s="12"/>
      <c r="C12062" s="12"/>
    </row>
    <row r="12063" spans="2:3">
      <c r="B12063" s="12"/>
      <c r="C12063" s="12"/>
    </row>
    <row r="12064" spans="2:3">
      <c r="B12064" s="12"/>
      <c r="C12064" s="12"/>
    </row>
    <row r="12065" spans="2:3">
      <c r="B12065" s="12"/>
      <c r="C12065" s="12"/>
    </row>
    <row r="12066" spans="2:3">
      <c r="B12066" s="12"/>
      <c r="C12066" s="12"/>
    </row>
    <row r="12067" spans="2:3">
      <c r="B12067" s="12"/>
      <c r="C12067" s="12"/>
    </row>
    <row r="12068" spans="2:3">
      <c r="B12068" s="12"/>
      <c r="C12068" s="12"/>
    </row>
    <row r="12069" spans="2:3">
      <c r="B12069" s="12"/>
      <c r="C12069" s="12"/>
    </row>
    <row r="12070" spans="2:3">
      <c r="B12070" s="12"/>
      <c r="C12070" s="12"/>
    </row>
    <row r="12071" spans="2:3">
      <c r="B12071" s="12"/>
      <c r="C12071" s="12"/>
    </row>
    <row r="12072" spans="2:3">
      <c r="B12072" s="12"/>
      <c r="C12072" s="12"/>
    </row>
    <row r="12073" spans="2:3">
      <c r="B12073" s="12"/>
      <c r="C12073" s="12"/>
    </row>
    <row r="12074" spans="2:3">
      <c r="B12074" s="12"/>
      <c r="C12074" s="12"/>
    </row>
    <row r="12075" spans="2:3">
      <c r="B12075" s="12"/>
      <c r="C12075" s="12"/>
    </row>
    <row r="12076" spans="2:3">
      <c r="B12076" s="12"/>
      <c r="C12076" s="12"/>
    </row>
    <row r="12077" spans="2:3">
      <c r="B12077" s="12"/>
      <c r="C12077" s="12"/>
    </row>
    <row r="12078" spans="2:3">
      <c r="B12078" s="12"/>
      <c r="C12078" s="12"/>
    </row>
    <row r="12079" spans="2:3">
      <c r="B12079" s="12"/>
      <c r="C12079" s="12"/>
    </row>
    <row r="12080" spans="2:3">
      <c r="B12080" s="12"/>
      <c r="C12080" s="12"/>
    </row>
    <row r="12081" spans="2:3">
      <c r="B12081" s="12"/>
      <c r="C12081" s="12"/>
    </row>
    <row r="12082" spans="2:3">
      <c r="B12082" s="12"/>
      <c r="C12082" s="12"/>
    </row>
    <row r="12083" spans="2:3">
      <c r="B12083" s="12"/>
      <c r="C12083" s="12"/>
    </row>
    <row r="12084" spans="2:3">
      <c r="B12084" s="12"/>
      <c r="C12084" s="12"/>
    </row>
    <row r="12085" spans="2:3">
      <c r="B12085" s="12"/>
      <c r="C12085" s="12"/>
    </row>
    <row r="12086" spans="2:3">
      <c r="B12086" s="12"/>
      <c r="C12086" s="12"/>
    </row>
    <row r="12087" spans="2:3">
      <c r="B12087" s="12"/>
      <c r="C12087" s="12"/>
    </row>
    <row r="12088" spans="2:3">
      <c r="B12088" s="12"/>
      <c r="C12088" s="12"/>
    </row>
    <row r="12089" spans="2:3">
      <c r="B12089" s="12"/>
      <c r="C12089" s="12"/>
    </row>
    <row r="12090" spans="2:3">
      <c r="B12090" s="12"/>
      <c r="C12090" s="12"/>
    </row>
    <row r="12091" spans="2:3">
      <c r="B12091" s="12"/>
      <c r="C12091" s="12"/>
    </row>
    <row r="12092" spans="2:3">
      <c r="B12092" s="12"/>
      <c r="C12092" s="12"/>
    </row>
    <row r="12093" spans="2:3">
      <c r="B12093" s="12"/>
      <c r="C12093" s="12"/>
    </row>
    <row r="12094" spans="2:3">
      <c r="B12094" s="12"/>
      <c r="C12094" s="12"/>
    </row>
    <row r="12095" spans="2:3">
      <c r="B12095" s="12"/>
      <c r="C12095" s="12"/>
    </row>
    <row r="12096" spans="2:3">
      <c r="B12096" s="12"/>
      <c r="C12096" s="12"/>
    </row>
    <row r="12097" spans="2:3">
      <c r="B12097" s="12"/>
      <c r="C12097" s="12"/>
    </row>
    <row r="12098" spans="2:3">
      <c r="B12098" s="12"/>
      <c r="C12098" s="12"/>
    </row>
    <row r="12099" spans="2:3">
      <c r="B12099" s="12"/>
      <c r="C12099" s="12"/>
    </row>
    <row r="12100" spans="2:3">
      <c r="B12100" s="12"/>
      <c r="C12100" s="12"/>
    </row>
    <row r="12101" spans="2:3">
      <c r="B12101" s="12"/>
      <c r="C12101" s="12"/>
    </row>
    <row r="12102" spans="2:3">
      <c r="B12102" s="12"/>
      <c r="C12102" s="12"/>
    </row>
    <row r="12103" spans="2:3">
      <c r="B12103" s="12"/>
      <c r="C12103" s="12"/>
    </row>
    <row r="12104" spans="2:3">
      <c r="B12104" s="12"/>
      <c r="C12104" s="12"/>
    </row>
    <row r="12105" spans="2:3">
      <c r="B12105" s="12"/>
      <c r="C12105" s="12"/>
    </row>
    <row r="12106" spans="2:3">
      <c r="B12106" s="12"/>
      <c r="C12106" s="12"/>
    </row>
    <row r="12107" spans="2:3">
      <c r="B12107" s="12"/>
      <c r="C12107" s="12"/>
    </row>
    <row r="12108" spans="2:3">
      <c r="B12108" s="12"/>
      <c r="C12108" s="12"/>
    </row>
    <row r="12109" spans="2:3">
      <c r="B12109" s="12"/>
      <c r="C12109" s="12"/>
    </row>
    <row r="12110" spans="2:3">
      <c r="B12110" s="12"/>
      <c r="C12110" s="12"/>
    </row>
    <row r="12111" spans="2:3">
      <c r="B12111" s="12"/>
      <c r="C12111" s="12"/>
    </row>
    <row r="12112" spans="2:3">
      <c r="B12112" s="12"/>
      <c r="C12112" s="12"/>
    </row>
    <row r="12113" spans="2:3">
      <c r="B12113" s="12"/>
      <c r="C12113" s="12"/>
    </row>
    <row r="12114" spans="2:3">
      <c r="B12114" s="12"/>
      <c r="C12114" s="12"/>
    </row>
    <row r="12115" spans="2:3">
      <c r="B12115" s="12"/>
      <c r="C12115" s="12"/>
    </row>
    <row r="12116" spans="2:3">
      <c r="B12116" s="12"/>
      <c r="C12116" s="12"/>
    </row>
    <row r="12117" spans="2:3">
      <c r="B12117" s="12"/>
      <c r="C12117" s="12"/>
    </row>
    <row r="12118" spans="2:3">
      <c r="B12118" s="12"/>
      <c r="C12118" s="12"/>
    </row>
    <row r="12119" spans="2:3">
      <c r="B12119" s="12"/>
      <c r="C12119" s="12"/>
    </row>
    <row r="12120" spans="2:3">
      <c r="B12120" s="12"/>
      <c r="C12120" s="12"/>
    </row>
    <row r="12121" spans="2:3">
      <c r="B12121" s="12"/>
      <c r="C12121" s="12"/>
    </row>
    <row r="12122" spans="2:3">
      <c r="B12122" s="12"/>
      <c r="C12122" s="12"/>
    </row>
    <row r="12123" spans="2:3">
      <c r="B12123" s="12"/>
      <c r="C12123" s="12"/>
    </row>
    <row r="12124" spans="2:3">
      <c r="B12124" s="12"/>
      <c r="C12124" s="12"/>
    </row>
    <row r="12125" spans="2:3">
      <c r="B12125" s="12"/>
      <c r="C12125" s="12"/>
    </row>
    <row r="12126" spans="2:3">
      <c r="B12126" s="12"/>
      <c r="C12126" s="12"/>
    </row>
    <row r="12127" spans="2:3">
      <c r="B12127" s="12"/>
      <c r="C12127" s="12"/>
    </row>
    <row r="12128" spans="2:3">
      <c r="B12128" s="12"/>
      <c r="C12128" s="12"/>
    </row>
    <row r="12129" spans="2:3">
      <c r="B12129" s="12"/>
      <c r="C12129" s="12"/>
    </row>
    <row r="12130" spans="2:3">
      <c r="B12130" s="12"/>
      <c r="C12130" s="12"/>
    </row>
    <row r="12131" spans="2:3">
      <c r="B12131" s="12"/>
      <c r="C12131" s="12"/>
    </row>
    <row r="12132" spans="2:3">
      <c r="B12132" s="12"/>
      <c r="C12132" s="12"/>
    </row>
    <row r="12133" spans="2:3">
      <c r="B12133" s="12"/>
      <c r="C12133" s="12"/>
    </row>
    <row r="12134" spans="2:3">
      <c r="B12134" s="12"/>
      <c r="C12134" s="12"/>
    </row>
    <row r="12135" spans="2:3">
      <c r="B12135" s="12"/>
      <c r="C12135" s="12"/>
    </row>
    <row r="12136" spans="2:3">
      <c r="B12136" s="12"/>
      <c r="C12136" s="12"/>
    </row>
    <row r="12137" spans="2:3">
      <c r="B12137" s="12"/>
      <c r="C12137" s="12"/>
    </row>
    <row r="12138" spans="2:3">
      <c r="B12138" s="12"/>
      <c r="C12138" s="12"/>
    </row>
    <row r="12139" spans="2:3">
      <c r="B12139" s="12"/>
      <c r="C12139" s="12"/>
    </row>
    <row r="12140" spans="2:3">
      <c r="B12140" s="12"/>
      <c r="C12140" s="12"/>
    </row>
    <row r="12141" spans="2:3">
      <c r="B12141" s="12"/>
      <c r="C12141" s="12"/>
    </row>
    <row r="12142" spans="2:3">
      <c r="B12142" s="12"/>
      <c r="C12142" s="12"/>
    </row>
    <row r="12143" spans="2:3">
      <c r="B12143" s="12"/>
      <c r="C12143" s="12"/>
    </row>
    <row r="12144" spans="2:3">
      <c r="B12144" s="12"/>
      <c r="C12144" s="12"/>
    </row>
    <row r="12145" spans="2:3">
      <c r="B12145" s="12"/>
      <c r="C12145" s="12"/>
    </row>
    <row r="12146" spans="2:3">
      <c r="B12146" s="12"/>
      <c r="C12146" s="12"/>
    </row>
    <row r="12147" spans="2:3">
      <c r="B12147" s="12"/>
      <c r="C12147" s="12"/>
    </row>
    <row r="12148" spans="2:3">
      <c r="B12148" s="12"/>
      <c r="C12148" s="12"/>
    </row>
    <row r="12149" spans="2:3">
      <c r="B12149" s="12"/>
      <c r="C12149" s="12"/>
    </row>
    <row r="12150" spans="2:3">
      <c r="B12150" s="12"/>
      <c r="C12150" s="12"/>
    </row>
    <row r="12151" spans="2:3">
      <c r="B12151" s="12"/>
      <c r="C12151" s="12"/>
    </row>
    <row r="12152" spans="2:3">
      <c r="B12152" s="12"/>
      <c r="C12152" s="12"/>
    </row>
    <row r="12153" spans="2:3">
      <c r="B12153" s="12"/>
      <c r="C12153" s="12"/>
    </row>
    <row r="12154" spans="2:3">
      <c r="B12154" s="12"/>
      <c r="C12154" s="12"/>
    </row>
    <row r="12155" spans="2:3">
      <c r="B12155" s="12"/>
      <c r="C12155" s="12"/>
    </row>
    <row r="12156" spans="2:3">
      <c r="B12156" s="12"/>
      <c r="C12156" s="12"/>
    </row>
    <row r="12157" spans="2:3">
      <c r="B12157" s="12"/>
      <c r="C12157" s="12"/>
    </row>
    <row r="12158" spans="2:3">
      <c r="B12158" s="12"/>
      <c r="C12158" s="12"/>
    </row>
    <row r="12159" spans="2:3">
      <c r="B12159" s="12"/>
      <c r="C12159" s="12"/>
    </row>
    <row r="12160" spans="2:3">
      <c r="B12160" s="12"/>
      <c r="C12160" s="12"/>
    </row>
    <row r="12161" spans="2:3">
      <c r="B12161" s="12"/>
      <c r="C12161" s="12"/>
    </row>
    <row r="12162" spans="2:3">
      <c r="B12162" s="12"/>
      <c r="C12162" s="12"/>
    </row>
    <row r="12163" spans="2:3">
      <c r="B12163" s="12"/>
      <c r="C12163" s="12"/>
    </row>
    <row r="12164" spans="2:3">
      <c r="B12164" s="12"/>
      <c r="C12164" s="12"/>
    </row>
    <row r="12165" spans="2:3">
      <c r="B12165" s="12"/>
      <c r="C12165" s="12"/>
    </row>
    <row r="12166" spans="2:3">
      <c r="B12166" s="12"/>
      <c r="C12166" s="12"/>
    </row>
    <row r="12167" spans="2:3">
      <c r="B12167" s="12"/>
      <c r="C12167" s="12"/>
    </row>
    <row r="12168" spans="2:3">
      <c r="B12168" s="12"/>
      <c r="C12168" s="12"/>
    </row>
    <row r="12169" spans="2:3">
      <c r="B12169" s="12"/>
      <c r="C12169" s="12"/>
    </row>
    <row r="12170" spans="2:3">
      <c r="B12170" s="12"/>
      <c r="C12170" s="12"/>
    </row>
    <row r="12171" spans="2:3">
      <c r="B12171" s="12"/>
      <c r="C12171" s="12"/>
    </row>
    <row r="12172" spans="2:3">
      <c r="B12172" s="12"/>
      <c r="C12172" s="12"/>
    </row>
    <row r="12173" spans="2:3">
      <c r="B12173" s="12"/>
      <c r="C12173" s="12"/>
    </row>
    <row r="12174" spans="2:3">
      <c r="B12174" s="12"/>
      <c r="C12174" s="12"/>
    </row>
    <row r="12175" spans="2:3">
      <c r="B12175" s="12"/>
      <c r="C12175" s="12"/>
    </row>
    <row r="12176" spans="2:3">
      <c r="B12176" s="12"/>
      <c r="C12176" s="12"/>
    </row>
    <row r="12177" spans="2:3">
      <c r="B12177" s="12"/>
      <c r="C12177" s="12"/>
    </row>
    <row r="12178" spans="2:3">
      <c r="B12178" s="12"/>
      <c r="C12178" s="12"/>
    </row>
    <row r="12179" spans="2:3">
      <c r="B12179" s="12"/>
      <c r="C12179" s="12"/>
    </row>
    <row r="12180" spans="2:3">
      <c r="B12180" s="12"/>
      <c r="C12180" s="12"/>
    </row>
    <row r="12181" spans="2:3">
      <c r="B12181" s="12"/>
      <c r="C12181" s="12"/>
    </row>
    <row r="12182" spans="2:3">
      <c r="B12182" s="12"/>
      <c r="C12182" s="12"/>
    </row>
    <row r="12183" spans="2:3">
      <c r="B12183" s="12"/>
      <c r="C12183" s="12"/>
    </row>
    <row r="12184" spans="2:3">
      <c r="B12184" s="12"/>
      <c r="C12184" s="12"/>
    </row>
    <row r="12185" spans="2:3">
      <c r="B12185" s="12"/>
      <c r="C12185" s="12"/>
    </row>
    <row r="12186" spans="2:3">
      <c r="B12186" s="12"/>
      <c r="C12186" s="12"/>
    </row>
    <row r="12187" spans="2:3">
      <c r="B12187" s="12"/>
      <c r="C12187" s="12"/>
    </row>
    <row r="12188" spans="2:3">
      <c r="B12188" s="12"/>
      <c r="C12188" s="12"/>
    </row>
    <row r="12189" spans="2:3">
      <c r="B12189" s="12"/>
      <c r="C12189" s="12"/>
    </row>
    <row r="12190" spans="2:3">
      <c r="B12190" s="12"/>
      <c r="C12190" s="12"/>
    </row>
    <row r="12191" spans="2:3">
      <c r="B12191" s="12"/>
      <c r="C12191" s="12"/>
    </row>
    <row r="12192" spans="2:3">
      <c r="B12192" s="12"/>
      <c r="C12192" s="12"/>
    </row>
    <row r="12193" spans="2:3">
      <c r="B12193" s="12"/>
      <c r="C12193" s="12"/>
    </row>
    <row r="12194" spans="2:3">
      <c r="B12194" s="12"/>
      <c r="C12194" s="12"/>
    </row>
    <row r="12195" spans="2:3">
      <c r="B12195" s="12"/>
      <c r="C12195" s="12"/>
    </row>
    <row r="12196" spans="2:3">
      <c r="B12196" s="12"/>
      <c r="C12196" s="12"/>
    </row>
    <row r="12197" spans="2:3">
      <c r="B12197" s="12"/>
      <c r="C12197" s="12"/>
    </row>
    <row r="12198" spans="2:3">
      <c r="B12198" s="12"/>
      <c r="C12198" s="12"/>
    </row>
    <row r="12199" spans="2:3">
      <c r="B12199" s="12"/>
      <c r="C12199" s="12"/>
    </row>
    <row r="12200" spans="2:3">
      <c r="B12200" s="12"/>
      <c r="C12200" s="12"/>
    </row>
    <row r="12201" spans="2:3">
      <c r="B12201" s="12"/>
      <c r="C12201" s="12"/>
    </row>
    <row r="12202" spans="2:3">
      <c r="B12202" s="12"/>
      <c r="C12202" s="12"/>
    </row>
    <row r="12203" spans="2:3">
      <c r="B12203" s="12"/>
      <c r="C12203" s="12"/>
    </row>
    <row r="12204" spans="2:3">
      <c r="B12204" s="12"/>
      <c r="C12204" s="12"/>
    </row>
    <row r="12205" spans="2:3">
      <c r="B12205" s="12"/>
      <c r="C12205" s="12"/>
    </row>
    <row r="12206" spans="2:3">
      <c r="B12206" s="12"/>
      <c r="C12206" s="12"/>
    </row>
    <row r="12207" spans="2:3">
      <c r="B12207" s="12"/>
      <c r="C12207" s="12"/>
    </row>
    <row r="12208" spans="2:3">
      <c r="B12208" s="12"/>
      <c r="C12208" s="12"/>
    </row>
    <row r="12209" spans="2:3">
      <c r="B12209" s="12"/>
      <c r="C12209" s="12"/>
    </row>
    <row r="12210" spans="2:3">
      <c r="B12210" s="12"/>
      <c r="C12210" s="12"/>
    </row>
    <row r="12211" spans="2:3">
      <c r="B12211" s="12"/>
      <c r="C12211" s="12"/>
    </row>
    <row r="12212" spans="2:3">
      <c r="B12212" s="12"/>
      <c r="C12212" s="12"/>
    </row>
    <row r="12213" spans="2:3">
      <c r="B12213" s="12"/>
      <c r="C12213" s="12"/>
    </row>
    <row r="12214" spans="2:3">
      <c r="B12214" s="12"/>
      <c r="C12214" s="12"/>
    </row>
    <row r="12215" spans="2:3">
      <c r="B12215" s="12"/>
      <c r="C12215" s="12"/>
    </row>
    <row r="12216" spans="2:3">
      <c r="B12216" s="12"/>
      <c r="C12216" s="12"/>
    </row>
    <row r="12217" spans="2:3">
      <c r="B12217" s="12"/>
      <c r="C12217" s="12"/>
    </row>
    <row r="12218" spans="2:3">
      <c r="B12218" s="12"/>
      <c r="C12218" s="12"/>
    </row>
    <row r="12219" spans="2:3">
      <c r="B12219" s="12"/>
      <c r="C12219" s="12"/>
    </row>
    <row r="12220" spans="2:3">
      <c r="B12220" s="12"/>
      <c r="C12220" s="12"/>
    </row>
    <row r="12221" spans="2:3">
      <c r="B12221" s="12"/>
      <c r="C12221" s="12"/>
    </row>
    <row r="12222" spans="2:3">
      <c r="B12222" s="12"/>
      <c r="C12222" s="12"/>
    </row>
    <row r="12223" spans="2:3">
      <c r="B12223" s="12"/>
      <c r="C12223" s="12"/>
    </row>
    <row r="12224" spans="2:3">
      <c r="B12224" s="12"/>
      <c r="C12224" s="12"/>
    </row>
    <row r="12225" spans="2:3">
      <c r="B12225" s="12"/>
      <c r="C12225" s="12"/>
    </row>
    <row r="12226" spans="2:3">
      <c r="B12226" s="12"/>
      <c r="C12226" s="12"/>
    </row>
    <row r="12227" spans="2:3">
      <c r="B12227" s="12"/>
      <c r="C12227" s="12"/>
    </row>
    <row r="12228" spans="2:3">
      <c r="B12228" s="12"/>
      <c r="C12228" s="12"/>
    </row>
    <row r="12229" spans="2:3">
      <c r="B12229" s="12"/>
      <c r="C12229" s="12"/>
    </row>
    <row r="12230" spans="2:3">
      <c r="B12230" s="12"/>
      <c r="C12230" s="12"/>
    </row>
    <row r="12231" spans="2:3">
      <c r="B12231" s="12"/>
      <c r="C12231" s="12"/>
    </row>
    <row r="12232" spans="2:3">
      <c r="B12232" s="12"/>
      <c r="C12232" s="12"/>
    </row>
    <row r="12233" spans="2:3">
      <c r="B12233" s="12"/>
      <c r="C12233" s="12"/>
    </row>
    <row r="12234" spans="2:3">
      <c r="B12234" s="12"/>
      <c r="C12234" s="12"/>
    </row>
    <row r="12235" spans="2:3">
      <c r="B12235" s="12"/>
      <c r="C12235" s="12"/>
    </row>
    <row r="12236" spans="2:3">
      <c r="B12236" s="12"/>
      <c r="C12236" s="12"/>
    </row>
    <row r="12237" spans="2:3">
      <c r="B12237" s="12"/>
      <c r="C12237" s="12"/>
    </row>
    <row r="12238" spans="2:3">
      <c r="B12238" s="12"/>
      <c r="C12238" s="12"/>
    </row>
    <row r="12239" spans="2:3">
      <c r="B12239" s="12"/>
      <c r="C12239" s="12"/>
    </row>
    <row r="12240" spans="2:3">
      <c r="B12240" s="12"/>
      <c r="C12240" s="12"/>
    </row>
    <row r="12241" spans="2:3">
      <c r="B12241" s="12"/>
      <c r="C12241" s="12"/>
    </row>
    <row r="12242" spans="2:3">
      <c r="B12242" s="12"/>
      <c r="C12242" s="12"/>
    </row>
    <row r="12243" spans="2:3">
      <c r="B12243" s="12"/>
      <c r="C12243" s="12"/>
    </row>
    <row r="12244" spans="2:3">
      <c r="B12244" s="12"/>
      <c r="C12244" s="12"/>
    </row>
    <row r="12245" spans="2:3">
      <c r="B12245" s="12"/>
      <c r="C12245" s="12"/>
    </row>
    <row r="12246" spans="2:3">
      <c r="B12246" s="12"/>
      <c r="C12246" s="12"/>
    </row>
    <row r="12247" spans="2:3">
      <c r="B12247" s="12"/>
      <c r="C12247" s="12"/>
    </row>
    <row r="12248" spans="2:3">
      <c r="B12248" s="12"/>
      <c r="C12248" s="12"/>
    </row>
    <row r="12249" spans="2:3">
      <c r="B12249" s="12"/>
      <c r="C12249" s="12"/>
    </row>
    <row r="12250" spans="2:3">
      <c r="B12250" s="12"/>
      <c r="C12250" s="12"/>
    </row>
    <row r="12251" spans="2:3">
      <c r="B12251" s="12"/>
      <c r="C12251" s="12"/>
    </row>
    <row r="12252" spans="2:3">
      <c r="B12252" s="12"/>
      <c r="C12252" s="12"/>
    </row>
    <row r="12253" spans="2:3">
      <c r="B12253" s="12"/>
      <c r="C12253" s="12"/>
    </row>
    <row r="12254" spans="2:3">
      <c r="B12254" s="12"/>
      <c r="C12254" s="12"/>
    </row>
    <row r="12255" spans="2:3">
      <c r="B12255" s="12"/>
      <c r="C12255" s="12"/>
    </row>
    <row r="12256" spans="2:3">
      <c r="B12256" s="12"/>
      <c r="C12256" s="12"/>
    </row>
    <row r="12257" spans="2:3">
      <c r="B12257" s="12"/>
      <c r="C12257" s="12"/>
    </row>
    <row r="12258" spans="2:3">
      <c r="B12258" s="12"/>
      <c r="C12258" s="12"/>
    </row>
    <row r="12259" spans="2:3">
      <c r="B12259" s="12"/>
      <c r="C12259" s="12"/>
    </row>
    <row r="12260" spans="2:3">
      <c r="B12260" s="12"/>
      <c r="C12260" s="12"/>
    </row>
    <row r="12261" spans="2:3">
      <c r="B12261" s="12"/>
      <c r="C12261" s="12"/>
    </row>
    <row r="12262" spans="2:3">
      <c r="B12262" s="12"/>
      <c r="C12262" s="12"/>
    </row>
    <row r="12263" spans="2:3">
      <c r="B12263" s="12"/>
      <c r="C12263" s="12"/>
    </row>
    <row r="12264" spans="2:3">
      <c r="B12264" s="12"/>
      <c r="C12264" s="12"/>
    </row>
    <row r="12265" spans="2:3">
      <c r="B12265" s="12"/>
      <c r="C12265" s="12"/>
    </row>
    <row r="12266" spans="2:3">
      <c r="B12266" s="12"/>
      <c r="C12266" s="12"/>
    </row>
    <row r="12267" spans="2:3">
      <c r="B12267" s="12"/>
      <c r="C12267" s="12"/>
    </row>
    <row r="12268" spans="2:3">
      <c r="B12268" s="12"/>
      <c r="C12268" s="12"/>
    </row>
    <row r="12269" spans="2:3">
      <c r="B12269" s="12"/>
      <c r="C12269" s="12"/>
    </row>
    <row r="12270" spans="2:3">
      <c r="B12270" s="12"/>
      <c r="C12270" s="12"/>
    </row>
    <row r="12271" spans="2:3">
      <c r="B12271" s="12"/>
      <c r="C12271" s="12"/>
    </row>
    <row r="12272" spans="2:3">
      <c r="B12272" s="12"/>
      <c r="C12272" s="12"/>
    </row>
    <row r="12273" spans="2:3">
      <c r="B12273" s="12"/>
      <c r="C12273" s="12"/>
    </row>
    <row r="12274" spans="2:3">
      <c r="B12274" s="12"/>
      <c r="C12274" s="12"/>
    </row>
    <row r="12275" spans="2:3">
      <c r="B12275" s="12"/>
      <c r="C12275" s="12"/>
    </row>
    <row r="12276" spans="2:3">
      <c r="B12276" s="12"/>
      <c r="C12276" s="12"/>
    </row>
    <row r="12277" spans="2:3">
      <c r="B12277" s="12"/>
      <c r="C12277" s="12"/>
    </row>
    <row r="12278" spans="2:3">
      <c r="B12278" s="12"/>
      <c r="C12278" s="12"/>
    </row>
    <row r="12279" spans="2:3">
      <c r="B12279" s="12"/>
      <c r="C12279" s="12"/>
    </row>
    <row r="12280" spans="2:3">
      <c r="B12280" s="12"/>
      <c r="C12280" s="12"/>
    </row>
    <row r="12281" spans="2:3">
      <c r="B12281" s="12"/>
      <c r="C12281" s="12"/>
    </row>
    <row r="12282" spans="2:3">
      <c r="B12282" s="12"/>
      <c r="C12282" s="12"/>
    </row>
    <row r="12283" spans="2:3">
      <c r="B12283" s="12"/>
      <c r="C12283" s="12"/>
    </row>
    <row r="12284" spans="2:3">
      <c r="B12284" s="12"/>
      <c r="C12284" s="12"/>
    </row>
    <row r="12285" spans="2:3">
      <c r="B12285" s="12"/>
      <c r="C12285" s="12"/>
    </row>
    <row r="12286" spans="2:3">
      <c r="B12286" s="12"/>
      <c r="C12286" s="12"/>
    </row>
    <row r="12287" spans="2:3">
      <c r="B12287" s="12"/>
      <c r="C12287" s="12"/>
    </row>
    <row r="12288" spans="2:3">
      <c r="B12288" s="12"/>
      <c r="C12288" s="12"/>
    </row>
    <row r="12289" spans="2:3">
      <c r="B12289" s="12"/>
      <c r="C12289" s="12"/>
    </row>
    <row r="12290" spans="2:3">
      <c r="B12290" s="12"/>
      <c r="C12290" s="12"/>
    </row>
    <row r="12291" spans="2:3">
      <c r="B12291" s="12"/>
      <c r="C12291" s="12"/>
    </row>
    <row r="12292" spans="2:3">
      <c r="B12292" s="12"/>
      <c r="C12292" s="12"/>
    </row>
    <row r="12293" spans="2:3">
      <c r="B12293" s="12"/>
      <c r="C12293" s="12"/>
    </row>
    <row r="12294" spans="2:3">
      <c r="B12294" s="12"/>
      <c r="C12294" s="12"/>
    </row>
    <row r="12295" spans="2:3">
      <c r="B12295" s="12"/>
      <c r="C12295" s="12"/>
    </row>
    <row r="12296" spans="2:3">
      <c r="B12296" s="12"/>
      <c r="C12296" s="12"/>
    </row>
    <row r="12297" spans="2:3">
      <c r="B12297" s="12"/>
      <c r="C12297" s="12"/>
    </row>
    <row r="12298" spans="2:3">
      <c r="B12298" s="12"/>
      <c r="C12298" s="12"/>
    </row>
    <row r="12299" spans="2:3">
      <c r="B12299" s="12"/>
      <c r="C12299" s="12"/>
    </row>
    <row r="12300" spans="2:3">
      <c r="B12300" s="12"/>
      <c r="C12300" s="12"/>
    </row>
    <row r="12301" spans="2:3">
      <c r="B12301" s="12"/>
      <c r="C12301" s="12"/>
    </row>
    <row r="12302" spans="2:3">
      <c r="B12302" s="12"/>
      <c r="C12302" s="12"/>
    </row>
    <row r="12303" spans="2:3">
      <c r="B12303" s="12"/>
      <c r="C12303" s="12"/>
    </row>
    <row r="12304" spans="2:3">
      <c r="B12304" s="12"/>
      <c r="C12304" s="12"/>
    </row>
    <row r="12305" spans="2:3">
      <c r="B12305" s="12"/>
      <c r="C12305" s="12"/>
    </row>
    <row r="12306" spans="2:3">
      <c r="B12306" s="12"/>
      <c r="C12306" s="12"/>
    </row>
    <row r="12307" spans="2:3">
      <c r="B12307" s="12"/>
      <c r="C12307" s="12"/>
    </row>
    <row r="12308" spans="2:3">
      <c r="B12308" s="12"/>
      <c r="C12308" s="12"/>
    </row>
    <row r="12309" spans="2:3">
      <c r="B12309" s="12"/>
      <c r="C12309" s="12"/>
    </row>
    <row r="12310" spans="2:3">
      <c r="B12310" s="12"/>
      <c r="C12310" s="12"/>
    </row>
    <row r="12311" spans="2:3">
      <c r="B12311" s="12"/>
      <c r="C12311" s="12"/>
    </row>
    <row r="12312" spans="2:3">
      <c r="B12312" s="12"/>
      <c r="C12312" s="12"/>
    </row>
    <row r="12313" spans="2:3">
      <c r="B12313" s="12"/>
      <c r="C12313" s="12"/>
    </row>
    <row r="12314" spans="2:3">
      <c r="B12314" s="12"/>
      <c r="C12314" s="12"/>
    </row>
    <row r="12315" spans="2:3">
      <c r="B12315" s="12"/>
      <c r="C12315" s="12"/>
    </row>
    <row r="12316" spans="2:3">
      <c r="B12316" s="12"/>
      <c r="C12316" s="12"/>
    </row>
    <row r="12317" spans="2:3">
      <c r="B12317" s="12"/>
      <c r="C12317" s="12"/>
    </row>
    <row r="12318" spans="2:3">
      <c r="B12318" s="12"/>
      <c r="C12318" s="12"/>
    </row>
    <row r="12319" spans="2:3">
      <c r="B12319" s="12"/>
      <c r="C12319" s="12"/>
    </row>
    <row r="12320" spans="2:3">
      <c r="B12320" s="12"/>
      <c r="C12320" s="12"/>
    </row>
    <row r="12321" spans="2:3">
      <c r="B12321" s="12"/>
      <c r="C12321" s="12"/>
    </row>
    <row r="12322" spans="2:3">
      <c r="B12322" s="12"/>
      <c r="C12322" s="12"/>
    </row>
    <row r="12323" spans="2:3">
      <c r="B12323" s="12"/>
      <c r="C12323" s="12"/>
    </row>
    <row r="12324" spans="2:3">
      <c r="B12324" s="12"/>
      <c r="C12324" s="12"/>
    </row>
    <row r="12325" spans="2:3">
      <c r="B12325" s="12"/>
      <c r="C12325" s="12"/>
    </row>
    <row r="12326" spans="2:3">
      <c r="B12326" s="12"/>
      <c r="C12326" s="12"/>
    </row>
    <row r="12327" spans="2:3">
      <c r="B12327" s="12"/>
      <c r="C12327" s="12"/>
    </row>
    <row r="12328" spans="2:3">
      <c r="B12328" s="12"/>
      <c r="C12328" s="12"/>
    </row>
    <row r="12329" spans="2:3">
      <c r="B12329" s="12"/>
      <c r="C12329" s="12"/>
    </row>
    <row r="12330" spans="2:3">
      <c r="B12330" s="12"/>
      <c r="C12330" s="12"/>
    </row>
    <row r="12331" spans="2:3">
      <c r="B12331" s="12"/>
      <c r="C12331" s="12"/>
    </row>
    <row r="12332" spans="2:3">
      <c r="B12332" s="12"/>
      <c r="C12332" s="12"/>
    </row>
    <row r="12333" spans="2:3">
      <c r="B12333" s="12"/>
      <c r="C12333" s="12"/>
    </row>
    <row r="12334" spans="2:3">
      <c r="B12334" s="12"/>
      <c r="C12334" s="12"/>
    </row>
    <row r="12335" spans="2:3">
      <c r="B12335" s="12"/>
      <c r="C12335" s="12"/>
    </row>
    <row r="12336" spans="2:3">
      <c r="B12336" s="12"/>
      <c r="C12336" s="12"/>
    </row>
    <row r="12337" spans="2:3">
      <c r="B12337" s="12"/>
      <c r="C12337" s="12"/>
    </row>
    <row r="12338" spans="2:3">
      <c r="B12338" s="12"/>
      <c r="C12338" s="12"/>
    </row>
    <row r="12339" spans="2:3">
      <c r="B12339" s="12"/>
      <c r="C12339" s="12"/>
    </row>
    <row r="12340" spans="2:3">
      <c r="B12340" s="12"/>
      <c r="C12340" s="12"/>
    </row>
    <row r="12341" spans="2:3">
      <c r="B12341" s="12"/>
      <c r="C12341" s="12"/>
    </row>
    <row r="12342" spans="2:3">
      <c r="B12342" s="12"/>
      <c r="C12342" s="12"/>
    </row>
    <row r="12343" spans="2:3">
      <c r="B12343" s="12"/>
      <c r="C12343" s="12"/>
    </row>
    <row r="12344" spans="2:3">
      <c r="B12344" s="12"/>
      <c r="C12344" s="12"/>
    </row>
    <row r="12345" spans="2:3">
      <c r="B12345" s="12"/>
      <c r="C12345" s="12"/>
    </row>
    <row r="12346" spans="2:3">
      <c r="B12346" s="12"/>
      <c r="C12346" s="12"/>
    </row>
    <row r="12347" spans="2:3">
      <c r="B12347" s="12"/>
      <c r="C12347" s="12"/>
    </row>
    <row r="12348" spans="2:3">
      <c r="B12348" s="12"/>
      <c r="C12348" s="12"/>
    </row>
    <row r="12349" spans="2:3">
      <c r="B12349" s="12"/>
      <c r="C12349" s="12"/>
    </row>
    <row r="12350" spans="2:3">
      <c r="B12350" s="12"/>
      <c r="C12350" s="12"/>
    </row>
    <row r="12351" spans="2:3">
      <c r="B12351" s="12"/>
      <c r="C12351" s="12"/>
    </row>
    <row r="12352" spans="2:3">
      <c r="B12352" s="12"/>
      <c r="C12352" s="12"/>
    </row>
    <row r="12353" spans="2:3">
      <c r="B12353" s="12"/>
      <c r="C12353" s="12"/>
    </row>
    <row r="12354" spans="2:3">
      <c r="B12354" s="12"/>
      <c r="C12354" s="12"/>
    </row>
    <row r="12355" spans="2:3">
      <c r="B12355" s="12"/>
      <c r="C12355" s="12"/>
    </row>
    <row r="12356" spans="2:3">
      <c r="B12356" s="12"/>
      <c r="C12356" s="12"/>
    </row>
    <row r="12357" spans="2:3">
      <c r="B12357" s="12"/>
      <c r="C12357" s="12"/>
    </row>
    <row r="12358" spans="2:3">
      <c r="B12358" s="12"/>
      <c r="C12358" s="12"/>
    </row>
    <row r="12359" spans="2:3">
      <c r="B12359" s="12"/>
      <c r="C12359" s="12"/>
    </row>
    <row r="12360" spans="2:3">
      <c r="B12360" s="12"/>
      <c r="C12360" s="12"/>
    </row>
    <row r="12361" spans="2:3">
      <c r="B12361" s="12"/>
      <c r="C12361" s="12"/>
    </row>
    <row r="12362" spans="2:3">
      <c r="B12362" s="12"/>
      <c r="C12362" s="12"/>
    </row>
    <row r="12363" spans="2:3">
      <c r="B12363" s="12"/>
      <c r="C12363" s="12"/>
    </row>
    <row r="12364" spans="2:3">
      <c r="B12364" s="12"/>
      <c r="C12364" s="12"/>
    </row>
    <row r="12365" spans="2:3">
      <c r="B12365" s="12"/>
      <c r="C12365" s="12"/>
    </row>
    <row r="12366" spans="2:3">
      <c r="B12366" s="12"/>
      <c r="C12366" s="12"/>
    </row>
    <row r="12367" spans="2:3">
      <c r="B12367" s="12"/>
      <c r="C12367" s="12"/>
    </row>
    <row r="12368" spans="2:3">
      <c r="B12368" s="12"/>
      <c r="C12368" s="12"/>
    </row>
    <row r="12369" spans="2:3">
      <c r="B12369" s="12"/>
      <c r="C12369" s="12"/>
    </row>
    <row r="12370" spans="2:3">
      <c r="B12370" s="12"/>
      <c r="C12370" s="12"/>
    </row>
    <row r="12371" spans="2:3">
      <c r="B12371" s="12"/>
      <c r="C12371" s="12"/>
    </row>
    <row r="12372" spans="2:3">
      <c r="B12372" s="12"/>
      <c r="C12372" s="12"/>
    </row>
    <row r="12373" spans="2:3">
      <c r="B12373" s="12"/>
      <c r="C12373" s="12"/>
    </row>
    <row r="12374" spans="2:3">
      <c r="B12374" s="12"/>
      <c r="C12374" s="12"/>
    </row>
    <row r="12375" spans="2:3">
      <c r="B12375" s="12"/>
      <c r="C12375" s="12"/>
    </row>
    <row r="12376" spans="2:3">
      <c r="B12376" s="12"/>
      <c r="C12376" s="12"/>
    </row>
    <row r="12377" spans="2:3">
      <c r="B12377" s="12"/>
      <c r="C12377" s="12"/>
    </row>
    <row r="12378" spans="2:3">
      <c r="B12378" s="12"/>
      <c r="C12378" s="12"/>
    </row>
    <row r="12379" spans="2:3">
      <c r="B12379" s="12"/>
      <c r="C12379" s="12"/>
    </row>
    <row r="12380" spans="2:3">
      <c r="B12380" s="12"/>
      <c r="C12380" s="12"/>
    </row>
    <row r="12381" spans="2:3">
      <c r="B12381" s="12"/>
      <c r="C12381" s="12"/>
    </row>
    <row r="12382" spans="2:3">
      <c r="B12382" s="12"/>
      <c r="C12382" s="12"/>
    </row>
    <row r="12383" spans="2:3">
      <c r="B12383" s="12"/>
      <c r="C12383" s="12"/>
    </row>
    <row r="12384" spans="2:3">
      <c r="B12384" s="12"/>
      <c r="C12384" s="12"/>
    </row>
    <row r="12385" spans="2:3">
      <c r="B12385" s="12"/>
      <c r="C12385" s="12"/>
    </row>
    <row r="12386" spans="2:3">
      <c r="B12386" s="12"/>
      <c r="C12386" s="12"/>
    </row>
    <row r="12387" spans="2:3">
      <c r="B12387" s="12"/>
      <c r="C12387" s="12"/>
    </row>
    <row r="12388" spans="2:3">
      <c r="B12388" s="12"/>
      <c r="C12388" s="12"/>
    </row>
    <row r="12389" spans="2:3">
      <c r="B12389" s="12"/>
      <c r="C12389" s="12"/>
    </row>
    <row r="12390" spans="2:3">
      <c r="B12390" s="12"/>
      <c r="C12390" s="12"/>
    </row>
    <row r="12391" spans="2:3">
      <c r="B12391" s="12"/>
      <c r="C12391" s="12"/>
    </row>
    <row r="12392" spans="2:3">
      <c r="B12392" s="12"/>
      <c r="C12392" s="12"/>
    </row>
    <row r="12393" spans="2:3">
      <c r="B12393" s="12"/>
      <c r="C12393" s="12"/>
    </row>
    <row r="12394" spans="2:3">
      <c r="B12394" s="12"/>
      <c r="C12394" s="12"/>
    </row>
    <row r="12395" spans="2:3">
      <c r="B12395" s="12"/>
      <c r="C12395" s="12"/>
    </row>
    <row r="12396" spans="2:3">
      <c r="B12396" s="12"/>
      <c r="C12396" s="12"/>
    </row>
    <row r="12397" spans="2:3">
      <c r="B12397" s="12"/>
      <c r="C12397" s="12"/>
    </row>
    <row r="12398" spans="2:3">
      <c r="B12398" s="12"/>
      <c r="C12398" s="12"/>
    </row>
    <row r="12399" spans="2:3">
      <c r="B12399" s="12"/>
      <c r="C12399" s="12"/>
    </row>
    <row r="12400" spans="2:3">
      <c r="B12400" s="12"/>
      <c r="C12400" s="12"/>
    </row>
    <row r="12401" spans="2:3">
      <c r="B12401" s="12"/>
      <c r="C12401" s="12"/>
    </row>
    <row r="12402" spans="2:3">
      <c r="B12402" s="12"/>
      <c r="C12402" s="12"/>
    </row>
    <row r="12403" spans="2:3">
      <c r="B12403" s="12"/>
      <c r="C12403" s="12"/>
    </row>
    <row r="12404" spans="2:3">
      <c r="B12404" s="12"/>
      <c r="C12404" s="12"/>
    </row>
    <row r="12405" spans="2:3">
      <c r="B12405" s="12"/>
      <c r="C12405" s="12"/>
    </row>
    <row r="12406" spans="2:3">
      <c r="B12406" s="12"/>
      <c r="C12406" s="12"/>
    </row>
    <row r="12407" spans="2:3">
      <c r="B12407" s="12"/>
      <c r="C12407" s="12"/>
    </row>
    <row r="12408" spans="2:3">
      <c r="B12408" s="12"/>
      <c r="C12408" s="12"/>
    </row>
    <row r="12409" spans="2:3">
      <c r="B12409" s="12"/>
      <c r="C12409" s="12"/>
    </row>
    <row r="12410" spans="2:3">
      <c r="B12410" s="12"/>
      <c r="C12410" s="12"/>
    </row>
    <row r="12411" spans="2:3">
      <c r="B12411" s="12"/>
      <c r="C12411" s="12"/>
    </row>
    <row r="12412" spans="2:3">
      <c r="B12412" s="12"/>
      <c r="C12412" s="12"/>
    </row>
    <row r="12413" spans="2:3">
      <c r="B12413" s="12"/>
      <c r="C12413" s="12"/>
    </row>
    <row r="12414" spans="2:3">
      <c r="B12414" s="12"/>
      <c r="C12414" s="12"/>
    </row>
    <row r="12415" spans="2:3">
      <c r="B12415" s="12"/>
      <c r="C12415" s="12"/>
    </row>
    <row r="12416" spans="2:3">
      <c r="B12416" s="12"/>
      <c r="C12416" s="12"/>
    </row>
    <row r="12417" spans="2:3">
      <c r="B12417" s="12"/>
      <c r="C12417" s="12"/>
    </row>
    <row r="12418" spans="2:3">
      <c r="B12418" s="12"/>
      <c r="C12418" s="12"/>
    </row>
    <row r="12419" spans="2:3">
      <c r="B12419" s="12"/>
      <c r="C12419" s="12"/>
    </row>
    <row r="12420" spans="2:3">
      <c r="B12420" s="12"/>
      <c r="C12420" s="12"/>
    </row>
    <row r="12421" spans="2:3">
      <c r="B12421" s="12"/>
      <c r="C12421" s="12"/>
    </row>
    <row r="12422" spans="2:3">
      <c r="B12422" s="12"/>
      <c r="C12422" s="12"/>
    </row>
    <row r="12423" spans="2:3">
      <c r="B12423" s="12"/>
      <c r="C12423" s="12"/>
    </row>
    <row r="12424" spans="2:3">
      <c r="B12424" s="12"/>
      <c r="C12424" s="12"/>
    </row>
    <row r="12425" spans="2:3">
      <c r="B12425" s="12"/>
      <c r="C12425" s="12"/>
    </row>
    <row r="12426" spans="2:3">
      <c r="B12426" s="12"/>
      <c r="C12426" s="12"/>
    </row>
    <row r="12427" spans="2:3">
      <c r="B12427" s="12"/>
      <c r="C12427" s="12"/>
    </row>
    <row r="12428" spans="2:3">
      <c r="B12428" s="12"/>
      <c r="C12428" s="12"/>
    </row>
    <row r="12429" spans="2:3">
      <c r="B12429" s="12"/>
      <c r="C12429" s="12"/>
    </row>
    <row r="12430" spans="2:3">
      <c r="B12430" s="12"/>
      <c r="C12430" s="12"/>
    </row>
    <row r="12431" spans="2:3">
      <c r="B12431" s="12"/>
      <c r="C12431" s="12"/>
    </row>
    <row r="12432" spans="2:3">
      <c r="B12432" s="12"/>
      <c r="C12432" s="12"/>
    </row>
    <row r="12433" spans="2:3">
      <c r="B12433" s="12"/>
      <c r="C12433" s="12"/>
    </row>
    <row r="12434" spans="2:3">
      <c r="B12434" s="12"/>
      <c r="C12434" s="12"/>
    </row>
    <row r="12435" spans="2:3">
      <c r="B12435" s="12"/>
      <c r="C12435" s="12"/>
    </row>
    <row r="12436" spans="2:3">
      <c r="B12436" s="12"/>
      <c r="C12436" s="12"/>
    </row>
    <row r="12437" spans="2:3">
      <c r="B12437" s="12"/>
      <c r="C12437" s="12"/>
    </row>
    <row r="12438" spans="2:3">
      <c r="B12438" s="12"/>
      <c r="C12438" s="12"/>
    </row>
    <row r="12439" spans="2:3">
      <c r="B12439" s="12"/>
      <c r="C12439" s="12"/>
    </row>
    <row r="12440" spans="2:3">
      <c r="B12440" s="12"/>
      <c r="C12440" s="12"/>
    </row>
    <row r="12441" spans="2:3">
      <c r="B12441" s="12"/>
      <c r="C12441" s="12"/>
    </row>
    <row r="12442" spans="2:3">
      <c r="B12442" s="12"/>
      <c r="C12442" s="12"/>
    </row>
    <row r="12443" spans="2:3">
      <c r="B12443" s="12"/>
      <c r="C12443" s="12"/>
    </row>
    <row r="12444" spans="2:3">
      <c r="B12444" s="12"/>
      <c r="C12444" s="12"/>
    </row>
    <row r="12445" spans="2:3">
      <c r="B12445" s="12"/>
      <c r="C12445" s="12"/>
    </row>
    <row r="12446" spans="2:3">
      <c r="B12446" s="12"/>
      <c r="C12446" s="12"/>
    </row>
    <row r="12447" spans="2:3">
      <c r="B12447" s="12"/>
      <c r="C12447" s="12"/>
    </row>
    <row r="12448" spans="2:3">
      <c r="B12448" s="12"/>
      <c r="C12448" s="12"/>
    </row>
    <row r="12449" spans="2:3">
      <c r="B12449" s="12"/>
      <c r="C12449" s="12"/>
    </row>
    <row r="12450" spans="2:3">
      <c r="B12450" s="12"/>
      <c r="C12450" s="12"/>
    </row>
    <row r="12451" spans="2:3">
      <c r="B12451" s="12"/>
      <c r="C12451" s="12"/>
    </row>
    <row r="12452" spans="2:3">
      <c r="B12452" s="12"/>
      <c r="C12452" s="12"/>
    </row>
    <row r="12453" spans="2:3">
      <c r="B12453" s="12"/>
      <c r="C12453" s="12"/>
    </row>
    <row r="12454" spans="2:3">
      <c r="B12454" s="12"/>
      <c r="C12454" s="12"/>
    </row>
    <row r="12455" spans="2:3">
      <c r="B12455" s="12"/>
      <c r="C12455" s="12"/>
    </row>
    <row r="12456" spans="2:3">
      <c r="B12456" s="12"/>
      <c r="C12456" s="12"/>
    </row>
    <row r="12457" spans="2:3">
      <c r="B12457" s="12"/>
      <c r="C12457" s="12"/>
    </row>
    <row r="12458" spans="2:3">
      <c r="B12458" s="12"/>
      <c r="C12458" s="12"/>
    </row>
    <row r="12459" spans="2:3">
      <c r="B12459" s="12"/>
      <c r="C12459" s="12"/>
    </row>
    <row r="12460" spans="2:3">
      <c r="B12460" s="12"/>
      <c r="C12460" s="12"/>
    </row>
    <row r="12461" spans="2:3">
      <c r="B12461" s="12"/>
      <c r="C12461" s="12"/>
    </row>
    <row r="12462" spans="2:3">
      <c r="B12462" s="12"/>
      <c r="C12462" s="12"/>
    </row>
    <row r="12463" spans="2:3">
      <c r="B12463" s="12"/>
      <c r="C12463" s="12"/>
    </row>
    <row r="12464" spans="2:3">
      <c r="B12464" s="12"/>
      <c r="C12464" s="12"/>
    </row>
    <row r="12465" spans="2:3">
      <c r="B12465" s="12"/>
      <c r="C12465" s="12"/>
    </row>
    <row r="12466" spans="2:3">
      <c r="B12466" s="12"/>
      <c r="C12466" s="12"/>
    </row>
    <row r="12467" spans="2:3">
      <c r="B12467" s="12"/>
      <c r="C12467" s="12"/>
    </row>
    <row r="12468" spans="2:3">
      <c r="B12468" s="12"/>
      <c r="C12468" s="12"/>
    </row>
    <row r="12469" spans="2:3">
      <c r="B12469" s="12"/>
      <c r="C12469" s="12"/>
    </row>
    <row r="12470" spans="2:3">
      <c r="B12470" s="12"/>
      <c r="C12470" s="12"/>
    </row>
    <row r="12471" spans="2:3">
      <c r="B12471" s="12"/>
      <c r="C12471" s="12"/>
    </row>
    <row r="12472" spans="2:3">
      <c r="B12472" s="12"/>
      <c r="C12472" s="12"/>
    </row>
    <row r="12473" spans="2:3">
      <c r="B12473" s="12"/>
      <c r="C12473" s="12"/>
    </row>
    <row r="12474" spans="2:3">
      <c r="B12474" s="12"/>
      <c r="C12474" s="12"/>
    </row>
    <row r="12475" spans="2:3">
      <c r="B12475" s="12"/>
      <c r="C12475" s="12"/>
    </row>
    <row r="12476" spans="2:3">
      <c r="B12476" s="12"/>
      <c r="C12476" s="12"/>
    </row>
    <row r="12477" spans="2:3">
      <c r="B12477" s="12"/>
      <c r="C12477" s="12"/>
    </row>
    <row r="12478" spans="2:3">
      <c r="B12478" s="12"/>
      <c r="C12478" s="12"/>
    </row>
    <row r="12479" spans="2:3">
      <c r="B12479" s="12"/>
      <c r="C12479" s="12"/>
    </row>
    <row r="12480" spans="2:3">
      <c r="B12480" s="12"/>
      <c r="C12480" s="12"/>
    </row>
    <row r="12481" spans="2:3">
      <c r="B12481" s="12"/>
      <c r="C12481" s="12"/>
    </row>
    <row r="12482" spans="2:3">
      <c r="B12482" s="12"/>
      <c r="C12482" s="12"/>
    </row>
    <row r="12483" spans="2:3">
      <c r="B12483" s="12"/>
      <c r="C12483" s="12"/>
    </row>
    <row r="12484" spans="2:3">
      <c r="B12484" s="12"/>
      <c r="C12484" s="12"/>
    </row>
    <row r="12485" spans="2:3">
      <c r="B12485" s="12"/>
      <c r="C12485" s="12"/>
    </row>
    <row r="12486" spans="2:3">
      <c r="B12486" s="12"/>
      <c r="C12486" s="12"/>
    </row>
    <row r="12487" spans="2:3">
      <c r="B12487" s="12"/>
      <c r="C12487" s="12"/>
    </row>
    <row r="12488" spans="2:3">
      <c r="B12488" s="12"/>
      <c r="C12488" s="12"/>
    </row>
    <row r="12489" spans="2:3">
      <c r="B12489" s="12"/>
      <c r="C12489" s="12"/>
    </row>
    <row r="12490" spans="2:3">
      <c r="B12490" s="12"/>
      <c r="C12490" s="12"/>
    </row>
    <row r="12491" spans="2:3">
      <c r="B12491" s="12"/>
      <c r="C12491" s="12"/>
    </row>
    <row r="12492" spans="2:3">
      <c r="B12492" s="12"/>
      <c r="C12492" s="12"/>
    </row>
    <row r="12493" spans="2:3">
      <c r="B12493" s="12"/>
      <c r="C12493" s="12"/>
    </row>
    <row r="12494" spans="2:3">
      <c r="B12494" s="12"/>
      <c r="C12494" s="12"/>
    </row>
    <row r="12495" spans="2:3">
      <c r="B12495" s="12"/>
      <c r="C12495" s="12"/>
    </row>
    <row r="12496" spans="2:3">
      <c r="B12496" s="12"/>
      <c r="C12496" s="12"/>
    </row>
    <row r="12497" spans="2:3">
      <c r="B12497" s="12"/>
      <c r="C12497" s="12"/>
    </row>
    <row r="12498" spans="2:3">
      <c r="B12498" s="12"/>
      <c r="C12498" s="12"/>
    </row>
    <row r="12499" spans="2:3">
      <c r="B12499" s="12"/>
      <c r="C12499" s="12"/>
    </row>
    <row r="12500" spans="2:3">
      <c r="B12500" s="12"/>
      <c r="C12500" s="12"/>
    </row>
    <row r="12501" spans="2:3">
      <c r="B12501" s="12"/>
      <c r="C12501" s="12"/>
    </row>
    <row r="12502" spans="2:3">
      <c r="B12502" s="12"/>
      <c r="C12502" s="12"/>
    </row>
    <row r="12503" spans="2:3">
      <c r="B12503" s="12"/>
      <c r="C12503" s="12"/>
    </row>
    <row r="12504" spans="2:3">
      <c r="B12504" s="12"/>
      <c r="C12504" s="12"/>
    </row>
    <row r="12505" spans="2:3">
      <c r="B12505" s="12"/>
      <c r="C12505" s="12"/>
    </row>
    <row r="12506" spans="2:3">
      <c r="B12506" s="12"/>
      <c r="C12506" s="12"/>
    </row>
    <row r="12507" spans="2:3">
      <c r="B12507" s="12"/>
      <c r="C12507" s="12"/>
    </row>
    <row r="12508" spans="2:3">
      <c r="B12508" s="12"/>
      <c r="C12508" s="12"/>
    </row>
    <row r="12509" spans="2:3">
      <c r="B12509" s="12"/>
      <c r="C12509" s="12"/>
    </row>
    <row r="12510" spans="2:3">
      <c r="B12510" s="12"/>
      <c r="C12510" s="12"/>
    </row>
    <row r="12511" spans="2:3">
      <c r="B12511" s="12"/>
      <c r="C12511" s="12"/>
    </row>
    <row r="12512" spans="2:3">
      <c r="B12512" s="12"/>
      <c r="C12512" s="12"/>
    </row>
    <row r="12513" spans="2:3">
      <c r="B12513" s="12"/>
      <c r="C12513" s="12"/>
    </row>
    <row r="12514" spans="2:3">
      <c r="B12514" s="12"/>
      <c r="C12514" s="12"/>
    </row>
    <row r="12515" spans="2:3">
      <c r="B12515" s="12"/>
      <c r="C12515" s="12"/>
    </row>
    <row r="12516" spans="2:3">
      <c r="B12516" s="12"/>
      <c r="C12516" s="12"/>
    </row>
    <row r="12517" spans="2:3">
      <c r="B12517" s="12"/>
      <c r="C12517" s="12"/>
    </row>
    <row r="12518" spans="2:3">
      <c r="B12518" s="12"/>
      <c r="C12518" s="12"/>
    </row>
    <row r="12519" spans="2:3">
      <c r="B12519" s="12"/>
      <c r="C12519" s="12"/>
    </row>
    <row r="12520" spans="2:3">
      <c r="B12520" s="12"/>
      <c r="C12520" s="12"/>
    </row>
    <row r="12521" spans="2:3">
      <c r="B12521" s="12"/>
      <c r="C12521" s="12"/>
    </row>
    <row r="12522" spans="2:3">
      <c r="B12522" s="12"/>
      <c r="C12522" s="12"/>
    </row>
    <row r="12523" spans="2:3">
      <c r="B12523" s="12"/>
      <c r="C12523" s="12"/>
    </row>
    <row r="12524" spans="2:3">
      <c r="B12524" s="12"/>
      <c r="C12524" s="12"/>
    </row>
    <row r="12525" spans="2:3">
      <c r="B12525" s="12"/>
      <c r="C12525" s="12"/>
    </row>
    <row r="12526" spans="2:3">
      <c r="B12526" s="12"/>
      <c r="C12526" s="12"/>
    </row>
    <row r="12527" spans="2:3">
      <c r="B12527" s="12"/>
      <c r="C12527" s="12"/>
    </row>
    <row r="12528" spans="2:3">
      <c r="B12528" s="12"/>
      <c r="C12528" s="12"/>
    </row>
    <row r="12529" spans="2:3">
      <c r="B12529" s="12"/>
      <c r="C12529" s="12"/>
    </row>
    <row r="12530" spans="2:3">
      <c r="B12530" s="12"/>
      <c r="C12530" s="12"/>
    </row>
    <row r="12531" spans="2:3">
      <c r="B12531" s="12"/>
      <c r="C12531" s="12"/>
    </row>
    <row r="12532" spans="2:3">
      <c r="B12532" s="12"/>
      <c r="C12532" s="12"/>
    </row>
    <row r="12533" spans="2:3">
      <c r="B12533" s="12"/>
      <c r="C12533" s="12"/>
    </row>
    <row r="12534" spans="2:3">
      <c r="B12534" s="12"/>
      <c r="C12534" s="12"/>
    </row>
    <row r="12535" spans="2:3">
      <c r="B12535" s="12"/>
      <c r="C12535" s="12"/>
    </row>
    <row r="12536" spans="2:3">
      <c r="B12536" s="12"/>
      <c r="C12536" s="12"/>
    </row>
    <row r="12537" spans="2:3">
      <c r="B12537" s="12"/>
      <c r="C12537" s="12"/>
    </row>
    <row r="12538" spans="2:3">
      <c r="B12538" s="12"/>
      <c r="C12538" s="12"/>
    </row>
    <row r="12539" spans="2:3">
      <c r="B12539" s="12"/>
      <c r="C12539" s="12"/>
    </row>
    <row r="12540" spans="2:3">
      <c r="B12540" s="12"/>
      <c r="C12540" s="12"/>
    </row>
    <row r="12541" spans="2:3">
      <c r="B12541" s="12"/>
      <c r="C12541" s="12"/>
    </row>
    <row r="12542" spans="2:3">
      <c r="B12542" s="12"/>
      <c r="C12542" s="12"/>
    </row>
    <row r="12543" spans="2:3">
      <c r="B12543" s="12"/>
      <c r="C12543" s="12"/>
    </row>
    <row r="12544" spans="2:3">
      <c r="B12544" s="12"/>
      <c r="C12544" s="12"/>
    </row>
    <row r="12545" spans="2:3">
      <c r="B12545" s="12"/>
      <c r="C12545" s="12"/>
    </row>
    <row r="12546" spans="2:3">
      <c r="B12546" s="12"/>
      <c r="C12546" s="12"/>
    </row>
    <row r="12547" spans="2:3">
      <c r="B12547" s="12"/>
      <c r="C12547" s="12"/>
    </row>
    <row r="12548" spans="2:3">
      <c r="B12548" s="12"/>
      <c r="C12548" s="12"/>
    </row>
    <row r="12549" spans="2:3">
      <c r="B12549" s="12"/>
      <c r="C12549" s="12"/>
    </row>
    <row r="12550" spans="2:3">
      <c r="B12550" s="12"/>
      <c r="C12550" s="12"/>
    </row>
    <row r="12551" spans="2:3">
      <c r="B12551" s="12"/>
      <c r="C12551" s="12"/>
    </row>
    <row r="12552" spans="2:3">
      <c r="B12552" s="12"/>
      <c r="C12552" s="12"/>
    </row>
    <row r="12553" spans="2:3">
      <c r="B12553" s="12"/>
      <c r="C12553" s="12"/>
    </row>
    <row r="12554" spans="2:3">
      <c r="B12554" s="12"/>
      <c r="C12554" s="12"/>
    </row>
    <row r="12555" spans="2:3">
      <c r="B12555" s="12"/>
      <c r="C12555" s="12"/>
    </row>
    <row r="12556" spans="2:3">
      <c r="B12556" s="12"/>
      <c r="C12556" s="12"/>
    </row>
    <row r="12557" spans="2:3">
      <c r="B12557" s="12"/>
      <c r="C12557" s="12"/>
    </row>
    <row r="12558" spans="2:3">
      <c r="B12558" s="12"/>
      <c r="C12558" s="12"/>
    </row>
    <row r="12559" spans="2:3">
      <c r="B12559" s="12"/>
      <c r="C12559" s="12"/>
    </row>
    <row r="12560" spans="2:3">
      <c r="B12560" s="12"/>
      <c r="C12560" s="12"/>
    </row>
    <row r="12561" spans="2:3">
      <c r="B12561" s="12"/>
      <c r="C12561" s="12"/>
    </row>
    <row r="12562" spans="2:3">
      <c r="B12562" s="12"/>
      <c r="C12562" s="12"/>
    </row>
    <row r="12563" spans="2:3">
      <c r="B12563" s="12"/>
      <c r="C12563" s="12"/>
    </row>
    <row r="12564" spans="2:3">
      <c r="B12564" s="12"/>
      <c r="C12564" s="12"/>
    </row>
    <row r="12565" spans="2:3">
      <c r="B12565" s="12"/>
      <c r="C12565" s="12"/>
    </row>
    <row r="12566" spans="2:3">
      <c r="B12566" s="12"/>
      <c r="C12566" s="12"/>
    </row>
    <row r="12567" spans="2:3">
      <c r="B12567" s="12"/>
      <c r="C12567" s="12"/>
    </row>
    <row r="12568" spans="2:3">
      <c r="B12568" s="12"/>
      <c r="C12568" s="12"/>
    </row>
    <row r="12569" spans="2:3">
      <c r="B12569" s="12"/>
      <c r="C12569" s="12"/>
    </row>
    <row r="12570" spans="2:3">
      <c r="B12570" s="12"/>
      <c r="C12570" s="12"/>
    </row>
    <row r="12571" spans="2:3">
      <c r="B12571" s="12"/>
      <c r="C12571" s="12"/>
    </row>
    <row r="12572" spans="2:3">
      <c r="B12572" s="12"/>
      <c r="C12572" s="12"/>
    </row>
    <row r="12573" spans="2:3">
      <c r="B12573" s="12"/>
      <c r="C12573" s="12"/>
    </row>
    <row r="12574" spans="2:3">
      <c r="B12574" s="12"/>
      <c r="C12574" s="12"/>
    </row>
    <row r="12575" spans="2:3">
      <c r="B12575" s="12"/>
      <c r="C12575" s="12"/>
    </row>
    <row r="12576" spans="2:3">
      <c r="B12576" s="12"/>
      <c r="C12576" s="12"/>
    </row>
    <row r="12577" spans="2:3">
      <c r="B12577" s="12"/>
      <c r="C12577" s="12"/>
    </row>
    <row r="12578" spans="2:3">
      <c r="B12578" s="12"/>
      <c r="C12578" s="12"/>
    </row>
    <row r="12579" spans="2:3">
      <c r="B12579" s="12"/>
      <c r="C12579" s="12"/>
    </row>
    <row r="12580" spans="2:3">
      <c r="B12580" s="12"/>
      <c r="C12580" s="12"/>
    </row>
    <row r="12581" spans="2:3">
      <c r="B12581" s="12"/>
      <c r="C12581" s="12"/>
    </row>
    <row r="12582" spans="2:3">
      <c r="B12582" s="12"/>
      <c r="C12582" s="12"/>
    </row>
    <row r="12583" spans="2:3">
      <c r="B12583" s="12"/>
      <c r="C12583" s="12"/>
    </row>
    <row r="12584" spans="2:3">
      <c r="B12584" s="12"/>
      <c r="C12584" s="12"/>
    </row>
    <row r="12585" spans="2:3">
      <c r="B12585" s="12"/>
      <c r="C12585" s="12"/>
    </row>
    <row r="12586" spans="2:3">
      <c r="B12586" s="12"/>
      <c r="C12586" s="12"/>
    </row>
    <row r="12587" spans="2:3">
      <c r="B12587" s="12"/>
      <c r="C12587" s="12"/>
    </row>
    <row r="12588" spans="2:3">
      <c r="B12588" s="12"/>
      <c r="C12588" s="12"/>
    </row>
    <row r="12589" spans="2:3">
      <c r="B12589" s="12"/>
      <c r="C12589" s="12"/>
    </row>
    <row r="12590" spans="2:3">
      <c r="B12590" s="12"/>
      <c r="C12590" s="12"/>
    </row>
    <row r="12591" spans="2:3">
      <c r="B12591" s="12"/>
      <c r="C12591" s="12"/>
    </row>
    <row r="12592" spans="2:3">
      <c r="B12592" s="12"/>
      <c r="C12592" s="12"/>
    </row>
    <row r="12593" spans="2:3">
      <c r="B12593" s="12"/>
      <c r="C12593" s="12"/>
    </row>
    <row r="12594" spans="2:3">
      <c r="B12594" s="12"/>
      <c r="C12594" s="12"/>
    </row>
    <row r="12595" spans="2:3">
      <c r="B12595" s="12"/>
      <c r="C12595" s="12"/>
    </row>
    <row r="12596" spans="2:3">
      <c r="B12596" s="12"/>
      <c r="C12596" s="12"/>
    </row>
    <row r="12597" spans="2:3">
      <c r="B12597" s="12"/>
      <c r="C12597" s="12"/>
    </row>
    <row r="12598" spans="2:3">
      <c r="B12598" s="12"/>
      <c r="C12598" s="12"/>
    </row>
    <row r="12599" spans="2:3">
      <c r="B12599" s="12"/>
      <c r="C12599" s="12"/>
    </row>
    <row r="12600" spans="2:3">
      <c r="B12600" s="12"/>
      <c r="C12600" s="12"/>
    </row>
    <row r="12601" spans="2:3">
      <c r="B12601" s="12"/>
      <c r="C12601" s="12"/>
    </row>
    <row r="12602" spans="2:3">
      <c r="B12602" s="12"/>
      <c r="C12602" s="12"/>
    </row>
    <row r="12603" spans="2:3">
      <c r="B12603" s="12"/>
      <c r="C12603" s="12"/>
    </row>
    <row r="12604" spans="2:3">
      <c r="B12604" s="12"/>
      <c r="C12604" s="12"/>
    </row>
    <row r="12605" spans="2:3">
      <c r="B12605" s="12"/>
      <c r="C12605" s="12"/>
    </row>
    <row r="12606" spans="2:3">
      <c r="B12606" s="12"/>
      <c r="C12606" s="12"/>
    </row>
    <row r="12607" spans="2:3">
      <c r="B12607" s="12"/>
      <c r="C12607" s="12"/>
    </row>
    <row r="12608" spans="2:3">
      <c r="B12608" s="12"/>
      <c r="C12608" s="12"/>
    </row>
    <row r="12609" spans="2:3">
      <c r="B12609" s="12"/>
      <c r="C12609" s="12"/>
    </row>
    <row r="12610" spans="2:3">
      <c r="B12610" s="12"/>
      <c r="C12610" s="12"/>
    </row>
    <row r="12611" spans="2:3">
      <c r="B12611" s="12"/>
      <c r="C12611" s="12"/>
    </row>
    <row r="12612" spans="2:3">
      <c r="B12612" s="12"/>
      <c r="C12612" s="12"/>
    </row>
    <row r="12613" spans="2:3">
      <c r="B12613" s="12"/>
      <c r="C12613" s="12"/>
    </row>
    <row r="12614" spans="2:3">
      <c r="B12614" s="12"/>
      <c r="C12614" s="12"/>
    </row>
    <row r="12615" spans="2:3">
      <c r="B12615" s="12"/>
      <c r="C12615" s="12"/>
    </row>
    <row r="12616" spans="2:3">
      <c r="B12616" s="12"/>
      <c r="C12616" s="12"/>
    </row>
    <row r="12617" spans="2:3">
      <c r="B12617" s="12"/>
      <c r="C12617" s="12"/>
    </row>
    <row r="12618" spans="2:3">
      <c r="B12618" s="12"/>
      <c r="C12618" s="12"/>
    </row>
    <row r="12619" spans="2:3">
      <c r="B12619" s="12"/>
      <c r="C12619" s="12"/>
    </row>
    <row r="12620" spans="2:3">
      <c r="B12620" s="12"/>
      <c r="C12620" s="12"/>
    </row>
    <row r="12621" spans="2:3">
      <c r="B12621" s="12"/>
      <c r="C12621" s="12"/>
    </row>
    <row r="12622" spans="2:3">
      <c r="B12622" s="12"/>
      <c r="C12622" s="12"/>
    </row>
    <row r="12623" spans="2:3">
      <c r="B12623" s="12"/>
      <c r="C12623" s="12"/>
    </row>
    <row r="12624" spans="2:3">
      <c r="B12624" s="12"/>
      <c r="C12624" s="12"/>
    </row>
    <row r="12625" spans="2:3">
      <c r="B12625" s="12"/>
      <c r="C12625" s="12"/>
    </row>
    <row r="12626" spans="2:3">
      <c r="B12626" s="12"/>
      <c r="C12626" s="12"/>
    </row>
    <row r="12627" spans="2:3">
      <c r="B12627" s="12"/>
      <c r="C12627" s="12"/>
    </row>
    <row r="12628" spans="2:3">
      <c r="B12628" s="12"/>
      <c r="C12628" s="12"/>
    </row>
    <row r="12629" spans="2:3">
      <c r="B12629" s="12"/>
      <c r="C12629" s="12"/>
    </row>
    <row r="12630" spans="2:3">
      <c r="B12630" s="12"/>
      <c r="C12630" s="12"/>
    </row>
    <row r="12631" spans="2:3">
      <c r="B12631" s="12"/>
      <c r="C12631" s="12"/>
    </row>
    <row r="12632" spans="2:3">
      <c r="B12632" s="12"/>
      <c r="C12632" s="12"/>
    </row>
    <row r="12633" spans="2:3">
      <c r="B12633" s="12"/>
      <c r="C12633" s="12"/>
    </row>
    <row r="12634" spans="2:3">
      <c r="B12634" s="12"/>
      <c r="C12634" s="12"/>
    </row>
    <row r="12635" spans="2:3">
      <c r="B12635" s="12"/>
      <c r="C12635" s="12"/>
    </row>
    <row r="12636" spans="2:3">
      <c r="B12636" s="12"/>
      <c r="C12636" s="12"/>
    </row>
    <row r="12637" spans="2:3">
      <c r="B12637" s="12"/>
      <c r="C12637" s="12"/>
    </row>
    <row r="12638" spans="2:3">
      <c r="B12638" s="12"/>
      <c r="C12638" s="12"/>
    </row>
    <row r="12639" spans="2:3">
      <c r="B12639" s="12"/>
      <c r="C12639" s="12"/>
    </row>
    <row r="12640" spans="2:3">
      <c r="B12640" s="12"/>
      <c r="C12640" s="12"/>
    </row>
    <row r="12641" spans="2:3">
      <c r="B12641" s="12"/>
      <c r="C12641" s="12"/>
    </row>
    <row r="12642" spans="2:3">
      <c r="B12642" s="12"/>
      <c r="C12642" s="12"/>
    </row>
    <row r="12643" spans="2:3">
      <c r="B12643" s="12"/>
      <c r="C12643" s="12"/>
    </row>
    <row r="12644" spans="2:3">
      <c r="B12644" s="12"/>
      <c r="C12644" s="12"/>
    </row>
    <row r="12645" spans="2:3">
      <c r="B12645" s="12"/>
      <c r="C12645" s="12"/>
    </row>
    <row r="12646" spans="2:3">
      <c r="B12646" s="12"/>
      <c r="C12646" s="12"/>
    </row>
    <row r="12647" spans="2:3">
      <c r="B12647" s="12"/>
      <c r="C12647" s="12"/>
    </row>
    <row r="12648" spans="2:3">
      <c r="B12648" s="12"/>
      <c r="C12648" s="12"/>
    </row>
    <row r="12649" spans="2:3">
      <c r="B12649" s="12"/>
      <c r="C12649" s="12"/>
    </row>
    <row r="12650" spans="2:3">
      <c r="B12650" s="12"/>
      <c r="C12650" s="12"/>
    </row>
    <row r="12651" spans="2:3">
      <c r="B12651" s="12"/>
      <c r="C12651" s="12"/>
    </row>
    <row r="12652" spans="2:3">
      <c r="B12652" s="12"/>
      <c r="C12652" s="12"/>
    </row>
    <row r="12653" spans="2:3">
      <c r="B12653" s="12"/>
      <c r="C12653" s="12"/>
    </row>
    <row r="12654" spans="2:3">
      <c r="B12654" s="12"/>
      <c r="C12654" s="12"/>
    </row>
    <row r="12655" spans="2:3">
      <c r="B12655" s="12"/>
      <c r="C12655" s="12"/>
    </row>
    <row r="12656" spans="2:3">
      <c r="B12656" s="12"/>
      <c r="C12656" s="12"/>
    </row>
    <row r="12657" spans="2:3">
      <c r="B12657" s="12"/>
      <c r="C12657" s="12"/>
    </row>
    <row r="12658" spans="2:3">
      <c r="B12658" s="12"/>
      <c r="C12658" s="12"/>
    </row>
    <row r="12659" spans="2:3">
      <c r="B12659" s="12"/>
      <c r="C12659" s="12"/>
    </row>
    <row r="12660" spans="2:3">
      <c r="B12660" s="12"/>
      <c r="C12660" s="12"/>
    </row>
    <row r="12661" spans="2:3">
      <c r="B12661" s="12"/>
      <c r="C12661" s="12"/>
    </row>
    <row r="12662" spans="2:3">
      <c r="B12662" s="12"/>
      <c r="C12662" s="12"/>
    </row>
    <row r="12663" spans="2:3">
      <c r="B12663" s="12"/>
      <c r="C12663" s="12"/>
    </row>
    <row r="12664" spans="2:3">
      <c r="B12664" s="12"/>
      <c r="C12664" s="12"/>
    </row>
    <row r="12665" spans="2:3">
      <c r="B12665" s="12"/>
      <c r="C12665" s="12"/>
    </row>
    <row r="12666" spans="2:3">
      <c r="B12666" s="12"/>
      <c r="C12666" s="12"/>
    </row>
    <row r="12667" spans="2:3">
      <c r="B12667" s="12"/>
      <c r="C12667" s="12"/>
    </row>
    <row r="12668" spans="2:3">
      <c r="B12668" s="12"/>
      <c r="C12668" s="12"/>
    </row>
    <row r="12669" spans="2:3">
      <c r="B12669" s="12"/>
      <c r="C12669" s="12"/>
    </row>
    <row r="12670" spans="2:3">
      <c r="B12670" s="12"/>
      <c r="C12670" s="12"/>
    </row>
    <row r="12671" spans="2:3">
      <c r="B12671" s="12"/>
      <c r="C12671" s="12"/>
    </row>
    <row r="12672" spans="2:3">
      <c r="B12672" s="12"/>
      <c r="C12672" s="12"/>
    </row>
    <row r="12673" spans="2:3">
      <c r="B12673" s="12"/>
      <c r="C12673" s="12"/>
    </row>
    <row r="12674" spans="2:3">
      <c r="B12674" s="12"/>
      <c r="C12674" s="12"/>
    </row>
    <row r="12675" spans="2:3">
      <c r="B12675" s="12"/>
      <c r="C12675" s="12"/>
    </row>
    <row r="12676" spans="2:3">
      <c r="B12676" s="12"/>
      <c r="C12676" s="12"/>
    </row>
    <row r="12677" spans="2:3">
      <c r="B12677" s="12"/>
      <c r="C12677" s="12"/>
    </row>
    <row r="12678" spans="2:3">
      <c r="B12678" s="12"/>
      <c r="C12678" s="12"/>
    </row>
    <row r="12679" spans="2:3">
      <c r="B12679" s="12"/>
      <c r="C12679" s="12"/>
    </row>
    <row r="12680" spans="2:3">
      <c r="B12680" s="12"/>
      <c r="C12680" s="12"/>
    </row>
    <row r="12681" spans="2:3">
      <c r="B12681" s="12"/>
      <c r="C12681" s="12"/>
    </row>
    <row r="12682" spans="2:3">
      <c r="B12682" s="12"/>
      <c r="C12682" s="12"/>
    </row>
    <row r="12683" spans="2:3">
      <c r="B12683" s="12"/>
      <c r="C12683" s="12"/>
    </row>
    <row r="12684" spans="2:3">
      <c r="B12684" s="12"/>
      <c r="C12684" s="12"/>
    </row>
    <row r="12685" spans="2:3">
      <c r="B12685" s="12"/>
      <c r="C12685" s="12"/>
    </row>
    <row r="12686" spans="2:3">
      <c r="B12686" s="12"/>
      <c r="C12686" s="12"/>
    </row>
    <row r="12687" spans="2:3">
      <c r="B12687" s="12"/>
      <c r="C12687" s="12"/>
    </row>
    <row r="12688" spans="2:3">
      <c r="B12688" s="12"/>
      <c r="C12688" s="12"/>
    </row>
    <row r="12689" spans="2:3">
      <c r="B12689" s="12"/>
      <c r="C12689" s="12"/>
    </row>
    <row r="12690" spans="2:3">
      <c r="B12690" s="12"/>
      <c r="C12690" s="12"/>
    </row>
    <row r="12691" spans="2:3">
      <c r="B12691" s="12"/>
      <c r="C12691" s="12"/>
    </row>
    <row r="12692" spans="2:3">
      <c r="B12692" s="12"/>
      <c r="C12692" s="12"/>
    </row>
    <row r="12693" spans="2:3">
      <c r="B12693" s="12"/>
      <c r="C12693" s="12"/>
    </row>
    <row r="12694" spans="2:3">
      <c r="B12694" s="12"/>
      <c r="C12694" s="12"/>
    </row>
    <row r="12695" spans="2:3">
      <c r="B12695" s="12"/>
      <c r="C12695" s="12"/>
    </row>
    <row r="12696" spans="2:3">
      <c r="B12696" s="12"/>
      <c r="C12696" s="12"/>
    </row>
    <row r="12697" spans="2:3">
      <c r="B12697" s="12"/>
      <c r="C12697" s="12"/>
    </row>
    <row r="12698" spans="2:3">
      <c r="B12698" s="12"/>
      <c r="C12698" s="12"/>
    </row>
    <row r="12699" spans="2:3">
      <c r="B12699" s="12"/>
      <c r="C12699" s="12"/>
    </row>
    <row r="12700" spans="2:3">
      <c r="B12700" s="12"/>
      <c r="C12700" s="12"/>
    </row>
    <row r="12701" spans="2:3">
      <c r="B12701" s="12"/>
      <c r="C12701" s="12"/>
    </row>
    <row r="12702" spans="2:3">
      <c r="B12702" s="12"/>
      <c r="C12702" s="12"/>
    </row>
    <row r="12703" spans="2:3">
      <c r="B12703" s="12"/>
      <c r="C12703" s="12"/>
    </row>
    <row r="12704" spans="2:3">
      <c r="B12704" s="12"/>
      <c r="C12704" s="12"/>
    </row>
    <row r="12705" spans="2:3">
      <c r="B12705" s="12"/>
      <c r="C12705" s="12"/>
    </row>
    <row r="12706" spans="2:3">
      <c r="B12706" s="12"/>
      <c r="C12706" s="12"/>
    </row>
    <row r="12707" spans="2:3">
      <c r="B12707" s="12"/>
      <c r="C12707" s="12"/>
    </row>
    <row r="12708" spans="2:3">
      <c r="B12708" s="12"/>
      <c r="C12708" s="12"/>
    </row>
    <row r="12709" spans="2:3">
      <c r="B12709" s="12"/>
      <c r="C12709" s="12"/>
    </row>
    <row r="12710" spans="2:3">
      <c r="B12710" s="12"/>
      <c r="C12710" s="12"/>
    </row>
    <row r="12711" spans="2:3">
      <c r="B12711" s="12"/>
      <c r="C12711" s="12"/>
    </row>
    <row r="12712" spans="2:3">
      <c r="B12712" s="12"/>
      <c r="C12712" s="12"/>
    </row>
    <row r="12713" spans="2:3">
      <c r="B12713" s="12"/>
      <c r="C12713" s="12"/>
    </row>
    <row r="12714" spans="2:3">
      <c r="B12714" s="12"/>
      <c r="C12714" s="12"/>
    </row>
    <row r="12715" spans="2:3">
      <c r="B12715" s="12"/>
      <c r="C12715" s="12"/>
    </row>
    <row r="12716" spans="2:3">
      <c r="B12716" s="12"/>
      <c r="C12716" s="12"/>
    </row>
    <row r="12717" spans="2:3">
      <c r="B12717" s="12"/>
      <c r="C12717" s="12"/>
    </row>
    <row r="12718" spans="2:3">
      <c r="B12718" s="12"/>
      <c r="C12718" s="12"/>
    </row>
    <row r="12719" spans="2:3">
      <c r="B12719" s="12"/>
      <c r="C12719" s="12"/>
    </row>
    <row r="12720" spans="2:3">
      <c r="B12720" s="12"/>
      <c r="C12720" s="12"/>
    </row>
    <row r="12721" spans="2:3">
      <c r="B12721" s="12"/>
      <c r="C12721" s="12"/>
    </row>
    <row r="12722" spans="2:3">
      <c r="B12722" s="12"/>
      <c r="C12722" s="12"/>
    </row>
    <row r="12723" spans="2:3">
      <c r="B12723" s="12"/>
      <c r="C12723" s="12"/>
    </row>
    <row r="12724" spans="2:3">
      <c r="B12724" s="12"/>
      <c r="C12724" s="12"/>
    </row>
    <row r="12725" spans="2:3">
      <c r="B12725" s="12"/>
      <c r="C12725" s="12"/>
    </row>
    <row r="12726" spans="2:3">
      <c r="B12726" s="12"/>
      <c r="C12726" s="12"/>
    </row>
    <row r="12727" spans="2:3">
      <c r="B12727" s="12"/>
      <c r="C12727" s="12"/>
    </row>
    <row r="12728" spans="2:3">
      <c r="B12728" s="12"/>
      <c r="C12728" s="12"/>
    </row>
    <row r="12729" spans="2:3">
      <c r="B12729" s="12"/>
      <c r="C12729" s="12"/>
    </row>
    <row r="12730" spans="2:3">
      <c r="B12730" s="12"/>
      <c r="C12730" s="12"/>
    </row>
    <row r="12731" spans="2:3">
      <c r="B12731" s="12"/>
      <c r="C12731" s="12"/>
    </row>
    <row r="12732" spans="2:3">
      <c r="B12732" s="12"/>
      <c r="C12732" s="12"/>
    </row>
    <row r="12733" spans="2:3">
      <c r="B12733" s="12"/>
      <c r="C12733" s="12"/>
    </row>
    <row r="12734" spans="2:3">
      <c r="B12734" s="12"/>
      <c r="C12734" s="12"/>
    </row>
    <row r="12735" spans="2:3">
      <c r="B12735" s="12"/>
      <c r="C12735" s="12"/>
    </row>
    <row r="12736" spans="2:3">
      <c r="B12736" s="12"/>
      <c r="C12736" s="12"/>
    </row>
    <row r="12737" spans="2:3">
      <c r="B12737" s="12"/>
      <c r="C12737" s="12"/>
    </row>
    <row r="12738" spans="2:3">
      <c r="B12738" s="12"/>
      <c r="C12738" s="12"/>
    </row>
    <row r="12739" spans="2:3">
      <c r="B12739" s="12"/>
      <c r="C12739" s="12"/>
    </row>
    <row r="12740" spans="2:3">
      <c r="B12740" s="12"/>
      <c r="C12740" s="12"/>
    </row>
    <row r="12741" spans="2:3">
      <c r="B12741" s="12"/>
      <c r="C12741" s="12"/>
    </row>
    <row r="12742" spans="2:3">
      <c r="B12742" s="12"/>
      <c r="C12742" s="12"/>
    </row>
    <row r="12743" spans="2:3">
      <c r="B12743" s="12"/>
      <c r="C12743" s="12"/>
    </row>
    <row r="12744" spans="2:3">
      <c r="B12744" s="12"/>
      <c r="C12744" s="12"/>
    </row>
    <row r="12745" spans="2:3">
      <c r="B12745" s="12"/>
      <c r="C12745" s="12"/>
    </row>
    <row r="12746" spans="2:3">
      <c r="B12746" s="12"/>
      <c r="C12746" s="12"/>
    </row>
    <row r="12747" spans="2:3">
      <c r="B12747" s="12"/>
      <c r="C12747" s="12"/>
    </row>
    <row r="12748" spans="2:3">
      <c r="B12748" s="12"/>
      <c r="C12748" s="12"/>
    </row>
    <row r="12749" spans="2:3">
      <c r="B12749" s="12"/>
      <c r="C12749" s="12"/>
    </row>
    <row r="12750" spans="2:3">
      <c r="B12750" s="12"/>
      <c r="C12750" s="12"/>
    </row>
    <row r="12751" spans="2:3">
      <c r="B12751" s="12"/>
      <c r="C12751" s="12"/>
    </row>
    <row r="12752" spans="2:3">
      <c r="B12752" s="12"/>
      <c r="C12752" s="12"/>
    </row>
    <row r="12753" spans="2:3">
      <c r="B12753" s="12"/>
      <c r="C12753" s="12"/>
    </row>
    <row r="12754" spans="2:3">
      <c r="B12754" s="12"/>
      <c r="C12754" s="12"/>
    </row>
    <row r="12755" spans="2:3">
      <c r="B12755" s="12"/>
      <c r="C12755" s="12"/>
    </row>
    <row r="12756" spans="2:3">
      <c r="B12756" s="12"/>
      <c r="C12756" s="12"/>
    </row>
    <row r="12757" spans="2:3">
      <c r="B12757" s="12"/>
      <c r="C12757" s="12"/>
    </row>
    <row r="12758" spans="2:3">
      <c r="B12758" s="12"/>
      <c r="C12758" s="12"/>
    </row>
    <row r="12759" spans="2:3">
      <c r="B12759" s="12"/>
      <c r="C12759" s="12"/>
    </row>
    <row r="12760" spans="2:3">
      <c r="B12760" s="12"/>
      <c r="C12760" s="12"/>
    </row>
    <row r="12761" spans="2:3">
      <c r="B12761" s="12"/>
      <c r="C12761" s="12"/>
    </row>
    <row r="12762" spans="2:3">
      <c r="B12762" s="12"/>
      <c r="C12762" s="12"/>
    </row>
    <row r="12763" spans="2:3">
      <c r="B12763" s="12"/>
      <c r="C12763" s="12"/>
    </row>
    <row r="12764" spans="2:3">
      <c r="B12764" s="12"/>
      <c r="C12764" s="12"/>
    </row>
    <row r="12765" spans="2:3">
      <c r="B12765" s="12"/>
      <c r="C12765" s="12"/>
    </row>
    <row r="12766" spans="2:3">
      <c r="B12766" s="12"/>
      <c r="C12766" s="12"/>
    </row>
    <row r="12767" spans="2:3">
      <c r="B12767" s="12"/>
      <c r="C12767" s="12"/>
    </row>
    <row r="12768" spans="2:3">
      <c r="B12768" s="12"/>
      <c r="C12768" s="12"/>
    </row>
    <row r="12769" spans="2:3">
      <c r="B12769" s="12"/>
      <c r="C12769" s="12"/>
    </row>
    <row r="12770" spans="2:3">
      <c r="B12770" s="12"/>
      <c r="C12770" s="12"/>
    </row>
    <row r="12771" spans="2:3">
      <c r="B12771" s="12"/>
      <c r="C12771" s="12"/>
    </row>
    <row r="12772" spans="2:3">
      <c r="B12772" s="12"/>
      <c r="C12772" s="12"/>
    </row>
    <row r="12773" spans="2:3">
      <c r="B12773" s="12"/>
      <c r="C12773" s="12"/>
    </row>
    <row r="12774" spans="2:3">
      <c r="B12774" s="12"/>
      <c r="C12774" s="12"/>
    </row>
    <row r="12775" spans="2:3">
      <c r="B12775" s="12"/>
      <c r="C12775" s="12"/>
    </row>
    <row r="12776" spans="2:3">
      <c r="B12776" s="12"/>
      <c r="C12776" s="12"/>
    </row>
    <row r="12777" spans="2:3">
      <c r="B12777" s="12"/>
      <c r="C12777" s="12"/>
    </row>
    <row r="12778" spans="2:3">
      <c r="B12778" s="12"/>
      <c r="C12778" s="12"/>
    </row>
    <row r="12779" spans="2:3">
      <c r="B12779" s="12"/>
      <c r="C12779" s="12"/>
    </row>
    <row r="12780" spans="2:3">
      <c r="B12780" s="12"/>
      <c r="C12780" s="12"/>
    </row>
    <row r="12781" spans="2:3">
      <c r="B12781" s="12"/>
      <c r="C12781" s="12"/>
    </row>
    <row r="12782" spans="2:3">
      <c r="B12782" s="12"/>
      <c r="C12782" s="12"/>
    </row>
    <row r="12783" spans="2:3">
      <c r="B12783" s="12"/>
      <c r="C12783" s="12"/>
    </row>
    <row r="12784" spans="2:3">
      <c r="B12784" s="12"/>
      <c r="C12784" s="12"/>
    </row>
    <row r="12785" spans="2:3">
      <c r="B12785" s="12"/>
      <c r="C12785" s="12"/>
    </row>
    <row r="12786" spans="2:3">
      <c r="B12786" s="12"/>
      <c r="C12786" s="12"/>
    </row>
    <row r="12787" spans="2:3">
      <c r="B12787" s="12"/>
      <c r="C12787" s="12"/>
    </row>
    <row r="12788" spans="2:3">
      <c r="B12788" s="12"/>
      <c r="C12788" s="12"/>
    </row>
    <row r="12789" spans="2:3">
      <c r="B12789" s="12"/>
      <c r="C12789" s="12"/>
    </row>
    <row r="12790" spans="2:3">
      <c r="B12790" s="12"/>
      <c r="C12790" s="12"/>
    </row>
    <row r="12791" spans="2:3">
      <c r="B12791" s="12"/>
      <c r="C12791" s="12"/>
    </row>
    <row r="12792" spans="2:3">
      <c r="B12792" s="12"/>
      <c r="C12792" s="12"/>
    </row>
    <row r="12793" spans="2:3">
      <c r="B12793" s="12"/>
      <c r="C12793" s="12"/>
    </row>
    <row r="12794" spans="2:3">
      <c r="B12794" s="12"/>
      <c r="C12794" s="12"/>
    </row>
    <row r="12795" spans="2:3">
      <c r="B12795" s="12"/>
      <c r="C12795" s="12"/>
    </row>
    <row r="12796" spans="2:3">
      <c r="B12796" s="12"/>
      <c r="C12796" s="12"/>
    </row>
    <row r="12797" spans="2:3">
      <c r="B12797" s="12"/>
      <c r="C12797" s="12"/>
    </row>
    <row r="12798" spans="2:3">
      <c r="B12798" s="12"/>
      <c r="C12798" s="12"/>
    </row>
    <row r="12799" spans="2:3">
      <c r="B12799" s="12"/>
      <c r="C12799" s="12"/>
    </row>
    <row r="12800" spans="2:3">
      <c r="B12800" s="12"/>
      <c r="C12800" s="12"/>
    </row>
    <row r="12801" spans="2:3">
      <c r="B12801" s="12"/>
      <c r="C12801" s="12"/>
    </row>
    <row r="12802" spans="2:3">
      <c r="B12802" s="12"/>
      <c r="C12802" s="12"/>
    </row>
    <row r="12803" spans="2:3">
      <c r="B12803" s="12"/>
      <c r="C12803" s="12"/>
    </row>
    <row r="12804" spans="2:3">
      <c r="B12804" s="12"/>
      <c r="C12804" s="12"/>
    </row>
    <row r="12805" spans="2:3">
      <c r="B12805" s="12"/>
      <c r="C12805" s="12"/>
    </row>
    <row r="12806" spans="2:3">
      <c r="B12806" s="12"/>
      <c r="C12806" s="12"/>
    </row>
    <row r="12807" spans="2:3">
      <c r="B12807" s="12"/>
      <c r="C12807" s="12"/>
    </row>
    <row r="12808" spans="2:3">
      <c r="B12808" s="12"/>
      <c r="C12808" s="12"/>
    </row>
    <row r="12809" spans="2:3">
      <c r="B12809" s="12"/>
      <c r="C12809" s="12"/>
    </row>
    <row r="12810" spans="2:3">
      <c r="B12810" s="12"/>
      <c r="C12810" s="12"/>
    </row>
    <row r="12811" spans="2:3">
      <c r="B12811" s="12"/>
      <c r="C12811" s="12"/>
    </row>
    <row r="12812" spans="2:3">
      <c r="B12812" s="12"/>
      <c r="C12812" s="12"/>
    </row>
    <row r="12813" spans="2:3">
      <c r="B12813" s="12"/>
      <c r="C12813" s="12"/>
    </row>
    <row r="12814" spans="2:3">
      <c r="B12814" s="12"/>
      <c r="C12814" s="12"/>
    </row>
    <row r="12815" spans="2:3">
      <c r="B12815" s="12"/>
      <c r="C12815" s="12"/>
    </row>
    <row r="12816" spans="2:3">
      <c r="B12816" s="12"/>
      <c r="C12816" s="12"/>
    </row>
    <row r="12817" spans="2:3">
      <c r="B12817" s="12"/>
      <c r="C12817" s="12"/>
    </row>
    <row r="12818" spans="2:3">
      <c r="B12818" s="12"/>
      <c r="C12818" s="12"/>
    </row>
    <row r="12819" spans="2:3">
      <c r="B12819" s="12"/>
      <c r="C12819" s="12"/>
    </row>
    <row r="12820" spans="2:3">
      <c r="B12820" s="12"/>
      <c r="C12820" s="12"/>
    </row>
    <row r="12821" spans="2:3">
      <c r="B12821" s="12"/>
      <c r="C12821" s="12"/>
    </row>
    <row r="12822" spans="2:3">
      <c r="B12822" s="12"/>
      <c r="C12822" s="12"/>
    </row>
    <row r="12823" spans="2:3">
      <c r="B12823" s="12"/>
      <c r="C12823" s="12"/>
    </row>
    <row r="12824" spans="2:3">
      <c r="B12824" s="12"/>
      <c r="C12824" s="12"/>
    </row>
    <row r="12825" spans="2:3">
      <c r="B12825" s="12"/>
      <c r="C12825" s="12"/>
    </row>
    <row r="12826" spans="2:3">
      <c r="B12826" s="12"/>
      <c r="C12826" s="12"/>
    </row>
    <row r="12827" spans="2:3">
      <c r="B12827" s="12"/>
      <c r="C12827" s="12"/>
    </row>
    <row r="12828" spans="2:3">
      <c r="B12828" s="12"/>
      <c r="C12828" s="12"/>
    </row>
    <row r="12829" spans="2:3">
      <c r="B12829" s="12"/>
      <c r="C12829" s="12"/>
    </row>
    <row r="12830" spans="2:3">
      <c r="B12830" s="12"/>
      <c r="C12830" s="12"/>
    </row>
    <row r="12831" spans="2:3">
      <c r="B12831" s="12"/>
      <c r="C12831" s="12"/>
    </row>
    <row r="12832" spans="2:3">
      <c r="B12832" s="12"/>
      <c r="C12832" s="12"/>
    </row>
    <row r="12833" spans="2:3">
      <c r="B12833" s="12"/>
      <c r="C12833" s="12"/>
    </row>
    <row r="12834" spans="2:3">
      <c r="B12834" s="12"/>
      <c r="C12834" s="12"/>
    </row>
    <row r="12835" spans="2:3">
      <c r="B12835" s="12"/>
      <c r="C12835" s="12"/>
    </row>
    <row r="12836" spans="2:3">
      <c r="B12836" s="12"/>
      <c r="C12836" s="12"/>
    </row>
    <row r="12837" spans="2:3">
      <c r="B12837" s="12"/>
      <c r="C12837" s="12"/>
    </row>
    <row r="12838" spans="2:3">
      <c r="B12838" s="12"/>
      <c r="C12838" s="12"/>
    </row>
    <row r="12839" spans="2:3">
      <c r="B12839" s="12"/>
      <c r="C12839" s="12"/>
    </row>
    <row r="12840" spans="2:3">
      <c r="B12840" s="12"/>
      <c r="C12840" s="12"/>
    </row>
    <row r="12841" spans="2:3">
      <c r="B12841" s="12"/>
      <c r="C12841" s="12"/>
    </row>
    <row r="12842" spans="2:3">
      <c r="B12842" s="12"/>
      <c r="C12842" s="12"/>
    </row>
    <row r="12843" spans="2:3">
      <c r="B12843" s="12"/>
      <c r="C12843" s="12"/>
    </row>
    <row r="12844" spans="2:3">
      <c r="B12844" s="12"/>
      <c r="C12844" s="12"/>
    </row>
    <row r="12845" spans="2:3">
      <c r="B12845" s="12"/>
      <c r="C12845" s="12"/>
    </row>
    <row r="12846" spans="2:3">
      <c r="B12846" s="12"/>
      <c r="C12846" s="12"/>
    </row>
    <row r="12847" spans="2:3">
      <c r="B12847" s="12"/>
      <c r="C12847" s="12"/>
    </row>
    <row r="12848" spans="2:3">
      <c r="B12848" s="12"/>
      <c r="C12848" s="12"/>
    </row>
    <row r="12849" spans="2:3">
      <c r="B12849" s="12"/>
      <c r="C12849" s="12"/>
    </row>
    <row r="12850" spans="2:3">
      <c r="B12850" s="12"/>
      <c r="C12850" s="12"/>
    </row>
    <row r="12851" spans="2:3">
      <c r="B12851" s="12"/>
      <c r="C12851" s="12"/>
    </row>
    <row r="12852" spans="2:3">
      <c r="B12852" s="12"/>
      <c r="C12852" s="12"/>
    </row>
    <row r="12853" spans="2:3">
      <c r="B12853" s="12"/>
      <c r="C12853" s="12"/>
    </row>
    <row r="12854" spans="2:3">
      <c r="B12854" s="12"/>
      <c r="C12854" s="12"/>
    </row>
    <row r="12855" spans="2:3">
      <c r="B12855" s="12"/>
      <c r="C12855" s="12"/>
    </row>
    <row r="12856" spans="2:3">
      <c r="B12856" s="12"/>
      <c r="C12856" s="12"/>
    </row>
    <row r="12857" spans="2:3">
      <c r="B12857" s="12"/>
      <c r="C12857" s="12"/>
    </row>
    <row r="12858" spans="2:3">
      <c r="B12858" s="12"/>
      <c r="C12858" s="12"/>
    </row>
    <row r="12859" spans="2:3">
      <c r="B12859" s="12"/>
      <c r="C12859" s="12"/>
    </row>
    <row r="12860" spans="2:3">
      <c r="B12860" s="12"/>
      <c r="C12860" s="12"/>
    </row>
    <row r="12861" spans="2:3">
      <c r="B12861" s="12"/>
      <c r="C12861" s="12"/>
    </row>
    <row r="12862" spans="2:3">
      <c r="B12862" s="12"/>
      <c r="C12862" s="12"/>
    </row>
    <row r="12863" spans="2:3">
      <c r="B12863" s="12"/>
      <c r="C12863" s="12"/>
    </row>
    <row r="12864" spans="2:3">
      <c r="B12864" s="12"/>
      <c r="C12864" s="12"/>
    </row>
    <row r="12865" spans="2:3">
      <c r="B12865" s="12"/>
      <c r="C12865" s="12"/>
    </row>
    <row r="12866" spans="2:3">
      <c r="B12866" s="12"/>
      <c r="C12866" s="12"/>
    </row>
    <row r="12867" spans="2:3">
      <c r="B12867" s="12"/>
      <c r="C12867" s="12"/>
    </row>
    <row r="12868" spans="2:3">
      <c r="B12868" s="12"/>
      <c r="C12868" s="12"/>
    </row>
    <row r="12869" spans="2:3">
      <c r="B12869" s="12"/>
      <c r="C12869" s="12"/>
    </row>
    <row r="12870" spans="2:3">
      <c r="B12870" s="12"/>
      <c r="C12870" s="12"/>
    </row>
    <row r="12871" spans="2:3">
      <c r="B12871" s="12"/>
      <c r="C12871" s="12"/>
    </row>
    <row r="12872" spans="2:3">
      <c r="B12872" s="12"/>
      <c r="C12872" s="12"/>
    </row>
    <row r="12873" spans="2:3">
      <c r="B12873" s="12"/>
      <c r="C12873" s="12"/>
    </row>
    <row r="12874" spans="2:3">
      <c r="B12874" s="12"/>
      <c r="C12874" s="12"/>
    </row>
    <row r="12875" spans="2:3">
      <c r="B12875" s="12"/>
      <c r="C12875" s="12"/>
    </row>
    <row r="12876" spans="2:3">
      <c r="B12876" s="12"/>
      <c r="C12876" s="12"/>
    </row>
    <row r="12877" spans="2:3">
      <c r="B12877" s="12"/>
      <c r="C12877" s="12"/>
    </row>
    <row r="12878" spans="2:3">
      <c r="B12878" s="12"/>
      <c r="C12878" s="12"/>
    </row>
    <row r="12879" spans="2:3">
      <c r="B12879" s="12"/>
      <c r="C12879" s="12"/>
    </row>
    <row r="12880" spans="2:3">
      <c r="B12880" s="12"/>
      <c r="C12880" s="12"/>
    </row>
    <row r="12881" spans="2:3">
      <c r="B12881" s="12"/>
      <c r="C12881" s="12"/>
    </row>
    <row r="12882" spans="2:3">
      <c r="B12882" s="12"/>
      <c r="C12882" s="12"/>
    </row>
    <row r="12883" spans="2:3">
      <c r="B12883" s="12"/>
      <c r="C12883" s="12"/>
    </row>
    <row r="12884" spans="2:3">
      <c r="B12884" s="12"/>
      <c r="C12884" s="12"/>
    </row>
    <row r="12885" spans="2:3">
      <c r="B12885" s="12"/>
      <c r="C12885" s="12"/>
    </row>
    <row r="12886" spans="2:3">
      <c r="B12886" s="12"/>
      <c r="C12886" s="12"/>
    </row>
    <row r="12887" spans="2:3">
      <c r="B12887" s="12"/>
      <c r="C12887" s="12"/>
    </row>
    <row r="12888" spans="2:3">
      <c r="B12888" s="12"/>
      <c r="C12888" s="12"/>
    </row>
    <row r="12889" spans="2:3">
      <c r="B12889" s="12"/>
      <c r="C12889" s="12"/>
    </row>
    <row r="12890" spans="2:3">
      <c r="B12890" s="12"/>
      <c r="C12890" s="12"/>
    </row>
    <row r="12891" spans="2:3">
      <c r="B12891" s="12"/>
      <c r="C12891" s="12"/>
    </row>
    <row r="12892" spans="2:3">
      <c r="B12892" s="12"/>
      <c r="C12892" s="12"/>
    </row>
    <row r="12893" spans="2:3">
      <c r="B12893" s="12"/>
      <c r="C12893" s="12"/>
    </row>
    <row r="12894" spans="2:3">
      <c r="B12894" s="12"/>
      <c r="C12894" s="12"/>
    </row>
    <row r="12895" spans="2:3">
      <c r="B12895" s="12"/>
      <c r="C12895" s="12"/>
    </row>
    <row r="12896" spans="2:3">
      <c r="B12896" s="12"/>
      <c r="C12896" s="12"/>
    </row>
    <row r="12897" spans="2:3">
      <c r="B12897" s="12"/>
      <c r="C12897" s="12"/>
    </row>
    <row r="12898" spans="2:3">
      <c r="B12898" s="12"/>
      <c r="C12898" s="12"/>
    </row>
    <row r="12899" spans="2:3">
      <c r="B12899" s="12"/>
      <c r="C12899" s="12"/>
    </row>
    <row r="12900" spans="2:3">
      <c r="B12900" s="12"/>
      <c r="C12900" s="12"/>
    </row>
    <row r="12901" spans="2:3">
      <c r="B12901" s="12"/>
      <c r="C12901" s="12"/>
    </row>
    <row r="12902" spans="2:3">
      <c r="B12902" s="12"/>
      <c r="C12902" s="12"/>
    </row>
    <row r="12903" spans="2:3">
      <c r="B12903" s="12"/>
      <c r="C12903" s="12"/>
    </row>
    <row r="12904" spans="2:3">
      <c r="B12904" s="12"/>
      <c r="C12904" s="12"/>
    </row>
    <row r="12905" spans="2:3">
      <c r="B12905" s="12"/>
      <c r="C12905" s="12"/>
    </row>
    <row r="12906" spans="2:3">
      <c r="B12906" s="12"/>
      <c r="C12906" s="12"/>
    </row>
    <row r="12907" spans="2:3">
      <c r="B12907" s="12"/>
      <c r="C12907" s="12"/>
    </row>
    <row r="12908" spans="2:3">
      <c r="B12908" s="12"/>
      <c r="C12908" s="12"/>
    </row>
    <row r="12909" spans="2:3">
      <c r="B12909" s="12"/>
      <c r="C12909" s="12"/>
    </row>
    <row r="12910" spans="2:3">
      <c r="B12910" s="12"/>
      <c r="C12910" s="12"/>
    </row>
    <row r="12911" spans="2:3">
      <c r="B12911" s="12"/>
      <c r="C12911" s="12"/>
    </row>
    <row r="12912" spans="2:3">
      <c r="B12912" s="12"/>
      <c r="C12912" s="12"/>
    </row>
    <row r="12913" spans="2:3">
      <c r="B12913" s="12"/>
      <c r="C12913" s="12"/>
    </row>
    <row r="12914" spans="2:3">
      <c r="B12914" s="12"/>
      <c r="C12914" s="12"/>
    </row>
    <row r="12915" spans="2:3">
      <c r="B12915" s="12"/>
      <c r="C12915" s="12"/>
    </row>
    <row r="12916" spans="2:3">
      <c r="B12916" s="12"/>
      <c r="C12916" s="12"/>
    </row>
    <row r="12917" spans="2:3">
      <c r="B12917" s="12"/>
      <c r="C12917" s="12"/>
    </row>
    <row r="12918" spans="2:3">
      <c r="B12918" s="12"/>
      <c r="C12918" s="12"/>
    </row>
    <row r="12919" spans="2:3">
      <c r="B12919" s="12"/>
      <c r="C12919" s="12"/>
    </row>
    <row r="12920" spans="2:3">
      <c r="B12920" s="12"/>
      <c r="C12920" s="12"/>
    </row>
    <row r="12921" spans="2:3">
      <c r="B12921" s="12"/>
      <c r="C12921" s="12"/>
    </row>
    <row r="12922" spans="2:3">
      <c r="B12922" s="12"/>
      <c r="C12922" s="12"/>
    </row>
    <row r="12923" spans="2:3">
      <c r="B12923" s="12"/>
      <c r="C12923" s="12"/>
    </row>
    <row r="12924" spans="2:3">
      <c r="B12924" s="12"/>
      <c r="C12924" s="12"/>
    </row>
    <row r="12925" spans="2:3">
      <c r="B12925" s="12"/>
      <c r="C12925" s="12"/>
    </row>
    <row r="12926" spans="2:3">
      <c r="B12926" s="12"/>
      <c r="C12926" s="12"/>
    </row>
    <row r="12927" spans="2:3">
      <c r="B12927" s="12"/>
      <c r="C12927" s="12"/>
    </row>
    <row r="12928" spans="2:3">
      <c r="B12928" s="12"/>
      <c r="C12928" s="12"/>
    </row>
    <row r="12929" spans="2:3">
      <c r="B12929" s="12"/>
      <c r="C12929" s="12"/>
    </row>
    <row r="12930" spans="2:3">
      <c r="B12930" s="12"/>
      <c r="C12930" s="12"/>
    </row>
    <row r="12931" spans="2:3">
      <c r="B12931" s="12"/>
      <c r="C12931" s="12"/>
    </row>
    <row r="12932" spans="2:3">
      <c r="B12932" s="12"/>
      <c r="C12932" s="12"/>
    </row>
    <row r="12933" spans="2:3">
      <c r="B12933" s="12"/>
      <c r="C12933" s="12"/>
    </row>
    <row r="12934" spans="2:3">
      <c r="B12934" s="12"/>
      <c r="C12934" s="12"/>
    </row>
    <row r="12935" spans="2:3">
      <c r="B12935" s="12"/>
      <c r="C12935" s="12"/>
    </row>
    <row r="12936" spans="2:3">
      <c r="B12936" s="12"/>
      <c r="C12936" s="12"/>
    </row>
    <row r="12937" spans="2:3">
      <c r="B12937" s="12"/>
      <c r="C12937" s="12"/>
    </row>
    <row r="12938" spans="2:3">
      <c r="B12938" s="12"/>
      <c r="C12938" s="12"/>
    </row>
    <row r="12939" spans="2:3">
      <c r="B12939" s="12"/>
      <c r="C12939" s="12"/>
    </row>
    <row r="12940" spans="2:3">
      <c r="B12940" s="12"/>
      <c r="C12940" s="12"/>
    </row>
    <row r="12941" spans="2:3">
      <c r="B12941" s="12"/>
      <c r="C12941" s="12"/>
    </row>
    <row r="12942" spans="2:3">
      <c r="B12942" s="12"/>
      <c r="C12942" s="12"/>
    </row>
    <row r="12943" spans="2:3">
      <c r="B12943" s="12"/>
      <c r="C12943" s="12"/>
    </row>
    <row r="12944" spans="2:3">
      <c r="B12944" s="12"/>
      <c r="C12944" s="12"/>
    </row>
    <row r="12945" spans="2:3">
      <c r="B12945" s="12"/>
      <c r="C12945" s="12"/>
    </row>
    <row r="12946" spans="2:3">
      <c r="B12946" s="12"/>
      <c r="C12946" s="12"/>
    </row>
    <row r="12947" spans="2:3">
      <c r="B12947" s="12"/>
      <c r="C12947" s="12"/>
    </row>
    <row r="12948" spans="2:3">
      <c r="B12948" s="12"/>
      <c r="C12948" s="12"/>
    </row>
    <row r="12949" spans="2:3">
      <c r="B12949" s="12"/>
      <c r="C12949" s="12"/>
    </row>
    <row r="12950" spans="2:3">
      <c r="B12950" s="12"/>
      <c r="C12950" s="12"/>
    </row>
    <row r="12951" spans="2:3">
      <c r="B12951" s="12"/>
      <c r="C12951" s="12"/>
    </row>
    <row r="12952" spans="2:3">
      <c r="B12952" s="12"/>
      <c r="C12952" s="12"/>
    </row>
    <row r="12953" spans="2:3">
      <c r="B12953" s="12"/>
      <c r="C12953" s="12"/>
    </row>
    <row r="12954" spans="2:3">
      <c r="B12954" s="12"/>
      <c r="C12954" s="12"/>
    </row>
    <row r="12955" spans="2:3">
      <c r="B12955" s="12"/>
      <c r="C12955" s="12"/>
    </row>
    <row r="12956" spans="2:3">
      <c r="B12956" s="12"/>
      <c r="C12956" s="12"/>
    </row>
    <row r="12957" spans="2:3">
      <c r="B12957" s="12"/>
      <c r="C12957" s="12"/>
    </row>
    <row r="12958" spans="2:3">
      <c r="B12958" s="12"/>
      <c r="C12958" s="12"/>
    </row>
    <row r="12959" spans="2:3">
      <c r="B12959" s="12"/>
      <c r="C12959" s="12"/>
    </row>
    <row r="12960" spans="2:3">
      <c r="B12960" s="12"/>
      <c r="C12960" s="12"/>
    </row>
    <row r="12961" spans="2:3">
      <c r="B12961" s="12"/>
      <c r="C12961" s="12"/>
    </row>
    <row r="12962" spans="2:3">
      <c r="B12962" s="12"/>
      <c r="C12962" s="12"/>
    </row>
    <row r="12963" spans="2:3">
      <c r="B12963" s="12"/>
      <c r="C12963" s="12"/>
    </row>
    <row r="12964" spans="2:3">
      <c r="B12964" s="12"/>
      <c r="C12964" s="12"/>
    </row>
    <row r="12965" spans="2:3">
      <c r="B12965" s="12"/>
      <c r="C12965" s="12"/>
    </row>
    <row r="12966" spans="2:3">
      <c r="B12966" s="12"/>
      <c r="C12966" s="12"/>
    </row>
    <row r="12967" spans="2:3">
      <c r="B12967" s="12"/>
      <c r="C12967" s="12"/>
    </row>
    <row r="12968" spans="2:3">
      <c r="B12968" s="12"/>
      <c r="C12968" s="12"/>
    </row>
    <row r="12969" spans="2:3">
      <c r="B12969" s="12"/>
      <c r="C12969" s="12"/>
    </row>
    <row r="12970" spans="2:3">
      <c r="B12970" s="12"/>
      <c r="C12970" s="12"/>
    </row>
    <row r="12971" spans="2:3">
      <c r="B12971" s="12"/>
      <c r="C12971" s="12"/>
    </row>
    <row r="12972" spans="2:3">
      <c r="B12972" s="12"/>
      <c r="C12972" s="12"/>
    </row>
    <row r="12973" spans="2:3">
      <c r="B12973" s="12"/>
      <c r="C12973" s="12"/>
    </row>
    <row r="12974" spans="2:3">
      <c r="B12974" s="12"/>
      <c r="C12974" s="12"/>
    </row>
    <row r="12975" spans="2:3">
      <c r="B12975" s="12"/>
      <c r="C12975" s="12"/>
    </row>
    <row r="12976" spans="2:3">
      <c r="B12976" s="12"/>
      <c r="C12976" s="12"/>
    </row>
    <row r="12977" spans="2:3">
      <c r="B12977" s="12"/>
      <c r="C12977" s="12"/>
    </row>
    <row r="12978" spans="2:3">
      <c r="B12978" s="12"/>
      <c r="C12978" s="12"/>
    </row>
    <row r="12979" spans="2:3">
      <c r="B12979" s="12"/>
      <c r="C12979" s="12"/>
    </row>
    <row r="12980" spans="2:3">
      <c r="B12980" s="12"/>
      <c r="C12980" s="12"/>
    </row>
    <row r="12981" spans="2:3">
      <c r="B12981" s="12"/>
      <c r="C12981" s="12"/>
    </row>
    <row r="12982" spans="2:3">
      <c r="B12982" s="12"/>
      <c r="C12982" s="12"/>
    </row>
    <row r="12983" spans="2:3">
      <c r="B12983" s="12"/>
      <c r="C12983" s="12"/>
    </row>
    <row r="12984" spans="2:3">
      <c r="B12984" s="12"/>
      <c r="C12984" s="12"/>
    </row>
    <row r="12985" spans="2:3">
      <c r="B12985" s="12"/>
      <c r="C12985" s="12"/>
    </row>
    <row r="12986" spans="2:3">
      <c r="B12986" s="12"/>
      <c r="C12986" s="12"/>
    </row>
    <row r="12987" spans="2:3">
      <c r="B12987" s="12"/>
      <c r="C12987" s="12"/>
    </row>
    <row r="12988" spans="2:3">
      <c r="B12988" s="12"/>
      <c r="C12988" s="12"/>
    </row>
    <row r="12989" spans="2:3">
      <c r="B12989" s="12"/>
      <c r="C12989" s="12"/>
    </row>
    <row r="12990" spans="2:3">
      <c r="B12990" s="12"/>
      <c r="C12990" s="12"/>
    </row>
    <row r="12991" spans="2:3">
      <c r="B12991" s="12"/>
      <c r="C12991" s="12"/>
    </row>
    <row r="12992" spans="2:3">
      <c r="B12992" s="12"/>
      <c r="C12992" s="12"/>
    </row>
    <row r="12993" spans="2:3">
      <c r="B12993" s="12"/>
      <c r="C12993" s="12"/>
    </row>
    <row r="12994" spans="2:3">
      <c r="B12994" s="12"/>
      <c r="C12994" s="12"/>
    </row>
    <row r="12995" spans="2:3">
      <c r="B12995" s="12"/>
      <c r="C12995" s="12"/>
    </row>
    <row r="12996" spans="2:3">
      <c r="B12996" s="12"/>
      <c r="C12996" s="12"/>
    </row>
    <row r="12997" spans="2:3">
      <c r="B12997" s="12"/>
      <c r="C12997" s="12"/>
    </row>
    <row r="12998" spans="2:3">
      <c r="B12998" s="12"/>
      <c r="C12998" s="12"/>
    </row>
    <row r="12999" spans="2:3">
      <c r="B12999" s="12"/>
      <c r="C12999" s="12"/>
    </row>
    <row r="13000" spans="2:3">
      <c r="B13000" s="12"/>
      <c r="C13000" s="12"/>
    </row>
    <row r="13001" spans="2:3">
      <c r="B13001" s="12"/>
      <c r="C13001" s="12"/>
    </row>
    <row r="13002" spans="2:3">
      <c r="B13002" s="12"/>
      <c r="C13002" s="12"/>
    </row>
    <row r="13003" spans="2:3">
      <c r="B13003" s="12"/>
      <c r="C13003" s="12"/>
    </row>
    <row r="13004" spans="2:3">
      <c r="B13004" s="12"/>
      <c r="C13004" s="12"/>
    </row>
    <row r="13005" spans="2:3">
      <c r="B13005" s="12"/>
      <c r="C13005" s="12"/>
    </row>
    <row r="13006" spans="2:3">
      <c r="B13006" s="12"/>
      <c r="C13006" s="12"/>
    </row>
    <row r="13007" spans="2:3">
      <c r="B13007" s="12"/>
      <c r="C13007" s="12"/>
    </row>
    <row r="13008" spans="2:3">
      <c r="B13008" s="12"/>
      <c r="C13008" s="12"/>
    </row>
    <row r="13009" spans="2:3">
      <c r="B13009" s="12"/>
      <c r="C13009" s="12"/>
    </row>
    <row r="13010" spans="2:3">
      <c r="B13010" s="12"/>
      <c r="C13010" s="12"/>
    </row>
    <row r="13011" spans="2:3">
      <c r="B13011" s="12"/>
      <c r="C13011" s="12"/>
    </row>
    <row r="13012" spans="2:3">
      <c r="B13012" s="12"/>
      <c r="C13012" s="12"/>
    </row>
    <row r="13013" spans="2:3">
      <c r="B13013" s="12"/>
      <c r="C13013" s="12"/>
    </row>
    <row r="13014" spans="2:3">
      <c r="B13014" s="12"/>
      <c r="C13014" s="12"/>
    </row>
    <row r="13015" spans="2:3">
      <c r="B13015" s="12"/>
      <c r="C13015" s="12"/>
    </row>
    <row r="13016" spans="2:3">
      <c r="B13016" s="12"/>
      <c r="C13016" s="12"/>
    </row>
    <row r="13017" spans="2:3">
      <c r="B13017" s="12"/>
      <c r="C13017" s="12"/>
    </row>
    <row r="13018" spans="2:3">
      <c r="B13018" s="12"/>
      <c r="C13018" s="12"/>
    </row>
    <row r="13019" spans="2:3">
      <c r="B13019" s="12"/>
      <c r="C13019" s="12"/>
    </row>
    <row r="13020" spans="2:3">
      <c r="B13020" s="12"/>
      <c r="C13020" s="12"/>
    </row>
    <row r="13021" spans="2:3">
      <c r="B13021" s="12"/>
      <c r="C13021" s="12"/>
    </row>
    <row r="13022" spans="2:3">
      <c r="B13022" s="12"/>
      <c r="C13022" s="12"/>
    </row>
    <row r="13023" spans="2:3">
      <c r="B13023" s="12"/>
      <c r="C13023" s="12"/>
    </row>
    <row r="13024" spans="2:3">
      <c r="B13024" s="12"/>
      <c r="C13024" s="12"/>
    </row>
    <row r="13025" spans="2:3">
      <c r="B13025" s="12"/>
      <c r="C13025" s="12"/>
    </row>
    <row r="13026" spans="2:3">
      <c r="B13026" s="12"/>
      <c r="C13026" s="12"/>
    </row>
    <row r="13027" spans="2:3">
      <c r="B13027" s="12"/>
      <c r="C13027" s="12"/>
    </row>
    <row r="13028" spans="2:3">
      <c r="B13028" s="12"/>
      <c r="C13028" s="12"/>
    </row>
    <row r="13029" spans="2:3">
      <c r="B13029" s="12"/>
      <c r="C13029" s="12"/>
    </row>
    <row r="13030" spans="2:3">
      <c r="B13030" s="12"/>
      <c r="C13030" s="12"/>
    </row>
    <row r="13031" spans="2:3">
      <c r="B13031" s="12"/>
      <c r="C13031" s="12"/>
    </row>
    <row r="13032" spans="2:3">
      <c r="B13032" s="12"/>
      <c r="C13032" s="12"/>
    </row>
    <row r="13033" spans="2:3">
      <c r="B13033" s="12"/>
      <c r="C13033" s="12"/>
    </row>
    <row r="13034" spans="2:3">
      <c r="B13034" s="12"/>
      <c r="C13034" s="12"/>
    </row>
    <row r="13035" spans="2:3">
      <c r="B13035" s="12"/>
      <c r="C13035" s="12"/>
    </row>
    <row r="13036" spans="2:3">
      <c r="B13036" s="12"/>
      <c r="C13036" s="12"/>
    </row>
    <row r="13037" spans="2:3">
      <c r="B13037" s="12"/>
      <c r="C13037" s="12"/>
    </row>
    <row r="13038" spans="2:3">
      <c r="B13038" s="12"/>
      <c r="C13038" s="12"/>
    </row>
    <row r="13039" spans="2:3">
      <c r="B13039" s="12"/>
      <c r="C13039" s="12"/>
    </row>
    <row r="13040" spans="2:3">
      <c r="B13040" s="12"/>
      <c r="C13040" s="12"/>
    </row>
    <row r="13041" spans="2:3">
      <c r="B13041" s="12"/>
      <c r="C13041" s="12"/>
    </row>
    <row r="13042" spans="2:3">
      <c r="B13042" s="12"/>
      <c r="C13042" s="12"/>
    </row>
    <row r="13043" spans="2:3">
      <c r="B13043" s="12"/>
      <c r="C13043" s="12"/>
    </row>
    <row r="13044" spans="2:3">
      <c r="B13044" s="12"/>
      <c r="C13044" s="12"/>
    </row>
    <row r="13045" spans="2:3">
      <c r="B13045" s="12"/>
      <c r="C13045" s="12"/>
    </row>
    <row r="13046" spans="2:3">
      <c r="B13046" s="12"/>
      <c r="C13046" s="12"/>
    </row>
    <row r="13047" spans="2:3">
      <c r="B13047" s="12"/>
      <c r="C13047" s="12"/>
    </row>
    <row r="13048" spans="2:3">
      <c r="B13048" s="12"/>
      <c r="C13048" s="12"/>
    </row>
    <row r="13049" spans="2:3">
      <c r="B13049" s="12"/>
      <c r="C13049" s="12"/>
    </row>
    <row r="13050" spans="2:3">
      <c r="B13050" s="12"/>
      <c r="C13050" s="12"/>
    </row>
    <row r="13051" spans="2:3">
      <c r="B13051" s="12"/>
      <c r="C13051" s="12"/>
    </row>
    <row r="13052" spans="2:3">
      <c r="B13052" s="12"/>
      <c r="C13052" s="12"/>
    </row>
    <row r="13053" spans="2:3">
      <c r="B13053" s="12"/>
      <c r="C13053" s="12"/>
    </row>
    <row r="13054" spans="2:3">
      <c r="B13054" s="12"/>
      <c r="C13054" s="12"/>
    </row>
    <row r="13055" spans="2:3">
      <c r="B13055" s="12"/>
      <c r="C13055" s="12"/>
    </row>
    <row r="13056" spans="2:3">
      <c r="B13056" s="12"/>
      <c r="C13056" s="12"/>
    </row>
    <row r="13057" spans="2:3">
      <c r="B13057" s="12"/>
      <c r="C13057" s="12"/>
    </row>
    <row r="13058" spans="2:3">
      <c r="B13058" s="12"/>
      <c r="C13058" s="12"/>
    </row>
    <row r="13059" spans="2:3">
      <c r="B13059" s="12"/>
      <c r="C13059" s="12"/>
    </row>
    <row r="13060" spans="2:3">
      <c r="B13060" s="12"/>
      <c r="C13060" s="12"/>
    </row>
    <row r="13061" spans="2:3">
      <c r="B13061" s="12"/>
      <c r="C13061" s="12"/>
    </row>
    <row r="13062" spans="2:3">
      <c r="B13062" s="12"/>
      <c r="C13062" s="12"/>
    </row>
    <row r="13063" spans="2:3">
      <c r="B13063" s="12"/>
      <c r="C13063" s="12"/>
    </row>
    <row r="13064" spans="2:3">
      <c r="B13064" s="12"/>
      <c r="C13064" s="12"/>
    </row>
    <row r="13065" spans="2:3">
      <c r="B13065" s="12"/>
      <c r="C13065" s="12"/>
    </row>
    <row r="13066" spans="2:3">
      <c r="B13066" s="12"/>
      <c r="C13066" s="12"/>
    </row>
    <row r="13067" spans="2:3">
      <c r="B13067" s="12"/>
      <c r="C13067" s="12"/>
    </row>
    <row r="13068" spans="2:3">
      <c r="B13068" s="12"/>
      <c r="C13068" s="12"/>
    </row>
    <row r="13069" spans="2:3">
      <c r="B13069" s="12"/>
      <c r="C13069" s="12"/>
    </row>
    <row r="13070" spans="2:3">
      <c r="B13070" s="12"/>
      <c r="C13070" s="12"/>
    </row>
    <row r="13071" spans="2:3">
      <c r="B13071" s="12"/>
      <c r="C13071" s="12"/>
    </row>
    <row r="13072" spans="2:3">
      <c r="B13072" s="12"/>
      <c r="C13072" s="12"/>
    </row>
    <row r="13073" spans="2:3">
      <c r="B13073" s="12"/>
      <c r="C13073" s="12"/>
    </row>
    <row r="13074" spans="2:3">
      <c r="B13074" s="12"/>
      <c r="C13074" s="12"/>
    </row>
    <row r="13075" spans="2:3">
      <c r="B13075" s="12"/>
      <c r="C13075" s="12"/>
    </row>
    <row r="13076" spans="2:3">
      <c r="B13076" s="12"/>
      <c r="C13076" s="12"/>
    </row>
    <row r="13077" spans="2:3">
      <c r="B13077" s="12"/>
      <c r="C13077" s="12"/>
    </row>
    <row r="13078" spans="2:3">
      <c r="B13078" s="12"/>
      <c r="C13078" s="12"/>
    </row>
    <row r="13079" spans="2:3">
      <c r="B13079" s="12"/>
      <c r="C13079" s="12"/>
    </row>
    <row r="13080" spans="2:3">
      <c r="B13080" s="12"/>
      <c r="C13080" s="12"/>
    </row>
    <row r="13081" spans="2:3">
      <c r="B13081" s="12"/>
      <c r="C13081" s="12"/>
    </row>
    <row r="13082" spans="2:3">
      <c r="B13082" s="12"/>
      <c r="C13082" s="12"/>
    </row>
    <row r="13083" spans="2:3">
      <c r="B13083" s="12"/>
      <c r="C13083" s="12"/>
    </row>
    <row r="13084" spans="2:3">
      <c r="B13084" s="12"/>
      <c r="C13084" s="12"/>
    </row>
    <row r="13085" spans="2:3">
      <c r="B13085" s="12"/>
      <c r="C13085" s="12"/>
    </row>
    <row r="13086" spans="2:3">
      <c r="B13086" s="12"/>
      <c r="C13086" s="12"/>
    </row>
    <row r="13087" spans="2:3">
      <c r="B13087" s="12"/>
      <c r="C13087" s="12"/>
    </row>
    <row r="13088" spans="2:3">
      <c r="B13088" s="12"/>
      <c r="C13088" s="12"/>
    </row>
    <row r="13089" spans="2:3">
      <c r="B13089" s="12"/>
      <c r="C13089" s="12"/>
    </row>
    <row r="13090" spans="2:3">
      <c r="B13090" s="12"/>
      <c r="C13090" s="12"/>
    </row>
    <row r="13091" spans="2:3">
      <c r="B13091" s="12"/>
      <c r="C13091" s="12"/>
    </row>
    <row r="13092" spans="2:3">
      <c r="B13092" s="12"/>
      <c r="C13092" s="12"/>
    </row>
    <row r="13093" spans="2:3">
      <c r="B13093" s="12"/>
      <c r="C13093" s="12"/>
    </row>
    <row r="13094" spans="2:3">
      <c r="B13094" s="12"/>
      <c r="C13094" s="12"/>
    </row>
    <row r="13095" spans="2:3">
      <c r="B13095" s="12"/>
      <c r="C13095" s="12"/>
    </row>
    <row r="13096" spans="2:3">
      <c r="B13096" s="12"/>
      <c r="C13096" s="12"/>
    </row>
    <row r="13097" spans="2:3">
      <c r="B13097" s="12"/>
      <c r="C13097" s="12"/>
    </row>
    <row r="13098" spans="2:3">
      <c r="B13098" s="12"/>
      <c r="C13098" s="12"/>
    </row>
    <row r="13099" spans="2:3">
      <c r="B13099" s="12"/>
      <c r="C13099" s="12"/>
    </row>
    <row r="13100" spans="2:3">
      <c r="B13100" s="12"/>
      <c r="C13100" s="12"/>
    </row>
    <row r="13101" spans="2:3">
      <c r="B13101" s="12"/>
      <c r="C13101" s="12"/>
    </row>
    <row r="13102" spans="2:3">
      <c r="B13102" s="12"/>
      <c r="C13102" s="12"/>
    </row>
    <row r="13103" spans="2:3">
      <c r="B13103" s="12"/>
      <c r="C13103" s="12"/>
    </row>
    <row r="13104" spans="2:3">
      <c r="B13104" s="12"/>
      <c r="C13104" s="12"/>
    </row>
    <row r="13105" spans="2:3">
      <c r="B13105" s="12"/>
      <c r="C13105" s="12"/>
    </row>
    <row r="13106" spans="2:3">
      <c r="B13106" s="12"/>
      <c r="C13106" s="12"/>
    </row>
    <row r="13107" spans="2:3">
      <c r="B13107" s="12"/>
      <c r="C13107" s="12"/>
    </row>
    <row r="13108" spans="2:3">
      <c r="B13108" s="12"/>
      <c r="C13108" s="12"/>
    </row>
    <row r="13109" spans="2:3">
      <c r="B13109" s="12"/>
      <c r="C13109" s="12"/>
    </row>
    <row r="13110" spans="2:3">
      <c r="B13110" s="12"/>
      <c r="C13110" s="12"/>
    </row>
    <row r="13111" spans="2:3">
      <c r="B13111" s="12"/>
      <c r="C13111" s="12"/>
    </row>
    <row r="13112" spans="2:3">
      <c r="B13112" s="12"/>
      <c r="C13112" s="12"/>
    </row>
    <row r="13113" spans="2:3">
      <c r="B13113" s="12"/>
      <c r="C13113" s="12"/>
    </row>
    <row r="13114" spans="2:3">
      <c r="B13114" s="12"/>
      <c r="C13114" s="12"/>
    </row>
    <row r="13115" spans="2:3">
      <c r="B13115" s="12"/>
      <c r="C13115" s="12"/>
    </row>
    <row r="13116" spans="2:3">
      <c r="B13116" s="12"/>
      <c r="C13116" s="12"/>
    </row>
    <row r="13117" spans="2:3">
      <c r="B13117" s="12"/>
      <c r="C13117" s="12"/>
    </row>
    <row r="13118" spans="2:3">
      <c r="B13118" s="12"/>
      <c r="C13118" s="12"/>
    </row>
    <row r="13119" spans="2:3">
      <c r="B13119" s="12"/>
      <c r="C13119" s="12"/>
    </row>
    <row r="13120" spans="2:3">
      <c r="B13120" s="12"/>
      <c r="C13120" s="12"/>
    </row>
    <row r="13121" spans="2:3">
      <c r="B13121" s="12"/>
      <c r="C13121" s="12"/>
    </row>
    <row r="13122" spans="2:3">
      <c r="B13122" s="12"/>
      <c r="C13122" s="12"/>
    </row>
    <row r="13123" spans="2:3">
      <c r="B13123" s="12"/>
      <c r="C13123" s="12"/>
    </row>
    <row r="13124" spans="2:3">
      <c r="B13124" s="12"/>
      <c r="C13124" s="12"/>
    </row>
    <row r="13125" spans="2:3">
      <c r="B13125" s="12"/>
      <c r="C13125" s="12"/>
    </row>
    <row r="13126" spans="2:3">
      <c r="B13126" s="12"/>
      <c r="C13126" s="12"/>
    </row>
    <row r="13127" spans="2:3">
      <c r="B13127" s="12"/>
      <c r="C13127" s="12"/>
    </row>
    <row r="13128" spans="2:3">
      <c r="B13128" s="12"/>
      <c r="C13128" s="12"/>
    </row>
    <row r="13129" spans="2:3">
      <c r="B13129" s="12"/>
      <c r="C13129" s="12"/>
    </row>
    <row r="13130" spans="2:3">
      <c r="B13130" s="12"/>
      <c r="C13130" s="12"/>
    </row>
    <row r="13131" spans="2:3">
      <c r="B13131" s="12"/>
      <c r="C13131" s="12"/>
    </row>
    <row r="13132" spans="2:3">
      <c r="B13132" s="12"/>
      <c r="C13132" s="12"/>
    </row>
    <row r="13133" spans="2:3">
      <c r="B13133" s="12"/>
      <c r="C13133" s="12"/>
    </row>
    <row r="13134" spans="2:3">
      <c r="B13134" s="12"/>
      <c r="C13134" s="12"/>
    </row>
    <row r="13135" spans="2:3">
      <c r="B13135" s="12"/>
      <c r="C13135" s="12"/>
    </row>
    <row r="13136" spans="2:3">
      <c r="B13136" s="12"/>
      <c r="C13136" s="12"/>
    </row>
    <row r="13137" spans="2:3">
      <c r="B13137" s="12"/>
      <c r="C13137" s="12"/>
    </row>
    <row r="13138" spans="2:3">
      <c r="B13138" s="12"/>
      <c r="C13138" s="12"/>
    </row>
    <row r="13139" spans="2:3">
      <c r="B13139" s="12"/>
      <c r="C13139" s="12"/>
    </row>
    <row r="13140" spans="2:3">
      <c r="B13140" s="12"/>
      <c r="C13140" s="12"/>
    </row>
    <row r="13141" spans="2:3">
      <c r="B13141" s="12"/>
      <c r="C13141" s="12"/>
    </row>
    <row r="13142" spans="2:3">
      <c r="B13142" s="12"/>
      <c r="C13142" s="12"/>
    </row>
    <row r="13143" spans="2:3">
      <c r="B13143" s="12"/>
      <c r="C13143" s="12"/>
    </row>
    <row r="13144" spans="2:3">
      <c r="B13144" s="12"/>
      <c r="C13144" s="12"/>
    </row>
    <row r="13145" spans="2:3">
      <c r="B13145" s="12"/>
      <c r="C13145" s="12"/>
    </row>
    <row r="13146" spans="2:3">
      <c r="B13146" s="12"/>
      <c r="C13146" s="12"/>
    </row>
    <row r="13147" spans="2:3">
      <c r="B13147" s="12"/>
      <c r="C13147" s="12"/>
    </row>
    <row r="13148" spans="2:3">
      <c r="B13148" s="12"/>
      <c r="C13148" s="12"/>
    </row>
    <row r="13149" spans="2:3">
      <c r="B13149" s="12"/>
      <c r="C13149" s="12"/>
    </row>
    <row r="13150" spans="2:3">
      <c r="B13150" s="12"/>
      <c r="C13150" s="12"/>
    </row>
    <row r="13151" spans="2:3">
      <c r="B13151" s="12"/>
      <c r="C13151" s="12"/>
    </row>
    <row r="13152" spans="2:3">
      <c r="B13152" s="12"/>
      <c r="C13152" s="12"/>
    </row>
    <row r="13153" spans="2:3">
      <c r="B13153" s="12"/>
      <c r="C13153" s="12"/>
    </row>
    <row r="13154" spans="2:3">
      <c r="B13154" s="12"/>
      <c r="C13154" s="12"/>
    </row>
    <row r="13155" spans="2:3">
      <c r="B13155" s="12"/>
      <c r="C13155" s="12"/>
    </row>
    <row r="13156" spans="2:3">
      <c r="B13156" s="12"/>
      <c r="C13156" s="12"/>
    </row>
    <row r="13157" spans="2:3">
      <c r="B13157" s="12"/>
      <c r="C13157" s="12"/>
    </row>
    <row r="13158" spans="2:3">
      <c r="B13158" s="12"/>
      <c r="C13158" s="12"/>
    </row>
    <row r="13159" spans="2:3">
      <c r="B13159" s="12"/>
      <c r="C13159" s="12"/>
    </row>
    <row r="13160" spans="2:3">
      <c r="B13160" s="12"/>
      <c r="C13160" s="12"/>
    </row>
    <row r="13161" spans="2:3">
      <c r="B13161" s="12"/>
      <c r="C13161" s="12"/>
    </row>
    <row r="13162" spans="2:3">
      <c r="B13162" s="12"/>
      <c r="C13162" s="12"/>
    </row>
    <row r="13163" spans="2:3">
      <c r="B13163" s="12"/>
      <c r="C13163" s="12"/>
    </row>
    <row r="13164" spans="2:3">
      <c r="B13164" s="12"/>
      <c r="C13164" s="12"/>
    </row>
    <row r="13165" spans="2:3">
      <c r="B13165" s="12"/>
      <c r="C13165" s="12"/>
    </row>
    <row r="13166" spans="2:3">
      <c r="B13166" s="12"/>
      <c r="C13166" s="12"/>
    </row>
    <row r="13167" spans="2:3">
      <c r="B13167" s="12"/>
      <c r="C13167" s="12"/>
    </row>
    <row r="13168" spans="2:3">
      <c r="B13168" s="12"/>
      <c r="C13168" s="12"/>
    </row>
    <row r="13169" spans="2:3">
      <c r="B13169" s="12"/>
      <c r="C13169" s="12"/>
    </row>
    <row r="13170" spans="2:3">
      <c r="B13170" s="12"/>
      <c r="C13170" s="12"/>
    </row>
    <row r="13171" spans="2:3">
      <c r="B13171" s="12"/>
      <c r="C13171" s="12"/>
    </row>
    <row r="13172" spans="2:3">
      <c r="B13172" s="12"/>
      <c r="C13172" s="12"/>
    </row>
    <row r="13173" spans="2:3">
      <c r="B13173" s="12"/>
      <c r="C13173" s="12"/>
    </row>
    <row r="13174" spans="2:3">
      <c r="B13174" s="12"/>
      <c r="C13174" s="12"/>
    </row>
    <row r="13175" spans="2:3">
      <c r="B13175" s="12"/>
      <c r="C13175" s="12"/>
    </row>
    <row r="13176" spans="2:3">
      <c r="B13176" s="12"/>
      <c r="C13176" s="12"/>
    </row>
    <row r="13177" spans="2:3">
      <c r="B13177" s="12"/>
      <c r="C13177" s="12"/>
    </row>
    <row r="13178" spans="2:3">
      <c r="B13178" s="12"/>
      <c r="C13178" s="12"/>
    </row>
    <row r="13179" spans="2:3">
      <c r="B13179" s="12"/>
      <c r="C13179" s="12"/>
    </row>
    <row r="13180" spans="2:3">
      <c r="B13180" s="12"/>
      <c r="C13180" s="12"/>
    </row>
    <row r="13181" spans="2:3">
      <c r="B13181" s="12"/>
      <c r="C13181" s="12"/>
    </row>
    <row r="13182" spans="2:3">
      <c r="B13182" s="12"/>
      <c r="C13182" s="12"/>
    </row>
    <row r="13183" spans="2:3">
      <c r="B13183" s="12"/>
      <c r="C13183" s="12"/>
    </row>
    <row r="13184" spans="2:3">
      <c r="B13184" s="12"/>
      <c r="C13184" s="12"/>
    </row>
    <row r="13185" spans="2:3">
      <c r="B13185" s="12"/>
      <c r="C13185" s="12"/>
    </row>
    <row r="13186" spans="2:3">
      <c r="B13186" s="12"/>
      <c r="C13186" s="12"/>
    </row>
    <row r="13187" spans="2:3">
      <c r="B13187" s="12"/>
      <c r="C13187" s="12"/>
    </row>
    <row r="13188" spans="2:3">
      <c r="B13188" s="12"/>
      <c r="C13188" s="12"/>
    </row>
    <row r="13189" spans="2:3">
      <c r="B13189" s="12"/>
      <c r="C13189" s="12"/>
    </row>
    <row r="13190" spans="2:3">
      <c r="B13190" s="12"/>
      <c r="C13190" s="12"/>
    </row>
    <row r="13191" spans="2:3">
      <c r="B13191" s="12"/>
      <c r="C13191" s="12"/>
    </row>
    <row r="13192" spans="2:3">
      <c r="B13192" s="12"/>
      <c r="C13192" s="12"/>
    </row>
    <row r="13193" spans="2:3">
      <c r="B13193" s="12"/>
      <c r="C13193" s="12"/>
    </row>
    <row r="13194" spans="2:3">
      <c r="B13194" s="12"/>
      <c r="C13194" s="12"/>
    </row>
    <row r="13195" spans="2:3">
      <c r="B13195" s="12"/>
      <c r="C13195" s="12"/>
    </row>
    <row r="13196" spans="2:3">
      <c r="B13196" s="12"/>
      <c r="C13196" s="12"/>
    </row>
    <row r="13197" spans="2:3">
      <c r="B13197" s="12"/>
      <c r="C13197" s="12"/>
    </row>
    <row r="13198" spans="2:3">
      <c r="B13198" s="12"/>
      <c r="C13198" s="12"/>
    </row>
    <row r="13199" spans="2:3">
      <c r="B13199" s="12"/>
      <c r="C13199" s="12"/>
    </row>
    <row r="13200" spans="2:3">
      <c r="B13200" s="12"/>
      <c r="C13200" s="12"/>
    </row>
    <row r="13201" spans="2:3">
      <c r="B13201" s="12"/>
      <c r="C13201" s="12"/>
    </row>
    <row r="13202" spans="2:3">
      <c r="B13202" s="12"/>
      <c r="C13202" s="12"/>
    </row>
    <row r="13203" spans="2:3">
      <c r="B13203" s="12"/>
      <c r="C13203" s="12"/>
    </row>
    <row r="13204" spans="2:3">
      <c r="B13204" s="12"/>
      <c r="C13204" s="12"/>
    </row>
    <row r="13205" spans="2:3">
      <c r="B13205" s="12"/>
      <c r="C13205" s="12"/>
    </row>
    <row r="13206" spans="2:3">
      <c r="B13206" s="12"/>
      <c r="C13206" s="12"/>
    </row>
    <row r="13207" spans="2:3">
      <c r="B13207" s="12"/>
      <c r="C13207" s="12"/>
    </row>
    <row r="13208" spans="2:3">
      <c r="B13208" s="12"/>
      <c r="C13208" s="12"/>
    </row>
    <row r="13209" spans="2:3">
      <c r="B13209" s="12"/>
      <c r="C13209" s="12"/>
    </row>
    <row r="13210" spans="2:3">
      <c r="B13210" s="12"/>
      <c r="C13210" s="12"/>
    </row>
    <row r="13211" spans="2:3">
      <c r="B13211" s="12"/>
      <c r="C13211" s="12"/>
    </row>
    <row r="13212" spans="2:3">
      <c r="B13212" s="12"/>
      <c r="C13212" s="12"/>
    </row>
    <row r="13213" spans="2:3">
      <c r="B13213" s="12"/>
      <c r="C13213" s="12"/>
    </row>
    <row r="13214" spans="2:3">
      <c r="B13214" s="12"/>
      <c r="C13214" s="12"/>
    </row>
    <row r="13215" spans="2:3">
      <c r="B13215" s="12"/>
      <c r="C13215" s="12"/>
    </row>
    <row r="13216" spans="2:3">
      <c r="B13216" s="12"/>
      <c r="C13216" s="12"/>
    </row>
    <row r="13217" spans="2:3">
      <c r="B13217" s="12"/>
      <c r="C13217" s="12"/>
    </row>
    <row r="13218" spans="2:3">
      <c r="B13218" s="12"/>
      <c r="C13218" s="12"/>
    </row>
    <row r="13219" spans="2:3">
      <c r="B13219" s="12"/>
      <c r="C13219" s="12"/>
    </row>
    <row r="13220" spans="2:3">
      <c r="B13220" s="12"/>
      <c r="C13220" s="12"/>
    </row>
    <row r="13221" spans="2:3">
      <c r="B13221" s="12"/>
      <c r="C13221" s="12"/>
    </row>
    <row r="13222" spans="2:3">
      <c r="B13222" s="12"/>
      <c r="C13222" s="12"/>
    </row>
    <row r="13223" spans="2:3">
      <c r="B13223" s="12"/>
      <c r="C13223" s="12"/>
    </row>
    <row r="13224" spans="2:3">
      <c r="B13224" s="12"/>
      <c r="C13224" s="12"/>
    </row>
    <row r="13225" spans="2:3">
      <c r="B13225" s="12"/>
      <c r="C13225" s="12"/>
    </row>
    <row r="13226" spans="2:3">
      <c r="B13226" s="12"/>
      <c r="C13226" s="12"/>
    </row>
    <row r="13227" spans="2:3">
      <c r="B13227" s="12"/>
      <c r="C13227" s="12"/>
    </row>
    <row r="13228" spans="2:3">
      <c r="B13228" s="12"/>
      <c r="C13228" s="12"/>
    </row>
    <row r="13229" spans="2:3">
      <c r="B13229" s="12"/>
      <c r="C13229" s="12"/>
    </row>
    <row r="13230" spans="2:3">
      <c r="B13230" s="12"/>
      <c r="C13230" s="12"/>
    </row>
    <row r="13231" spans="2:3">
      <c r="B13231" s="12"/>
      <c r="C13231" s="12"/>
    </row>
    <row r="13232" spans="2:3">
      <c r="B13232" s="12"/>
      <c r="C13232" s="12"/>
    </row>
    <row r="13233" spans="2:3">
      <c r="B13233" s="12"/>
      <c r="C13233" s="12"/>
    </row>
    <row r="13234" spans="2:3">
      <c r="B13234" s="12"/>
      <c r="C13234" s="12"/>
    </row>
    <row r="13235" spans="2:3">
      <c r="B13235" s="12"/>
      <c r="C13235" s="12"/>
    </row>
    <row r="13236" spans="2:3">
      <c r="B13236" s="12"/>
      <c r="C13236" s="12"/>
    </row>
    <row r="13237" spans="2:3">
      <c r="B13237" s="12"/>
      <c r="C13237" s="12"/>
    </row>
    <row r="13238" spans="2:3">
      <c r="B13238" s="12"/>
      <c r="C13238" s="12"/>
    </row>
    <row r="13239" spans="2:3">
      <c r="B13239" s="12"/>
      <c r="C13239" s="12"/>
    </row>
    <row r="13240" spans="2:3">
      <c r="B13240" s="12"/>
      <c r="C13240" s="12"/>
    </row>
    <row r="13241" spans="2:3">
      <c r="B13241" s="12"/>
      <c r="C13241" s="12"/>
    </row>
    <row r="13242" spans="2:3">
      <c r="B13242" s="12"/>
      <c r="C13242" s="12"/>
    </row>
    <row r="13243" spans="2:3">
      <c r="B13243" s="12"/>
      <c r="C13243" s="12"/>
    </row>
    <row r="13244" spans="2:3">
      <c r="B13244" s="12"/>
      <c r="C13244" s="12"/>
    </row>
    <row r="13245" spans="2:3">
      <c r="B13245" s="12"/>
      <c r="C13245" s="12"/>
    </row>
    <row r="13246" spans="2:3">
      <c r="B13246" s="12"/>
      <c r="C13246" s="12"/>
    </row>
    <row r="13247" spans="2:3">
      <c r="B13247" s="12"/>
      <c r="C13247" s="12"/>
    </row>
    <row r="13248" spans="2:3">
      <c r="B13248" s="12"/>
      <c r="C13248" s="12"/>
    </row>
    <row r="13249" spans="2:3">
      <c r="B13249" s="12"/>
      <c r="C13249" s="12"/>
    </row>
    <row r="13250" spans="2:3">
      <c r="B13250" s="12"/>
      <c r="C13250" s="12"/>
    </row>
    <row r="13251" spans="2:3">
      <c r="B13251" s="12"/>
      <c r="C13251" s="12"/>
    </row>
    <row r="13252" spans="2:3">
      <c r="B13252" s="12"/>
      <c r="C13252" s="12"/>
    </row>
    <row r="13253" spans="2:3">
      <c r="B13253" s="12"/>
      <c r="C13253" s="12"/>
    </row>
    <row r="13254" spans="2:3">
      <c r="B13254" s="12"/>
      <c r="C13254" s="12"/>
    </row>
    <row r="13255" spans="2:3">
      <c r="B13255" s="12"/>
      <c r="C13255" s="12"/>
    </row>
    <row r="13256" spans="2:3">
      <c r="B13256" s="12"/>
      <c r="C13256" s="12"/>
    </row>
    <row r="13257" spans="2:3">
      <c r="B13257" s="12"/>
      <c r="C13257" s="12"/>
    </row>
    <row r="13258" spans="2:3">
      <c r="B13258" s="12"/>
      <c r="C13258" s="12"/>
    </row>
    <row r="13259" spans="2:3">
      <c r="B13259" s="12"/>
      <c r="C13259" s="12"/>
    </row>
    <row r="13260" spans="2:3">
      <c r="B13260" s="12"/>
      <c r="C13260" s="12"/>
    </row>
    <row r="13261" spans="2:3">
      <c r="B13261" s="12"/>
      <c r="C13261" s="12"/>
    </row>
    <row r="13262" spans="2:3">
      <c r="B13262" s="12"/>
      <c r="C13262" s="12"/>
    </row>
    <row r="13263" spans="2:3">
      <c r="B13263" s="12"/>
      <c r="C13263" s="12"/>
    </row>
    <row r="13264" spans="2:3">
      <c r="B13264" s="12"/>
      <c r="C13264" s="12"/>
    </row>
    <row r="13265" spans="2:3">
      <c r="B13265" s="12"/>
      <c r="C13265" s="12"/>
    </row>
    <row r="13266" spans="2:3">
      <c r="B13266" s="12"/>
      <c r="C13266" s="12"/>
    </row>
    <row r="13267" spans="2:3">
      <c r="B13267" s="12"/>
      <c r="C13267" s="12"/>
    </row>
    <row r="13268" spans="2:3">
      <c r="B13268" s="12"/>
      <c r="C13268" s="12"/>
    </row>
    <row r="13269" spans="2:3">
      <c r="B13269" s="12"/>
      <c r="C13269" s="12"/>
    </row>
    <row r="13270" spans="2:3">
      <c r="B13270" s="12"/>
      <c r="C13270" s="12"/>
    </row>
    <row r="13271" spans="2:3">
      <c r="B13271" s="12"/>
      <c r="C13271" s="12"/>
    </row>
    <row r="13272" spans="2:3">
      <c r="B13272" s="12"/>
      <c r="C13272" s="12"/>
    </row>
    <row r="13273" spans="2:3">
      <c r="B13273" s="12"/>
      <c r="C13273" s="12"/>
    </row>
    <row r="13274" spans="2:3">
      <c r="B13274" s="12"/>
      <c r="C13274" s="12"/>
    </row>
    <row r="13275" spans="2:3">
      <c r="B13275" s="12"/>
      <c r="C13275" s="12"/>
    </row>
    <row r="13276" spans="2:3">
      <c r="B13276" s="12"/>
      <c r="C13276" s="12"/>
    </row>
    <row r="13277" spans="2:3">
      <c r="B13277" s="12"/>
      <c r="C13277" s="12"/>
    </row>
    <row r="13278" spans="2:3">
      <c r="B13278" s="12"/>
      <c r="C13278" s="12"/>
    </row>
    <row r="13279" spans="2:3">
      <c r="B13279" s="12"/>
      <c r="C13279" s="12"/>
    </row>
    <row r="13280" spans="2:3">
      <c r="B13280" s="12"/>
      <c r="C13280" s="12"/>
    </row>
    <row r="13281" spans="2:3">
      <c r="B13281" s="12"/>
      <c r="C13281" s="12"/>
    </row>
    <row r="13282" spans="2:3">
      <c r="B13282" s="12"/>
      <c r="C13282" s="12"/>
    </row>
    <row r="13283" spans="2:3">
      <c r="B13283" s="12"/>
      <c r="C13283" s="12"/>
    </row>
    <row r="13284" spans="2:3">
      <c r="B13284" s="12"/>
      <c r="C13284" s="12"/>
    </row>
    <row r="13285" spans="2:3">
      <c r="B13285" s="12"/>
      <c r="C13285" s="12"/>
    </row>
    <row r="13286" spans="2:3">
      <c r="B13286" s="12"/>
      <c r="C13286" s="12"/>
    </row>
    <row r="13287" spans="2:3">
      <c r="B13287" s="12"/>
      <c r="C13287" s="12"/>
    </row>
    <row r="13288" spans="2:3">
      <c r="B13288" s="12"/>
      <c r="C13288" s="12"/>
    </row>
    <row r="13289" spans="2:3">
      <c r="B13289" s="12"/>
      <c r="C13289" s="12"/>
    </row>
    <row r="13290" spans="2:3">
      <c r="B13290" s="12"/>
      <c r="C13290" s="12"/>
    </row>
    <row r="13291" spans="2:3">
      <c r="B13291" s="12"/>
      <c r="C13291" s="12"/>
    </row>
    <row r="13292" spans="2:3">
      <c r="B13292" s="12"/>
      <c r="C13292" s="12"/>
    </row>
    <row r="13293" spans="2:3">
      <c r="B13293" s="12"/>
      <c r="C13293" s="12"/>
    </row>
    <row r="13294" spans="2:3">
      <c r="B13294" s="12"/>
      <c r="C13294" s="12"/>
    </row>
    <row r="13295" spans="2:3">
      <c r="B13295" s="12"/>
      <c r="C13295" s="12"/>
    </row>
    <row r="13296" spans="2:3">
      <c r="B13296" s="12"/>
      <c r="C13296" s="12"/>
    </row>
    <row r="13297" spans="2:3">
      <c r="B13297" s="12"/>
      <c r="C13297" s="12"/>
    </row>
    <row r="13298" spans="2:3">
      <c r="B13298" s="12"/>
      <c r="C13298" s="12"/>
    </row>
    <row r="13299" spans="2:3">
      <c r="B13299" s="12"/>
      <c r="C13299" s="12"/>
    </row>
    <row r="13300" spans="2:3">
      <c r="B13300" s="12"/>
      <c r="C13300" s="12"/>
    </row>
    <row r="13301" spans="2:3">
      <c r="B13301" s="12"/>
      <c r="C13301" s="12"/>
    </row>
    <row r="13302" spans="2:3">
      <c r="B13302" s="12"/>
      <c r="C13302" s="12"/>
    </row>
    <row r="13303" spans="2:3">
      <c r="B13303" s="12"/>
      <c r="C13303" s="12"/>
    </row>
    <row r="13304" spans="2:3">
      <c r="B13304" s="12"/>
      <c r="C13304" s="12"/>
    </row>
    <row r="13305" spans="2:3">
      <c r="B13305" s="12"/>
      <c r="C13305" s="12"/>
    </row>
    <row r="13306" spans="2:3">
      <c r="B13306" s="12"/>
      <c r="C13306" s="12"/>
    </row>
    <row r="13307" spans="2:3">
      <c r="B13307" s="12"/>
      <c r="C13307" s="12"/>
    </row>
    <row r="13308" spans="2:3">
      <c r="B13308" s="12"/>
      <c r="C13308" s="12"/>
    </row>
    <row r="13309" spans="2:3">
      <c r="B13309" s="12"/>
      <c r="C13309" s="12"/>
    </row>
    <row r="13310" spans="2:3">
      <c r="B13310" s="12"/>
      <c r="C13310" s="12"/>
    </row>
    <row r="13311" spans="2:3">
      <c r="B13311" s="12"/>
      <c r="C13311" s="12"/>
    </row>
    <row r="13312" spans="2:3">
      <c r="B13312" s="12"/>
      <c r="C13312" s="12"/>
    </row>
    <row r="13313" spans="2:3">
      <c r="B13313" s="12"/>
      <c r="C13313" s="12"/>
    </row>
    <row r="13314" spans="2:3">
      <c r="B13314" s="12"/>
      <c r="C13314" s="12"/>
    </row>
    <row r="13315" spans="2:3">
      <c r="B13315" s="12"/>
      <c r="C13315" s="12"/>
    </row>
    <row r="13316" spans="2:3">
      <c r="B13316" s="12"/>
      <c r="C13316" s="12"/>
    </row>
    <row r="13317" spans="2:3">
      <c r="B13317" s="12"/>
      <c r="C13317" s="12"/>
    </row>
    <row r="13318" spans="2:3">
      <c r="B13318" s="12"/>
      <c r="C13318" s="12"/>
    </row>
    <row r="13319" spans="2:3">
      <c r="B13319" s="12"/>
      <c r="C13319" s="12"/>
    </row>
    <row r="13320" spans="2:3">
      <c r="B13320" s="12"/>
      <c r="C13320" s="12"/>
    </row>
    <row r="13321" spans="2:3">
      <c r="B13321" s="12"/>
      <c r="C13321" s="12"/>
    </row>
    <row r="13322" spans="2:3">
      <c r="B13322" s="12"/>
      <c r="C13322" s="12"/>
    </row>
    <row r="13323" spans="2:3">
      <c r="B13323" s="12"/>
      <c r="C13323" s="12"/>
    </row>
    <row r="13324" spans="2:3">
      <c r="B13324" s="12"/>
      <c r="C13324" s="12"/>
    </row>
    <row r="13325" spans="2:3">
      <c r="B13325" s="12"/>
      <c r="C13325" s="12"/>
    </row>
    <row r="13326" spans="2:3">
      <c r="B13326" s="12"/>
      <c r="C13326" s="12"/>
    </row>
    <row r="13327" spans="2:3">
      <c r="B13327" s="12"/>
      <c r="C13327" s="12"/>
    </row>
    <row r="13328" spans="2:3">
      <c r="B13328" s="12"/>
      <c r="C13328" s="12"/>
    </row>
    <row r="13329" spans="2:3">
      <c r="B13329" s="12"/>
      <c r="C13329" s="12"/>
    </row>
    <row r="13330" spans="2:3">
      <c r="B13330" s="12"/>
      <c r="C13330" s="12"/>
    </row>
    <row r="13331" spans="2:3">
      <c r="B13331" s="12"/>
      <c r="C13331" s="12"/>
    </row>
    <row r="13332" spans="2:3">
      <c r="B13332" s="12"/>
      <c r="C13332" s="12"/>
    </row>
    <row r="13333" spans="2:3">
      <c r="B13333" s="12"/>
      <c r="C13333" s="12"/>
    </row>
    <row r="13334" spans="2:3">
      <c r="B13334" s="12"/>
      <c r="C13334" s="12"/>
    </row>
    <row r="13335" spans="2:3">
      <c r="B13335" s="12"/>
      <c r="C13335" s="12"/>
    </row>
    <row r="13336" spans="2:3">
      <c r="B13336" s="12"/>
      <c r="C13336" s="12"/>
    </row>
    <row r="13337" spans="2:3">
      <c r="B13337" s="12"/>
      <c r="C13337" s="12"/>
    </row>
    <row r="13338" spans="2:3">
      <c r="B13338" s="12"/>
      <c r="C13338" s="12"/>
    </row>
    <row r="13339" spans="2:3">
      <c r="B13339" s="12"/>
      <c r="C13339" s="12"/>
    </row>
    <row r="13340" spans="2:3">
      <c r="B13340" s="12"/>
      <c r="C13340" s="12"/>
    </row>
    <row r="13341" spans="2:3">
      <c r="B13341" s="12"/>
      <c r="C13341" s="12"/>
    </row>
    <row r="13342" spans="2:3">
      <c r="B13342" s="12"/>
      <c r="C13342" s="12"/>
    </row>
    <row r="13343" spans="2:3">
      <c r="B13343" s="12"/>
      <c r="C13343" s="12"/>
    </row>
    <row r="13344" spans="2:3">
      <c r="B13344" s="12"/>
      <c r="C13344" s="12"/>
    </row>
    <row r="13345" spans="2:3">
      <c r="B13345" s="12"/>
      <c r="C13345" s="12"/>
    </row>
    <row r="13346" spans="2:3">
      <c r="B13346" s="12"/>
      <c r="C13346" s="12"/>
    </row>
    <row r="13347" spans="2:3">
      <c r="B13347" s="12"/>
      <c r="C13347" s="12"/>
    </row>
    <row r="13348" spans="2:3">
      <c r="B13348" s="12"/>
      <c r="C13348" s="12"/>
    </row>
    <row r="13349" spans="2:3">
      <c r="B13349" s="12"/>
      <c r="C13349" s="12"/>
    </row>
    <row r="13350" spans="2:3">
      <c r="B13350" s="12"/>
      <c r="C13350" s="12"/>
    </row>
    <row r="13351" spans="2:3">
      <c r="B13351" s="12"/>
      <c r="C13351" s="12"/>
    </row>
    <row r="13352" spans="2:3">
      <c r="B13352" s="12"/>
      <c r="C13352" s="12"/>
    </row>
    <row r="13353" spans="2:3">
      <c r="B13353" s="12"/>
      <c r="C13353" s="12"/>
    </row>
    <row r="13354" spans="2:3">
      <c r="B13354" s="12"/>
      <c r="C13354" s="12"/>
    </row>
    <row r="13355" spans="2:3">
      <c r="B13355" s="12"/>
      <c r="C13355" s="12"/>
    </row>
    <row r="13356" spans="2:3">
      <c r="B13356" s="12"/>
      <c r="C13356" s="12"/>
    </row>
    <row r="13357" spans="2:3">
      <c r="B13357" s="12"/>
      <c r="C13357" s="12"/>
    </row>
    <row r="13358" spans="2:3">
      <c r="B13358" s="12"/>
      <c r="C13358" s="12"/>
    </row>
    <row r="13359" spans="2:3">
      <c r="B13359" s="12"/>
      <c r="C13359" s="12"/>
    </row>
    <row r="13360" spans="2:3">
      <c r="B13360" s="12"/>
      <c r="C13360" s="12"/>
    </row>
    <row r="13361" spans="2:3">
      <c r="B13361" s="12"/>
      <c r="C13361" s="12"/>
    </row>
    <row r="13362" spans="2:3">
      <c r="B13362" s="12"/>
      <c r="C13362" s="12"/>
    </row>
    <row r="13363" spans="2:3">
      <c r="B13363" s="12"/>
      <c r="C13363" s="12"/>
    </row>
    <row r="13364" spans="2:3">
      <c r="B13364" s="12"/>
      <c r="C13364" s="12"/>
    </row>
    <row r="13365" spans="2:3">
      <c r="B13365" s="12"/>
      <c r="C13365" s="12"/>
    </row>
    <row r="13366" spans="2:3">
      <c r="B13366" s="12"/>
      <c r="C13366" s="12"/>
    </row>
    <row r="13367" spans="2:3">
      <c r="B13367" s="12"/>
      <c r="C13367" s="12"/>
    </row>
    <row r="13368" spans="2:3">
      <c r="B13368" s="12"/>
      <c r="C13368" s="12"/>
    </row>
    <row r="13369" spans="2:3">
      <c r="B13369" s="12"/>
      <c r="C13369" s="12"/>
    </row>
    <row r="13370" spans="2:3">
      <c r="B13370" s="12"/>
      <c r="C13370" s="12"/>
    </row>
    <row r="13371" spans="2:3">
      <c r="B13371" s="12"/>
      <c r="C13371" s="12"/>
    </row>
    <row r="13372" spans="2:3">
      <c r="B13372" s="12"/>
      <c r="C13372" s="12"/>
    </row>
    <row r="13373" spans="2:3">
      <c r="B13373" s="12"/>
      <c r="C13373" s="12"/>
    </row>
    <row r="13374" spans="2:3">
      <c r="B13374" s="12"/>
      <c r="C13374" s="12"/>
    </row>
    <row r="13375" spans="2:3">
      <c r="B13375" s="12"/>
      <c r="C13375" s="12"/>
    </row>
    <row r="13376" spans="2:3">
      <c r="B13376" s="12"/>
      <c r="C13376" s="12"/>
    </row>
    <row r="13377" spans="2:3">
      <c r="B13377" s="12"/>
      <c r="C13377" s="12"/>
    </row>
    <row r="13378" spans="2:3">
      <c r="B13378" s="12"/>
      <c r="C13378" s="12"/>
    </row>
    <row r="13379" spans="2:3">
      <c r="B13379" s="12"/>
      <c r="C13379" s="12"/>
    </row>
    <row r="13380" spans="2:3">
      <c r="B13380" s="12"/>
      <c r="C13380" s="12"/>
    </row>
    <row r="13381" spans="2:3">
      <c r="B13381" s="12"/>
      <c r="C13381" s="12"/>
    </row>
    <row r="13382" spans="2:3">
      <c r="B13382" s="12"/>
      <c r="C13382" s="12"/>
    </row>
    <row r="13383" spans="2:3">
      <c r="B13383" s="12"/>
      <c r="C13383" s="12"/>
    </row>
    <row r="13384" spans="2:3">
      <c r="B13384" s="12"/>
      <c r="C13384" s="12"/>
    </row>
    <row r="13385" spans="2:3">
      <c r="B13385" s="12"/>
      <c r="C13385" s="12"/>
    </row>
    <row r="13386" spans="2:3">
      <c r="B13386" s="12"/>
      <c r="C13386" s="12"/>
    </row>
    <row r="13387" spans="2:3">
      <c r="B13387" s="12"/>
      <c r="C13387" s="12"/>
    </row>
    <row r="13388" spans="2:3">
      <c r="B13388" s="12"/>
      <c r="C13388" s="12"/>
    </row>
    <row r="13389" spans="2:3">
      <c r="B13389" s="12"/>
      <c r="C13389" s="12"/>
    </row>
    <row r="13390" spans="2:3">
      <c r="B13390" s="12"/>
      <c r="C13390" s="12"/>
    </row>
    <row r="13391" spans="2:3">
      <c r="B13391" s="12"/>
      <c r="C13391" s="12"/>
    </row>
    <row r="13392" spans="2:3">
      <c r="B13392" s="12"/>
      <c r="C13392" s="12"/>
    </row>
    <row r="13393" spans="2:3">
      <c r="B13393" s="12"/>
      <c r="C13393" s="12"/>
    </row>
    <row r="13394" spans="2:3">
      <c r="B13394" s="12"/>
      <c r="C13394" s="12"/>
    </row>
    <row r="13395" spans="2:3">
      <c r="B13395" s="12"/>
      <c r="C13395" s="12"/>
    </row>
    <row r="13396" spans="2:3">
      <c r="B13396" s="12"/>
      <c r="C13396" s="12"/>
    </row>
    <row r="13397" spans="2:3">
      <c r="B13397" s="12"/>
      <c r="C13397" s="12"/>
    </row>
    <row r="13398" spans="2:3">
      <c r="B13398" s="12"/>
      <c r="C13398" s="12"/>
    </row>
    <row r="13399" spans="2:3">
      <c r="B13399" s="12"/>
      <c r="C13399" s="12"/>
    </row>
    <row r="13400" spans="2:3">
      <c r="B13400" s="12"/>
      <c r="C13400" s="12"/>
    </row>
    <row r="13401" spans="2:3">
      <c r="B13401" s="12"/>
      <c r="C13401" s="12"/>
    </row>
    <row r="13402" spans="2:3">
      <c r="B13402" s="12"/>
      <c r="C13402" s="12"/>
    </row>
    <row r="13403" spans="2:3">
      <c r="B13403" s="12"/>
      <c r="C13403" s="12"/>
    </row>
    <row r="13404" spans="2:3">
      <c r="B13404" s="12"/>
      <c r="C13404" s="12"/>
    </row>
    <row r="13405" spans="2:3">
      <c r="B13405" s="12"/>
      <c r="C13405" s="12"/>
    </row>
    <row r="13406" spans="2:3">
      <c r="B13406" s="12"/>
      <c r="C13406" s="12"/>
    </row>
    <row r="13407" spans="2:3">
      <c r="B13407" s="12"/>
      <c r="C13407" s="12"/>
    </row>
    <row r="13408" spans="2:3">
      <c r="B13408" s="12"/>
      <c r="C13408" s="12"/>
    </row>
    <row r="13409" spans="2:3">
      <c r="B13409" s="12"/>
      <c r="C13409" s="12"/>
    </row>
    <row r="13410" spans="2:3">
      <c r="B13410" s="12"/>
      <c r="C13410" s="12"/>
    </row>
    <row r="13411" spans="2:3">
      <c r="B13411" s="12"/>
      <c r="C13411" s="12"/>
    </row>
    <row r="13412" spans="2:3">
      <c r="B13412" s="12"/>
      <c r="C13412" s="12"/>
    </row>
    <row r="13413" spans="2:3">
      <c r="B13413" s="12"/>
      <c r="C13413" s="12"/>
    </row>
    <row r="13414" spans="2:3">
      <c r="B13414" s="12"/>
      <c r="C13414" s="12"/>
    </row>
    <row r="13415" spans="2:3">
      <c r="B13415" s="12"/>
      <c r="C13415" s="12"/>
    </row>
    <row r="13416" spans="2:3">
      <c r="B13416" s="12"/>
      <c r="C13416" s="12"/>
    </row>
    <row r="13417" spans="2:3">
      <c r="B13417" s="12"/>
      <c r="C13417" s="12"/>
    </row>
    <row r="13418" spans="2:3">
      <c r="B13418" s="12"/>
      <c r="C13418" s="12"/>
    </row>
    <row r="13419" spans="2:3">
      <c r="B13419" s="12"/>
      <c r="C13419" s="12"/>
    </row>
    <row r="13420" spans="2:3">
      <c r="B13420" s="12"/>
      <c r="C13420" s="12"/>
    </row>
    <row r="13421" spans="2:3">
      <c r="B13421" s="12"/>
      <c r="C13421" s="12"/>
    </row>
    <row r="13422" spans="2:3">
      <c r="B13422" s="12"/>
      <c r="C13422" s="12"/>
    </row>
    <row r="13423" spans="2:3">
      <c r="B13423" s="12"/>
      <c r="C13423" s="12"/>
    </row>
    <row r="13424" spans="2:3">
      <c r="B13424" s="12"/>
      <c r="C13424" s="12"/>
    </row>
    <row r="13425" spans="2:3">
      <c r="B13425" s="12"/>
      <c r="C13425" s="12"/>
    </row>
    <row r="13426" spans="2:3">
      <c r="B13426" s="12"/>
      <c r="C13426" s="12"/>
    </row>
    <row r="13427" spans="2:3">
      <c r="B13427" s="12"/>
      <c r="C13427" s="12"/>
    </row>
    <row r="13428" spans="2:3">
      <c r="B13428" s="12"/>
      <c r="C13428" s="12"/>
    </row>
    <row r="13429" spans="2:3">
      <c r="B13429" s="12"/>
      <c r="C13429" s="12"/>
    </row>
    <row r="13430" spans="2:3">
      <c r="B13430" s="12"/>
      <c r="C13430" s="12"/>
    </row>
    <row r="13431" spans="2:3">
      <c r="B13431" s="12"/>
      <c r="C13431" s="12"/>
    </row>
    <row r="13432" spans="2:3">
      <c r="B13432" s="12"/>
      <c r="C13432" s="12"/>
    </row>
    <row r="13433" spans="2:3">
      <c r="B13433" s="12"/>
      <c r="C13433" s="12"/>
    </row>
    <row r="13434" spans="2:3">
      <c r="B13434" s="12"/>
      <c r="C13434" s="12"/>
    </row>
    <row r="13435" spans="2:3">
      <c r="B13435" s="12"/>
      <c r="C13435" s="12"/>
    </row>
    <row r="13436" spans="2:3">
      <c r="B13436" s="12"/>
      <c r="C13436" s="12"/>
    </row>
    <row r="13437" spans="2:3">
      <c r="B13437" s="12"/>
      <c r="C13437" s="12"/>
    </row>
    <row r="13438" spans="2:3">
      <c r="B13438" s="12"/>
      <c r="C13438" s="12"/>
    </row>
    <row r="13439" spans="2:3">
      <c r="B13439" s="12"/>
      <c r="C13439" s="12"/>
    </row>
    <row r="13440" spans="2:3">
      <c r="B13440" s="12"/>
      <c r="C13440" s="12"/>
    </row>
    <row r="13441" spans="2:3">
      <c r="B13441" s="12"/>
      <c r="C13441" s="12"/>
    </row>
    <row r="13442" spans="2:3">
      <c r="B13442" s="12"/>
      <c r="C13442" s="12"/>
    </row>
    <row r="13443" spans="2:3">
      <c r="B13443" s="12"/>
      <c r="C13443" s="12"/>
    </row>
    <row r="13444" spans="2:3">
      <c r="B13444" s="12"/>
      <c r="C13444" s="12"/>
    </row>
    <row r="13445" spans="2:3">
      <c r="B13445" s="12"/>
      <c r="C13445" s="12"/>
    </row>
    <row r="13446" spans="2:3">
      <c r="B13446" s="12"/>
      <c r="C13446" s="12"/>
    </row>
    <row r="13447" spans="2:3">
      <c r="B13447" s="12"/>
      <c r="C13447" s="12"/>
    </row>
    <row r="13448" spans="2:3">
      <c r="B13448" s="12"/>
      <c r="C13448" s="12"/>
    </row>
    <row r="13449" spans="2:3">
      <c r="B13449" s="12"/>
      <c r="C13449" s="12"/>
    </row>
    <row r="13450" spans="2:3">
      <c r="B13450" s="12"/>
      <c r="C13450" s="12"/>
    </row>
    <row r="13451" spans="2:3">
      <c r="B13451" s="12"/>
      <c r="C13451" s="12"/>
    </row>
    <row r="13452" spans="2:3">
      <c r="B13452" s="12"/>
      <c r="C13452" s="12"/>
    </row>
    <row r="13453" spans="2:3">
      <c r="B13453" s="12"/>
      <c r="C13453" s="12"/>
    </row>
    <row r="13454" spans="2:3">
      <c r="B13454" s="12"/>
      <c r="C13454" s="12"/>
    </row>
    <row r="13455" spans="2:3">
      <c r="B13455" s="12"/>
      <c r="C13455" s="12"/>
    </row>
    <row r="13456" spans="2:3">
      <c r="B13456" s="12"/>
      <c r="C13456" s="12"/>
    </row>
    <row r="13457" spans="2:3">
      <c r="B13457" s="12"/>
      <c r="C13457" s="12"/>
    </row>
    <row r="13458" spans="2:3">
      <c r="B13458" s="12"/>
      <c r="C13458" s="12"/>
    </row>
    <row r="13459" spans="2:3">
      <c r="B13459" s="12"/>
      <c r="C13459" s="12"/>
    </row>
    <row r="13460" spans="2:3">
      <c r="B13460" s="12"/>
      <c r="C13460" s="12"/>
    </row>
    <row r="13461" spans="2:3">
      <c r="B13461" s="12"/>
      <c r="C13461" s="12"/>
    </row>
    <row r="13462" spans="2:3">
      <c r="B13462" s="12"/>
      <c r="C13462" s="12"/>
    </row>
    <row r="13463" spans="2:3">
      <c r="B13463" s="12"/>
      <c r="C13463" s="12"/>
    </row>
    <row r="13464" spans="2:3">
      <c r="B13464" s="12"/>
      <c r="C13464" s="12"/>
    </row>
    <row r="13465" spans="2:3">
      <c r="B13465" s="12"/>
      <c r="C13465" s="12"/>
    </row>
    <row r="13466" spans="2:3">
      <c r="B13466" s="12"/>
      <c r="C13466" s="12"/>
    </row>
    <row r="13467" spans="2:3">
      <c r="B13467" s="12"/>
      <c r="C13467" s="12"/>
    </row>
    <row r="13468" spans="2:3">
      <c r="B13468" s="12"/>
      <c r="C13468" s="12"/>
    </row>
    <row r="13469" spans="2:3">
      <c r="B13469" s="12"/>
      <c r="C13469" s="12"/>
    </row>
    <row r="13470" spans="2:3">
      <c r="B13470" s="12"/>
      <c r="C13470" s="12"/>
    </row>
    <row r="13471" spans="2:3">
      <c r="B13471" s="12"/>
      <c r="C13471" s="12"/>
    </row>
    <row r="13472" spans="2:3">
      <c r="B13472" s="12"/>
      <c r="C13472" s="12"/>
    </row>
    <row r="13473" spans="2:3">
      <c r="B13473" s="12"/>
      <c r="C13473" s="12"/>
    </row>
    <row r="13474" spans="2:3">
      <c r="B13474" s="12"/>
      <c r="C13474" s="12"/>
    </row>
    <row r="13475" spans="2:3">
      <c r="B13475" s="12"/>
      <c r="C13475" s="12"/>
    </row>
    <row r="13476" spans="2:3">
      <c r="B13476" s="12"/>
      <c r="C13476" s="12"/>
    </row>
    <row r="13477" spans="2:3">
      <c r="B13477" s="12"/>
      <c r="C13477" s="12"/>
    </row>
    <row r="13478" spans="2:3">
      <c r="B13478" s="12"/>
      <c r="C13478" s="12"/>
    </row>
    <row r="13479" spans="2:3">
      <c r="B13479" s="12"/>
      <c r="C13479" s="12"/>
    </row>
    <row r="13480" spans="2:3">
      <c r="B13480" s="12"/>
      <c r="C13480" s="12"/>
    </row>
    <row r="13481" spans="2:3">
      <c r="B13481" s="12"/>
      <c r="C13481" s="12"/>
    </row>
    <row r="13482" spans="2:3">
      <c r="B13482" s="12"/>
      <c r="C13482" s="12"/>
    </row>
    <row r="13483" spans="2:3">
      <c r="B13483" s="12"/>
      <c r="C13483" s="12"/>
    </row>
    <row r="13484" spans="2:3">
      <c r="B13484" s="12"/>
      <c r="C13484" s="12"/>
    </row>
    <row r="13485" spans="2:3">
      <c r="B13485" s="12"/>
      <c r="C13485" s="12"/>
    </row>
    <row r="13486" spans="2:3">
      <c r="B13486" s="12"/>
      <c r="C13486" s="12"/>
    </row>
    <row r="13487" spans="2:3">
      <c r="B13487" s="12"/>
      <c r="C13487" s="12"/>
    </row>
    <row r="13488" spans="2:3">
      <c r="B13488" s="12"/>
      <c r="C13488" s="12"/>
    </row>
    <row r="13489" spans="2:3">
      <c r="B13489" s="12"/>
      <c r="C13489" s="12"/>
    </row>
    <row r="13490" spans="2:3">
      <c r="B13490" s="12"/>
      <c r="C13490" s="12"/>
    </row>
    <row r="13491" spans="2:3">
      <c r="B13491" s="12"/>
      <c r="C13491" s="12"/>
    </row>
    <row r="13492" spans="2:3">
      <c r="B13492" s="12"/>
      <c r="C13492" s="12"/>
    </row>
    <row r="13493" spans="2:3">
      <c r="B13493" s="12"/>
      <c r="C13493" s="12"/>
    </row>
    <row r="13494" spans="2:3">
      <c r="B13494" s="12"/>
      <c r="C13494" s="12"/>
    </row>
    <row r="13495" spans="2:3">
      <c r="B13495" s="12"/>
      <c r="C13495" s="12"/>
    </row>
    <row r="13496" spans="2:3">
      <c r="B13496" s="12"/>
      <c r="C13496" s="12"/>
    </row>
    <row r="13497" spans="2:3">
      <c r="B13497" s="12"/>
      <c r="C13497" s="12"/>
    </row>
    <row r="13498" spans="2:3">
      <c r="B13498" s="12"/>
      <c r="C13498" s="12"/>
    </row>
    <row r="13499" spans="2:3">
      <c r="B13499" s="12"/>
      <c r="C13499" s="12"/>
    </row>
    <row r="13500" spans="2:3">
      <c r="B13500" s="12"/>
      <c r="C13500" s="12"/>
    </row>
    <row r="13501" spans="2:3">
      <c r="B13501" s="12"/>
      <c r="C13501" s="12"/>
    </row>
    <row r="13502" spans="2:3">
      <c r="B13502" s="12"/>
      <c r="C13502" s="12"/>
    </row>
    <row r="13503" spans="2:3">
      <c r="B13503" s="12"/>
      <c r="C13503" s="12"/>
    </row>
    <row r="13504" spans="2:3">
      <c r="B13504" s="12"/>
      <c r="C13504" s="12"/>
    </row>
    <row r="13505" spans="2:3">
      <c r="B13505" s="12"/>
      <c r="C13505" s="12"/>
    </row>
    <row r="13506" spans="2:3">
      <c r="B13506" s="12"/>
      <c r="C13506" s="12"/>
    </row>
    <row r="13507" spans="2:3">
      <c r="B13507" s="12"/>
      <c r="C13507" s="12"/>
    </row>
    <row r="13508" spans="2:3">
      <c r="B13508" s="12"/>
      <c r="C13508" s="12"/>
    </row>
    <row r="13509" spans="2:3">
      <c r="B13509" s="12"/>
      <c r="C13509" s="12"/>
    </row>
    <row r="13510" spans="2:3">
      <c r="B13510" s="12"/>
      <c r="C13510" s="12"/>
    </row>
    <row r="13511" spans="2:3">
      <c r="B13511" s="12"/>
      <c r="C13511" s="12"/>
    </row>
    <row r="13512" spans="2:3">
      <c r="B13512" s="12"/>
      <c r="C13512" s="12"/>
    </row>
    <row r="13513" spans="2:3">
      <c r="B13513" s="12"/>
      <c r="C13513" s="12"/>
    </row>
    <row r="13514" spans="2:3">
      <c r="B13514" s="12"/>
      <c r="C13514" s="12"/>
    </row>
    <row r="13515" spans="2:3">
      <c r="B13515" s="12"/>
      <c r="C13515" s="12"/>
    </row>
    <row r="13516" spans="2:3">
      <c r="B13516" s="12"/>
      <c r="C13516" s="12"/>
    </row>
    <row r="13517" spans="2:3">
      <c r="B13517" s="12"/>
      <c r="C13517" s="12"/>
    </row>
    <row r="13518" spans="2:3">
      <c r="B13518" s="12"/>
      <c r="C13518" s="12"/>
    </row>
    <row r="13519" spans="2:3">
      <c r="B13519" s="12"/>
      <c r="C13519" s="12"/>
    </row>
    <row r="13520" spans="2:3">
      <c r="B13520" s="12"/>
      <c r="C13520" s="12"/>
    </row>
    <row r="13521" spans="2:3">
      <c r="B13521" s="12"/>
      <c r="C13521" s="12"/>
    </row>
    <row r="13522" spans="2:3">
      <c r="B13522" s="12"/>
      <c r="C13522" s="12"/>
    </row>
    <row r="13523" spans="2:3">
      <c r="B13523" s="12"/>
      <c r="C13523" s="12"/>
    </row>
    <row r="13524" spans="2:3">
      <c r="B13524" s="12"/>
      <c r="C13524" s="12"/>
    </row>
    <row r="13525" spans="2:3">
      <c r="B13525" s="12"/>
      <c r="C13525" s="12"/>
    </row>
    <row r="13526" spans="2:3">
      <c r="B13526" s="12"/>
      <c r="C13526" s="12"/>
    </row>
    <row r="13527" spans="2:3">
      <c r="B13527" s="12"/>
      <c r="C13527" s="12"/>
    </row>
    <row r="13528" spans="2:3">
      <c r="B13528" s="12"/>
      <c r="C13528" s="12"/>
    </row>
    <row r="13529" spans="2:3">
      <c r="B13529" s="12"/>
      <c r="C13529" s="12"/>
    </row>
    <row r="13530" spans="2:3">
      <c r="B13530" s="12"/>
      <c r="C13530" s="12"/>
    </row>
    <row r="13531" spans="2:3">
      <c r="B13531" s="12"/>
      <c r="C13531" s="12"/>
    </row>
    <row r="13532" spans="2:3">
      <c r="B13532" s="12"/>
      <c r="C13532" s="12"/>
    </row>
    <row r="13533" spans="2:3">
      <c r="B13533" s="12"/>
      <c r="C13533" s="12"/>
    </row>
    <row r="13534" spans="2:3">
      <c r="B13534" s="12"/>
      <c r="C13534" s="12"/>
    </row>
    <row r="13535" spans="2:3">
      <c r="B13535" s="12"/>
      <c r="C13535" s="12"/>
    </row>
    <row r="13536" spans="2:3">
      <c r="B13536" s="12"/>
      <c r="C13536" s="12"/>
    </row>
    <row r="13537" spans="2:3">
      <c r="B13537" s="12"/>
      <c r="C13537" s="12"/>
    </row>
    <row r="13538" spans="2:3">
      <c r="B13538" s="12"/>
      <c r="C13538" s="12"/>
    </row>
    <row r="13539" spans="2:3">
      <c r="B13539" s="12"/>
      <c r="C13539" s="12"/>
    </row>
    <row r="13540" spans="2:3">
      <c r="B13540" s="12"/>
      <c r="C13540" s="12"/>
    </row>
    <row r="13541" spans="2:3">
      <c r="B13541" s="12"/>
      <c r="C13541" s="12"/>
    </row>
    <row r="13542" spans="2:3">
      <c r="B13542" s="12"/>
      <c r="C13542" s="12"/>
    </row>
    <row r="13543" spans="2:3">
      <c r="B13543" s="12"/>
      <c r="C13543" s="12"/>
    </row>
    <row r="13544" spans="2:3">
      <c r="B13544" s="12"/>
      <c r="C13544" s="12"/>
    </row>
    <row r="13545" spans="2:3">
      <c r="B13545" s="12"/>
      <c r="C13545" s="12"/>
    </row>
    <row r="13546" spans="2:3">
      <c r="B13546" s="12"/>
      <c r="C13546" s="12"/>
    </row>
    <row r="13547" spans="2:3">
      <c r="B13547" s="12"/>
      <c r="C13547" s="12"/>
    </row>
    <row r="13548" spans="2:3">
      <c r="B13548" s="12"/>
      <c r="C13548" s="12"/>
    </row>
    <row r="13549" spans="2:3">
      <c r="B13549" s="12"/>
      <c r="C13549" s="12"/>
    </row>
    <row r="13550" spans="2:3">
      <c r="B13550" s="12"/>
      <c r="C13550" s="12"/>
    </row>
    <row r="13551" spans="2:3">
      <c r="B13551" s="12"/>
      <c r="C13551" s="12"/>
    </row>
    <row r="13552" spans="2:3">
      <c r="B13552" s="12"/>
      <c r="C13552" s="12"/>
    </row>
    <row r="13553" spans="2:3">
      <c r="B13553" s="12"/>
      <c r="C13553" s="12"/>
    </row>
    <row r="13554" spans="2:3">
      <c r="B13554" s="12"/>
      <c r="C13554" s="12"/>
    </row>
    <row r="13555" spans="2:3">
      <c r="B13555" s="12"/>
      <c r="C13555" s="12"/>
    </row>
    <row r="13556" spans="2:3">
      <c r="B13556" s="12"/>
      <c r="C13556" s="12"/>
    </row>
    <row r="13557" spans="2:3">
      <c r="B13557" s="12"/>
      <c r="C13557" s="12"/>
    </row>
    <row r="13558" spans="2:3">
      <c r="B13558" s="12"/>
      <c r="C13558" s="12"/>
    </row>
    <row r="13559" spans="2:3">
      <c r="B13559" s="12"/>
      <c r="C13559" s="12"/>
    </row>
    <row r="13560" spans="2:3">
      <c r="B13560" s="12"/>
      <c r="C13560" s="12"/>
    </row>
    <row r="13561" spans="2:3">
      <c r="B13561" s="12"/>
      <c r="C13561" s="12"/>
    </row>
    <row r="13562" spans="2:3">
      <c r="B13562" s="12"/>
      <c r="C13562" s="12"/>
    </row>
    <row r="13563" spans="2:3">
      <c r="B13563" s="12"/>
      <c r="C13563" s="12"/>
    </row>
    <row r="13564" spans="2:3">
      <c r="B13564" s="12"/>
      <c r="C13564" s="12"/>
    </row>
    <row r="13565" spans="2:3">
      <c r="B13565" s="12"/>
      <c r="C13565" s="12"/>
    </row>
    <row r="13566" spans="2:3">
      <c r="B13566" s="12"/>
      <c r="C13566" s="12"/>
    </row>
    <row r="13567" spans="2:3">
      <c r="B13567" s="12"/>
      <c r="C13567" s="12"/>
    </row>
    <row r="13568" spans="2:3">
      <c r="B13568" s="12"/>
      <c r="C13568" s="12"/>
    </row>
    <row r="13569" spans="2:3">
      <c r="B13569" s="12"/>
      <c r="C13569" s="12"/>
    </row>
    <row r="13570" spans="2:3">
      <c r="B13570" s="12"/>
      <c r="C13570" s="12"/>
    </row>
    <row r="13571" spans="2:3">
      <c r="B13571" s="12"/>
      <c r="C13571" s="12"/>
    </row>
    <row r="13572" spans="2:3">
      <c r="B13572" s="12"/>
      <c r="C13572" s="12"/>
    </row>
    <row r="13573" spans="2:3">
      <c r="B13573" s="12"/>
      <c r="C13573" s="12"/>
    </row>
    <row r="13574" spans="2:3">
      <c r="B13574" s="12"/>
      <c r="C13574" s="12"/>
    </row>
    <row r="13575" spans="2:3">
      <c r="B13575" s="12"/>
      <c r="C13575" s="12"/>
    </row>
    <row r="13576" spans="2:3">
      <c r="B13576" s="12"/>
      <c r="C13576" s="12"/>
    </row>
    <row r="13577" spans="2:3">
      <c r="B13577" s="12"/>
      <c r="C13577" s="12"/>
    </row>
    <row r="13578" spans="2:3">
      <c r="B13578" s="12"/>
      <c r="C13578" s="12"/>
    </row>
    <row r="13579" spans="2:3">
      <c r="B13579" s="12"/>
      <c r="C13579" s="12"/>
    </row>
    <row r="13580" spans="2:3">
      <c r="B13580" s="12"/>
      <c r="C13580" s="12"/>
    </row>
    <row r="13581" spans="2:3">
      <c r="B13581" s="12"/>
      <c r="C13581" s="12"/>
    </row>
    <row r="13582" spans="2:3">
      <c r="B13582" s="12"/>
      <c r="C13582" s="12"/>
    </row>
    <row r="13583" spans="2:3">
      <c r="B13583" s="12"/>
      <c r="C13583" s="12"/>
    </row>
    <row r="13584" spans="2:3">
      <c r="B13584" s="12"/>
      <c r="C13584" s="12"/>
    </row>
    <row r="13585" spans="2:3">
      <c r="B13585" s="12"/>
      <c r="C13585" s="12"/>
    </row>
    <row r="13586" spans="2:3">
      <c r="B13586" s="12"/>
      <c r="C13586" s="12"/>
    </row>
    <row r="13587" spans="2:3">
      <c r="B13587" s="12"/>
      <c r="C13587" s="12"/>
    </row>
    <row r="13588" spans="2:3">
      <c r="B13588" s="12"/>
      <c r="C13588" s="12"/>
    </row>
    <row r="13589" spans="2:3">
      <c r="B13589" s="12"/>
      <c r="C13589" s="12"/>
    </row>
    <row r="13590" spans="2:3">
      <c r="B13590" s="12"/>
      <c r="C13590" s="12"/>
    </row>
    <row r="13591" spans="2:3">
      <c r="B13591" s="12"/>
      <c r="C13591" s="12"/>
    </row>
    <row r="13592" spans="2:3">
      <c r="B13592" s="12"/>
      <c r="C13592" s="12"/>
    </row>
    <row r="13593" spans="2:3">
      <c r="B13593" s="12"/>
      <c r="C13593" s="12"/>
    </row>
    <row r="13594" spans="2:3">
      <c r="B13594" s="12"/>
      <c r="C13594" s="12"/>
    </row>
    <row r="13595" spans="2:3">
      <c r="B13595" s="12"/>
      <c r="C13595" s="12"/>
    </row>
    <row r="13596" spans="2:3">
      <c r="B13596" s="12"/>
      <c r="C13596" s="12"/>
    </row>
    <row r="13597" spans="2:3">
      <c r="B13597" s="12"/>
      <c r="C13597" s="12"/>
    </row>
    <row r="13598" spans="2:3">
      <c r="B13598" s="12"/>
      <c r="C13598" s="12"/>
    </row>
    <row r="13599" spans="2:3">
      <c r="B13599" s="12"/>
      <c r="C13599" s="12"/>
    </row>
    <row r="13600" spans="2:3">
      <c r="B13600" s="12"/>
      <c r="C13600" s="12"/>
    </row>
    <row r="13601" spans="2:3">
      <c r="B13601" s="12"/>
      <c r="C13601" s="12"/>
    </row>
    <row r="13602" spans="2:3">
      <c r="B13602" s="12"/>
      <c r="C13602" s="12"/>
    </row>
    <row r="13603" spans="2:3">
      <c r="B13603" s="12"/>
      <c r="C13603" s="12"/>
    </row>
    <row r="13604" spans="2:3">
      <c r="B13604" s="12"/>
      <c r="C13604" s="12"/>
    </row>
    <row r="13605" spans="2:3">
      <c r="B13605" s="12"/>
      <c r="C13605" s="12"/>
    </row>
    <row r="13606" spans="2:3">
      <c r="B13606" s="12"/>
      <c r="C13606" s="12"/>
    </row>
    <row r="13607" spans="2:3">
      <c r="B13607" s="12"/>
      <c r="C13607" s="12"/>
    </row>
    <row r="13608" spans="2:3">
      <c r="B13608" s="12"/>
      <c r="C13608" s="12"/>
    </row>
    <row r="13609" spans="2:3">
      <c r="B13609" s="12"/>
      <c r="C13609" s="12"/>
    </row>
    <row r="13610" spans="2:3">
      <c r="B13610" s="12"/>
      <c r="C13610" s="12"/>
    </row>
    <row r="13611" spans="2:3">
      <c r="B13611" s="12"/>
      <c r="C13611" s="12"/>
    </row>
    <row r="13612" spans="2:3">
      <c r="B13612" s="12"/>
      <c r="C13612" s="12"/>
    </row>
    <row r="13613" spans="2:3">
      <c r="B13613" s="12"/>
      <c r="C13613" s="12"/>
    </row>
    <row r="13614" spans="2:3">
      <c r="B13614" s="12"/>
      <c r="C13614" s="12"/>
    </row>
    <row r="13615" spans="2:3">
      <c r="B13615" s="12"/>
      <c r="C13615" s="12"/>
    </row>
    <row r="13616" spans="2:3">
      <c r="B13616" s="12"/>
      <c r="C13616" s="12"/>
    </row>
    <row r="13617" spans="2:3">
      <c r="B13617" s="12"/>
      <c r="C13617" s="12"/>
    </row>
    <row r="13618" spans="2:3">
      <c r="B13618" s="12"/>
      <c r="C13618" s="12"/>
    </row>
    <row r="13619" spans="2:3">
      <c r="B13619" s="12"/>
      <c r="C13619" s="12"/>
    </row>
    <row r="13620" spans="2:3">
      <c r="B13620" s="12"/>
      <c r="C13620" s="12"/>
    </row>
    <row r="13621" spans="2:3">
      <c r="B13621" s="12"/>
      <c r="C13621" s="12"/>
    </row>
    <row r="13622" spans="2:3">
      <c r="B13622" s="12"/>
      <c r="C13622" s="12"/>
    </row>
    <row r="13623" spans="2:3">
      <c r="B13623" s="12"/>
      <c r="C13623" s="12"/>
    </row>
    <row r="13624" spans="2:3">
      <c r="B13624" s="12"/>
      <c r="C13624" s="12"/>
    </row>
    <row r="13625" spans="2:3">
      <c r="B13625" s="12"/>
      <c r="C13625" s="12"/>
    </row>
    <row r="13626" spans="2:3">
      <c r="B13626" s="12"/>
      <c r="C13626" s="12"/>
    </row>
    <row r="13627" spans="2:3">
      <c r="B13627" s="12"/>
      <c r="C13627" s="12"/>
    </row>
    <row r="13628" spans="2:3">
      <c r="B13628" s="12"/>
      <c r="C13628" s="12"/>
    </row>
    <row r="13629" spans="2:3">
      <c r="B13629" s="12"/>
      <c r="C13629" s="12"/>
    </row>
    <row r="13630" spans="2:3">
      <c r="B13630" s="12"/>
      <c r="C13630" s="12"/>
    </row>
    <row r="13631" spans="2:3">
      <c r="B13631" s="12"/>
      <c r="C13631" s="12"/>
    </row>
    <row r="13632" spans="2:3">
      <c r="B13632" s="12"/>
      <c r="C13632" s="12"/>
    </row>
    <row r="13633" spans="2:3">
      <c r="B13633" s="12"/>
      <c r="C13633" s="12"/>
    </row>
    <row r="13634" spans="2:3">
      <c r="B13634" s="12"/>
      <c r="C13634" s="12"/>
    </row>
    <row r="13635" spans="2:3">
      <c r="B13635" s="12"/>
      <c r="C13635" s="12"/>
    </row>
    <row r="13636" spans="2:3">
      <c r="B13636" s="12"/>
      <c r="C13636" s="12"/>
    </row>
    <row r="13637" spans="2:3">
      <c r="B13637" s="12"/>
      <c r="C13637" s="12"/>
    </row>
    <row r="13638" spans="2:3">
      <c r="B13638" s="12"/>
      <c r="C13638" s="12"/>
    </row>
    <row r="13639" spans="2:3">
      <c r="B13639" s="12"/>
      <c r="C13639" s="12"/>
    </row>
    <row r="13640" spans="2:3">
      <c r="B13640" s="12"/>
      <c r="C13640" s="12"/>
    </row>
    <row r="13641" spans="2:3">
      <c r="B13641" s="12"/>
      <c r="C13641" s="12"/>
    </row>
    <row r="13642" spans="2:3">
      <c r="B13642" s="12"/>
      <c r="C13642" s="12"/>
    </row>
    <row r="13643" spans="2:3">
      <c r="B13643" s="12"/>
      <c r="C13643" s="12"/>
    </row>
    <row r="13644" spans="2:3">
      <c r="B13644" s="12"/>
      <c r="C13644" s="12"/>
    </row>
    <row r="13645" spans="2:3">
      <c r="B13645" s="12"/>
      <c r="C13645" s="12"/>
    </row>
    <row r="13646" spans="2:3">
      <c r="B13646" s="12"/>
      <c r="C13646" s="12"/>
    </row>
    <row r="13647" spans="2:3">
      <c r="B13647" s="12"/>
      <c r="C13647" s="12"/>
    </row>
    <row r="13648" spans="2:3">
      <c r="B13648" s="12"/>
      <c r="C13648" s="12"/>
    </row>
    <row r="13649" spans="2:3">
      <c r="B13649" s="12"/>
      <c r="C13649" s="12"/>
    </row>
    <row r="13650" spans="2:3">
      <c r="B13650" s="12"/>
      <c r="C13650" s="12"/>
    </row>
    <row r="13651" spans="2:3">
      <c r="B13651" s="12"/>
      <c r="C13651" s="12"/>
    </row>
    <row r="13652" spans="2:3">
      <c r="B13652" s="12"/>
      <c r="C13652" s="12"/>
    </row>
    <row r="13653" spans="2:3">
      <c r="B13653" s="12"/>
      <c r="C13653" s="12"/>
    </row>
    <row r="13654" spans="2:3">
      <c r="B13654" s="12"/>
      <c r="C13654" s="12"/>
    </row>
    <row r="13655" spans="2:3">
      <c r="B13655" s="12"/>
      <c r="C13655" s="12"/>
    </row>
    <row r="13656" spans="2:3">
      <c r="B13656" s="12"/>
      <c r="C13656" s="12"/>
    </row>
    <row r="13657" spans="2:3">
      <c r="B13657" s="12"/>
      <c r="C13657" s="12"/>
    </row>
    <row r="13658" spans="2:3">
      <c r="B13658" s="12"/>
      <c r="C13658" s="12"/>
    </row>
    <row r="13659" spans="2:3">
      <c r="B13659" s="12"/>
      <c r="C13659" s="12"/>
    </row>
    <row r="13660" spans="2:3">
      <c r="B13660" s="12"/>
      <c r="C13660" s="12"/>
    </row>
    <row r="13661" spans="2:3">
      <c r="B13661" s="12"/>
      <c r="C13661" s="12"/>
    </row>
    <row r="13662" spans="2:3">
      <c r="B13662" s="12"/>
      <c r="C13662" s="12"/>
    </row>
    <row r="13663" spans="2:3">
      <c r="B13663" s="12"/>
      <c r="C13663" s="12"/>
    </row>
    <row r="13664" spans="2:3">
      <c r="B13664" s="12"/>
      <c r="C13664" s="12"/>
    </row>
    <row r="13665" spans="2:3">
      <c r="B13665" s="12"/>
      <c r="C13665" s="12"/>
    </row>
    <row r="13666" spans="2:3">
      <c r="B13666" s="12"/>
      <c r="C13666" s="12"/>
    </row>
    <row r="13667" spans="2:3">
      <c r="B13667" s="12"/>
      <c r="C13667" s="12"/>
    </row>
    <row r="13668" spans="2:3">
      <c r="B13668" s="12"/>
      <c r="C13668" s="12"/>
    </row>
    <row r="13669" spans="2:3">
      <c r="B13669" s="12"/>
      <c r="C13669" s="12"/>
    </row>
    <row r="13670" spans="2:3">
      <c r="B13670" s="12"/>
      <c r="C13670" s="12"/>
    </row>
    <row r="13671" spans="2:3">
      <c r="B13671" s="12"/>
      <c r="C13671" s="12"/>
    </row>
    <row r="13672" spans="2:3">
      <c r="B13672" s="12"/>
      <c r="C13672" s="12"/>
    </row>
    <row r="13673" spans="2:3">
      <c r="B13673" s="12"/>
      <c r="C13673" s="12"/>
    </row>
    <row r="13674" spans="2:3">
      <c r="B13674" s="12"/>
      <c r="C13674" s="12"/>
    </row>
    <row r="13675" spans="2:3">
      <c r="B13675" s="12"/>
      <c r="C13675" s="12"/>
    </row>
    <row r="13676" spans="2:3">
      <c r="B13676" s="12"/>
      <c r="C13676" s="12"/>
    </row>
    <row r="13677" spans="2:3">
      <c r="B13677" s="12"/>
      <c r="C13677" s="12"/>
    </row>
    <row r="13678" spans="2:3">
      <c r="B13678" s="12"/>
      <c r="C13678" s="12"/>
    </row>
    <row r="13679" spans="2:3">
      <c r="B13679" s="12"/>
      <c r="C13679" s="12"/>
    </row>
    <row r="13680" spans="2:3">
      <c r="B13680" s="12"/>
      <c r="C13680" s="12"/>
    </row>
    <row r="13681" spans="2:3">
      <c r="B13681" s="12"/>
      <c r="C13681" s="12"/>
    </row>
    <row r="13682" spans="2:3">
      <c r="B13682" s="12"/>
      <c r="C13682" s="12"/>
    </row>
    <row r="13683" spans="2:3">
      <c r="B13683" s="12"/>
      <c r="C13683" s="12"/>
    </row>
    <row r="13684" spans="2:3">
      <c r="B13684" s="12"/>
      <c r="C13684" s="12"/>
    </row>
    <row r="13685" spans="2:3">
      <c r="B13685" s="12"/>
      <c r="C13685" s="12"/>
    </row>
    <row r="13686" spans="2:3">
      <c r="B13686" s="12"/>
      <c r="C13686" s="12"/>
    </row>
    <row r="13687" spans="2:3">
      <c r="B13687" s="12"/>
      <c r="C13687" s="12"/>
    </row>
    <row r="13688" spans="2:3">
      <c r="B13688" s="12"/>
      <c r="C13688" s="12"/>
    </row>
    <row r="13689" spans="2:3">
      <c r="B13689" s="12"/>
      <c r="C13689" s="12"/>
    </row>
    <row r="13690" spans="2:3">
      <c r="B13690" s="12"/>
      <c r="C13690" s="12"/>
    </row>
    <row r="13691" spans="2:3">
      <c r="B13691" s="12"/>
      <c r="C13691" s="12"/>
    </row>
    <row r="13692" spans="2:3">
      <c r="B13692" s="12"/>
      <c r="C13692" s="12"/>
    </row>
    <row r="13693" spans="2:3">
      <c r="B13693" s="12"/>
      <c r="C13693" s="12"/>
    </row>
    <row r="13694" spans="2:3">
      <c r="B13694" s="12"/>
      <c r="C13694" s="12"/>
    </row>
    <row r="13695" spans="2:3">
      <c r="B13695" s="12"/>
      <c r="C13695" s="12"/>
    </row>
    <row r="13696" spans="2:3">
      <c r="B13696" s="12"/>
      <c r="C13696" s="12"/>
    </row>
    <row r="13697" spans="2:3">
      <c r="B13697" s="12"/>
      <c r="C13697" s="12"/>
    </row>
    <row r="13698" spans="2:3">
      <c r="B13698" s="12"/>
      <c r="C13698" s="12"/>
    </row>
    <row r="13699" spans="2:3">
      <c r="B13699" s="12"/>
      <c r="C13699" s="12"/>
    </row>
    <row r="13700" spans="2:3">
      <c r="B13700" s="12"/>
      <c r="C13700" s="12"/>
    </row>
    <row r="13701" spans="2:3">
      <c r="B13701" s="12"/>
      <c r="C13701" s="12"/>
    </row>
    <row r="13702" spans="2:3">
      <c r="B13702" s="12"/>
      <c r="C13702" s="12"/>
    </row>
    <row r="13703" spans="2:3">
      <c r="B13703" s="12"/>
      <c r="C13703" s="12"/>
    </row>
    <row r="13704" spans="2:3">
      <c r="B13704" s="12"/>
      <c r="C13704" s="12"/>
    </row>
    <row r="13705" spans="2:3">
      <c r="B13705" s="12"/>
      <c r="C13705" s="12"/>
    </row>
    <row r="13706" spans="2:3">
      <c r="B13706" s="12"/>
      <c r="C13706" s="12"/>
    </row>
    <row r="13707" spans="2:3">
      <c r="B13707" s="12"/>
      <c r="C13707" s="12"/>
    </row>
    <row r="13708" spans="2:3">
      <c r="B13708" s="12"/>
      <c r="C13708" s="12"/>
    </row>
    <row r="13709" spans="2:3">
      <c r="B13709" s="12"/>
      <c r="C13709" s="12"/>
    </row>
    <row r="13710" spans="2:3">
      <c r="B13710" s="12"/>
      <c r="C13710" s="12"/>
    </row>
    <row r="13711" spans="2:3">
      <c r="B13711" s="12"/>
      <c r="C13711" s="12"/>
    </row>
    <row r="13712" spans="2:3">
      <c r="B13712" s="12"/>
      <c r="C13712" s="12"/>
    </row>
    <row r="13713" spans="2:3">
      <c r="B13713" s="12"/>
      <c r="C13713" s="12"/>
    </row>
    <row r="13714" spans="2:3">
      <c r="B13714" s="12"/>
      <c r="C13714" s="12"/>
    </row>
    <row r="13715" spans="2:3">
      <c r="B13715" s="12"/>
      <c r="C13715" s="12"/>
    </row>
    <row r="13716" spans="2:3">
      <c r="B13716" s="12"/>
      <c r="C13716" s="12"/>
    </row>
    <row r="13717" spans="2:3">
      <c r="B13717" s="12"/>
      <c r="C13717" s="12"/>
    </row>
    <row r="13718" spans="2:3">
      <c r="B13718" s="12"/>
      <c r="C13718" s="12"/>
    </row>
    <row r="13719" spans="2:3">
      <c r="B13719" s="12"/>
      <c r="C13719" s="12"/>
    </row>
    <row r="13720" spans="2:3">
      <c r="B13720" s="12"/>
      <c r="C13720" s="12"/>
    </row>
    <row r="13721" spans="2:3">
      <c r="B13721" s="12"/>
      <c r="C13721" s="12"/>
    </row>
    <row r="13722" spans="2:3">
      <c r="B13722" s="12"/>
      <c r="C13722" s="12"/>
    </row>
    <row r="13723" spans="2:3">
      <c r="B13723" s="12"/>
      <c r="C13723" s="12"/>
    </row>
    <row r="13724" spans="2:3">
      <c r="B13724" s="12"/>
      <c r="C13724" s="12"/>
    </row>
    <row r="13725" spans="2:3">
      <c r="B13725" s="12"/>
      <c r="C13725" s="12"/>
    </row>
    <row r="13726" spans="2:3">
      <c r="B13726" s="12"/>
      <c r="C13726" s="12"/>
    </row>
    <row r="13727" spans="2:3">
      <c r="B13727" s="12"/>
      <c r="C13727" s="12"/>
    </row>
    <row r="13728" spans="2:3">
      <c r="B13728" s="12"/>
      <c r="C13728" s="12"/>
    </row>
    <row r="13729" spans="2:3">
      <c r="B13729" s="12"/>
      <c r="C13729" s="12"/>
    </row>
    <row r="13730" spans="2:3">
      <c r="B13730" s="12"/>
      <c r="C13730" s="12"/>
    </row>
    <row r="13731" spans="2:3">
      <c r="B13731" s="12"/>
      <c r="C13731" s="12"/>
    </row>
    <row r="13732" spans="2:3">
      <c r="B13732" s="12"/>
      <c r="C13732" s="12"/>
    </row>
    <row r="13733" spans="2:3">
      <c r="B13733" s="12"/>
      <c r="C13733" s="12"/>
    </row>
    <row r="13734" spans="2:3">
      <c r="B13734" s="12"/>
      <c r="C13734" s="12"/>
    </row>
    <row r="13735" spans="2:3">
      <c r="B13735" s="12"/>
      <c r="C13735" s="12"/>
    </row>
    <row r="13736" spans="2:3">
      <c r="B13736" s="12"/>
      <c r="C13736" s="12"/>
    </row>
    <row r="13737" spans="2:3">
      <c r="B13737" s="12"/>
      <c r="C13737" s="12"/>
    </row>
    <row r="13738" spans="2:3">
      <c r="B13738" s="12"/>
      <c r="C13738" s="12"/>
    </row>
    <row r="13739" spans="2:3">
      <c r="B13739" s="12"/>
      <c r="C13739" s="12"/>
    </row>
    <row r="13740" spans="2:3">
      <c r="B13740" s="12"/>
      <c r="C13740" s="12"/>
    </row>
    <row r="13741" spans="2:3">
      <c r="B13741" s="12"/>
      <c r="C13741" s="12"/>
    </row>
    <row r="13742" spans="2:3">
      <c r="B13742" s="12"/>
      <c r="C13742" s="12"/>
    </row>
    <row r="13743" spans="2:3">
      <c r="B13743" s="12"/>
      <c r="C13743" s="12"/>
    </row>
    <row r="13744" spans="2:3">
      <c r="B13744" s="12"/>
      <c r="C13744" s="12"/>
    </row>
    <row r="13745" spans="2:3">
      <c r="B13745" s="12"/>
      <c r="C13745" s="12"/>
    </row>
    <row r="13746" spans="2:3">
      <c r="B13746" s="12"/>
      <c r="C13746" s="12"/>
    </row>
    <row r="13747" spans="2:3">
      <c r="B13747" s="12"/>
      <c r="C13747" s="12"/>
    </row>
    <row r="13748" spans="2:3">
      <c r="B13748" s="12"/>
      <c r="C13748" s="12"/>
    </row>
    <row r="13749" spans="2:3">
      <c r="B13749" s="12"/>
      <c r="C13749" s="12"/>
    </row>
    <row r="13750" spans="2:3">
      <c r="B13750" s="12"/>
      <c r="C13750" s="12"/>
    </row>
    <row r="13751" spans="2:3">
      <c r="B13751" s="12"/>
      <c r="C13751" s="12"/>
    </row>
    <row r="13752" spans="2:3">
      <c r="B13752" s="12"/>
      <c r="C13752" s="12"/>
    </row>
    <row r="13753" spans="2:3">
      <c r="B13753" s="12"/>
      <c r="C13753" s="12"/>
    </row>
    <row r="13754" spans="2:3">
      <c r="B13754" s="12"/>
      <c r="C13754" s="12"/>
    </row>
    <row r="13755" spans="2:3">
      <c r="B13755" s="12"/>
      <c r="C13755" s="12"/>
    </row>
    <row r="13756" spans="2:3">
      <c r="B13756" s="12"/>
      <c r="C13756" s="12"/>
    </row>
    <row r="13757" spans="2:3">
      <c r="B13757" s="12"/>
      <c r="C13757" s="12"/>
    </row>
    <row r="13758" spans="2:3">
      <c r="B13758" s="12"/>
      <c r="C13758" s="12"/>
    </row>
    <row r="13759" spans="2:3">
      <c r="B13759" s="12"/>
      <c r="C13759" s="12"/>
    </row>
    <row r="13760" spans="2:3">
      <c r="B13760" s="12"/>
      <c r="C13760" s="12"/>
    </row>
    <row r="13761" spans="2:3">
      <c r="B13761" s="12"/>
      <c r="C13761" s="12"/>
    </row>
    <row r="13762" spans="2:3">
      <c r="B13762" s="12"/>
      <c r="C13762" s="12"/>
    </row>
    <row r="13763" spans="2:3">
      <c r="B13763" s="12"/>
      <c r="C13763" s="12"/>
    </row>
    <row r="13764" spans="2:3">
      <c r="B13764" s="12"/>
      <c r="C13764" s="12"/>
    </row>
    <row r="13765" spans="2:3">
      <c r="B13765" s="12"/>
      <c r="C13765" s="12"/>
    </row>
    <row r="13766" spans="2:3">
      <c r="B13766" s="12"/>
      <c r="C13766" s="12"/>
    </row>
    <row r="13767" spans="2:3">
      <c r="B13767" s="12"/>
      <c r="C13767" s="12"/>
    </row>
    <row r="13768" spans="2:3">
      <c r="B13768" s="12"/>
      <c r="C13768" s="12"/>
    </row>
    <row r="13769" spans="2:3">
      <c r="B13769" s="12"/>
      <c r="C13769" s="12"/>
    </row>
    <row r="13770" spans="2:3">
      <c r="B13770" s="12"/>
      <c r="C13770" s="12"/>
    </row>
    <row r="13771" spans="2:3">
      <c r="B13771" s="12"/>
      <c r="C13771" s="12"/>
    </row>
    <row r="13772" spans="2:3">
      <c r="B13772" s="12"/>
      <c r="C13772" s="12"/>
    </row>
    <row r="13773" spans="2:3">
      <c r="B13773" s="12"/>
      <c r="C13773" s="12"/>
    </row>
    <row r="13774" spans="2:3">
      <c r="B13774" s="12"/>
      <c r="C13774" s="12"/>
    </row>
    <row r="13775" spans="2:3">
      <c r="B13775" s="12"/>
      <c r="C13775" s="12"/>
    </row>
    <row r="13776" spans="2:3">
      <c r="B13776" s="12"/>
      <c r="C13776" s="12"/>
    </row>
    <row r="13777" spans="2:3">
      <c r="B13777" s="12"/>
      <c r="C13777" s="12"/>
    </row>
    <row r="13778" spans="2:3">
      <c r="B13778" s="12"/>
      <c r="C13778" s="12"/>
    </row>
    <row r="13779" spans="2:3">
      <c r="B13779" s="12"/>
      <c r="C13779" s="12"/>
    </row>
    <row r="13780" spans="2:3">
      <c r="B13780" s="12"/>
      <c r="C13780" s="12"/>
    </row>
    <row r="13781" spans="2:3">
      <c r="B13781" s="12"/>
      <c r="C13781" s="12"/>
    </row>
    <row r="13782" spans="2:3">
      <c r="B13782" s="12"/>
      <c r="C13782" s="12"/>
    </row>
    <row r="13783" spans="2:3">
      <c r="B13783" s="12"/>
      <c r="C13783" s="12"/>
    </row>
    <row r="13784" spans="2:3">
      <c r="B13784" s="12"/>
      <c r="C13784" s="12"/>
    </row>
    <row r="13785" spans="2:3">
      <c r="B13785" s="12"/>
      <c r="C13785" s="12"/>
    </row>
    <row r="13786" spans="2:3">
      <c r="B13786" s="12"/>
      <c r="C13786" s="12"/>
    </row>
    <row r="13787" spans="2:3">
      <c r="B13787" s="12"/>
      <c r="C13787" s="12"/>
    </row>
    <row r="13788" spans="2:3">
      <c r="B13788" s="12"/>
      <c r="C13788" s="12"/>
    </row>
    <row r="13789" spans="2:3">
      <c r="B13789" s="12"/>
      <c r="C13789" s="12"/>
    </row>
    <row r="13790" spans="2:3">
      <c r="B13790" s="12"/>
      <c r="C13790" s="12"/>
    </row>
    <row r="13791" spans="2:3">
      <c r="B13791" s="12"/>
      <c r="C13791" s="12"/>
    </row>
    <row r="13792" spans="2:3">
      <c r="B13792" s="12"/>
      <c r="C13792" s="12"/>
    </row>
    <row r="13793" spans="2:3">
      <c r="B13793" s="12"/>
      <c r="C13793" s="12"/>
    </row>
    <row r="13794" spans="2:3">
      <c r="B13794" s="12"/>
      <c r="C13794" s="12"/>
    </row>
    <row r="13795" spans="2:3">
      <c r="B13795" s="12"/>
      <c r="C13795" s="12"/>
    </row>
    <row r="13796" spans="2:3">
      <c r="B13796" s="12"/>
      <c r="C13796" s="12"/>
    </row>
    <row r="13797" spans="2:3">
      <c r="B13797" s="12"/>
      <c r="C13797" s="12"/>
    </row>
    <row r="13798" spans="2:3">
      <c r="B13798" s="12"/>
      <c r="C13798" s="12"/>
    </row>
    <row r="13799" spans="2:3">
      <c r="B13799" s="12"/>
      <c r="C13799" s="12"/>
    </row>
    <row r="13800" spans="2:3">
      <c r="B13800" s="12"/>
      <c r="C13800" s="12"/>
    </row>
    <row r="13801" spans="2:3">
      <c r="B13801" s="12"/>
      <c r="C13801" s="12"/>
    </row>
    <row r="13802" spans="2:3">
      <c r="B13802" s="12"/>
      <c r="C13802" s="12"/>
    </row>
    <row r="13803" spans="2:3">
      <c r="B13803" s="12"/>
      <c r="C13803" s="12"/>
    </row>
    <row r="13804" spans="2:3">
      <c r="B13804" s="12"/>
      <c r="C13804" s="12"/>
    </row>
    <row r="13805" spans="2:3">
      <c r="B13805" s="12"/>
      <c r="C13805" s="12"/>
    </row>
    <row r="13806" spans="2:3">
      <c r="B13806" s="12"/>
      <c r="C13806" s="12"/>
    </row>
    <row r="13807" spans="2:3">
      <c r="B13807" s="12"/>
      <c r="C13807" s="12"/>
    </row>
    <row r="13808" spans="2:3">
      <c r="B13808" s="12"/>
      <c r="C13808" s="12"/>
    </row>
    <row r="13809" spans="2:3">
      <c r="B13809" s="12"/>
      <c r="C13809" s="12"/>
    </row>
    <row r="13810" spans="2:3">
      <c r="B13810" s="12"/>
      <c r="C13810" s="12"/>
    </row>
    <row r="13811" spans="2:3">
      <c r="B13811" s="12"/>
      <c r="C13811" s="12"/>
    </row>
    <row r="13812" spans="2:3">
      <c r="B13812" s="12"/>
      <c r="C13812" s="12"/>
    </row>
    <row r="13813" spans="2:3">
      <c r="B13813" s="12"/>
      <c r="C13813" s="12"/>
    </row>
    <row r="13814" spans="2:3">
      <c r="B13814" s="12"/>
      <c r="C13814" s="12"/>
    </row>
    <row r="13815" spans="2:3">
      <c r="B13815" s="12"/>
      <c r="C13815" s="12"/>
    </row>
    <row r="13816" spans="2:3">
      <c r="B13816" s="12"/>
      <c r="C13816" s="12"/>
    </row>
    <row r="13817" spans="2:3">
      <c r="B13817" s="12"/>
      <c r="C13817" s="12"/>
    </row>
    <row r="13818" spans="2:3">
      <c r="B13818" s="12"/>
      <c r="C13818" s="12"/>
    </row>
    <row r="13819" spans="2:3">
      <c r="B13819" s="12"/>
      <c r="C13819" s="12"/>
    </row>
    <row r="13820" spans="2:3">
      <c r="B13820" s="12"/>
      <c r="C13820" s="12"/>
    </row>
    <row r="13821" spans="2:3">
      <c r="B13821" s="12"/>
      <c r="C13821" s="12"/>
    </row>
    <row r="13822" spans="2:3">
      <c r="B13822" s="12"/>
      <c r="C13822" s="12"/>
    </row>
    <row r="13823" spans="2:3">
      <c r="B13823" s="12"/>
      <c r="C13823" s="12"/>
    </row>
    <row r="13824" spans="2:3">
      <c r="B13824" s="12"/>
      <c r="C13824" s="12"/>
    </row>
    <row r="13825" spans="2:3">
      <c r="B13825" s="12"/>
      <c r="C13825" s="12"/>
    </row>
    <row r="13826" spans="2:3">
      <c r="B13826" s="12"/>
      <c r="C13826" s="12"/>
    </row>
    <row r="13827" spans="2:3">
      <c r="B13827" s="12"/>
      <c r="C13827" s="12"/>
    </row>
    <row r="13828" spans="2:3">
      <c r="B13828" s="12"/>
      <c r="C13828" s="12"/>
    </row>
    <row r="13829" spans="2:3">
      <c r="B13829" s="12"/>
      <c r="C13829" s="12"/>
    </row>
    <row r="13830" spans="2:3">
      <c r="B13830" s="12"/>
      <c r="C13830" s="12"/>
    </row>
    <row r="13831" spans="2:3">
      <c r="B13831" s="12"/>
      <c r="C13831" s="12"/>
    </row>
    <row r="13832" spans="2:3">
      <c r="B13832" s="12"/>
      <c r="C13832" s="12"/>
    </row>
    <row r="13833" spans="2:3">
      <c r="B13833" s="12"/>
      <c r="C13833" s="12"/>
    </row>
    <row r="13834" spans="2:3">
      <c r="B13834" s="12"/>
      <c r="C13834" s="12"/>
    </row>
    <row r="13835" spans="2:3">
      <c r="B13835" s="12"/>
      <c r="C13835" s="12"/>
    </row>
    <row r="13836" spans="2:3">
      <c r="B13836" s="12"/>
      <c r="C13836" s="12"/>
    </row>
    <row r="13837" spans="2:3">
      <c r="B13837" s="12"/>
      <c r="C13837" s="12"/>
    </row>
    <row r="13838" spans="2:3">
      <c r="B13838" s="12"/>
      <c r="C13838" s="12"/>
    </row>
    <row r="13839" spans="2:3">
      <c r="B13839" s="12"/>
      <c r="C13839" s="12"/>
    </row>
    <row r="13840" spans="2:3">
      <c r="B13840" s="12"/>
      <c r="C13840" s="12"/>
    </row>
    <row r="13841" spans="2:3">
      <c r="B13841" s="12"/>
      <c r="C13841" s="12"/>
    </row>
    <row r="13842" spans="2:3">
      <c r="B13842" s="12"/>
      <c r="C13842" s="12"/>
    </row>
    <row r="13843" spans="2:3">
      <c r="B13843" s="12"/>
      <c r="C13843" s="12"/>
    </row>
    <row r="13844" spans="2:3">
      <c r="B13844" s="12"/>
      <c r="C13844" s="12"/>
    </row>
    <row r="13845" spans="2:3">
      <c r="B13845" s="12"/>
      <c r="C13845" s="12"/>
    </row>
    <row r="13846" spans="2:3">
      <c r="B13846" s="12"/>
      <c r="C13846" s="12"/>
    </row>
    <row r="13847" spans="2:3">
      <c r="B13847" s="12"/>
      <c r="C13847" s="12"/>
    </row>
    <row r="13848" spans="2:3">
      <c r="B13848" s="12"/>
      <c r="C13848" s="12"/>
    </row>
    <row r="13849" spans="2:3">
      <c r="B13849" s="12"/>
      <c r="C13849" s="12"/>
    </row>
    <row r="13850" spans="2:3">
      <c r="B13850" s="12"/>
      <c r="C13850" s="12"/>
    </row>
    <row r="13851" spans="2:3">
      <c r="B13851" s="12"/>
      <c r="C13851" s="12"/>
    </row>
    <row r="13852" spans="2:3">
      <c r="B13852" s="12"/>
      <c r="C13852" s="12"/>
    </row>
    <row r="13853" spans="2:3">
      <c r="B13853" s="12"/>
      <c r="C13853" s="12"/>
    </row>
    <row r="13854" spans="2:3">
      <c r="B13854" s="12"/>
      <c r="C13854" s="12"/>
    </row>
    <row r="13855" spans="2:3">
      <c r="B13855" s="12"/>
      <c r="C13855" s="12"/>
    </row>
    <row r="13856" spans="2:3">
      <c r="B13856" s="12"/>
      <c r="C13856" s="12"/>
    </row>
    <row r="13857" spans="2:3">
      <c r="B13857" s="12"/>
      <c r="C13857" s="12"/>
    </row>
    <row r="13858" spans="2:3">
      <c r="B13858" s="12"/>
      <c r="C13858" s="12"/>
    </row>
    <row r="13859" spans="2:3">
      <c r="B13859" s="12"/>
      <c r="C13859" s="12"/>
    </row>
    <row r="13860" spans="2:3">
      <c r="B13860" s="12"/>
      <c r="C13860" s="12"/>
    </row>
    <row r="13861" spans="2:3">
      <c r="B13861" s="12"/>
      <c r="C13861" s="12"/>
    </row>
    <row r="13862" spans="2:3">
      <c r="B13862" s="12"/>
      <c r="C13862" s="12"/>
    </row>
    <row r="13863" spans="2:3">
      <c r="B13863" s="12"/>
      <c r="C13863" s="12"/>
    </row>
    <row r="13864" spans="2:3">
      <c r="B13864" s="12"/>
      <c r="C13864" s="12"/>
    </row>
    <row r="13865" spans="2:3">
      <c r="B13865" s="12"/>
      <c r="C13865" s="12"/>
    </row>
    <row r="13866" spans="2:3">
      <c r="B13866" s="12"/>
      <c r="C13866" s="12"/>
    </row>
    <row r="13867" spans="2:3">
      <c r="B13867" s="12"/>
      <c r="C13867" s="12"/>
    </row>
    <row r="13868" spans="2:3">
      <c r="B13868" s="12"/>
      <c r="C13868" s="12"/>
    </row>
    <row r="13869" spans="2:3">
      <c r="B13869" s="12"/>
      <c r="C13869" s="12"/>
    </row>
    <row r="13870" spans="2:3">
      <c r="B13870" s="12"/>
      <c r="C13870" s="12"/>
    </row>
    <row r="13871" spans="2:3">
      <c r="B13871" s="12"/>
      <c r="C13871" s="12"/>
    </row>
    <row r="13872" spans="2:3">
      <c r="B13872" s="12"/>
      <c r="C13872" s="12"/>
    </row>
    <row r="13873" spans="2:3">
      <c r="B13873" s="12"/>
      <c r="C13873" s="12"/>
    </row>
    <row r="13874" spans="2:3">
      <c r="B13874" s="12"/>
      <c r="C13874" s="12"/>
    </row>
    <row r="13875" spans="2:3">
      <c r="B13875" s="12"/>
      <c r="C13875" s="12"/>
    </row>
    <row r="13876" spans="2:3">
      <c r="B13876" s="12"/>
      <c r="C13876" s="12"/>
    </row>
    <row r="13877" spans="2:3">
      <c r="B13877" s="12"/>
      <c r="C13877" s="12"/>
    </row>
    <row r="13878" spans="2:3">
      <c r="B13878" s="12"/>
      <c r="C13878" s="12"/>
    </row>
    <row r="13879" spans="2:3">
      <c r="B13879" s="12"/>
      <c r="C13879" s="12"/>
    </row>
    <row r="13880" spans="2:3">
      <c r="B13880" s="12"/>
      <c r="C13880" s="12"/>
    </row>
    <row r="13881" spans="2:3">
      <c r="B13881" s="12"/>
      <c r="C13881" s="12"/>
    </row>
    <row r="13882" spans="2:3">
      <c r="B13882" s="12"/>
      <c r="C13882" s="12"/>
    </row>
    <row r="13883" spans="2:3">
      <c r="B13883" s="12"/>
      <c r="C13883" s="12"/>
    </row>
    <row r="13884" spans="2:3">
      <c r="B13884" s="12"/>
      <c r="C13884" s="12"/>
    </row>
    <row r="13885" spans="2:3">
      <c r="B13885" s="12"/>
      <c r="C13885" s="12"/>
    </row>
    <row r="13886" spans="2:3">
      <c r="B13886" s="12"/>
      <c r="C13886" s="12"/>
    </row>
    <row r="13887" spans="2:3">
      <c r="B13887" s="12"/>
      <c r="C13887" s="12"/>
    </row>
    <row r="13888" spans="2:3">
      <c r="B13888" s="12"/>
      <c r="C13888" s="12"/>
    </row>
    <row r="13889" spans="2:3">
      <c r="B13889" s="12"/>
      <c r="C13889" s="12"/>
    </row>
    <row r="13890" spans="2:3">
      <c r="B13890" s="12"/>
      <c r="C13890" s="12"/>
    </row>
    <row r="13891" spans="2:3">
      <c r="B13891" s="12"/>
      <c r="C13891" s="12"/>
    </row>
    <row r="13892" spans="2:3">
      <c r="B13892" s="12"/>
      <c r="C13892" s="12"/>
    </row>
    <row r="13893" spans="2:3">
      <c r="B13893" s="12"/>
      <c r="C13893" s="12"/>
    </row>
    <row r="13894" spans="2:3">
      <c r="B13894" s="12"/>
      <c r="C13894" s="12"/>
    </row>
    <row r="13895" spans="2:3">
      <c r="B13895" s="12"/>
      <c r="C13895" s="12"/>
    </row>
    <row r="13896" spans="2:3">
      <c r="B13896" s="12"/>
      <c r="C13896" s="12"/>
    </row>
    <row r="13897" spans="2:3">
      <c r="B13897" s="12"/>
      <c r="C13897" s="12"/>
    </row>
    <row r="13898" spans="2:3">
      <c r="B13898" s="12"/>
      <c r="C13898" s="12"/>
    </row>
    <row r="13899" spans="2:3">
      <c r="B13899" s="12"/>
      <c r="C13899" s="12"/>
    </row>
    <row r="13900" spans="2:3">
      <c r="B13900" s="12"/>
      <c r="C13900" s="12"/>
    </row>
    <row r="13901" spans="2:3">
      <c r="B13901" s="12"/>
      <c r="C13901" s="12"/>
    </row>
    <row r="13902" spans="2:3">
      <c r="B13902" s="12"/>
      <c r="C13902" s="12"/>
    </row>
    <row r="13903" spans="2:3">
      <c r="B13903" s="12"/>
      <c r="C13903" s="12"/>
    </row>
    <row r="13904" spans="2:3">
      <c r="B13904" s="12"/>
      <c r="C13904" s="12"/>
    </row>
    <row r="13905" spans="2:3">
      <c r="B13905" s="12"/>
      <c r="C13905" s="12"/>
    </row>
    <row r="13906" spans="2:3">
      <c r="B13906" s="12"/>
      <c r="C13906" s="12"/>
    </row>
    <row r="13907" spans="2:3">
      <c r="B13907" s="12"/>
      <c r="C13907" s="12"/>
    </row>
    <row r="13908" spans="2:3">
      <c r="B13908" s="12"/>
      <c r="C13908" s="12"/>
    </row>
    <row r="13909" spans="2:3">
      <c r="B13909" s="12"/>
      <c r="C13909" s="12"/>
    </row>
    <row r="13910" spans="2:3">
      <c r="B13910" s="12"/>
      <c r="C13910" s="12"/>
    </row>
    <row r="13911" spans="2:3">
      <c r="B13911" s="12"/>
      <c r="C13911" s="12"/>
    </row>
    <row r="13912" spans="2:3">
      <c r="B13912" s="12"/>
      <c r="C13912" s="12"/>
    </row>
    <row r="13913" spans="2:3">
      <c r="B13913" s="12"/>
      <c r="C13913" s="12"/>
    </row>
    <row r="13914" spans="2:3">
      <c r="B13914" s="12"/>
      <c r="C13914" s="12"/>
    </row>
    <row r="13915" spans="2:3">
      <c r="B13915" s="12"/>
      <c r="C13915" s="12"/>
    </row>
    <row r="13916" spans="2:3">
      <c r="B13916" s="12"/>
      <c r="C13916" s="12"/>
    </row>
    <row r="13917" spans="2:3">
      <c r="B13917" s="12"/>
      <c r="C13917" s="12"/>
    </row>
    <row r="13918" spans="2:3">
      <c r="B13918" s="12"/>
      <c r="C13918" s="12"/>
    </row>
    <row r="13919" spans="2:3">
      <c r="B13919" s="12"/>
      <c r="C13919" s="12"/>
    </row>
    <row r="13920" spans="2:3">
      <c r="B13920" s="12"/>
      <c r="C13920" s="12"/>
    </row>
    <row r="13921" spans="2:3">
      <c r="B13921" s="12"/>
      <c r="C13921" s="12"/>
    </row>
    <row r="13922" spans="2:3">
      <c r="B13922" s="12"/>
      <c r="C13922" s="12"/>
    </row>
    <row r="13923" spans="2:3">
      <c r="B13923" s="12"/>
      <c r="C13923" s="12"/>
    </row>
    <row r="13924" spans="2:3">
      <c r="B13924" s="12"/>
      <c r="C13924" s="12"/>
    </row>
    <row r="13925" spans="2:3">
      <c r="B13925" s="12"/>
      <c r="C13925" s="12"/>
    </row>
    <row r="13926" spans="2:3">
      <c r="B13926" s="12"/>
      <c r="C13926" s="12"/>
    </row>
    <row r="13927" spans="2:3">
      <c r="B13927" s="12"/>
      <c r="C13927" s="12"/>
    </row>
    <row r="13928" spans="2:3">
      <c r="B13928" s="12"/>
      <c r="C13928" s="12"/>
    </row>
    <row r="13929" spans="2:3">
      <c r="B13929" s="12"/>
      <c r="C13929" s="12"/>
    </row>
    <row r="13930" spans="2:3">
      <c r="B13930" s="12"/>
      <c r="C13930" s="12"/>
    </row>
    <row r="13931" spans="2:3">
      <c r="B13931" s="12"/>
      <c r="C13931" s="12"/>
    </row>
    <row r="13932" spans="2:3">
      <c r="B13932" s="12"/>
      <c r="C13932" s="12"/>
    </row>
    <row r="13933" spans="2:3">
      <c r="B13933" s="12"/>
      <c r="C13933" s="12"/>
    </row>
    <row r="13934" spans="2:3">
      <c r="B13934" s="12"/>
      <c r="C13934" s="12"/>
    </row>
    <row r="13935" spans="2:3">
      <c r="B13935" s="12"/>
      <c r="C13935" s="12"/>
    </row>
    <row r="13936" spans="2:3">
      <c r="B13936" s="12"/>
      <c r="C13936" s="12"/>
    </row>
    <row r="13937" spans="2:3">
      <c r="B13937" s="12"/>
      <c r="C13937" s="12"/>
    </row>
    <row r="13938" spans="2:3">
      <c r="B13938" s="12"/>
      <c r="C13938" s="12"/>
    </row>
    <row r="13939" spans="2:3">
      <c r="B13939" s="12"/>
      <c r="C13939" s="12"/>
    </row>
    <row r="13940" spans="2:3">
      <c r="B13940" s="12"/>
      <c r="C13940" s="12"/>
    </row>
    <row r="13941" spans="2:3">
      <c r="B13941" s="12"/>
      <c r="C13941" s="12"/>
    </row>
    <row r="13942" spans="2:3">
      <c r="B13942" s="12"/>
      <c r="C13942" s="12"/>
    </row>
    <row r="13943" spans="2:3">
      <c r="B13943" s="12"/>
      <c r="C13943" s="12"/>
    </row>
    <row r="13944" spans="2:3">
      <c r="B13944" s="12"/>
      <c r="C13944" s="12"/>
    </row>
    <row r="13945" spans="2:3">
      <c r="B13945" s="12"/>
      <c r="C13945" s="12"/>
    </row>
    <row r="13946" spans="2:3">
      <c r="B13946" s="12"/>
      <c r="C13946" s="12"/>
    </row>
    <row r="13947" spans="2:3">
      <c r="B13947" s="12"/>
      <c r="C13947" s="12"/>
    </row>
    <row r="13948" spans="2:3">
      <c r="B13948" s="12"/>
      <c r="C13948" s="12"/>
    </row>
    <row r="13949" spans="2:3">
      <c r="B13949" s="12"/>
      <c r="C13949" s="12"/>
    </row>
    <row r="13950" spans="2:3">
      <c r="B13950" s="12"/>
      <c r="C13950" s="12"/>
    </row>
    <row r="13951" spans="2:3">
      <c r="B13951" s="12"/>
      <c r="C13951" s="12"/>
    </row>
    <row r="13952" spans="2:3">
      <c r="B13952" s="12"/>
      <c r="C13952" s="12"/>
    </row>
    <row r="13953" spans="2:3">
      <c r="B13953" s="12"/>
      <c r="C13953" s="12"/>
    </row>
    <row r="13954" spans="2:3">
      <c r="B13954" s="12"/>
      <c r="C13954" s="12"/>
    </row>
    <row r="13955" spans="2:3">
      <c r="B13955" s="12"/>
      <c r="C13955" s="12"/>
    </row>
    <row r="13956" spans="2:3">
      <c r="B13956" s="12"/>
      <c r="C13956" s="12"/>
    </row>
    <row r="13957" spans="2:3">
      <c r="B13957" s="12"/>
      <c r="C13957" s="12"/>
    </row>
    <row r="13958" spans="2:3">
      <c r="B13958" s="12"/>
      <c r="C13958" s="12"/>
    </row>
    <row r="13959" spans="2:3">
      <c r="B13959" s="12"/>
      <c r="C13959" s="12"/>
    </row>
    <row r="13960" spans="2:3">
      <c r="B13960" s="12"/>
      <c r="C13960" s="12"/>
    </row>
    <row r="13961" spans="2:3">
      <c r="B13961" s="12"/>
      <c r="C13961" s="12"/>
    </row>
    <row r="13962" spans="2:3">
      <c r="B13962" s="12"/>
      <c r="C13962" s="12"/>
    </row>
    <row r="13963" spans="2:3">
      <c r="B13963" s="12"/>
      <c r="C13963" s="12"/>
    </row>
    <row r="13964" spans="2:3">
      <c r="B13964" s="12"/>
      <c r="C13964" s="12"/>
    </row>
    <row r="13965" spans="2:3">
      <c r="B13965" s="12"/>
      <c r="C13965" s="12"/>
    </row>
    <row r="13966" spans="2:3">
      <c r="B13966" s="12"/>
      <c r="C13966" s="12"/>
    </row>
    <row r="13967" spans="2:3">
      <c r="B13967" s="12"/>
      <c r="C13967" s="12"/>
    </row>
    <row r="13968" spans="2:3">
      <c r="B13968" s="12"/>
      <c r="C13968" s="12"/>
    </row>
    <row r="13969" spans="2:3">
      <c r="B13969" s="12"/>
      <c r="C13969" s="12"/>
    </row>
    <row r="13970" spans="2:3">
      <c r="B13970" s="12"/>
      <c r="C13970" s="12"/>
    </row>
    <row r="13971" spans="2:3">
      <c r="B13971" s="12"/>
      <c r="C13971" s="12"/>
    </row>
    <row r="13972" spans="2:3">
      <c r="B13972" s="12"/>
      <c r="C13972" s="12"/>
    </row>
    <row r="13973" spans="2:3">
      <c r="B13973" s="12"/>
      <c r="C13973" s="12"/>
    </row>
    <row r="13974" spans="2:3">
      <c r="B13974" s="12"/>
      <c r="C13974" s="12"/>
    </row>
    <row r="13975" spans="2:3">
      <c r="B13975" s="12"/>
      <c r="C13975" s="12"/>
    </row>
    <row r="13976" spans="2:3">
      <c r="B13976" s="12"/>
      <c r="C13976" s="12"/>
    </row>
    <row r="13977" spans="2:3">
      <c r="B13977" s="12"/>
      <c r="C13977" s="12"/>
    </row>
    <row r="13978" spans="2:3">
      <c r="B13978" s="12"/>
      <c r="C13978" s="12"/>
    </row>
    <row r="13979" spans="2:3">
      <c r="B13979" s="12"/>
      <c r="C13979" s="12"/>
    </row>
    <row r="13980" spans="2:3">
      <c r="B13980" s="12"/>
      <c r="C13980" s="12"/>
    </row>
    <row r="13981" spans="2:3">
      <c r="B13981" s="12"/>
      <c r="C13981" s="12"/>
    </row>
    <row r="13982" spans="2:3">
      <c r="B13982" s="12"/>
      <c r="C13982" s="12"/>
    </row>
    <row r="13983" spans="2:3">
      <c r="B13983" s="12"/>
      <c r="C13983" s="12"/>
    </row>
    <row r="13984" spans="2:3">
      <c r="B13984" s="12"/>
      <c r="C13984" s="12"/>
    </row>
    <row r="13985" spans="2:3">
      <c r="B13985" s="12"/>
      <c r="C13985" s="12"/>
    </row>
    <row r="13986" spans="2:3">
      <c r="B13986" s="12"/>
      <c r="C13986" s="12"/>
    </row>
    <row r="13987" spans="2:3">
      <c r="B13987" s="12"/>
      <c r="C13987" s="12"/>
    </row>
    <row r="13988" spans="2:3">
      <c r="B13988" s="12"/>
      <c r="C13988" s="12"/>
    </row>
    <row r="13989" spans="2:3">
      <c r="B13989" s="12"/>
      <c r="C13989" s="12"/>
    </row>
    <row r="13990" spans="2:3">
      <c r="B13990" s="12"/>
      <c r="C13990" s="12"/>
    </row>
    <row r="13991" spans="2:3">
      <c r="B13991" s="12"/>
      <c r="C13991" s="12"/>
    </row>
    <row r="13992" spans="2:3">
      <c r="B13992" s="12"/>
      <c r="C13992" s="12"/>
    </row>
    <row r="13993" spans="2:3">
      <c r="B13993" s="12"/>
      <c r="C13993" s="12"/>
    </row>
    <row r="13994" spans="2:3">
      <c r="B13994" s="12"/>
      <c r="C13994" s="12"/>
    </row>
    <row r="13995" spans="2:3">
      <c r="B13995" s="12"/>
      <c r="C13995" s="12"/>
    </row>
    <row r="13996" spans="2:3">
      <c r="B13996" s="12"/>
      <c r="C13996" s="12"/>
    </row>
    <row r="13997" spans="2:3">
      <c r="B13997" s="12"/>
      <c r="C13997" s="12"/>
    </row>
    <row r="13998" spans="2:3">
      <c r="B13998" s="12"/>
      <c r="C13998" s="12"/>
    </row>
    <row r="13999" spans="2:3">
      <c r="B13999" s="12"/>
      <c r="C13999" s="12"/>
    </row>
    <row r="14000" spans="2:3">
      <c r="B14000" s="12"/>
      <c r="C14000" s="12"/>
    </row>
    <row r="14001" spans="2:3">
      <c r="B14001" s="12"/>
      <c r="C14001" s="12"/>
    </row>
    <row r="14002" spans="2:3">
      <c r="B14002" s="12"/>
      <c r="C14002" s="12"/>
    </row>
    <row r="14003" spans="2:3">
      <c r="B14003" s="12"/>
      <c r="C14003" s="12"/>
    </row>
    <row r="14004" spans="2:3">
      <c r="B14004" s="12"/>
      <c r="C14004" s="12"/>
    </row>
    <row r="14005" spans="2:3">
      <c r="B14005" s="12"/>
      <c r="C14005" s="12"/>
    </row>
    <row r="14006" spans="2:3">
      <c r="B14006" s="12"/>
      <c r="C14006" s="12"/>
    </row>
    <row r="14007" spans="2:3">
      <c r="B14007" s="12"/>
      <c r="C14007" s="12"/>
    </row>
    <row r="14008" spans="2:3">
      <c r="B14008" s="12"/>
      <c r="C14008" s="12"/>
    </row>
    <row r="14009" spans="2:3">
      <c r="B14009" s="12"/>
      <c r="C14009" s="12"/>
    </row>
    <row r="14010" spans="2:3">
      <c r="B14010" s="12"/>
      <c r="C14010" s="12"/>
    </row>
    <row r="14011" spans="2:3">
      <c r="B14011" s="12"/>
      <c r="C14011" s="12"/>
    </row>
    <row r="14012" spans="2:3">
      <c r="B14012" s="12"/>
      <c r="C14012" s="12"/>
    </row>
    <row r="14013" spans="2:3">
      <c r="B14013" s="12"/>
      <c r="C14013" s="12"/>
    </row>
    <row r="14014" spans="2:3">
      <c r="B14014" s="12"/>
      <c r="C14014" s="12"/>
    </row>
    <row r="14015" spans="2:3">
      <c r="B14015" s="12"/>
      <c r="C14015" s="12"/>
    </row>
    <row r="14016" spans="2:3">
      <c r="B14016" s="12"/>
      <c r="C14016" s="12"/>
    </row>
    <row r="14017" spans="2:3">
      <c r="B14017" s="12"/>
      <c r="C14017" s="12"/>
    </row>
    <row r="14018" spans="2:3">
      <c r="B14018" s="12"/>
      <c r="C14018" s="12"/>
    </row>
    <row r="14019" spans="2:3">
      <c r="B14019" s="12"/>
      <c r="C14019" s="12"/>
    </row>
    <row r="14020" spans="2:3">
      <c r="B14020" s="12"/>
      <c r="C14020" s="12"/>
    </row>
    <row r="14021" spans="2:3">
      <c r="B14021" s="12"/>
      <c r="C14021" s="12"/>
    </row>
    <row r="14022" spans="2:3">
      <c r="B14022" s="12"/>
      <c r="C14022" s="12"/>
    </row>
    <row r="14023" spans="2:3">
      <c r="B14023" s="12"/>
      <c r="C14023" s="12"/>
    </row>
    <row r="14024" spans="2:3">
      <c r="B14024" s="12"/>
      <c r="C14024" s="12"/>
    </row>
    <row r="14025" spans="2:3">
      <c r="B14025" s="12"/>
      <c r="C14025" s="12"/>
    </row>
    <row r="14026" spans="2:3">
      <c r="B14026" s="12"/>
      <c r="C14026" s="12"/>
    </row>
    <row r="14027" spans="2:3">
      <c r="B14027" s="12"/>
      <c r="C14027" s="12"/>
    </row>
    <row r="14028" spans="2:3">
      <c r="B14028" s="12"/>
      <c r="C14028" s="12"/>
    </row>
    <row r="14029" spans="2:3">
      <c r="B14029" s="12"/>
      <c r="C14029" s="12"/>
    </row>
    <row r="14030" spans="2:3">
      <c r="B14030" s="12"/>
      <c r="C14030" s="12"/>
    </row>
    <row r="14031" spans="2:3">
      <c r="B14031" s="12"/>
      <c r="C14031" s="12"/>
    </row>
    <row r="14032" spans="2:3">
      <c r="B14032" s="12"/>
      <c r="C14032" s="12"/>
    </row>
    <row r="14033" spans="2:3">
      <c r="B14033" s="12"/>
      <c r="C14033" s="12"/>
    </row>
    <row r="14034" spans="2:3">
      <c r="B14034" s="12"/>
      <c r="C14034" s="12"/>
    </row>
    <row r="14035" spans="2:3">
      <c r="B14035" s="12"/>
      <c r="C14035" s="12"/>
    </row>
    <row r="14036" spans="2:3">
      <c r="B14036" s="12"/>
      <c r="C14036" s="12"/>
    </row>
    <row r="14037" spans="2:3">
      <c r="B14037" s="12"/>
      <c r="C14037" s="12"/>
    </row>
    <row r="14038" spans="2:3">
      <c r="B14038" s="12"/>
      <c r="C14038" s="12"/>
    </row>
    <row r="14039" spans="2:3">
      <c r="B14039" s="12"/>
      <c r="C14039" s="12"/>
    </row>
    <row r="14040" spans="2:3">
      <c r="B14040" s="12"/>
      <c r="C14040" s="12"/>
    </row>
    <row r="14041" spans="2:3">
      <c r="B14041" s="12"/>
      <c r="C14041" s="12"/>
    </row>
    <row r="14042" spans="2:3">
      <c r="B14042" s="12"/>
      <c r="C14042" s="12"/>
    </row>
    <row r="14043" spans="2:3">
      <c r="B14043" s="12"/>
      <c r="C14043" s="12"/>
    </row>
    <row r="14044" spans="2:3">
      <c r="B14044" s="12"/>
      <c r="C14044" s="12"/>
    </row>
    <row r="14045" spans="2:3">
      <c r="B14045" s="12"/>
      <c r="C14045" s="12"/>
    </row>
    <row r="14046" spans="2:3">
      <c r="B14046" s="12"/>
      <c r="C14046" s="12"/>
    </row>
    <row r="14047" spans="2:3">
      <c r="B14047" s="12"/>
      <c r="C14047" s="12"/>
    </row>
    <row r="14048" spans="2:3">
      <c r="B14048" s="12"/>
      <c r="C14048" s="12"/>
    </row>
    <row r="14049" spans="2:3">
      <c r="B14049" s="12"/>
      <c r="C14049" s="12"/>
    </row>
    <row r="14050" spans="2:3">
      <c r="B14050" s="12"/>
      <c r="C14050" s="12"/>
    </row>
    <row r="14051" spans="2:3">
      <c r="B14051" s="12"/>
      <c r="C14051" s="12"/>
    </row>
    <row r="14052" spans="2:3">
      <c r="B14052" s="12"/>
      <c r="C14052" s="12"/>
    </row>
    <row r="14053" spans="2:3">
      <c r="B14053" s="12"/>
      <c r="C14053" s="12"/>
    </row>
    <row r="14054" spans="2:3">
      <c r="B14054" s="12"/>
      <c r="C14054" s="12"/>
    </row>
    <row r="14055" spans="2:3">
      <c r="B14055" s="12"/>
      <c r="C14055" s="12"/>
    </row>
    <row r="14056" spans="2:3">
      <c r="B14056" s="12"/>
      <c r="C14056" s="12"/>
    </row>
    <row r="14057" spans="2:3">
      <c r="B14057" s="12"/>
      <c r="C14057" s="12"/>
    </row>
    <row r="14058" spans="2:3">
      <c r="B14058" s="12"/>
      <c r="C14058" s="12"/>
    </row>
    <row r="14059" spans="2:3">
      <c r="B14059" s="12"/>
      <c r="C14059" s="12"/>
    </row>
    <row r="14060" spans="2:3">
      <c r="B14060" s="12"/>
      <c r="C14060" s="12"/>
    </row>
    <row r="14061" spans="2:3">
      <c r="B14061" s="12"/>
      <c r="C14061" s="12"/>
    </row>
    <row r="14062" spans="2:3">
      <c r="B14062" s="12"/>
      <c r="C14062" s="12"/>
    </row>
    <row r="14063" spans="2:3">
      <c r="B14063" s="12"/>
      <c r="C14063" s="12"/>
    </row>
    <row r="14064" spans="2:3">
      <c r="B14064" s="12"/>
      <c r="C14064" s="12"/>
    </row>
    <row r="14065" spans="2:3">
      <c r="B14065" s="12"/>
      <c r="C14065" s="12"/>
    </row>
    <row r="14066" spans="2:3">
      <c r="B14066" s="12"/>
      <c r="C14066" s="12"/>
    </row>
    <row r="14067" spans="2:3">
      <c r="B14067" s="12"/>
      <c r="C14067" s="12"/>
    </row>
    <row r="14068" spans="2:3">
      <c r="B14068" s="12"/>
      <c r="C14068" s="12"/>
    </row>
    <row r="14069" spans="2:3">
      <c r="B14069" s="12"/>
      <c r="C14069" s="12"/>
    </row>
    <row r="14070" spans="2:3">
      <c r="B14070" s="12"/>
      <c r="C14070" s="12"/>
    </row>
    <row r="14071" spans="2:3">
      <c r="B14071" s="12"/>
      <c r="C14071" s="12"/>
    </row>
    <row r="14072" spans="2:3">
      <c r="B14072" s="12"/>
      <c r="C14072" s="12"/>
    </row>
    <row r="14073" spans="2:3">
      <c r="B14073" s="12"/>
      <c r="C14073" s="12"/>
    </row>
    <row r="14074" spans="2:3">
      <c r="B14074" s="12"/>
      <c r="C14074" s="12"/>
    </row>
    <row r="14075" spans="2:3">
      <c r="B14075" s="12"/>
      <c r="C14075" s="12"/>
    </row>
    <row r="14076" spans="2:3">
      <c r="B14076" s="12"/>
      <c r="C14076" s="12"/>
    </row>
    <row r="14077" spans="2:3">
      <c r="B14077" s="12"/>
      <c r="C14077" s="12"/>
    </row>
    <row r="14078" spans="2:3">
      <c r="B14078" s="12"/>
      <c r="C14078" s="12"/>
    </row>
    <row r="14079" spans="2:3">
      <c r="B14079" s="12"/>
      <c r="C14079" s="12"/>
    </row>
    <row r="14080" spans="2:3">
      <c r="B14080" s="12"/>
      <c r="C14080" s="12"/>
    </row>
    <row r="14081" spans="2:3">
      <c r="B14081" s="12"/>
      <c r="C14081" s="12"/>
    </row>
    <row r="14082" spans="2:3">
      <c r="B14082" s="12"/>
      <c r="C14082" s="12"/>
    </row>
    <row r="14083" spans="2:3">
      <c r="B14083" s="12"/>
      <c r="C14083" s="12"/>
    </row>
    <row r="14084" spans="2:3">
      <c r="B14084" s="12"/>
      <c r="C14084" s="12"/>
    </row>
    <row r="14085" spans="2:3">
      <c r="B14085" s="12"/>
      <c r="C14085" s="12"/>
    </row>
    <row r="14086" spans="2:3">
      <c r="B14086" s="12"/>
      <c r="C14086" s="12"/>
    </row>
    <row r="14087" spans="2:3">
      <c r="B14087" s="12"/>
      <c r="C14087" s="12"/>
    </row>
    <row r="14088" spans="2:3">
      <c r="B14088" s="12"/>
      <c r="C14088" s="12"/>
    </row>
    <row r="14089" spans="2:3">
      <c r="B14089" s="12"/>
      <c r="C14089" s="12"/>
    </row>
    <row r="14090" spans="2:3">
      <c r="B14090" s="12"/>
      <c r="C14090" s="12"/>
    </row>
    <row r="14091" spans="2:3">
      <c r="B14091" s="12"/>
      <c r="C14091" s="12"/>
    </row>
    <row r="14092" spans="2:3">
      <c r="B14092" s="12"/>
      <c r="C14092" s="12"/>
    </row>
    <row r="14093" spans="2:3">
      <c r="B14093" s="12"/>
      <c r="C14093" s="12"/>
    </row>
    <row r="14094" spans="2:3">
      <c r="B14094" s="12"/>
      <c r="C14094" s="12"/>
    </row>
    <row r="14095" spans="2:3">
      <c r="B14095" s="12"/>
      <c r="C14095" s="12"/>
    </row>
    <row r="14096" spans="2:3">
      <c r="B14096" s="12"/>
      <c r="C14096" s="12"/>
    </row>
    <row r="14097" spans="2:3">
      <c r="B14097" s="12"/>
      <c r="C14097" s="12"/>
    </row>
    <row r="14098" spans="2:3">
      <c r="B14098" s="12"/>
      <c r="C14098" s="12"/>
    </row>
    <row r="14099" spans="2:3">
      <c r="B14099" s="12"/>
      <c r="C14099" s="12"/>
    </row>
    <row r="14100" spans="2:3">
      <c r="B14100" s="12"/>
      <c r="C14100" s="12"/>
    </row>
    <row r="14101" spans="2:3">
      <c r="B14101" s="12"/>
      <c r="C14101" s="12"/>
    </row>
    <row r="14102" spans="2:3">
      <c r="B14102" s="12"/>
      <c r="C14102" s="12"/>
    </row>
    <row r="14103" spans="2:3">
      <c r="B14103" s="12"/>
      <c r="C14103" s="12"/>
    </row>
    <row r="14104" spans="2:3">
      <c r="B14104" s="12"/>
      <c r="C14104" s="12"/>
    </row>
    <row r="14105" spans="2:3">
      <c r="B14105" s="12"/>
      <c r="C14105" s="12"/>
    </row>
    <row r="14106" spans="2:3">
      <c r="B14106" s="12"/>
      <c r="C14106" s="12"/>
    </row>
    <row r="14107" spans="2:3">
      <c r="B14107" s="12"/>
      <c r="C14107" s="12"/>
    </row>
    <row r="14108" spans="2:3">
      <c r="B14108" s="12"/>
      <c r="C14108" s="12"/>
    </row>
    <row r="14109" spans="2:3">
      <c r="B14109" s="12"/>
      <c r="C14109" s="12"/>
    </row>
    <row r="14110" spans="2:3">
      <c r="B14110" s="12"/>
      <c r="C14110" s="12"/>
    </row>
    <row r="14111" spans="2:3">
      <c r="B14111" s="12"/>
      <c r="C14111" s="12"/>
    </row>
    <row r="14112" spans="2:3">
      <c r="B14112" s="12"/>
      <c r="C14112" s="12"/>
    </row>
    <row r="14113" spans="2:3">
      <c r="B14113" s="12"/>
      <c r="C14113" s="12"/>
    </row>
    <row r="14114" spans="2:3">
      <c r="B14114" s="12"/>
      <c r="C14114" s="12"/>
    </row>
    <row r="14115" spans="2:3">
      <c r="B14115" s="12"/>
      <c r="C14115" s="12"/>
    </row>
    <row r="14116" spans="2:3">
      <c r="B14116" s="12"/>
      <c r="C14116" s="12"/>
    </row>
    <row r="14117" spans="2:3">
      <c r="B14117" s="12"/>
      <c r="C14117" s="12"/>
    </row>
    <row r="14118" spans="2:3">
      <c r="B14118" s="12"/>
      <c r="C14118" s="12"/>
    </row>
    <row r="14119" spans="2:3">
      <c r="B14119" s="12"/>
      <c r="C14119" s="12"/>
    </row>
    <row r="14120" spans="2:3">
      <c r="B14120" s="12"/>
      <c r="C14120" s="12"/>
    </row>
    <row r="14121" spans="2:3">
      <c r="B14121" s="12"/>
      <c r="C14121" s="12"/>
    </row>
    <row r="14122" spans="2:3">
      <c r="B14122" s="12"/>
      <c r="C14122" s="12"/>
    </row>
    <row r="14123" spans="2:3">
      <c r="B14123" s="12"/>
      <c r="C14123" s="12"/>
    </row>
    <row r="14124" spans="2:3">
      <c r="B14124" s="12"/>
      <c r="C14124" s="12"/>
    </row>
    <row r="14125" spans="2:3">
      <c r="B14125" s="12"/>
      <c r="C14125" s="12"/>
    </row>
    <row r="14126" spans="2:3">
      <c r="B14126" s="12"/>
      <c r="C14126" s="12"/>
    </row>
    <row r="14127" spans="2:3">
      <c r="B14127" s="12"/>
      <c r="C14127" s="12"/>
    </row>
    <row r="14128" spans="2:3">
      <c r="B14128" s="12"/>
      <c r="C14128" s="12"/>
    </row>
    <row r="14129" spans="2:3">
      <c r="B14129" s="12"/>
      <c r="C14129" s="12"/>
    </row>
    <row r="14130" spans="2:3">
      <c r="B14130" s="12"/>
      <c r="C14130" s="12"/>
    </row>
    <row r="14131" spans="2:3">
      <c r="B14131" s="12"/>
      <c r="C14131" s="12"/>
    </row>
    <row r="14132" spans="2:3">
      <c r="B14132" s="12"/>
      <c r="C14132" s="12"/>
    </row>
    <row r="14133" spans="2:3">
      <c r="B14133" s="12"/>
      <c r="C14133" s="12"/>
    </row>
    <row r="14134" spans="2:3">
      <c r="B14134" s="12"/>
      <c r="C14134" s="12"/>
    </row>
    <row r="14135" spans="2:3">
      <c r="B14135" s="12"/>
      <c r="C14135" s="12"/>
    </row>
    <row r="14136" spans="2:3">
      <c r="B14136" s="12"/>
      <c r="C14136" s="12"/>
    </row>
    <row r="14137" spans="2:3">
      <c r="B14137" s="12"/>
      <c r="C14137" s="12"/>
    </row>
    <row r="14138" spans="2:3">
      <c r="B14138" s="12"/>
      <c r="C14138" s="12"/>
    </row>
    <row r="14139" spans="2:3">
      <c r="B14139" s="12"/>
      <c r="C14139" s="12"/>
    </row>
    <row r="14140" spans="2:3">
      <c r="B14140" s="12"/>
      <c r="C14140" s="12"/>
    </row>
    <row r="14141" spans="2:3">
      <c r="B14141" s="12"/>
      <c r="C14141" s="12"/>
    </row>
    <row r="14142" spans="2:3">
      <c r="B14142" s="12"/>
      <c r="C14142" s="12"/>
    </row>
    <row r="14143" spans="2:3">
      <c r="B14143" s="12"/>
      <c r="C14143" s="12"/>
    </row>
    <row r="14144" spans="2:3">
      <c r="B14144" s="12"/>
      <c r="C14144" s="12"/>
    </row>
    <row r="14145" spans="2:3">
      <c r="B14145" s="12"/>
      <c r="C14145" s="12"/>
    </row>
    <row r="14146" spans="2:3">
      <c r="B14146" s="12"/>
      <c r="C14146" s="12"/>
    </row>
    <row r="14147" spans="2:3">
      <c r="B14147" s="12"/>
      <c r="C14147" s="12"/>
    </row>
    <row r="14148" spans="2:3">
      <c r="B14148" s="12"/>
      <c r="C14148" s="12"/>
    </row>
    <row r="14149" spans="2:3">
      <c r="B14149" s="12"/>
      <c r="C14149" s="12"/>
    </row>
    <row r="14150" spans="2:3">
      <c r="B14150" s="12"/>
      <c r="C14150" s="12"/>
    </row>
    <row r="14151" spans="2:3">
      <c r="B14151" s="12"/>
      <c r="C14151" s="12"/>
    </row>
    <row r="14152" spans="2:3">
      <c r="B14152" s="12"/>
      <c r="C14152" s="12"/>
    </row>
    <row r="14153" spans="2:3">
      <c r="B14153" s="12"/>
      <c r="C14153" s="12"/>
    </row>
    <row r="14154" spans="2:3">
      <c r="B14154" s="12"/>
      <c r="C14154" s="12"/>
    </row>
    <row r="14155" spans="2:3">
      <c r="B14155" s="12"/>
      <c r="C14155" s="12"/>
    </row>
    <row r="14156" spans="2:3">
      <c r="B14156" s="12"/>
      <c r="C14156" s="12"/>
    </row>
    <row r="14157" spans="2:3">
      <c r="B14157" s="12"/>
      <c r="C14157" s="12"/>
    </row>
    <row r="14158" spans="2:3">
      <c r="B14158" s="12"/>
      <c r="C14158" s="12"/>
    </row>
    <row r="14159" spans="2:3">
      <c r="B14159" s="12"/>
      <c r="C14159" s="12"/>
    </row>
    <row r="14160" spans="2:3">
      <c r="B14160" s="12"/>
      <c r="C14160" s="12"/>
    </row>
    <row r="14161" spans="2:3">
      <c r="B14161" s="12"/>
      <c r="C14161" s="12"/>
    </row>
    <row r="14162" spans="2:3">
      <c r="B14162" s="12"/>
      <c r="C14162" s="12"/>
    </row>
    <row r="14163" spans="2:3">
      <c r="B14163" s="12"/>
      <c r="C14163" s="12"/>
    </row>
    <row r="14164" spans="2:3">
      <c r="B14164" s="12"/>
      <c r="C14164" s="12"/>
    </row>
    <row r="14165" spans="2:3">
      <c r="B14165" s="12"/>
      <c r="C14165" s="12"/>
    </row>
    <row r="14166" spans="2:3">
      <c r="B14166" s="12"/>
      <c r="C14166" s="12"/>
    </row>
    <row r="14167" spans="2:3">
      <c r="B14167" s="12"/>
      <c r="C14167" s="12"/>
    </row>
    <row r="14168" spans="2:3">
      <c r="B14168" s="12"/>
      <c r="C14168" s="12"/>
    </row>
    <row r="14169" spans="2:3">
      <c r="B14169" s="12"/>
      <c r="C14169" s="12"/>
    </row>
    <row r="14170" spans="2:3">
      <c r="B14170" s="12"/>
      <c r="C14170" s="12"/>
    </row>
    <row r="14171" spans="2:3">
      <c r="B14171" s="12"/>
      <c r="C14171" s="12"/>
    </row>
    <row r="14172" spans="2:3">
      <c r="B14172" s="12"/>
      <c r="C14172" s="12"/>
    </row>
    <row r="14173" spans="2:3">
      <c r="B14173" s="12"/>
      <c r="C14173" s="12"/>
    </row>
    <row r="14174" spans="2:3">
      <c r="B14174" s="12"/>
      <c r="C14174" s="12"/>
    </row>
    <row r="14175" spans="2:3">
      <c r="B14175" s="12"/>
      <c r="C14175" s="12"/>
    </row>
    <row r="14176" spans="2:3">
      <c r="B14176" s="12"/>
      <c r="C14176" s="12"/>
    </row>
    <row r="14177" spans="2:3">
      <c r="B14177" s="12"/>
      <c r="C14177" s="12"/>
    </row>
    <row r="14178" spans="2:3">
      <c r="B14178" s="12"/>
      <c r="C14178" s="12"/>
    </row>
    <row r="14179" spans="2:3">
      <c r="B14179" s="12"/>
      <c r="C14179" s="12"/>
    </row>
    <row r="14180" spans="2:3">
      <c r="B14180" s="12"/>
      <c r="C14180" s="12"/>
    </row>
    <row r="14181" spans="2:3">
      <c r="B14181" s="12"/>
      <c r="C14181" s="12"/>
    </row>
    <row r="14182" spans="2:3">
      <c r="B14182" s="12"/>
      <c r="C14182" s="12"/>
    </row>
    <row r="14183" spans="2:3">
      <c r="B14183" s="12"/>
      <c r="C14183" s="12"/>
    </row>
    <row r="14184" spans="2:3">
      <c r="B14184" s="12"/>
      <c r="C14184" s="12"/>
    </row>
    <row r="14185" spans="2:3">
      <c r="B14185" s="12"/>
      <c r="C14185" s="12"/>
    </row>
    <row r="14186" spans="2:3">
      <c r="B14186" s="12"/>
      <c r="C14186" s="12"/>
    </row>
    <row r="14187" spans="2:3">
      <c r="B14187" s="12"/>
      <c r="C14187" s="12"/>
    </row>
    <row r="14188" spans="2:3">
      <c r="B14188" s="12"/>
      <c r="C14188" s="12"/>
    </row>
    <row r="14189" spans="2:3">
      <c r="B14189" s="12"/>
      <c r="C14189" s="12"/>
    </row>
    <row r="14190" spans="2:3">
      <c r="B14190" s="12"/>
      <c r="C14190" s="12"/>
    </row>
    <row r="14191" spans="2:3">
      <c r="B14191" s="12"/>
      <c r="C14191" s="12"/>
    </row>
    <row r="14192" spans="2:3">
      <c r="B14192" s="12"/>
      <c r="C14192" s="12"/>
    </row>
    <row r="14193" spans="2:3">
      <c r="B14193" s="12"/>
      <c r="C14193" s="12"/>
    </row>
    <row r="14194" spans="2:3">
      <c r="B14194" s="12"/>
      <c r="C14194" s="12"/>
    </row>
    <row r="14195" spans="2:3">
      <c r="B14195" s="12"/>
      <c r="C14195" s="12"/>
    </row>
    <row r="14196" spans="2:3">
      <c r="B14196" s="12"/>
      <c r="C14196" s="12"/>
    </row>
    <row r="14197" spans="2:3">
      <c r="B14197" s="12"/>
      <c r="C14197" s="12"/>
    </row>
    <row r="14198" spans="2:3">
      <c r="B14198" s="12"/>
      <c r="C14198" s="12"/>
    </row>
    <row r="14199" spans="2:3">
      <c r="B14199" s="12"/>
      <c r="C14199" s="12"/>
    </row>
    <row r="14200" spans="2:3">
      <c r="B14200" s="12"/>
      <c r="C14200" s="12"/>
    </row>
    <row r="14201" spans="2:3">
      <c r="B14201" s="12"/>
      <c r="C14201" s="12"/>
    </row>
    <row r="14202" spans="2:3">
      <c r="B14202" s="12"/>
      <c r="C14202" s="12"/>
    </row>
    <row r="14203" spans="2:3">
      <c r="B14203" s="12"/>
      <c r="C14203" s="12"/>
    </row>
    <row r="14204" spans="2:3">
      <c r="B14204" s="12"/>
      <c r="C14204" s="12"/>
    </row>
    <row r="14205" spans="2:3">
      <c r="B14205" s="12"/>
      <c r="C14205" s="12"/>
    </row>
    <row r="14206" spans="2:3">
      <c r="B14206" s="12"/>
      <c r="C14206" s="12"/>
    </row>
    <row r="14207" spans="2:3">
      <c r="B14207" s="12"/>
      <c r="C14207" s="12"/>
    </row>
    <row r="14208" spans="2:3">
      <c r="B14208" s="12"/>
      <c r="C14208" s="12"/>
    </row>
    <row r="14209" spans="2:3">
      <c r="B14209" s="12"/>
      <c r="C14209" s="12"/>
    </row>
    <row r="14210" spans="2:3">
      <c r="B14210" s="12"/>
      <c r="C14210" s="12"/>
    </row>
    <row r="14211" spans="2:3">
      <c r="B14211" s="12"/>
      <c r="C14211" s="12"/>
    </row>
    <row r="14212" spans="2:3">
      <c r="B14212" s="12"/>
      <c r="C14212" s="12"/>
    </row>
    <row r="14213" spans="2:3">
      <c r="B14213" s="12"/>
      <c r="C14213" s="12"/>
    </row>
    <row r="14214" spans="2:3">
      <c r="B14214" s="12"/>
      <c r="C14214" s="12"/>
    </row>
    <row r="14215" spans="2:3">
      <c r="B14215" s="12"/>
      <c r="C14215" s="12"/>
    </row>
    <row r="14216" spans="2:3">
      <c r="B14216" s="12"/>
      <c r="C14216" s="12"/>
    </row>
    <row r="14217" spans="2:3">
      <c r="B14217" s="12"/>
      <c r="C14217" s="12"/>
    </row>
    <row r="14218" spans="2:3">
      <c r="B14218" s="12"/>
      <c r="C14218" s="12"/>
    </row>
    <row r="14219" spans="2:3">
      <c r="B14219" s="12"/>
      <c r="C14219" s="12"/>
    </row>
    <row r="14220" spans="2:3">
      <c r="B14220" s="12"/>
      <c r="C14220" s="12"/>
    </row>
    <row r="14221" spans="2:3">
      <c r="B14221" s="12"/>
      <c r="C14221" s="12"/>
    </row>
    <row r="14222" spans="2:3">
      <c r="B14222" s="12"/>
      <c r="C14222" s="12"/>
    </row>
    <row r="14223" spans="2:3">
      <c r="B14223" s="12"/>
      <c r="C14223" s="12"/>
    </row>
    <row r="14224" spans="2:3">
      <c r="B14224" s="12"/>
      <c r="C14224" s="12"/>
    </row>
    <row r="14225" spans="2:3">
      <c r="B14225" s="12"/>
      <c r="C14225" s="12"/>
    </row>
    <row r="14226" spans="2:3">
      <c r="B14226" s="12"/>
      <c r="C14226" s="12"/>
    </row>
    <row r="14227" spans="2:3">
      <c r="B14227" s="12"/>
      <c r="C14227" s="12"/>
    </row>
    <row r="14228" spans="2:3">
      <c r="B14228" s="12"/>
      <c r="C14228" s="12"/>
    </row>
    <row r="14229" spans="2:3">
      <c r="B14229" s="12"/>
      <c r="C14229" s="12"/>
    </row>
    <row r="14230" spans="2:3">
      <c r="B14230" s="12"/>
      <c r="C14230" s="12"/>
    </row>
    <row r="14231" spans="2:3">
      <c r="B14231" s="12"/>
      <c r="C14231" s="12"/>
    </row>
    <row r="14232" spans="2:3">
      <c r="B14232" s="12"/>
      <c r="C14232" s="12"/>
    </row>
    <row r="14233" spans="2:3">
      <c r="B14233" s="12"/>
      <c r="C14233" s="12"/>
    </row>
    <row r="14234" spans="2:3">
      <c r="B14234" s="12"/>
      <c r="C14234" s="12"/>
    </row>
    <row r="14235" spans="2:3">
      <c r="B14235" s="12"/>
      <c r="C14235" s="12"/>
    </row>
    <row r="14236" spans="2:3">
      <c r="B14236" s="12"/>
      <c r="C14236" s="12"/>
    </row>
    <row r="14237" spans="2:3">
      <c r="B14237" s="12"/>
      <c r="C14237" s="12"/>
    </row>
    <row r="14238" spans="2:3">
      <c r="B14238" s="12"/>
      <c r="C14238" s="12"/>
    </row>
    <row r="14239" spans="2:3">
      <c r="B14239" s="12"/>
      <c r="C14239" s="12"/>
    </row>
    <row r="14240" spans="2:3">
      <c r="B14240" s="12"/>
      <c r="C14240" s="12"/>
    </row>
    <row r="14241" spans="2:3">
      <c r="B14241" s="12"/>
      <c r="C14241" s="12"/>
    </row>
    <row r="14242" spans="2:3">
      <c r="B14242" s="12"/>
      <c r="C14242" s="12"/>
    </row>
    <row r="14243" spans="2:3">
      <c r="B14243" s="12"/>
      <c r="C14243" s="12"/>
    </row>
    <row r="14244" spans="2:3">
      <c r="B14244" s="12"/>
      <c r="C14244" s="12"/>
    </row>
    <row r="14245" spans="2:3">
      <c r="B14245" s="12"/>
      <c r="C14245" s="12"/>
    </row>
    <row r="14246" spans="2:3">
      <c r="B14246" s="12"/>
      <c r="C14246" s="12"/>
    </row>
    <row r="14247" spans="2:3">
      <c r="B14247" s="12"/>
      <c r="C14247" s="12"/>
    </row>
    <row r="14248" spans="2:3">
      <c r="B14248" s="12"/>
      <c r="C14248" s="12"/>
    </row>
    <row r="14249" spans="2:3">
      <c r="B14249" s="12"/>
      <c r="C14249" s="12"/>
    </row>
    <row r="14250" spans="2:3">
      <c r="B14250" s="12"/>
      <c r="C14250" s="12"/>
    </row>
    <row r="14251" spans="2:3">
      <c r="B14251" s="12"/>
      <c r="C14251" s="12"/>
    </row>
    <row r="14252" spans="2:3">
      <c r="B14252" s="12"/>
      <c r="C14252" s="12"/>
    </row>
    <row r="14253" spans="2:3">
      <c r="B14253" s="12"/>
      <c r="C14253" s="12"/>
    </row>
    <row r="14254" spans="2:3">
      <c r="B14254" s="12"/>
      <c r="C14254" s="12"/>
    </row>
    <row r="14255" spans="2:3">
      <c r="B14255" s="12"/>
      <c r="C14255" s="12"/>
    </row>
    <row r="14256" spans="2:3">
      <c r="B14256" s="12"/>
      <c r="C14256" s="12"/>
    </row>
    <row r="14257" spans="2:3">
      <c r="B14257" s="12"/>
      <c r="C14257" s="12"/>
    </row>
    <row r="14258" spans="2:3">
      <c r="B14258" s="12"/>
      <c r="C14258" s="12"/>
    </row>
    <row r="14259" spans="2:3">
      <c r="B14259" s="12"/>
      <c r="C14259" s="12"/>
    </row>
    <row r="14260" spans="2:3">
      <c r="B14260" s="12"/>
      <c r="C14260" s="12"/>
    </row>
    <row r="14261" spans="2:3">
      <c r="B14261" s="12"/>
      <c r="C14261" s="12"/>
    </row>
    <row r="14262" spans="2:3">
      <c r="B14262" s="12"/>
      <c r="C14262" s="12"/>
    </row>
    <row r="14263" spans="2:3">
      <c r="B14263" s="12"/>
      <c r="C14263" s="12"/>
    </row>
    <row r="14264" spans="2:3">
      <c r="B14264" s="12"/>
      <c r="C14264" s="12"/>
    </row>
    <row r="14265" spans="2:3">
      <c r="B14265" s="12"/>
      <c r="C14265" s="12"/>
    </row>
    <row r="14266" spans="2:3">
      <c r="B14266" s="12"/>
      <c r="C14266" s="12"/>
    </row>
    <row r="14267" spans="2:3">
      <c r="B14267" s="12"/>
      <c r="C14267" s="12"/>
    </row>
    <row r="14268" spans="2:3">
      <c r="B14268" s="12"/>
      <c r="C14268" s="12"/>
    </row>
    <row r="14269" spans="2:3">
      <c r="B14269" s="12"/>
      <c r="C14269" s="12"/>
    </row>
    <row r="14270" spans="2:3">
      <c r="B14270" s="12"/>
      <c r="C14270" s="12"/>
    </row>
    <row r="14271" spans="2:3">
      <c r="B14271" s="12"/>
      <c r="C14271" s="12"/>
    </row>
    <row r="14272" spans="2:3">
      <c r="B14272" s="12"/>
      <c r="C14272" s="12"/>
    </row>
    <row r="14273" spans="2:3">
      <c r="B14273" s="12"/>
      <c r="C14273" s="12"/>
    </row>
    <row r="14274" spans="2:3">
      <c r="B14274" s="12"/>
      <c r="C14274" s="12"/>
    </row>
    <row r="14275" spans="2:3">
      <c r="B14275" s="12"/>
      <c r="C14275" s="12"/>
    </row>
    <row r="14276" spans="2:3">
      <c r="B14276" s="12"/>
      <c r="C14276" s="12"/>
    </row>
    <row r="14277" spans="2:3">
      <c r="B14277" s="12"/>
      <c r="C14277" s="12"/>
    </row>
    <row r="14278" spans="2:3">
      <c r="B14278" s="12"/>
      <c r="C14278" s="12"/>
    </row>
    <row r="14279" spans="2:3">
      <c r="B14279" s="12"/>
      <c r="C14279" s="12"/>
    </row>
    <row r="14280" spans="2:3">
      <c r="B14280" s="12"/>
      <c r="C14280" s="12"/>
    </row>
    <row r="14281" spans="2:3">
      <c r="B14281" s="12"/>
      <c r="C14281" s="12"/>
    </row>
    <row r="14282" spans="2:3">
      <c r="B14282" s="12"/>
      <c r="C14282" s="12"/>
    </row>
    <row r="14283" spans="2:3">
      <c r="B14283" s="12"/>
      <c r="C14283" s="12"/>
    </row>
    <row r="14284" spans="2:3">
      <c r="B14284" s="12"/>
      <c r="C14284" s="12"/>
    </row>
    <row r="14285" spans="2:3">
      <c r="B14285" s="12"/>
      <c r="C14285" s="12"/>
    </row>
    <row r="14286" spans="2:3">
      <c r="B14286" s="12"/>
      <c r="C14286" s="12"/>
    </row>
    <row r="14287" spans="2:3">
      <c r="B14287" s="12"/>
      <c r="C14287" s="12"/>
    </row>
    <row r="14288" spans="2:3">
      <c r="B14288" s="12"/>
      <c r="C14288" s="12"/>
    </row>
    <row r="14289" spans="2:3">
      <c r="B14289" s="12"/>
      <c r="C14289" s="12"/>
    </row>
    <row r="14290" spans="2:3">
      <c r="B14290" s="12"/>
      <c r="C14290" s="12"/>
    </row>
    <row r="14291" spans="2:3">
      <c r="B14291" s="12"/>
      <c r="C14291" s="12"/>
    </row>
    <row r="14292" spans="2:3">
      <c r="B14292" s="12"/>
      <c r="C14292" s="12"/>
    </row>
    <row r="14293" spans="2:3">
      <c r="B14293" s="12"/>
      <c r="C14293" s="12"/>
    </row>
    <row r="14294" spans="2:3">
      <c r="B14294" s="12"/>
      <c r="C14294" s="12"/>
    </row>
    <row r="14295" spans="2:3">
      <c r="B14295" s="12"/>
      <c r="C14295" s="12"/>
    </row>
    <row r="14296" spans="2:3">
      <c r="B14296" s="12"/>
      <c r="C14296" s="12"/>
    </row>
    <row r="14297" spans="2:3">
      <c r="B14297" s="12"/>
      <c r="C14297" s="12"/>
    </row>
    <row r="14298" spans="2:3">
      <c r="B14298" s="12"/>
      <c r="C14298" s="12"/>
    </row>
    <row r="14299" spans="2:3">
      <c r="B14299" s="12"/>
      <c r="C14299" s="12"/>
    </row>
    <row r="14300" spans="2:3">
      <c r="B14300" s="12"/>
      <c r="C14300" s="12"/>
    </row>
    <row r="14301" spans="2:3">
      <c r="B14301" s="12"/>
      <c r="C14301" s="12"/>
    </row>
    <row r="14302" spans="2:3">
      <c r="B14302" s="12"/>
      <c r="C14302" s="12"/>
    </row>
    <row r="14303" spans="2:3">
      <c r="B14303" s="12"/>
      <c r="C14303" s="12"/>
    </row>
    <row r="14304" spans="2:3">
      <c r="B14304" s="12"/>
      <c r="C14304" s="12"/>
    </row>
    <row r="14305" spans="2:3">
      <c r="B14305" s="12"/>
      <c r="C14305" s="12"/>
    </row>
    <row r="14306" spans="2:3">
      <c r="B14306" s="12"/>
      <c r="C14306" s="12"/>
    </row>
    <row r="14307" spans="2:3">
      <c r="B14307" s="12"/>
      <c r="C14307" s="12"/>
    </row>
    <row r="14308" spans="2:3">
      <c r="B14308" s="12"/>
      <c r="C14308" s="12"/>
    </row>
    <row r="14309" spans="2:3">
      <c r="B14309" s="12"/>
      <c r="C14309" s="12"/>
    </row>
    <row r="14310" spans="2:3">
      <c r="B14310" s="12"/>
      <c r="C14310" s="12"/>
    </row>
    <row r="14311" spans="2:3">
      <c r="B14311" s="12"/>
      <c r="C14311" s="12"/>
    </row>
    <row r="14312" spans="2:3">
      <c r="B14312" s="12"/>
      <c r="C14312" s="12"/>
    </row>
    <row r="14313" spans="2:3">
      <c r="B14313" s="12"/>
      <c r="C14313" s="12"/>
    </row>
    <row r="14314" spans="2:3">
      <c r="B14314" s="12"/>
      <c r="C14314" s="12"/>
    </row>
    <row r="14315" spans="2:3">
      <c r="B14315" s="12"/>
      <c r="C14315" s="12"/>
    </row>
    <row r="14316" spans="2:3">
      <c r="B14316" s="12"/>
      <c r="C14316" s="12"/>
    </row>
    <row r="14317" spans="2:3">
      <c r="B14317" s="12"/>
      <c r="C14317" s="12"/>
    </row>
    <row r="14318" spans="2:3">
      <c r="B14318" s="12"/>
      <c r="C14318" s="12"/>
    </row>
    <row r="14319" spans="2:3">
      <c r="B14319" s="12"/>
      <c r="C14319" s="12"/>
    </row>
    <row r="14320" spans="2:3">
      <c r="B14320" s="12"/>
      <c r="C14320" s="12"/>
    </row>
    <row r="14321" spans="2:3">
      <c r="B14321" s="12"/>
      <c r="C14321" s="12"/>
    </row>
    <row r="14322" spans="2:3">
      <c r="B14322" s="12"/>
      <c r="C14322" s="12"/>
    </row>
    <row r="14323" spans="2:3">
      <c r="B14323" s="12"/>
      <c r="C14323" s="12"/>
    </row>
    <row r="14324" spans="2:3">
      <c r="B14324" s="12"/>
      <c r="C14324" s="12"/>
    </row>
    <row r="14325" spans="2:3">
      <c r="B14325" s="12"/>
      <c r="C14325" s="12"/>
    </row>
    <row r="14326" spans="2:3">
      <c r="B14326" s="12"/>
      <c r="C14326" s="12"/>
    </row>
    <row r="14327" spans="2:3">
      <c r="B14327" s="12"/>
      <c r="C14327" s="12"/>
    </row>
    <row r="14328" spans="2:3">
      <c r="B14328" s="12"/>
      <c r="C14328" s="12"/>
    </row>
    <row r="14329" spans="2:3">
      <c r="B14329" s="12"/>
      <c r="C14329" s="12"/>
    </row>
    <row r="14330" spans="2:3">
      <c r="B14330" s="12"/>
      <c r="C14330" s="12"/>
    </row>
    <row r="14331" spans="2:3">
      <c r="B14331" s="12"/>
      <c r="C14331" s="12"/>
    </row>
    <row r="14332" spans="2:3">
      <c r="B14332" s="12"/>
      <c r="C14332" s="12"/>
    </row>
    <row r="14333" spans="2:3">
      <c r="B14333" s="12"/>
      <c r="C14333" s="12"/>
    </row>
    <row r="14334" spans="2:3">
      <c r="B14334" s="12"/>
      <c r="C14334" s="12"/>
    </row>
    <row r="14335" spans="2:3">
      <c r="B14335" s="12"/>
      <c r="C14335" s="12"/>
    </row>
    <row r="14336" spans="2:3">
      <c r="B14336" s="12"/>
      <c r="C14336" s="12"/>
    </row>
    <row r="14337" spans="2:3">
      <c r="B14337" s="12"/>
      <c r="C14337" s="12"/>
    </row>
    <row r="14338" spans="2:3">
      <c r="B14338" s="12"/>
      <c r="C14338" s="12"/>
    </row>
    <row r="14339" spans="2:3">
      <c r="B14339" s="12"/>
      <c r="C14339" s="12"/>
    </row>
    <row r="14340" spans="2:3">
      <c r="B14340" s="12"/>
      <c r="C14340" s="12"/>
    </row>
    <row r="14341" spans="2:3">
      <c r="B14341" s="12"/>
      <c r="C14341" s="12"/>
    </row>
    <row r="14342" spans="2:3">
      <c r="B14342" s="12"/>
      <c r="C14342" s="12"/>
    </row>
    <row r="14343" spans="2:3">
      <c r="B14343" s="12"/>
      <c r="C14343" s="12"/>
    </row>
    <row r="14344" spans="2:3">
      <c r="B14344" s="12"/>
      <c r="C14344" s="12"/>
    </row>
    <row r="14345" spans="2:3">
      <c r="B14345" s="12"/>
      <c r="C14345" s="12"/>
    </row>
    <row r="14346" spans="2:3">
      <c r="B14346" s="12"/>
      <c r="C14346" s="12"/>
    </row>
    <row r="14347" spans="2:3">
      <c r="B14347" s="12"/>
      <c r="C14347" s="12"/>
    </row>
    <row r="14348" spans="2:3">
      <c r="B14348" s="12"/>
      <c r="C14348" s="12"/>
    </row>
    <row r="14349" spans="2:3">
      <c r="B14349" s="12"/>
      <c r="C14349" s="12"/>
    </row>
    <row r="14350" spans="2:3">
      <c r="B14350" s="12"/>
      <c r="C14350" s="12"/>
    </row>
    <row r="14351" spans="2:3">
      <c r="B14351" s="12"/>
      <c r="C14351" s="12"/>
    </row>
    <row r="14352" spans="2:3">
      <c r="B14352" s="12"/>
      <c r="C14352" s="12"/>
    </row>
    <row r="14353" spans="2:3">
      <c r="B14353" s="12"/>
      <c r="C14353" s="12"/>
    </row>
    <row r="14354" spans="2:3">
      <c r="B14354" s="12"/>
      <c r="C14354" s="12"/>
    </row>
    <row r="14355" spans="2:3">
      <c r="B14355" s="12"/>
      <c r="C14355" s="12"/>
    </row>
    <row r="14356" spans="2:3">
      <c r="B14356" s="12"/>
      <c r="C14356" s="12"/>
    </row>
    <row r="14357" spans="2:3">
      <c r="B14357" s="12"/>
      <c r="C14357" s="12"/>
    </row>
    <row r="14358" spans="2:3">
      <c r="B14358" s="12"/>
      <c r="C14358" s="12"/>
    </row>
    <row r="14359" spans="2:3">
      <c r="B14359" s="12"/>
      <c r="C14359" s="12"/>
    </row>
    <row r="14360" spans="2:3">
      <c r="B14360" s="12"/>
      <c r="C14360" s="12"/>
    </row>
    <row r="14361" spans="2:3">
      <c r="B14361" s="12"/>
      <c r="C14361" s="12"/>
    </row>
    <row r="14362" spans="2:3">
      <c r="B14362" s="12"/>
      <c r="C14362" s="12"/>
    </row>
    <row r="14363" spans="2:3">
      <c r="B14363" s="12"/>
      <c r="C14363" s="12"/>
    </row>
    <row r="14364" spans="2:3">
      <c r="B14364" s="12"/>
      <c r="C14364" s="12"/>
    </row>
    <row r="14365" spans="2:3">
      <c r="B14365" s="12"/>
      <c r="C14365" s="12"/>
    </row>
    <row r="14366" spans="2:3">
      <c r="B14366" s="12"/>
      <c r="C14366" s="12"/>
    </row>
    <row r="14367" spans="2:3">
      <c r="B14367" s="12"/>
      <c r="C14367" s="12"/>
    </row>
    <row r="14368" spans="2:3">
      <c r="B14368" s="12"/>
      <c r="C14368" s="12"/>
    </row>
    <row r="14369" spans="2:3">
      <c r="B14369" s="12"/>
      <c r="C14369" s="12"/>
    </row>
    <row r="14370" spans="2:3">
      <c r="B14370" s="12"/>
      <c r="C14370" s="12"/>
    </row>
    <row r="14371" spans="2:3">
      <c r="B14371" s="12"/>
      <c r="C14371" s="12"/>
    </row>
    <row r="14372" spans="2:3">
      <c r="B14372" s="12"/>
      <c r="C14372" s="12"/>
    </row>
    <row r="14373" spans="2:3">
      <c r="B14373" s="12"/>
      <c r="C14373" s="12"/>
    </row>
    <row r="14374" spans="2:3">
      <c r="B14374" s="12"/>
      <c r="C14374" s="12"/>
    </row>
    <row r="14375" spans="2:3">
      <c r="B14375" s="12"/>
      <c r="C14375" s="12"/>
    </row>
    <row r="14376" spans="2:3">
      <c r="B14376" s="12"/>
      <c r="C14376" s="12"/>
    </row>
    <row r="14377" spans="2:3">
      <c r="B14377" s="12"/>
      <c r="C14377" s="12"/>
    </row>
    <row r="14378" spans="2:3">
      <c r="B14378" s="12"/>
      <c r="C14378" s="12"/>
    </row>
    <row r="14379" spans="2:3">
      <c r="B14379" s="12"/>
      <c r="C14379" s="12"/>
    </row>
    <row r="14380" spans="2:3">
      <c r="B14380" s="12"/>
      <c r="C14380" s="12"/>
    </row>
    <row r="14381" spans="2:3">
      <c r="B14381" s="12"/>
      <c r="C14381" s="12"/>
    </row>
    <row r="14382" spans="2:3">
      <c r="B14382" s="12"/>
      <c r="C14382" s="12"/>
    </row>
    <row r="14383" spans="2:3">
      <c r="B14383" s="12"/>
      <c r="C14383" s="12"/>
    </row>
    <row r="14384" spans="2:3">
      <c r="B14384" s="12"/>
      <c r="C14384" s="12"/>
    </row>
    <row r="14385" spans="2:3">
      <c r="B14385" s="12"/>
      <c r="C14385" s="12"/>
    </row>
    <row r="14386" spans="2:3">
      <c r="B14386" s="12"/>
      <c r="C14386" s="12"/>
    </row>
    <row r="14387" spans="2:3">
      <c r="B14387" s="12"/>
      <c r="C14387" s="12"/>
    </row>
    <row r="14388" spans="2:3">
      <c r="B14388" s="12"/>
      <c r="C14388" s="12"/>
    </row>
    <row r="14389" spans="2:3">
      <c r="B14389" s="12"/>
      <c r="C14389" s="12"/>
    </row>
    <row r="14390" spans="2:3">
      <c r="B14390" s="12"/>
      <c r="C14390" s="12"/>
    </row>
    <row r="14391" spans="2:3">
      <c r="B14391" s="12"/>
      <c r="C14391" s="12"/>
    </row>
    <row r="14392" spans="2:3">
      <c r="B14392" s="12"/>
      <c r="C14392" s="12"/>
    </row>
    <row r="14393" spans="2:3">
      <c r="B14393" s="12"/>
      <c r="C14393" s="12"/>
    </row>
    <row r="14394" spans="2:3">
      <c r="B14394" s="12"/>
      <c r="C14394" s="12"/>
    </row>
    <row r="14395" spans="2:3">
      <c r="B14395" s="12"/>
      <c r="C14395" s="12"/>
    </row>
    <row r="14396" spans="2:3">
      <c r="B14396" s="12"/>
      <c r="C14396" s="12"/>
    </row>
    <row r="14397" spans="2:3">
      <c r="B14397" s="12"/>
      <c r="C14397" s="12"/>
    </row>
    <row r="14398" spans="2:3">
      <c r="B14398" s="12"/>
      <c r="C14398" s="12"/>
    </row>
    <row r="14399" spans="2:3">
      <c r="B14399" s="12"/>
      <c r="C14399" s="12"/>
    </row>
    <row r="14400" spans="2:3">
      <c r="B14400" s="12"/>
      <c r="C14400" s="12"/>
    </row>
    <row r="14401" spans="2:3">
      <c r="B14401" s="12"/>
      <c r="C14401" s="12"/>
    </row>
    <row r="14402" spans="2:3">
      <c r="B14402" s="12"/>
      <c r="C14402" s="12"/>
    </row>
    <row r="14403" spans="2:3">
      <c r="B14403" s="12"/>
      <c r="C14403" s="12"/>
    </row>
    <row r="14404" spans="2:3">
      <c r="B14404" s="12"/>
      <c r="C14404" s="12"/>
    </row>
    <row r="14405" spans="2:3">
      <c r="B14405" s="12"/>
      <c r="C14405" s="12"/>
    </row>
    <row r="14406" spans="2:3">
      <c r="B14406" s="12"/>
      <c r="C14406" s="12"/>
    </row>
    <row r="14407" spans="2:3">
      <c r="B14407" s="12"/>
      <c r="C14407" s="12"/>
    </row>
    <row r="14408" spans="2:3">
      <c r="B14408" s="12"/>
      <c r="C14408" s="12"/>
    </row>
    <row r="14409" spans="2:3">
      <c r="B14409" s="12"/>
      <c r="C14409" s="12"/>
    </row>
    <row r="14410" spans="2:3">
      <c r="B14410" s="12"/>
      <c r="C14410" s="12"/>
    </row>
    <row r="14411" spans="2:3">
      <c r="B14411" s="12"/>
      <c r="C14411" s="12"/>
    </row>
    <row r="14412" spans="2:3">
      <c r="B14412" s="12"/>
      <c r="C14412" s="12"/>
    </row>
    <row r="14413" spans="2:3">
      <c r="B14413" s="12"/>
      <c r="C14413" s="12"/>
    </row>
    <row r="14414" spans="2:3">
      <c r="B14414" s="12"/>
      <c r="C14414" s="12"/>
    </row>
    <row r="14415" spans="2:3">
      <c r="B14415" s="12"/>
      <c r="C14415" s="12"/>
    </row>
    <row r="14416" spans="2:3">
      <c r="B14416" s="12"/>
      <c r="C14416" s="12"/>
    </row>
    <row r="14417" spans="2:3">
      <c r="B14417" s="12"/>
      <c r="C14417" s="12"/>
    </row>
    <row r="14418" spans="2:3">
      <c r="B14418" s="12"/>
      <c r="C14418" s="12"/>
    </row>
    <row r="14419" spans="2:3">
      <c r="B14419" s="12"/>
      <c r="C14419" s="12"/>
    </row>
    <row r="14420" spans="2:3">
      <c r="B14420" s="12"/>
      <c r="C14420" s="12"/>
    </row>
    <row r="14421" spans="2:3">
      <c r="B14421" s="12"/>
      <c r="C14421" s="12"/>
    </row>
    <row r="14422" spans="2:3">
      <c r="B14422" s="12"/>
      <c r="C14422" s="12"/>
    </row>
    <row r="14423" spans="2:3">
      <c r="B14423" s="12"/>
      <c r="C14423" s="12"/>
    </row>
    <row r="14424" spans="2:3">
      <c r="B14424" s="12"/>
      <c r="C14424" s="12"/>
    </row>
    <row r="14425" spans="2:3">
      <c r="B14425" s="12"/>
      <c r="C14425" s="12"/>
    </row>
    <row r="14426" spans="2:3">
      <c r="B14426" s="12"/>
      <c r="C14426" s="12"/>
    </row>
    <row r="14427" spans="2:3">
      <c r="B14427" s="12"/>
      <c r="C14427" s="12"/>
    </row>
    <row r="14428" spans="2:3">
      <c r="B14428" s="12"/>
      <c r="C14428" s="12"/>
    </row>
    <row r="14429" spans="2:3">
      <c r="B14429" s="12"/>
      <c r="C14429" s="12"/>
    </row>
    <row r="14430" spans="2:3">
      <c r="B14430" s="12"/>
      <c r="C14430" s="12"/>
    </row>
    <row r="14431" spans="2:3">
      <c r="B14431" s="12"/>
      <c r="C14431" s="12"/>
    </row>
    <row r="14432" spans="2:3">
      <c r="B14432" s="12"/>
      <c r="C14432" s="12"/>
    </row>
    <row r="14433" spans="2:3">
      <c r="B14433" s="12"/>
      <c r="C14433" s="12"/>
    </row>
    <row r="14434" spans="2:3">
      <c r="B14434" s="12"/>
      <c r="C14434" s="12"/>
    </row>
    <row r="14435" spans="2:3">
      <c r="B14435" s="12"/>
      <c r="C14435" s="12"/>
    </row>
    <row r="14436" spans="2:3">
      <c r="B14436" s="12"/>
      <c r="C14436" s="12"/>
    </row>
    <row r="14437" spans="2:3">
      <c r="B14437" s="12"/>
      <c r="C14437" s="12"/>
    </row>
    <row r="14438" spans="2:3">
      <c r="B14438" s="12"/>
      <c r="C14438" s="12"/>
    </row>
    <row r="14439" spans="2:3">
      <c r="B14439" s="12"/>
      <c r="C14439" s="12"/>
    </row>
    <row r="14440" spans="2:3">
      <c r="B14440" s="12"/>
      <c r="C14440" s="12"/>
    </row>
    <row r="14441" spans="2:3">
      <c r="B14441" s="12"/>
      <c r="C14441" s="12"/>
    </row>
    <row r="14442" spans="2:3">
      <c r="B14442" s="12"/>
      <c r="C14442" s="12"/>
    </row>
    <row r="14443" spans="2:3">
      <c r="B14443" s="12"/>
      <c r="C14443" s="12"/>
    </row>
    <row r="14444" spans="2:3">
      <c r="B14444" s="12"/>
      <c r="C14444" s="12"/>
    </row>
    <row r="14445" spans="2:3">
      <c r="B14445" s="12"/>
      <c r="C14445" s="12"/>
    </row>
    <row r="14446" spans="2:3">
      <c r="B14446" s="12"/>
      <c r="C14446" s="12"/>
    </row>
    <row r="14447" spans="2:3">
      <c r="B14447" s="12"/>
      <c r="C14447" s="12"/>
    </row>
    <row r="14448" spans="2:3">
      <c r="B14448" s="12"/>
      <c r="C14448" s="12"/>
    </row>
    <row r="14449" spans="2:3">
      <c r="B14449" s="12"/>
      <c r="C14449" s="12"/>
    </row>
    <row r="14450" spans="2:3">
      <c r="B14450" s="12"/>
      <c r="C14450" s="12"/>
    </row>
    <row r="14451" spans="2:3">
      <c r="B14451" s="12"/>
      <c r="C14451" s="12"/>
    </row>
    <row r="14452" spans="2:3">
      <c r="B14452" s="12"/>
      <c r="C14452" s="12"/>
    </row>
    <row r="14453" spans="2:3">
      <c r="B14453" s="12"/>
      <c r="C14453" s="12"/>
    </row>
    <row r="14454" spans="2:3">
      <c r="B14454" s="12"/>
      <c r="C14454" s="12"/>
    </row>
    <row r="14455" spans="2:3">
      <c r="B14455" s="12"/>
      <c r="C14455" s="12"/>
    </row>
    <row r="14456" spans="2:3">
      <c r="B14456" s="12"/>
      <c r="C14456" s="12"/>
    </row>
    <row r="14457" spans="2:3">
      <c r="B14457" s="12"/>
      <c r="C14457" s="12"/>
    </row>
    <row r="14458" spans="2:3">
      <c r="B14458" s="12"/>
      <c r="C14458" s="12"/>
    </row>
    <row r="14459" spans="2:3">
      <c r="B14459" s="12"/>
      <c r="C14459" s="12"/>
    </row>
    <row r="14460" spans="2:3">
      <c r="B14460" s="12"/>
      <c r="C14460" s="12"/>
    </row>
    <row r="14461" spans="2:3">
      <c r="B14461" s="12"/>
      <c r="C14461" s="12"/>
    </row>
    <row r="14462" spans="2:3">
      <c r="B14462" s="12"/>
      <c r="C14462" s="12"/>
    </row>
    <row r="14463" spans="2:3">
      <c r="B14463" s="12"/>
      <c r="C14463" s="12"/>
    </row>
    <row r="14464" spans="2:3">
      <c r="B14464" s="12"/>
      <c r="C14464" s="12"/>
    </row>
    <row r="14465" spans="2:3">
      <c r="B14465" s="12"/>
      <c r="C14465" s="12"/>
    </row>
    <row r="14466" spans="2:3">
      <c r="B14466" s="12"/>
      <c r="C14466" s="12"/>
    </row>
    <row r="14467" spans="2:3">
      <c r="B14467" s="12"/>
      <c r="C14467" s="12"/>
    </row>
    <row r="14468" spans="2:3">
      <c r="B14468" s="12"/>
      <c r="C14468" s="12"/>
    </row>
    <row r="14469" spans="2:3">
      <c r="B14469" s="12"/>
      <c r="C14469" s="12"/>
    </row>
    <row r="14470" spans="2:3">
      <c r="B14470" s="12"/>
      <c r="C14470" s="12"/>
    </row>
    <row r="14471" spans="2:3">
      <c r="B14471" s="12"/>
      <c r="C14471" s="12"/>
    </row>
    <row r="14472" spans="2:3">
      <c r="B14472" s="12"/>
      <c r="C14472" s="12"/>
    </row>
    <row r="14473" spans="2:3">
      <c r="B14473" s="12"/>
      <c r="C14473" s="12"/>
    </row>
    <row r="14474" spans="2:3">
      <c r="B14474" s="12"/>
      <c r="C14474" s="12"/>
    </row>
    <row r="14475" spans="2:3">
      <c r="B14475" s="12"/>
      <c r="C14475" s="12"/>
    </row>
    <row r="14476" spans="2:3">
      <c r="B14476" s="12"/>
      <c r="C14476" s="12"/>
    </row>
    <row r="14477" spans="2:3">
      <c r="B14477" s="12"/>
      <c r="C14477" s="12"/>
    </row>
    <row r="14478" spans="2:3">
      <c r="B14478" s="12"/>
      <c r="C14478" s="12"/>
    </row>
    <row r="14479" spans="2:3">
      <c r="B14479" s="12"/>
      <c r="C14479" s="12"/>
    </row>
    <row r="14480" spans="2:3">
      <c r="B14480" s="12"/>
      <c r="C14480" s="12"/>
    </row>
    <row r="14481" spans="2:3">
      <c r="B14481" s="12"/>
      <c r="C14481" s="12"/>
    </row>
    <row r="14482" spans="2:3">
      <c r="B14482" s="12"/>
      <c r="C14482" s="12"/>
    </row>
    <row r="14483" spans="2:3">
      <c r="B14483" s="12"/>
      <c r="C14483" s="12"/>
    </row>
    <row r="14484" spans="2:3">
      <c r="B14484" s="12"/>
      <c r="C14484" s="12"/>
    </row>
    <row r="14485" spans="2:3">
      <c r="B14485" s="12"/>
      <c r="C14485" s="12"/>
    </row>
    <row r="14486" spans="2:3">
      <c r="B14486" s="12"/>
      <c r="C14486" s="12"/>
    </row>
    <row r="14487" spans="2:3">
      <c r="B14487" s="12"/>
      <c r="C14487" s="12"/>
    </row>
    <row r="14488" spans="2:3">
      <c r="B14488" s="12"/>
      <c r="C14488" s="12"/>
    </row>
    <row r="14489" spans="2:3">
      <c r="B14489" s="12"/>
      <c r="C14489" s="12"/>
    </row>
    <row r="14490" spans="2:3">
      <c r="B14490" s="12"/>
      <c r="C14490" s="12"/>
    </row>
    <row r="14491" spans="2:3">
      <c r="B14491" s="12"/>
      <c r="C14491" s="12"/>
    </row>
    <row r="14492" spans="2:3">
      <c r="B14492" s="12"/>
      <c r="C14492" s="12"/>
    </row>
    <row r="14493" spans="2:3">
      <c r="B14493" s="12"/>
      <c r="C14493" s="12"/>
    </row>
    <row r="14494" spans="2:3">
      <c r="B14494" s="12"/>
      <c r="C14494" s="12"/>
    </row>
    <row r="14495" spans="2:3">
      <c r="B14495" s="12"/>
      <c r="C14495" s="12"/>
    </row>
    <row r="14496" spans="2:3">
      <c r="B14496" s="12"/>
      <c r="C14496" s="12"/>
    </row>
    <row r="14497" spans="2:3">
      <c r="B14497" s="12"/>
      <c r="C14497" s="12"/>
    </row>
    <row r="14498" spans="2:3">
      <c r="B14498" s="12"/>
      <c r="C14498" s="12"/>
    </row>
    <row r="14499" spans="2:3">
      <c r="B14499" s="12"/>
      <c r="C14499" s="12"/>
    </row>
    <row r="14500" spans="2:3">
      <c r="B14500" s="12"/>
      <c r="C14500" s="12"/>
    </row>
    <row r="14501" spans="2:3">
      <c r="B14501" s="12"/>
      <c r="C14501" s="12"/>
    </row>
    <row r="14502" spans="2:3">
      <c r="B14502" s="12"/>
      <c r="C14502" s="12"/>
    </row>
    <row r="14503" spans="2:3">
      <c r="B14503" s="12"/>
      <c r="C14503" s="12"/>
    </row>
    <row r="14504" spans="2:3">
      <c r="B14504" s="12"/>
      <c r="C14504" s="12"/>
    </row>
    <row r="14505" spans="2:3">
      <c r="B14505" s="12"/>
      <c r="C14505" s="12"/>
    </row>
    <row r="14506" spans="2:3">
      <c r="B14506" s="12"/>
      <c r="C14506" s="12"/>
    </row>
    <row r="14507" spans="2:3">
      <c r="B14507" s="12"/>
      <c r="C14507" s="12"/>
    </row>
    <row r="14508" spans="2:3">
      <c r="B14508" s="12"/>
      <c r="C14508" s="12"/>
    </row>
    <row r="14509" spans="2:3">
      <c r="B14509" s="12"/>
      <c r="C14509" s="12"/>
    </row>
    <row r="14510" spans="2:3">
      <c r="B14510" s="12"/>
      <c r="C14510" s="12"/>
    </row>
    <row r="14511" spans="2:3">
      <c r="B14511" s="12"/>
      <c r="C14511" s="12"/>
    </row>
    <row r="14512" spans="2:3">
      <c r="B14512" s="12"/>
      <c r="C14512" s="12"/>
    </row>
    <row r="14513" spans="2:3">
      <c r="B14513" s="12"/>
      <c r="C14513" s="12"/>
    </row>
    <row r="14514" spans="2:3">
      <c r="B14514" s="12"/>
      <c r="C14514" s="12"/>
    </row>
    <row r="14515" spans="2:3">
      <c r="B14515" s="12"/>
      <c r="C14515" s="12"/>
    </row>
    <row r="14516" spans="2:3">
      <c r="B14516" s="12"/>
      <c r="C14516" s="12"/>
    </row>
    <row r="14517" spans="2:3">
      <c r="B14517" s="12"/>
      <c r="C14517" s="12"/>
    </row>
    <row r="14518" spans="2:3">
      <c r="B14518" s="12"/>
      <c r="C14518" s="12"/>
    </row>
    <row r="14519" spans="2:3">
      <c r="B14519" s="12"/>
      <c r="C14519" s="12"/>
    </row>
    <row r="14520" spans="2:3">
      <c r="B14520" s="12"/>
      <c r="C14520" s="12"/>
    </row>
    <row r="14521" spans="2:3">
      <c r="B14521" s="12"/>
      <c r="C14521" s="12"/>
    </row>
    <row r="14522" spans="2:3">
      <c r="B14522" s="12"/>
      <c r="C14522" s="12"/>
    </row>
    <row r="14523" spans="2:3">
      <c r="B14523" s="12"/>
      <c r="C14523" s="12"/>
    </row>
    <row r="14524" spans="2:3">
      <c r="B14524" s="12"/>
      <c r="C14524" s="12"/>
    </row>
    <row r="14525" spans="2:3">
      <c r="B14525" s="12"/>
      <c r="C14525" s="12"/>
    </row>
    <row r="14526" spans="2:3">
      <c r="B14526" s="12"/>
      <c r="C14526" s="12"/>
    </row>
    <row r="14527" spans="2:3">
      <c r="B14527" s="12"/>
      <c r="C14527" s="12"/>
    </row>
    <row r="14528" spans="2:3">
      <c r="B14528" s="12"/>
      <c r="C14528" s="12"/>
    </row>
    <row r="14529" spans="2:3">
      <c r="B14529" s="12"/>
      <c r="C14529" s="12"/>
    </row>
    <row r="14530" spans="2:3">
      <c r="B14530" s="12"/>
      <c r="C14530" s="12"/>
    </row>
    <row r="14531" spans="2:3">
      <c r="B14531" s="12"/>
      <c r="C14531" s="12"/>
    </row>
    <row r="14532" spans="2:3">
      <c r="B14532" s="12"/>
      <c r="C14532" s="12"/>
    </row>
    <row r="14533" spans="2:3">
      <c r="B14533" s="12"/>
      <c r="C14533" s="12"/>
    </row>
    <row r="14534" spans="2:3">
      <c r="B14534" s="12"/>
      <c r="C14534" s="12"/>
    </row>
    <row r="14535" spans="2:3">
      <c r="B14535" s="12"/>
      <c r="C14535" s="12"/>
    </row>
    <row r="14536" spans="2:3">
      <c r="B14536" s="12"/>
      <c r="C14536" s="12"/>
    </row>
    <row r="14537" spans="2:3">
      <c r="B14537" s="12"/>
      <c r="C14537" s="12"/>
    </row>
    <row r="14538" spans="2:3">
      <c r="B14538" s="12"/>
      <c r="C14538" s="12"/>
    </row>
    <row r="14539" spans="2:3">
      <c r="B14539" s="12"/>
      <c r="C14539" s="12"/>
    </row>
    <row r="14540" spans="2:3">
      <c r="B14540" s="12"/>
      <c r="C14540" s="12"/>
    </row>
    <row r="14541" spans="2:3">
      <c r="B14541" s="12"/>
      <c r="C14541" s="12"/>
    </row>
    <row r="14542" spans="2:3">
      <c r="B14542" s="12"/>
      <c r="C14542" s="12"/>
    </row>
    <row r="14543" spans="2:3">
      <c r="B14543" s="12"/>
      <c r="C14543" s="12"/>
    </row>
    <row r="14544" spans="2:3">
      <c r="B14544" s="12"/>
      <c r="C14544" s="12"/>
    </row>
    <row r="14545" spans="2:3">
      <c r="B14545" s="12"/>
      <c r="C14545" s="12"/>
    </row>
    <row r="14546" spans="2:3">
      <c r="B14546" s="12"/>
      <c r="C14546" s="12"/>
    </row>
    <row r="14547" spans="2:3">
      <c r="B14547" s="12"/>
      <c r="C14547" s="12"/>
    </row>
    <row r="14548" spans="2:3">
      <c r="B14548" s="12"/>
      <c r="C14548" s="12"/>
    </row>
    <row r="14549" spans="2:3">
      <c r="B14549" s="12"/>
      <c r="C14549" s="12"/>
    </row>
    <row r="14550" spans="2:3">
      <c r="B14550" s="12"/>
      <c r="C14550" s="12"/>
    </row>
    <row r="14551" spans="2:3">
      <c r="B14551" s="12"/>
      <c r="C14551" s="12"/>
    </row>
    <row r="14552" spans="2:3">
      <c r="B14552" s="12"/>
      <c r="C14552" s="12"/>
    </row>
    <row r="14553" spans="2:3">
      <c r="B14553" s="12"/>
      <c r="C14553" s="12"/>
    </row>
    <row r="14554" spans="2:3">
      <c r="B14554" s="12"/>
      <c r="C14554" s="12"/>
    </row>
    <row r="14555" spans="2:3">
      <c r="B14555" s="12"/>
      <c r="C14555" s="12"/>
    </row>
    <row r="14556" spans="2:3">
      <c r="B14556" s="12"/>
      <c r="C14556" s="12"/>
    </row>
    <row r="14557" spans="2:3">
      <c r="B14557" s="12"/>
      <c r="C14557" s="12"/>
    </row>
    <row r="14558" spans="2:3">
      <c r="B14558" s="12"/>
      <c r="C14558" s="12"/>
    </row>
    <row r="14559" spans="2:3">
      <c r="B14559" s="12"/>
      <c r="C14559" s="12"/>
    </row>
    <row r="14560" spans="2:3">
      <c r="B14560" s="12"/>
      <c r="C14560" s="12"/>
    </row>
    <row r="14561" spans="2:3">
      <c r="B14561" s="12"/>
      <c r="C14561" s="12"/>
    </row>
    <row r="14562" spans="2:3">
      <c r="B14562" s="12"/>
      <c r="C14562" s="12"/>
    </row>
    <row r="14563" spans="2:3">
      <c r="B14563" s="12"/>
      <c r="C14563" s="12"/>
    </row>
    <row r="14564" spans="2:3">
      <c r="B14564" s="12"/>
      <c r="C14564" s="12"/>
    </row>
    <row r="14565" spans="2:3">
      <c r="B14565" s="12"/>
      <c r="C14565" s="12"/>
    </row>
    <row r="14566" spans="2:3">
      <c r="B14566" s="12"/>
      <c r="C14566" s="12"/>
    </row>
    <row r="14567" spans="2:3">
      <c r="B14567" s="12"/>
      <c r="C14567" s="12"/>
    </row>
    <row r="14568" spans="2:3">
      <c r="B14568" s="12"/>
      <c r="C14568" s="12"/>
    </row>
    <row r="14569" spans="2:3">
      <c r="B14569" s="12"/>
      <c r="C14569" s="12"/>
    </row>
    <row r="14570" spans="2:3">
      <c r="B14570" s="12"/>
      <c r="C14570" s="12"/>
    </row>
    <row r="14571" spans="2:3">
      <c r="B14571" s="12"/>
      <c r="C14571" s="12"/>
    </row>
    <row r="14572" spans="2:3">
      <c r="B14572" s="12"/>
      <c r="C14572" s="12"/>
    </row>
    <row r="14573" spans="2:3">
      <c r="B14573" s="12"/>
      <c r="C14573" s="12"/>
    </row>
    <row r="14574" spans="2:3">
      <c r="B14574" s="12"/>
      <c r="C14574" s="12"/>
    </row>
    <row r="14575" spans="2:3">
      <c r="B14575" s="12"/>
      <c r="C14575" s="12"/>
    </row>
    <row r="14576" spans="2:3">
      <c r="B14576" s="12"/>
      <c r="C14576" s="12"/>
    </row>
    <row r="14577" spans="2:3">
      <c r="B14577" s="12"/>
      <c r="C14577" s="12"/>
    </row>
    <row r="14578" spans="2:3">
      <c r="B14578" s="12"/>
      <c r="C14578" s="12"/>
    </row>
    <row r="14579" spans="2:3">
      <c r="B14579" s="12"/>
      <c r="C14579" s="12"/>
    </row>
    <row r="14580" spans="2:3">
      <c r="B14580" s="12"/>
      <c r="C14580" s="12"/>
    </row>
    <row r="14581" spans="2:3">
      <c r="B14581" s="12"/>
      <c r="C14581" s="12"/>
    </row>
    <row r="14582" spans="2:3">
      <c r="B14582" s="12"/>
      <c r="C14582" s="12"/>
    </row>
    <row r="14583" spans="2:3">
      <c r="B14583" s="12"/>
      <c r="C14583" s="12"/>
    </row>
    <row r="14584" spans="2:3">
      <c r="B14584" s="12"/>
      <c r="C14584" s="12"/>
    </row>
    <row r="14585" spans="2:3">
      <c r="B14585" s="12"/>
      <c r="C14585" s="12"/>
    </row>
    <row r="14586" spans="2:3">
      <c r="B14586" s="12"/>
      <c r="C14586" s="12"/>
    </row>
    <row r="14587" spans="2:3">
      <c r="B14587" s="12"/>
      <c r="C14587" s="12"/>
    </row>
    <row r="14588" spans="2:3">
      <c r="B14588" s="12"/>
      <c r="C14588" s="12"/>
    </row>
    <row r="14589" spans="2:3">
      <c r="B14589" s="12"/>
      <c r="C14589" s="12"/>
    </row>
    <row r="14590" spans="2:3">
      <c r="B14590" s="12"/>
      <c r="C14590" s="12"/>
    </row>
    <row r="14591" spans="2:3">
      <c r="B14591" s="12"/>
      <c r="C14591" s="12"/>
    </row>
    <row r="14592" spans="2:3">
      <c r="B14592" s="12"/>
      <c r="C14592" s="12"/>
    </row>
    <row r="14593" spans="2:3">
      <c r="B14593" s="12"/>
      <c r="C14593" s="12"/>
    </row>
    <row r="14594" spans="2:3">
      <c r="B14594" s="12"/>
      <c r="C14594" s="12"/>
    </row>
    <row r="14595" spans="2:3">
      <c r="B14595" s="12"/>
      <c r="C14595" s="12"/>
    </row>
    <row r="14596" spans="2:3">
      <c r="B14596" s="12"/>
      <c r="C14596" s="12"/>
    </row>
    <row r="14597" spans="2:3">
      <c r="B14597" s="12"/>
      <c r="C14597" s="12"/>
    </row>
    <row r="14598" spans="2:3">
      <c r="B14598" s="12"/>
      <c r="C14598" s="12"/>
    </row>
    <row r="14599" spans="2:3">
      <c r="B14599" s="12"/>
      <c r="C14599" s="12"/>
    </row>
    <row r="14600" spans="2:3">
      <c r="B14600" s="12"/>
      <c r="C14600" s="12"/>
    </row>
    <row r="14601" spans="2:3">
      <c r="B14601" s="12"/>
      <c r="C14601" s="12"/>
    </row>
    <row r="14602" spans="2:3">
      <c r="B14602" s="12"/>
      <c r="C14602" s="12"/>
    </row>
    <row r="14603" spans="2:3">
      <c r="B14603" s="12"/>
      <c r="C14603" s="12"/>
    </row>
    <row r="14604" spans="2:3">
      <c r="B14604" s="12"/>
      <c r="C14604" s="12"/>
    </row>
    <row r="14605" spans="2:3">
      <c r="B14605" s="12"/>
      <c r="C14605" s="12"/>
    </row>
    <row r="14606" spans="2:3">
      <c r="B14606" s="12"/>
      <c r="C14606" s="12"/>
    </row>
    <row r="14607" spans="2:3">
      <c r="B14607" s="12"/>
      <c r="C14607" s="12"/>
    </row>
    <row r="14608" spans="2:3">
      <c r="B14608" s="12"/>
      <c r="C14608" s="12"/>
    </row>
    <row r="14609" spans="2:3">
      <c r="B14609" s="12"/>
      <c r="C14609" s="12"/>
    </row>
    <row r="14610" spans="2:3">
      <c r="B14610" s="12"/>
      <c r="C14610" s="12"/>
    </row>
    <row r="14611" spans="2:3">
      <c r="B14611" s="12"/>
      <c r="C14611" s="12"/>
    </row>
    <row r="14612" spans="2:3">
      <c r="B14612" s="12"/>
      <c r="C14612" s="12"/>
    </row>
    <row r="14613" spans="2:3">
      <c r="B14613" s="12"/>
      <c r="C14613" s="12"/>
    </row>
    <row r="14614" spans="2:3">
      <c r="B14614" s="12"/>
      <c r="C14614" s="12"/>
    </row>
    <row r="14615" spans="2:3">
      <c r="B14615" s="12"/>
      <c r="C14615" s="12"/>
    </row>
    <row r="14616" spans="2:3">
      <c r="B14616" s="12"/>
      <c r="C14616" s="12"/>
    </row>
    <row r="14617" spans="2:3">
      <c r="B14617" s="12"/>
      <c r="C14617" s="12"/>
    </row>
    <row r="14618" spans="2:3">
      <c r="B14618" s="12"/>
      <c r="C14618" s="12"/>
    </row>
    <row r="14619" spans="2:3">
      <c r="B14619" s="12"/>
      <c r="C14619" s="12"/>
    </row>
    <row r="14620" spans="2:3">
      <c r="B14620" s="12"/>
      <c r="C14620" s="12"/>
    </row>
    <row r="14621" spans="2:3">
      <c r="B14621" s="12"/>
      <c r="C14621" s="12"/>
    </row>
    <row r="14622" spans="2:3">
      <c r="B14622" s="12"/>
      <c r="C14622" s="12"/>
    </row>
    <row r="14623" spans="2:3">
      <c r="B14623" s="12"/>
      <c r="C14623" s="12"/>
    </row>
    <row r="14624" spans="2:3">
      <c r="B14624" s="12"/>
      <c r="C14624" s="12"/>
    </row>
    <row r="14625" spans="2:3">
      <c r="B14625" s="12"/>
      <c r="C14625" s="12"/>
    </row>
    <row r="14626" spans="2:3">
      <c r="B14626" s="12"/>
      <c r="C14626" s="12"/>
    </row>
    <row r="14627" spans="2:3">
      <c r="B14627" s="12"/>
      <c r="C14627" s="12"/>
    </row>
    <row r="14628" spans="2:3">
      <c r="B14628" s="12"/>
      <c r="C14628" s="12"/>
    </row>
    <row r="14629" spans="2:3">
      <c r="B14629" s="12"/>
      <c r="C14629" s="12"/>
    </row>
    <row r="14630" spans="2:3">
      <c r="B14630" s="12"/>
      <c r="C14630" s="12"/>
    </row>
    <row r="14631" spans="2:3">
      <c r="B14631" s="12"/>
      <c r="C14631" s="12"/>
    </row>
    <row r="14632" spans="2:3">
      <c r="B14632" s="12"/>
      <c r="C14632" s="12"/>
    </row>
    <row r="14633" spans="2:3">
      <c r="B14633" s="12"/>
      <c r="C14633" s="12"/>
    </row>
    <row r="14634" spans="2:3">
      <c r="B14634" s="12"/>
      <c r="C14634" s="12"/>
    </row>
    <row r="14635" spans="2:3">
      <c r="B14635" s="12"/>
      <c r="C14635" s="12"/>
    </row>
    <row r="14636" spans="2:3">
      <c r="B14636" s="12"/>
      <c r="C14636" s="12"/>
    </row>
    <row r="14637" spans="2:3">
      <c r="B14637" s="12"/>
      <c r="C14637" s="12"/>
    </row>
    <row r="14638" spans="2:3">
      <c r="B14638" s="12"/>
      <c r="C14638" s="12"/>
    </row>
    <row r="14639" spans="2:3">
      <c r="B14639" s="12"/>
      <c r="C14639" s="12"/>
    </row>
    <row r="14640" spans="2:3">
      <c r="B14640" s="12"/>
      <c r="C14640" s="12"/>
    </row>
    <row r="14641" spans="2:3">
      <c r="B14641" s="12"/>
      <c r="C14641" s="12"/>
    </row>
    <row r="14642" spans="2:3">
      <c r="B14642" s="12"/>
      <c r="C14642" s="12"/>
    </row>
    <row r="14643" spans="2:3">
      <c r="B14643" s="12"/>
      <c r="C14643" s="12"/>
    </row>
    <row r="14644" spans="2:3">
      <c r="B14644" s="12"/>
      <c r="C14644" s="12"/>
    </row>
    <row r="14645" spans="2:3">
      <c r="B14645" s="12"/>
      <c r="C14645" s="12"/>
    </row>
    <row r="14646" spans="2:3">
      <c r="B14646" s="12"/>
      <c r="C14646" s="12"/>
    </row>
    <row r="14647" spans="2:3">
      <c r="B14647" s="12"/>
      <c r="C14647" s="12"/>
    </row>
    <row r="14648" spans="2:3">
      <c r="B14648" s="12"/>
      <c r="C14648" s="12"/>
    </row>
    <row r="14649" spans="2:3">
      <c r="B14649" s="12"/>
      <c r="C14649" s="12"/>
    </row>
    <row r="14650" spans="2:3">
      <c r="B14650" s="12"/>
      <c r="C14650" s="12"/>
    </row>
    <row r="14651" spans="2:3">
      <c r="B14651" s="12"/>
      <c r="C14651" s="12"/>
    </row>
    <row r="14652" spans="2:3">
      <c r="B14652" s="12"/>
      <c r="C14652" s="12"/>
    </row>
    <row r="14653" spans="2:3">
      <c r="B14653" s="12"/>
      <c r="C14653" s="12"/>
    </row>
    <row r="14654" spans="2:3">
      <c r="B14654" s="12"/>
      <c r="C14654" s="12"/>
    </row>
    <row r="14655" spans="2:3">
      <c r="B14655" s="12"/>
      <c r="C14655" s="12"/>
    </row>
    <row r="14656" spans="2:3">
      <c r="B14656" s="12"/>
      <c r="C14656" s="12"/>
    </row>
    <row r="14657" spans="2:3">
      <c r="B14657" s="12"/>
      <c r="C14657" s="12"/>
    </row>
    <row r="14658" spans="2:3">
      <c r="B14658" s="12"/>
      <c r="C14658" s="12"/>
    </row>
    <row r="14659" spans="2:3">
      <c r="B14659" s="12"/>
      <c r="C14659" s="12"/>
    </row>
    <row r="14660" spans="2:3">
      <c r="B14660" s="12"/>
      <c r="C14660" s="12"/>
    </row>
    <row r="14661" spans="2:3">
      <c r="B14661" s="12"/>
      <c r="C14661" s="12"/>
    </row>
    <row r="14662" spans="2:3">
      <c r="B14662" s="12"/>
      <c r="C14662" s="12"/>
    </row>
    <row r="14663" spans="2:3">
      <c r="B14663" s="12"/>
      <c r="C14663" s="12"/>
    </row>
    <row r="14664" spans="2:3">
      <c r="B14664" s="12"/>
      <c r="C14664" s="12"/>
    </row>
    <row r="14665" spans="2:3">
      <c r="B14665" s="12"/>
      <c r="C14665" s="12"/>
    </row>
    <row r="14666" spans="2:3">
      <c r="B14666" s="12"/>
      <c r="C14666" s="12"/>
    </row>
    <row r="14667" spans="2:3">
      <c r="B14667" s="12"/>
      <c r="C14667" s="12"/>
    </row>
    <row r="14668" spans="2:3">
      <c r="B14668" s="12"/>
      <c r="C14668" s="12"/>
    </row>
    <row r="14669" spans="2:3">
      <c r="B14669" s="12"/>
      <c r="C14669" s="12"/>
    </row>
    <row r="14670" spans="2:3">
      <c r="B14670" s="12"/>
      <c r="C14670" s="12"/>
    </row>
    <row r="14671" spans="2:3">
      <c r="B14671" s="12"/>
      <c r="C14671" s="12"/>
    </row>
    <row r="14672" spans="2:3">
      <c r="B14672" s="12"/>
      <c r="C14672" s="12"/>
    </row>
    <row r="14673" spans="2:3">
      <c r="B14673" s="12"/>
      <c r="C14673" s="12"/>
    </row>
    <row r="14674" spans="2:3">
      <c r="B14674" s="12"/>
      <c r="C14674" s="12"/>
    </row>
    <row r="14675" spans="2:3">
      <c r="B14675" s="12"/>
      <c r="C14675" s="12"/>
    </row>
    <row r="14676" spans="2:3">
      <c r="B14676" s="12"/>
      <c r="C14676" s="12"/>
    </row>
    <row r="14677" spans="2:3">
      <c r="B14677" s="12"/>
      <c r="C14677" s="12"/>
    </row>
    <row r="14678" spans="2:3">
      <c r="B14678" s="12"/>
      <c r="C14678" s="12"/>
    </row>
    <row r="14679" spans="2:3">
      <c r="B14679" s="12"/>
      <c r="C14679" s="12"/>
    </row>
    <row r="14680" spans="2:3">
      <c r="B14680" s="12"/>
      <c r="C14680" s="12"/>
    </row>
    <row r="14681" spans="2:3">
      <c r="B14681" s="12"/>
      <c r="C14681" s="12"/>
    </row>
    <row r="14682" spans="2:3">
      <c r="B14682" s="12"/>
      <c r="C14682" s="12"/>
    </row>
    <row r="14683" spans="2:3">
      <c r="B14683" s="12"/>
      <c r="C14683" s="12"/>
    </row>
    <row r="14684" spans="2:3">
      <c r="B14684" s="12"/>
      <c r="C14684" s="12"/>
    </row>
    <row r="14685" spans="2:3">
      <c r="B14685" s="12"/>
      <c r="C14685" s="12"/>
    </row>
    <row r="14686" spans="2:3">
      <c r="B14686" s="12"/>
      <c r="C14686" s="12"/>
    </row>
    <row r="14687" spans="2:3">
      <c r="B14687" s="12"/>
      <c r="C14687" s="12"/>
    </row>
    <row r="14688" spans="2:3">
      <c r="B14688" s="12"/>
      <c r="C14688" s="12"/>
    </row>
    <row r="14689" spans="2:3">
      <c r="B14689" s="12"/>
      <c r="C14689" s="12"/>
    </row>
    <row r="14690" spans="2:3">
      <c r="B14690" s="12"/>
      <c r="C14690" s="12"/>
    </row>
    <row r="14691" spans="2:3">
      <c r="B14691" s="12"/>
      <c r="C14691" s="12"/>
    </row>
    <row r="14692" spans="2:3">
      <c r="B14692" s="12"/>
      <c r="C14692" s="12"/>
    </row>
    <row r="14693" spans="2:3">
      <c r="B14693" s="12"/>
      <c r="C14693" s="12"/>
    </row>
    <row r="14694" spans="2:3">
      <c r="B14694" s="12"/>
      <c r="C14694" s="12"/>
    </row>
    <row r="14695" spans="2:3">
      <c r="B14695" s="12"/>
      <c r="C14695" s="12"/>
    </row>
    <row r="14696" spans="2:3">
      <c r="B14696" s="12"/>
      <c r="C14696" s="12"/>
    </row>
    <row r="14697" spans="2:3">
      <c r="B14697" s="12"/>
      <c r="C14697" s="12"/>
    </row>
    <row r="14698" spans="2:3">
      <c r="B14698" s="12"/>
      <c r="C14698" s="12"/>
    </row>
    <row r="14699" spans="2:3">
      <c r="B14699" s="12"/>
      <c r="C14699" s="12"/>
    </row>
    <row r="14700" spans="2:3">
      <c r="B14700" s="12"/>
      <c r="C14700" s="12"/>
    </row>
    <row r="14701" spans="2:3">
      <c r="B14701" s="12"/>
      <c r="C14701" s="12"/>
    </row>
    <row r="14702" spans="2:3">
      <c r="B14702" s="12"/>
      <c r="C14702" s="12"/>
    </row>
    <row r="14703" spans="2:3">
      <c r="B14703" s="12"/>
      <c r="C14703" s="12"/>
    </row>
    <row r="14704" spans="2:3">
      <c r="B14704" s="12"/>
      <c r="C14704" s="12"/>
    </row>
    <row r="14705" spans="2:3">
      <c r="B14705" s="12"/>
      <c r="C14705" s="12"/>
    </row>
    <row r="14706" spans="2:3">
      <c r="B14706" s="12"/>
      <c r="C14706" s="12"/>
    </row>
    <row r="14707" spans="2:3">
      <c r="B14707" s="12"/>
      <c r="C14707" s="12"/>
    </row>
    <row r="14708" spans="2:3">
      <c r="B14708" s="12"/>
      <c r="C14708" s="12"/>
    </row>
    <row r="14709" spans="2:3">
      <c r="B14709" s="12"/>
      <c r="C14709" s="12"/>
    </row>
    <row r="14710" spans="2:3">
      <c r="B14710" s="12"/>
      <c r="C14710" s="12"/>
    </row>
    <row r="14711" spans="2:3">
      <c r="B14711" s="12"/>
      <c r="C14711" s="12"/>
    </row>
    <row r="14712" spans="2:3">
      <c r="B14712" s="12"/>
      <c r="C14712" s="12"/>
    </row>
    <row r="14713" spans="2:3">
      <c r="B14713" s="12"/>
      <c r="C14713" s="12"/>
    </row>
    <row r="14714" spans="2:3">
      <c r="B14714" s="12"/>
      <c r="C14714" s="12"/>
    </row>
    <row r="14715" spans="2:3">
      <c r="B14715" s="12"/>
      <c r="C14715" s="12"/>
    </row>
    <row r="14716" spans="2:3">
      <c r="B14716" s="12"/>
      <c r="C14716" s="12"/>
    </row>
    <row r="14717" spans="2:3">
      <c r="B14717" s="12"/>
      <c r="C14717" s="12"/>
    </row>
    <row r="14718" spans="2:3">
      <c r="B14718" s="12"/>
      <c r="C14718" s="12"/>
    </row>
    <row r="14719" spans="2:3">
      <c r="B14719" s="12"/>
      <c r="C14719" s="12"/>
    </row>
    <row r="14720" spans="2:3">
      <c r="B14720" s="12"/>
      <c r="C14720" s="12"/>
    </row>
    <row r="14721" spans="2:3">
      <c r="B14721" s="12"/>
      <c r="C14721" s="12"/>
    </row>
    <row r="14722" spans="2:3">
      <c r="B14722" s="12"/>
      <c r="C14722" s="12"/>
    </row>
    <row r="14723" spans="2:3">
      <c r="B14723" s="12"/>
      <c r="C14723" s="12"/>
    </row>
    <row r="14724" spans="2:3">
      <c r="B14724" s="12"/>
      <c r="C14724" s="12"/>
    </row>
    <row r="14725" spans="2:3">
      <c r="B14725" s="12"/>
      <c r="C14725" s="12"/>
    </row>
    <row r="14726" spans="2:3">
      <c r="B14726" s="12"/>
      <c r="C14726" s="12"/>
    </row>
    <row r="14727" spans="2:3">
      <c r="B14727" s="12"/>
      <c r="C14727" s="12"/>
    </row>
    <row r="14728" spans="2:3">
      <c r="B14728" s="12"/>
      <c r="C14728" s="12"/>
    </row>
    <row r="14729" spans="2:3">
      <c r="B14729" s="12"/>
      <c r="C14729" s="12"/>
    </row>
    <row r="14730" spans="2:3">
      <c r="B14730" s="12"/>
      <c r="C14730" s="12"/>
    </row>
    <row r="14731" spans="2:3">
      <c r="B14731" s="12"/>
      <c r="C14731" s="12"/>
    </row>
    <row r="14732" spans="2:3">
      <c r="B14732" s="12"/>
      <c r="C14732" s="12"/>
    </row>
    <row r="14733" spans="2:3">
      <c r="B14733" s="12"/>
      <c r="C14733" s="12"/>
    </row>
    <row r="14734" spans="2:3">
      <c r="B14734" s="12"/>
      <c r="C14734" s="12"/>
    </row>
    <row r="14735" spans="2:3">
      <c r="B14735" s="12"/>
      <c r="C14735" s="12"/>
    </row>
    <row r="14736" spans="2:3">
      <c r="B14736" s="12"/>
      <c r="C14736" s="12"/>
    </row>
    <row r="14737" spans="2:3">
      <c r="B14737" s="12"/>
      <c r="C14737" s="12"/>
    </row>
    <row r="14738" spans="2:3">
      <c r="B14738" s="12"/>
      <c r="C14738" s="12"/>
    </row>
    <row r="14739" spans="2:3">
      <c r="B14739" s="12"/>
      <c r="C14739" s="12"/>
    </row>
    <row r="14740" spans="2:3">
      <c r="B14740" s="12"/>
      <c r="C14740" s="12"/>
    </row>
    <row r="14741" spans="2:3">
      <c r="B14741" s="12"/>
      <c r="C14741" s="12"/>
    </row>
    <row r="14742" spans="2:3">
      <c r="B14742" s="12"/>
      <c r="C14742" s="12"/>
    </row>
    <row r="14743" spans="2:3">
      <c r="B14743" s="12"/>
      <c r="C14743" s="12"/>
    </row>
    <row r="14744" spans="2:3">
      <c r="B14744" s="12"/>
      <c r="C14744" s="12"/>
    </row>
    <row r="14745" spans="2:3">
      <c r="B14745" s="12"/>
      <c r="C14745" s="12"/>
    </row>
    <row r="14746" spans="2:3">
      <c r="B14746" s="12"/>
      <c r="C14746" s="12"/>
    </row>
    <row r="14747" spans="2:3">
      <c r="B14747" s="12"/>
      <c r="C14747" s="12"/>
    </row>
    <row r="14748" spans="2:3">
      <c r="B14748" s="12"/>
      <c r="C14748" s="12"/>
    </row>
    <row r="14749" spans="2:3">
      <c r="B14749" s="12"/>
      <c r="C14749" s="12"/>
    </row>
    <row r="14750" spans="2:3">
      <c r="B14750" s="12"/>
      <c r="C14750" s="12"/>
    </row>
    <row r="14751" spans="2:3">
      <c r="B14751" s="12"/>
      <c r="C14751" s="12"/>
    </row>
    <row r="14752" spans="2:3">
      <c r="B14752" s="12"/>
      <c r="C14752" s="12"/>
    </row>
    <row r="14753" spans="2:3">
      <c r="B14753" s="12"/>
      <c r="C14753" s="12"/>
    </row>
    <row r="14754" spans="2:3">
      <c r="B14754" s="12"/>
      <c r="C14754" s="12"/>
    </row>
    <row r="14755" spans="2:3">
      <c r="B14755" s="12"/>
      <c r="C14755" s="12"/>
    </row>
    <row r="14756" spans="2:3">
      <c r="B14756" s="12"/>
      <c r="C14756" s="12"/>
    </row>
    <row r="14757" spans="2:3">
      <c r="B14757" s="12"/>
      <c r="C14757" s="12"/>
    </row>
    <row r="14758" spans="2:3">
      <c r="B14758" s="12"/>
      <c r="C14758" s="12"/>
    </row>
    <row r="14759" spans="2:3">
      <c r="B14759" s="12"/>
      <c r="C14759" s="12"/>
    </row>
    <row r="14760" spans="2:3">
      <c r="B14760" s="12"/>
      <c r="C14760" s="12"/>
    </row>
    <row r="14761" spans="2:3">
      <c r="B14761" s="12"/>
      <c r="C14761" s="12"/>
    </row>
    <row r="14762" spans="2:3">
      <c r="B14762" s="12"/>
      <c r="C14762" s="12"/>
    </row>
    <row r="14763" spans="2:3">
      <c r="B14763" s="12"/>
      <c r="C14763" s="12"/>
    </row>
    <row r="14764" spans="2:3">
      <c r="B14764" s="12"/>
      <c r="C14764" s="12"/>
    </row>
    <row r="14765" spans="2:3">
      <c r="B14765" s="12"/>
      <c r="C14765" s="12"/>
    </row>
    <row r="14766" spans="2:3">
      <c r="B14766" s="12"/>
      <c r="C14766" s="12"/>
    </row>
    <row r="14767" spans="2:3">
      <c r="B14767" s="12"/>
      <c r="C14767" s="12"/>
    </row>
    <row r="14768" spans="2:3">
      <c r="B14768" s="12"/>
      <c r="C14768" s="12"/>
    </row>
    <row r="14769" spans="2:3">
      <c r="B14769" s="12"/>
      <c r="C14769" s="12"/>
    </row>
    <row r="14770" spans="2:3">
      <c r="B14770" s="12"/>
      <c r="C14770" s="12"/>
    </row>
    <row r="14771" spans="2:3">
      <c r="B14771" s="12"/>
      <c r="C14771" s="12"/>
    </row>
    <row r="14772" spans="2:3">
      <c r="B14772" s="12"/>
      <c r="C14772" s="12"/>
    </row>
    <row r="14773" spans="2:3">
      <c r="B14773" s="12"/>
      <c r="C14773" s="12"/>
    </row>
    <row r="14774" spans="2:3">
      <c r="B14774" s="12"/>
      <c r="C14774" s="12"/>
    </row>
    <row r="14775" spans="2:3">
      <c r="B14775" s="12"/>
      <c r="C14775" s="12"/>
    </row>
    <row r="14776" spans="2:3">
      <c r="B14776" s="12"/>
      <c r="C14776" s="12"/>
    </row>
    <row r="14777" spans="2:3">
      <c r="B14777" s="12"/>
      <c r="C14777" s="12"/>
    </row>
    <row r="14778" spans="2:3">
      <c r="B14778" s="12"/>
      <c r="C14778" s="12"/>
    </row>
    <row r="14779" spans="2:3">
      <c r="B14779" s="12"/>
      <c r="C14779" s="12"/>
    </row>
    <row r="14780" spans="2:3">
      <c r="B14780" s="12"/>
      <c r="C14780" s="12"/>
    </row>
    <row r="14781" spans="2:3">
      <c r="B14781" s="12"/>
      <c r="C14781" s="12"/>
    </row>
    <row r="14782" spans="2:3">
      <c r="B14782" s="12"/>
      <c r="C14782" s="12"/>
    </row>
    <row r="14783" spans="2:3">
      <c r="B14783" s="12"/>
      <c r="C14783" s="12"/>
    </row>
    <row r="14784" spans="2:3">
      <c r="B14784" s="12"/>
      <c r="C14784" s="12"/>
    </row>
    <row r="14785" spans="2:3">
      <c r="B14785" s="12"/>
      <c r="C14785" s="12"/>
    </row>
    <row r="14786" spans="2:3">
      <c r="B14786" s="12"/>
      <c r="C14786" s="12"/>
    </row>
    <row r="14787" spans="2:3">
      <c r="B14787" s="12"/>
      <c r="C14787" s="12"/>
    </row>
    <row r="14788" spans="2:3">
      <c r="B14788" s="12"/>
      <c r="C14788" s="12"/>
    </row>
    <row r="14789" spans="2:3">
      <c r="B14789" s="12"/>
      <c r="C14789" s="12"/>
    </row>
    <row r="14790" spans="2:3">
      <c r="B14790" s="12"/>
      <c r="C14790" s="12"/>
    </row>
    <row r="14791" spans="2:3">
      <c r="B14791" s="12"/>
      <c r="C14791" s="12"/>
    </row>
    <row r="14792" spans="2:3">
      <c r="B14792" s="12"/>
      <c r="C14792" s="12"/>
    </row>
    <row r="14793" spans="2:3">
      <c r="B14793" s="12"/>
      <c r="C14793" s="12"/>
    </row>
    <row r="14794" spans="2:3">
      <c r="B14794" s="12"/>
      <c r="C14794" s="12"/>
    </row>
    <row r="14795" spans="2:3">
      <c r="B14795" s="12"/>
      <c r="C14795" s="12"/>
    </row>
    <row r="14796" spans="2:3">
      <c r="B14796" s="12"/>
      <c r="C14796" s="12"/>
    </row>
    <row r="14797" spans="2:3">
      <c r="B14797" s="12"/>
      <c r="C14797" s="12"/>
    </row>
    <row r="14798" spans="2:3">
      <c r="B14798" s="12"/>
      <c r="C14798" s="12"/>
    </row>
    <row r="14799" spans="2:3">
      <c r="B14799" s="12"/>
      <c r="C14799" s="12"/>
    </row>
    <row r="14800" spans="2:3">
      <c r="B14800" s="12"/>
      <c r="C14800" s="12"/>
    </row>
    <row r="14801" spans="2:3">
      <c r="B14801" s="12"/>
      <c r="C14801" s="12"/>
    </row>
    <row r="14802" spans="2:3">
      <c r="B14802" s="12"/>
      <c r="C14802" s="12"/>
    </row>
    <row r="14803" spans="2:3">
      <c r="B14803" s="12"/>
      <c r="C14803" s="12"/>
    </row>
    <row r="14804" spans="2:3">
      <c r="B14804" s="12"/>
      <c r="C14804" s="12"/>
    </row>
    <row r="14805" spans="2:3">
      <c r="B14805" s="12"/>
      <c r="C14805" s="12"/>
    </row>
    <row r="14806" spans="2:3">
      <c r="B14806" s="12"/>
      <c r="C14806" s="12"/>
    </row>
    <row r="14807" spans="2:3">
      <c r="B14807" s="12"/>
      <c r="C14807" s="12"/>
    </row>
    <row r="14808" spans="2:3">
      <c r="B14808" s="12"/>
      <c r="C14808" s="12"/>
    </row>
    <row r="14809" spans="2:3">
      <c r="B14809" s="12"/>
      <c r="C14809" s="12"/>
    </row>
    <row r="14810" spans="2:3">
      <c r="B14810" s="12"/>
      <c r="C14810" s="12"/>
    </row>
    <row r="14811" spans="2:3">
      <c r="B14811" s="12"/>
      <c r="C14811" s="12"/>
    </row>
    <row r="14812" spans="2:3">
      <c r="B14812" s="12"/>
      <c r="C14812" s="12"/>
    </row>
    <row r="14813" spans="2:3">
      <c r="B14813" s="12"/>
      <c r="C14813" s="12"/>
    </row>
    <row r="14814" spans="2:3">
      <c r="B14814" s="12"/>
      <c r="C14814" s="12"/>
    </row>
    <row r="14815" spans="2:3">
      <c r="B14815" s="12"/>
      <c r="C14815" s="12"/>
    </row>
    <row r="14816" spans="2:3">
      <c r="B14816" s="12"/>
      <c r="C14816" s="12"/>
    </row>
    <row r="14817" spans="2:3">
      <c r="B14817" s="12"/>
      <c r="C14817" s="12"/>
    </row>
    <row r="14818" spans="2:3">
      <c r="B14818" s="12"/>
      <c r="C14818" s="12"/>
    </row>
    <row r="14819" spans="2:3">
      <c r="B14819" s="12"/>
      <c r="C14819" s="12"/>
    </row>
    <row r="14820" spans="2:3">
      <c r="B14820" s="12"/>
      <c r="C14820" s="12"/>
    </row>
    <row r="14821" spans="2:3">
      <c r="B14821" s="12"/>
      <c r="C14821" s="12"/>
    </row>
    <row r="14822" spans="2:3">
      <c r="B14822" s="12"/>
      <c r="C14822" s="12"/>
    </row>
    <row r="14823" spans="2:3">
      <c r="B14823" s="12"/>
      <c r="C14823" s="12"/>
    </row>
    <row r="14824" spans="2:3">
      <c r="B14824" s="12"/>
      <c r="C14824" s="12"/>
    </row>
    <row r="14825" spans="2:3">
      <c r="B14825" s="12"/>
      <c r="C14825" s="12"/>
    </row>
    <row r="14826" spans="2:3">
      <c r="B14826" s="12"/>
      <c r="C14826" s="12"/>
    </row>
    <row r="14827" spans="2:3">
      <c r="B14827" s="12"/>
      <c r="C14827" s="12"/>
    </row>
    <row r="14828" spans="2:3">
      <c r="B14828" s="12"/>
      <c r="C14828" s="12"/>
    </row>
    <row r="14829" spans="2:3">
      <c r="B14829" s="12"/>
      <c r="C14829" s="12"/>
    </row>
    <row r="14830" spans="2:3">
      <c r="B14830" s="12"/>
      <c r="C14830" s="12"/>
    </row>
    <row r="14831" spans="2:3">
      <c r="B14831" s="12"/>
      <c r="C14831" s="12"/>
    </row>
    <row r="14832" spans="2:3">
      <c r="B14832" s="12"/>
      <c r="C14832" s="12"/>
    </row>
    <row r="14833" spans="2:3">
      <c r="B14833" s="12"/>
      <c r="C14833" s="12"/>
    </row>
    <row r="14834" spans="2:3">
      <c r="B14834" s="12"/>
      <c r="C14834" s="12"/>
    </row>
    <row r="14835" spans="2:3">
      <c r="B14835" s="12"/>
      <c r="C14835" s="12"/>
    </row>
    <row r="14836" spans="2:3">
      <c r="B14836" s="12"/>
      <c r="C14836" s="12"/>
    </row>
    <row r="14837" spans="2:3">
      <c r="B14837" s="12"/>
      <c r="C14837" s="12"/>
    </row>
    <row r="14838" spans="2:3">
      <c r="B14838" s="12"/>
      <c r="C14838" s="12"/>
    </row>
    <row r="14839" spans="2:3">
      <c r="B14839" s="12"/>
      <c r="C14839" s="12"/>
    </row>
    <row r="14840" spans="2:3">
      <c r="B14840" s="12"/>
      <c r="C14840" s="12"/>
    </row>
    <row r="14841" spans="2:3">
      <c r="B14841" s="12"/>
      <c r="C14841" s="12"/>
    </row>
    <row r="14842" spans="2:3">
      <c r="B14842" s="12"/>
      <c r="C14842" s="12"/>
    </row>
    <row r="14843" spans="2:3">
      <c r="B14843" s="12"/>
      <c r="C14843" s="12"/>
    </row>
    <row r="14844" spans="2:3">
      <c r="B14844" s="12"/>
      <c r="C14844" s="12"/>
    </row>
    <row r="14845" spans="2:3">
      <c r="B14845" s="12"/>
      <c r="C14845" s="12"/>
    </row>
    <row r="14846" spans="2:3">
      <c r="B14846" s="12"/>
      <c r="C14846" s="12"/>
    </row>
    <row r="14847" spans="2:3">
      <c r="B14847" s="12"/>
      <c r="C14847" s="12"/>
    </row>
    <row r="14848" spans="2:3">
      <c r="B14848" s="12"/>
      <c r="C14848" s="12"/>
    </row>
    <row r="14849" spans="2:3">
      <c r="B14849" s="12"/>
      <c r="C14849" s="12"/>
    </row>
    <row r="14850" spans="2:3">
      <c r="B14850" s="12"/>
      <c r="C14850" s="12"/>
    </row>
    <row r="14851" spans="2:3">
      <c r="B14851" s="12"/>
      <c r="C14851" s="12"/>
    </row>
    <row r="14852" spans="2:3">
      <c r="B14852" s="12"/>
      <c r="C14852" s="12"/>
    </row>
    <row r="14853" spans="2:3">
      <c r="B14853" s="12"/>
      <c r="C14853" s="12"/>
    </row>
    <row r="14854" spans="2:3">
      <c r="B14854" s="12"/>
      <c r="C14854" s="12"/>
    </row>
    <row r="14855" spans="2:3">
      <c r="B14855" s="12"/>
      <c r="C14855" s="12"/>
    </row>
    <row r="14856" spans="2:3">
      <c r="B14856" s="12"/>
      <c r="C14856" s="12"/>
    </row>
    <row r="14857" spans="2:3">
      <c r="B14857" s="12"/>
      <c r="C14857" s="12"/>
    </row>
    <row r="14858" spans="2:3">
      <c r="B14858" s="12"/>
      <c r="C14858" s="12"/>
    </row>
    <row r="14859" spans="2:3">
      <c r="B14859" s="12"/>
      <c r="C14859" s="12"/>
    </row>
    <row r="14860" spans="2:3">
      <c r="B14860" s="12"/>
      <c r="C14860" s="12"/>
    </row>
    <row r="14861" spans="2:3">
      <c r="B14861" s="12"/>
      <c r="C14861" s="12"/>
    </row>
    <row r="14862" spans="2:3">
      <c r="B14862" s="12"/>
      <c r="C14862" s="12"/>
    </row>
    <row r="14863" spans="2:3">
      <c r="B14863" s="12"/>
      <c r="C14863" s="12"/>
    </row>
    <row r="14864" spans="2:3">
      <c r="B14864" s="12"/>
      <c r="C14864" s="12"/>
    </row>
    <row r="14865" spans="2:3">
      <c r="B14865" s="12"/>
      <c r="C14865" s="12"/>
    </row>
    <row r="14866" spans="2:3">
      <c r="B14866" s="12"/>
      <c r="C14866" s="12"/>
    </row>
    <row r="14867" spans="2:3">
      <c r="B14867" s="12"/>
      <c r="C14867" s="12"/>
    </row>
    <row r="14868" spans="2:3">
      <c r="B14868" s="12"/>
      <c r="C14868" s="12"/>
    </row>
    <row r="14869" spans="2:3">
      <c r="B14869" s="12"/>
      <c r="C14869" s="12"/>
    </row>
    <row r="14870" spans="2:3">
      <c r="B14870" s="12"/>
      <c r="C14870" s="12"/>
    </row>
    <row r="14871" spans="2:3">
      <c r="B14871" s="12"/>
      <c r="C14871" s="12"/>
    </row>
    <row r="14872" spans="2:3">
      <c r="B14872" s="12"/>
      <c r="C14872" s="12"/>
    </row>
    <row r="14873" spans="2:3">
      <c r="B14873" s="12"/>
      <c r="C14873" s="12"/>
    </row>
    <row r="14874" spans="2:3">
      <c r="B14874" s="12"/>
      <c r="C14874" s="12"/>
    </row>
    <row r="14875" spans="2:3">
      <c r="B14875" s="12"/>
      <c r="C14875" s="12"/>
    </row>
    <row r="14876" spans="2:3">
      <c r="B14876" s="12"/>
      <c r="C14876" s="12"/>
    </row>
    <row r="14877" spans="2:3">
      <c r="B14877" s="12"/>
      <c r="C14877" s="12"/>
    </row>
    <row r="14878" spans="2:3">
      <c r="B14878" s="12"/>
      <c r="C14878" s="12"/>
    </row>
    <row r="14879" spans="2:3">
      <c r="B14879" s="12"/>
      <c r="C14879" s="12"/>
    </row>
    <row r="14880" spans="2:3">
      <c r="B14880" s="12"/>
      <c r="C14880" s="12"/>
    </row>
    <row r="14881" spans="2:3">
      <c r="B14881" s="12"/>
      <c r="C14881" s="12"/>
    </row>
    <row r="14882" spans="2:3">
      <c r="B14882" s="12"/>
      <c r="C14882" s="12"/>
    </row>
    <row r="14883" spans="2:3">
      <c r="B14883" s="12"/>
      <c r="C14883" s="12"/>
    </row>
    <row r="14884" spans="2:3">
      <c r="B14884" s="12"/>
      <c r="C14884" s="12"/>
    </row>
    <row r="14885" spans="2:3">
      <c r="B14885" s="12"/>
      <c r="C14885" s="12"/>
    </row>
    <row r="14886" spans="2:3">
      <c r="B14886" s="12"/>
      <c r="C14886" s="12"/>
    </row>
    <row r="14887" spans="2:3">
      <c r="B14887" s="12"/>
      <c r="C14887" s="12"/>
    </row>
    <row r="14888" spans="2:3">
      <c r="B14888" s="12"/>
      <c r="C14888" s="12"/>
    </row>
    <row r="14889" spans="2:3">
      <c r="B14889" s="12"/>
      <c r="C14889" s="12"/>
    </row>
    <row r="14890" spans="2:3">
      <c r="B14890" s="12"/>
      <c r="C14890" s="12"/>
    </row>
    <row r="14891" spans="2:3">
      <c r="B14891" s="12"/>
      <c r="C14891" s="12"/>
    </row>
    <row r="14892" spans="2:3">
      <c r="B14892" s="12"/>
      <c r="C14892" s="12"/>
    </row>
    <row r="14893" spans="2:3">
      <c r="B14893" s="12"/>
      <c r="C14893" s="12"/>
    </row>
    <row r="14894" spans="2:3">
      <c r="B14894" s="12"/>
      <c r="C14894" s="12"/>
    </row>
    <row r="14895" spans="2:3">
      <c r="B14895" s="12"/>
      <c r="C14895" s="12"/>
    </row>
    <row r="14896" spans="2:3">
      <c r="B14896" s="12"/>
      <c r="C14896" s="12"/>
    </row>
    <row r="14897" spans="2:3">
      <c r="B14897" s="12"/>
      <c r="C14897" s="12"/>
    </row>
    <row r="14898" spans="2:3">
      <c r="B14898" s="12"/>
      <c r="C14898" s="12"/>
    </row>
    <row r="14899" spans="2:3">
      <c r="B14899" s="12"/>
      <c r="C14899" s="12"/>
    </row>
    <row r="14900" spans="2:3">
      <c r="B14900" s="12"/>
      <c r="C14900" s="12"/>
    </row>
    <row r="14901" spans="2:3">
      <c r="B14901" s="12"/>
      <c r="C14901" s="12"/>
    </row>
    <row r="14902" spans="2:3">
      <c r="B14902" s="12"/>
      <c r="C14902" s="12"/>
    </row>
    <row r="14903" spans="2:3">
      <c r="B14903" s="12"/>
      <c r="C14903" s="12"/>
    </row>
    <row r="14904" spans="2:3">
      <c r="B14904" s="12"/>
      <c r="C14904" s="12"/>
    </row>
    <row r="14905" spans="2:3">
      <c r="B14905" s="12"/>
      <c r="C14905" s="12"/>
    </row>
    <row r="14906" spans="2:3">
      <c r="B14906" s="12"/>
      <c r="C14906" s="12"/>
    </row>
    <row r="14907" spans="2:3">
      <c r="B14907" s="12"/>
      <c r="C14907" s="12"/>
    </row>
    <row r="14908" spans="2:3">
      <c r="B14908" s="12"/>
      <c r="C14908" s="12"/>
    </row>
    <row r="14909" spans="2:3">
      <c r="B14909" s="12"/>
      <c r="C14909" s="12"/>
    </row>
    <row r="14910" spans="2:3">
      <c r="B14910" s="12"/>
      <c r="C14910" s="12"/>
    </row>
    <row r="14911" spans="2:3">
      <c r="B14911" s="12"/>
      <c r="C14911" s="12"/>
    </row>
    <row r="14912" spans="2:3">
      <c r="B14912" s="12"/>
      <c r="C14912" s="12"/>
    </row>
    <row r="14913" spans="2:3">
      <c r="B14913" s="12"/>
      <c r="C14913" s="12"/>
    </row>
    <row r="14914" spans="2:3">
      <c r="B14914" s="12"/>
      <c r="C14914" s="12"/>
    </row>
    <row r="14915" spans="2:3">
      <c r="B14915" s="12"/>
      <c r="C14915" s="12"/>
    </row>
    <row r="14916" spans="2:3">
      <c r="B14916" s="12"/>
      <c r="C14916" s="12"/>
    </row>
    <row r="14917" spans="2:3">
      <c r="B14917" s="12"/>
      <c r="C14917" s="12"/>
    </row>
    <row r="14918" spans="2:3">
      <c r="B14918" s="12"/>
      <c r="C14918" s="12"/>
    </row>
    <row r="14919" spans="2:3">
      <c r="B14919" s="12"/>
      <c r="C14919" s="12"/>
    </row>
    <row r="14920" spans="2:3">
      <c r="B14920" s="12"/>
      <c r="C14920" s="12"/>
    </row>
    <row r="14921" spans="2:3">
      <c r="B14921" s="12"/>
      <c r="C14921" s="12"/>
    </row>
    <row r="14922" spans="2:3">
      <c r="B14922" s="12"/>
      <c r="C14922" s="12"/>
    </row>
    <row r="14923" spans="2:3">
      <c r="B14923" s="12"/>
      <c r="C14923" s="12"/>
    </row>
    <row r="14924" spans="2:3">
      <c r="B14924" s="12"/>
      <c r="C14924" s="12"/>
    </row>
    <row r="14925" spans="2:3">
      <c r="B14925" s="12"/>
      <c r="C14925" s="12"/>
    </row>
    <row r="14926" spans="2:3">
      <c r="B14926" s="12"/>
      <c r="C14926" s="12"/>
    </row>
    <row r="14927" spans="2:3">
      <c r="B14927" s="12"/>
      <c r="C14927" s="12"/>
    </row>
    <row r="14928" spans="2:3">
      <c r="B14928" s="12"/>
      <c r="C14928" s="12"/>
    </row>
    <row r="14929" spans="2:3">
      <c r="B14929" s="12"/>
      <c r="C14929" s="12"/>
    </row>
    <row r="14930" spans="2:3">
      <c r="B14930" s="12"/>
      <c r="C14930" s="12"/>
    </row>
    <row r="14931" spans="2:3">
      <c r="B14931" s="12"/>
      <c r="C14931" s="12"/>
    </row>
    <row r="14932" spans="2:3">
      <c r="B14932" s="12"/>
      <c r="C14932" s="12"/>
    </row>
    <row r="14933" spans="2:3">
      <c r="B14933" s="12"/>
      <c r="C14933" s="12"/>
    </row>
    <row r="14934" spans="2:3">
      <c r="B14934" s="12"/>
      <c r="C14934" s="12"/>
    </row>
    <row r="14935" spans="2:3">
      <c r="B14935" s="12"/>
      <c r="C14935" s="12"/>
    </row>
    <row r="14936" spans="2:3">
      <c r="B14936" s="12"/>
      <c r="C14936" s="12"/>
    </row>
    <row r="14937" spans="2:3">
      <c r="B14937" s="12"/>
      <c r="C14937" s="12"/>
    </row>
    <row r="14938" spans="2:3">
      <c r="B14938" s="12"/>
      <c r="C14938" s="12"/>
    </row>
    <row r="14939" spans="2:3">
      <c r="B14939" s="12"/>
      <c r="C14939" s="12"/>
    </row>
    <row r="14940" spans="2:3">
      <c r="B14940" s="12"/>
      <c r="C14940" s="12"/>
    </row>
    <row r="14941" spans="2:3">
      <c r="B14941" s="12"/>
      <c r="C14941" s="12"/>
    </row>
    <row r="14942" spans="2:3">
      <c r="B14942" s="12"/>
      <c r="C14942" s="12"/>
    </row>
    <row r="14943" spans="2:3">
      <c r="B14943" s="12"/>
      <c r="C14943" s="12"/>
    </row>
    <row r="14944" spans="2:3">
      <c r="B14944" s="12"/>
      <c r="C14944" s="12"/>
    </row>
    <row r="14945" spans="2:3">
      <c r="B14945" s="12"/>
      <c r="C14945" s="12"/>
    </row>
    <row r="14946" spans="2:3">
      <c r="B14946" s="12"/>
      <c r="C14946" s="12"/>
    </row>
    <row r="14947" spans="2:3">
      <c r="B14947" s="12"/>
      <c r="C14947" s="12"/>
    </row>
    <row r="14948" spans="2:3">
      <c r="B14948" s="12"/>
      <c r="C14948" s="12"/>
    </row>
    <row r="14949" spans="2:3">
      <c r="B14949" s="12"/>
      <c r="C14949" s="12"/>
    </row>
    <row r="14950" spans="2:3">
      <c r="B14950" s="12"/>
      <c r="C14950" s="12"/>
    </row>
    <row r="14951" spans="2:3">
      <c r="B14951" s="12"/>
      <c r="C14951" s="12"/>
    </row>
    <row r="14952" spans="2:3">
      <c r="B14952" s="12"/>
      <c r="C14952" s="12"/>
    </row>
    <row r="14953" spans="2:3">
      <c r="B14953" s="12"/>
      <c r="C14953" s="12"/>
    </row>
    <row r="14954" spans="2:3">
      <c r="B14954" s="12"/>
      <c r="C14954" s="12"/>
    </row>
    <row r="14955" spans="2:3">
      <c r="B14955" s="12"/>
      <c r="C14955" s="12"/>
    </row>
    <row r="14956" spans="2:3">
      <c r="B14956" s="12"/>
      <c r="C14956" s="12"/>
    </row>
    <row r="14957" spans="2:3">
      <c r="B14957" s="12"/>
      <c r="C14957" s="12"/>
    </row>
    <row r="14958" spans="2:3">
      <c r="B14958" s="12"/>
      <c r="C14958" s="12"/>
    </row>
    <row r="14959" spans="2:3">
      <c r="B14959" s="12"/>
      <c r="C14959" s="12"/>
    </row>
    <row r="14960" spans="2:3">
      <c r="B14960" s="12"/>
      <c r="C14960" s="12"/>
    </row>
    <row r="14961" spans="2:3">
      <c r="B14961" s="12"/>
      <c r="C14961" s="12"/>
    </row>
    <row r="14962" spans="2:3">
      <c r="B14962" s="12"/>
      <c r="C14962" s="12"/>
    </row>
    <row r="14963" spans="2:3">
      <c r="B14963" s="12"/>
      <c r="C14963" s="12"/>
    </row>
    <row r="14964" spans="2:3">
      <c r="B14964" s="12"/>
      <c r="C14964" s="12"/>
    </row>
    <row r="14965" spans="2:3">
      <c r="B14965" s="12"/>
      <c r="C14965" s="12"/>
    </row>
    <row r="14966" spans="2:3">
      <c r="B14966" s="12"/>
      <c r="C14966" s="12"/>
    </row>
    <row r="14967" spans="2:3">
      <c r="B14967" s="12"/>
      <c r="C14967" s="12"/>
    </row>
    <row r="14968" spans="2:3">
      <c r="B14968" s="12"/>
      <c r="C14968" s="12"/>
    </row>
    <row r="14969" spans="2:3">
      <c r="B14969" s="12"/>
      <c r="C14969" s="12"/>
    </row>
    <row r="14970" spans="2:3">
      <c r="B14970" s="12"/>
      <c r="C14970" s="12"/>
    </row>
    <row r="14971" spans="2:3">
      <c r="B14971" s="12"/>
      <c r="C14971" s="12"/>
    </row>
    <row r="14972" spans="2:3">
      <c r="B14972" s="12"/>
      <c r="C14972" s="12"/>
    </row>
    <row r="14973" spans="2:3">
      <c r="B14973" s="12"/>
      <c r="C14973" s="12"/>
    </row>
    <row r="14974" spans="2:3">
      <c r="B14974" s="12"/>
      <c r="C14974" s="12"/>
    </row>
    <row r="14975" spans="2:3">
      <c r="B14975" s="12"/>
      <c r="C14975" s="12"/>
    </row>
    <row r="14976" spans="2:3">
      <c r="B14976" s="12"/>
      <c r="C14976" s="12"/>
    </row>
    <row r="14977" spans="2:3">
      <c r="B14977" s="12"/>
      <c r="C14977" s="12"/>
    </row>
    <row r="14978" spans="2:3">
      <c r="B14978" s="12"/>
      <c r="C14978" s="12"/>
    </row>
    <row r="14979" spans="2:3">
      <c r="B14979" s="12"/>
      <c r="C14979" s="12"/>
    </row>
    <row r="14980" spans="2:3">
      <c r="B14980" s="12"/>
      <c r="C14980" s="12"/>
    </row>
    <row r="14981" spans="2:3">
      <c r="B14981" s="12"/>
      <c r="C14981" s="12"/>
    </row>
    <row r="14982" spans="2:3">
      <c r="B14982" s="12"/>
      <c r="C14982" s="12"/>
    </row>
    <row r="14983" spans="2:3">
      <c r="B14983" s="12"/>
      <c r="C14983" s="12"/>
    </row>
    <row r="14984" spans="2:3">
      <c r="B14984" s="12"/>
      <c r="C14984" s="12"/>
    </row>
    <row r="14985" spans="2:3">
      <c r="B14985" s="12"/>
      <c r="C14985" s="12"/>
    </row>
    <row r="14986" spans="2:3">
      <c r="B14986" s="12"/>
      <c r="C14986" s="12"/>
    </row>
    <row r="14987" spans="2:3">
      <c r="B14987" s="12"/>
      <c r="C14987" s="12"/>
    </row>
    <row r="14988" spans="2:3">
      <c r="B14988" s="12"/>
      <c r="C14988" s="12"/>
    </row>
    <row r="14989" spans="2:3">
      <c r="B14989" s="12"/>
      <c r="C14989" s="12"/>
    </row>
    <row r="14990" spans="2:3">
      <c r="B14990" s="12"/>
      <c r="C14990" s="12"/>
    </row>
    <row r="14991" spans="2:3">
      <c r="B14991" s="12"/>
      <c r="C14991" s="12"/>
    </row>
    <row r="14992" spans="2:3">
      <c r="B14992" s="12"/>
      <c r="C14992" s="12"/>
    </row>
    <row r="14993" spans="2:3">
      <c r="B14993" s="12"/>
      <c r="C14993" s="12"/>
    </row>
    <row r="14994" spans="2:3">
      <c r="B14994" s="12"/>
      <c r="C14994" s="12"/>
    </row>
    <row r="14995" spans="2:3">
      <c r="B14995" s="12"/>
      <c r="C14995" s="12"/>
    </row>
    <row r="14996" spans="2:3">
      <c r="B14996" s="12"/>
      <c r="C14996" s="12"/>
    </row>
    <row r="14997" spans="2:3">
      <c r="B14997" s="12"/>
      <c r="C14997" s="12"/>
    </row>
    <row r="14998" spans="2:3">
      <c r="B14998" s="12"/>
      <c r="C14998" s="12"/>
    </row>
    <row r="14999" spans="2:3">
      <c r="B14999" s="12"/>
      <c r="C14999" s="12"/>
    </row>
    <row r="15000" spans="2:3">
      <c r="B15000" s="12"/>
      <c r="C15000" s="12"/>
    </row>
    <row r="15001" spans="2:3">
      <c r="B15001" s="12"/>
      <c r="C15001" s="12"/>
    </row>
    <row r="15002" spans="2:3">
      <c r="B15002" s="12"/>
      <c r="C15002" s="12"/>
    </row>
    <row r="15003" spans="2:3">
      <c r="B15003" s="12"/>
      <c r="C15003" s="12"/>
    </row>
    <row r="15004" spans="2:3">
      <c r="B15004" s="12"/>
      <c r="C15004" s="12"/>
    </row>
    <row r="15005" spans="2:3">
      <c r="B15005" s="12"/>
      <c r="C15005" s="12"/>
    </row>
    <row r="15006" spans="2:3">
      <c r="B15006" s="12"/>
      <c r="C15006" s="12"/>
    </row>
    <row r="15007" spans="2:3">
      <c r="B15007" s="12"/>
      <c r="C15007" s="12"/>
    </row>
    <row r="15008" spans="2:3">
      <c r="B15008" s="12"/>
      <c r="C15008" s="12"/>
    </row>
    <row r="15009" spans="2:3">
      <c r="B15009" s="12"/>
      <c r="C15009" s="12"/>
    </row>
    <row r="15010" spans="2:3">
      <c r="B15010" s="12"/>
      <c r="C15010" s="12"/>
    </row>
    <row r="15011" spans="2:3">
      <c r="B15011" s="12"/>
      <c r="C15011" s="12"/>
    </row>
    <row r="15012" spans="2:3">
      <c r="B15012" s="12"/>
      <c r="C15012" s="12"/>
    </row>
    <row r="15013" spans="2:3">
      <c r="B15013" s="12"/>
      <c r="C15013" s="12"/>
    </row>
    <row r="15014" spans="2:3">
      <c r="B15014" s="12"/>
      <c r="C15014" s="12"/>
    </row>
    <row r="15015" spans="2:3">
      <c r="B15015" s="12"/>
      <c r="C15015" s="12"/>
    </row>
    <row r="15016" spans="2:3">
      <c r="B15016" s="12"/>
      <c r="C15016" s="12"/>
    </row>
    <row r="15017" spans="2:3">
      <c r="B15017" s="12"/>
      <c r="C15017" s="12"/>
    </row>
    <row r="15018" spans="2:3">
      <c r="B15018" s="12"/>
      <c r="C15018" s="12"/>
    </row>
    <row r="15019" spans="2:3">
      <c r="B15019" s="12"/>
      <c r="C15019" s="12"/>
    </row>
    <row r="15020" spans="2:3">
      <c r="B15020" s="12"/>
      <c r="C15020" s="12"/>
    </row>
    <row r="15021" spans="2:3">
      <c r="B15021" s="12"/>
      <c r="C15021" s="12"/>
    </row>
    <row r="15022" spans="2:3">
      <c r="B15022" s="12"/>
      <c r="C15022" s="12"/>
    </row>
    <row r="15023" spans="2:3">
      <c r="B15023" s="12"/>
      <c r="C15023" s="12"/>
    </row>
    <row r="15024" spans="2:3">
      <c r="B15024" s="12"/>
      <c r="C15024" s="12"/>
    </row>
    <row r="15025" spans="2:3">
      <c r="B15025" s="12"/>
      <c r="C15025" s="12"/>
    </row>
    <row r="15026" spans="2:3">
      <c r="B15026" s="12"/>
      <c r="C15026" s="12"/>
    </row>
    <row r="15027" spans="2:3">
      <c r="B15027" s="12"/>
      <c r="C15027" s="12"/>
    </row>
    <row r="15028" spans="2:3">
      <c r="B15028" s="12"/>
      <c r="C15028" s="12"/>
    </row>
    <row r="15029" spans="2:3">
      <c r="B15029" s="12"/>
      <c r="C15029" s="12"/>
    </row>
    <row r="15030" spans="2:3">
      <c r="B15030" s="12"/>
      <c r="C15030" s="12"/>
    </row>
    <row r="15031" spans="2:3">
      <c r="B15031" s="12"/>
      <c r="C15031" s="12"/>
    </row>
    <row r="15032" spans="2:3">
      <c r="B15032" s="12"/>
      <c r="C15032" s="12"/>
    </row>
    <row r="15033" spans="2:3">
      <c r="B15033" s="12"/>
      <c r="C15033" s="12"/>
    </row>
    <row r="15034" spans="2:3">
      <c r="B15034" s="12"/>
      <c r="C15034" s="12"/>
    </row>
    <row r="15035" spans="2:3">
      <c r="B15035" s="12"/>
      <c r="C15035" s="12"/>
    </row>
    <row r="15036" spans="2:3">
      <c r="B15036" s="12"/>
      <c r="C15036" s="12"/>
    </row>
    <row r="15037" spans="2:3">
      <c r="B15037" s="12"/>
      <c r="C15037" s="12"/>
    </row>
    <row r="15038" spans="2:3">
      <c r="B15038" s="12"/>
      <c r="C15038" s="12"/>
    </row>
    <row r="15039" spans="2:3">
      <c r="B15039" s="12"/>
      <c r="C15039" s="12"/>
    </row>
    <row r="15040" spans="2:3">
      <c r="B15040" s="12"/>
      <c r="C15040" s="12"/>
    </row>
    <row r="15041" spans="2:3">
      <c r="B15041" s="12"/>
      <c r="C15041" s="12"/>
    </row>
    <row r="15042" spans="2:3">
      <c r="B15042" s="12"/>
      <c r="C15042" s="12"/>
    </row>
    <row r="15043" spans="2:3">
      <c r="B15043" s="12"/>
      <c r="C15043" s="12"/>
    </row>
    <row r="15044" spans="2:3">
      <c r="B15044" s="12"/>
      <c r="C15044" s="12"/>
    </row>
    <row r="15045" spans="2:3">
      <c r="B15045" s="12"/>
      <c r="C15045" s="12"/>
    </row>
    <row r="15046" spans="2:3">
      <c r="B15046" s="12"/>
      <c r="C15046" s="12"/>
    </row>
    <row r="15047" spans="2:3">
      <c r="B15047" s="12"/>
      <c r="C15047" s="12"/>
    </row>
    <row r="15048" spans="2:3">
      <c r="B15048" s="12"/>
      <c r="C15048" s="12"/>
    </row>
    <row r="15049" spans="2:3">
      <c r="B15049" s="12"/>
      <c r="C15049" s="12"/>
    </row>
    <row r="15050" spans="2:3">
      <c r="B15050" s="12"/>
      <c r="C15050" s="12"/>
    </row>
    <row r="15051" spans="2:3">
      <c r="B15051" s="12"/>
      <c r="C15051" s="12"/>
    </row>
    <row r="15052" spans="2:3">
      <c r="B15052" s="12"/>
      <c r="C15052" s="12"/>
    </row>
    <row r="15053" spans="2:3">
      <c r="B15053" s="12"/>
      <c r="C15053" s="12"/>
    </row>
    <row r="15054" spans="2:3">
      <c r="B15054" s="12"/>
      <c r="C15054" s="12"/>
    </row>
    <row r="15055" spans="2:3">
      <c r="B15055" s="12"/>
      <c r="C15055" s="12"/>
    </row>
    <row r="15056" spans="2:3">
      <c r="B15056" s="12"/>
      <c r="C15056" s="12"/>
    </row>
    <row r="15057" spans="2:3">
      <c r="B15057" s="12"/>
      <c r="C15057" s="12"/>
    </row>
    <row r="15058" spans="2:3">
      <c r="B15058" s="12"/>
      <c r="C15058" s="12"/>
    </row>
    <row r="15059" spans="2:3">
      <c r="B15059" s="12"/>
      <c r="C15059" s="12"/>
    </row>
    <row r="15060" spans="2:3">
      <c r="B15060" s="12"/>
      <c r="C15060" s="12"/>
    </row>
    <row r="15061" spans="2:3">
      <c r="B15061" s="12"/>
      <c r="C15061" s="12"/>
    </row>
    <row r="15062" spans="2:3">
      <c r="B15062" s="12"/>
      <c r="C15062" s="12"/>
    </row>
    <row r="15063" spans="2:3">
      <c r="B15063" s="12"/>
      <c r="C15063" s="12"/>
    </row>
    <row r="15064" spans="2:3">
      <c r="B15064" s="12"/>
      <c r="C15064" s="12"/>
    </row>
    <row r="15065" spans="2:3">
      <c r="B15065" s="12"/>
      <c r="C15065" s="12"/>
    </row>
    <row r="15066" spans="2:3">
      <c r="B15066" s="12"/>
      <c r="C15066" s="12"/>
    </row>
    <row r="15067" spans="2:3">
      <c r="B15067" s="12"/>
      <c r="C15067" s="12"/>
    </row>
    <row r="15068" spans="2:3">
      <c r="B15068" s="12"/>
      <c r="C15068" s="12"/>
    </row>
    <row r="15069" spans="2:3">
      <c r="B15069" s="12"/>
      <c r="C15069" s="12"/>
    </row>
    <row r="15070" spans="2:3">
      <c r="B15070" s="12"/>
      <c r="C15070" s="12"/>
    </row>
    <row r="15071" spans="2:3">
      <c r="B15071" s="12"/>
      <c r="C15071" s="12"/>
    </row>
    <row r="15072" spans="2:3">
      <c r="B15072" s="12"/>
      <c r="C15072" s="12"/>
    </row>
    <row r="15073" spans="2:3">
      <c r="B15073" s="12"/>
      <c r="C15073" s="12"/>
    </row>
    <row r="15074" spans="2:3">
      <c r="B15074" s="12"/>
      <c r="C15074" s="12"/>
    </row>
    <row r="15075" spans="2:3">
      <c r="B15075" s="12"/>
      <c r="C15075" s="12"/>
    </row>
    <row r="15076" spans="2:3">
      <c r="B15076" s="12"/>
      <c r="C15076" s="12"/>
    </row>
    <row r="15077" spans="2:3">
      <c r="B15077" s="12"/>
      <c r="C15077" s="12"/>
    </row>
    <row r="15078" spans="2:3">
      <c r="B15078" s="12"/>
      <c r="C15078" s="12"/>
    </row>
    <row r="15079" spans="2:3">
      <c r="B15079" s="12"/>
      <c r="C15079" s="12"/>
    </row>
    <row r="15080" spans="2:3">
      <c r="B15080" s="12"/>
      <c r="C15080" s="12"/>
    </row>
    <row r="15081" spans="2:3">
      <c r="B15081" s="12"/>
      <c r="C15081" s="12"/>
    </row>
    <row r="15082" spans="2:3">
      <c r="B15082" s="12"/>
      <c r="C15082" s="12"/>
    </row>
    <row r="15083" spans="2:3">
      <c r="B15083" s="12"/>
      <c r="C15083" s="12"/>
    </row>
    <row r="15084" spans="2:3">
      <c r="B15084" s="12"/>
      <c r="C15084" s="12"/>
    </row>
    <row r="15085" spans="2:3">
      <c r="B15085" s="12"/>
      <c r="C15085" s="12"/>
    </row>
    <row r="15086" spans="2:3">
      <c r="B15086" s="12"/>
      <c r="C15086" s="12"/>
    </row>
    <row r="15087" spans="2:3">
      <c r="B15087" s="12"/>
      <c r="C15087" s="12"/>
    </row>
    <row r="15088" spans="2:3">
      <c r="B15088" s="12"/>
      <c r="C15088" s="12"/>
    </row>
    <row r="15089" spans="2:3">
      <c r="B15089" s="12"/>
      <c r="C15089" s="12"/>
    </row>
    <row r="15090" spans="2:3">
      <c r="B15090" s="12"/>
      <c r="C15090" s="12"/>
    </row>
    <row r="15091" spans="2:3">
      <c r="B15091" s="12"/>
      <c r="C15091" s="12"/>
    </row>
    <row r="15092" spans="2:3">
      <c r="B15092" s="12"/>
      <c r="C15092" s="12"/>
    </row>
    <row r="15093" spans="2:3">
      <c r="B15093" s="12"/>
      <c r="C15093" s="12"/>
    </row>
    <row r="15094" spans="2:3">
      <c r="B15094" s="12"/>
      <c r="C15094" s="12"/>
    </row>
    <row r="15095" spans="2:3">
      <c r="B15095" s="12"/>
      <c r="C15095" s="12"/>
    </row>
    <row r="15096" spans="2:3">
      <c r="B15096" s="12"/>
      <c r="C15096" s="12"/>
    </row>
    <row r="15097" spans="2:3">
      <c r="B15097" s="12"/>
      <c r="C15097" s="12"/>
    </row>
    <row r="15098" spans="2:3">
      <c r="B15098" s="12"/>
      <c r="C15098" s="12"/>
    </row>
    <row r="15099" spans="2:3">
      <c r="B15099" s="12"/>
      <c r="C15099" s="12"/>
    </row>
    <row r="15100" spans="2:3">
      <c r="B15100" s="12"/>
      <c r="C15100" s="12"/>
    </row>
    <row r="15101" spans="2:3">
      <c r="B15101" s="12"/>
      <c r="C15101" s="12"/>
    </row>
    <row r="15102" spans="2:3">
      <c r="B15102" s="12"/>
      <c r="C15102" s="12"/>
    </row>
    <row r="15103" spans="2:3">
      <c r="B15103" s="12"/>
      <c r="C15103" s="12"/>
    </row>
    <row r="15104" spans="2:3">
      <c r="B15104" s="12"/>
      <c r="C15104" s="12"/>
    </row>
    <row r="15105" spans="2:3">
      <c r="B15105" s="12"/>
      <c r="C15105" s="12"/>
    </row>
    <row r="15106" spans="2:3">
      <c r="B15106" s="12"/>
      <c r="C15106" s="12"/>
    </row>
    <row r="15107" spans="2:3">
      <c r="B15107" s="12"/>
      <c r="C15107" s="12"/>
    </row>
    <row r="15108" spans="2:3">
      <c r="B15108" s="12"/>
      <c r="C15108" s="12"/>
    </row>
    <row r="15109" spans="2:3">
      <c r="B15109" s="12"/>
      <c r="C15109" s="12"/>
    </row>
    <row r="15110" spans="2:3">
      <c r="B15110" s="12"/>
      <c r="C15110" s="12"/>
    </row>
    <row r="15111" spans="2:3">
      <c r="B15111" s="12"/>
      <c r="C15111" s="12"/>
    </row>
    <row r="15112" spans="2:3">
      <c r="B15112" s="12"/>
      <c r="C15112" s="12"/>
    </row>
    <row r="15113" spans="2:3">
      <c r="B15113" s="12"/>
      <c r="C15113" s="12"/>
    </row>
    <row r="15114" spans="2:3">
      <c r="B15114" s="12"/>
      <c r="C15114" s="12"/>
    </row>
    <row r="15115" spans="2:3">
      <c r="B15115" s="12"/>
      <c r="C15115" s="12"/>
    </row>
    <row r="15116" spans="2:3">
      <c r="B15116" s="12"/>
      <c r="C15116" s="12"/>
    </row>
    <row r="15117" spans="2:3">
      <c r="B15117" s="12"/>
      <c r="C15117" s="12"/>
    </row>
    <row r="15118" spans="2:3">
      <c r="B15118" s="12"/>
      <c r="C15118" s="12"/>
    </row>
    <row r="15119" spans="2:3">
      <c r="B15119" s="12"/>
      <c r="C15119" s="12"/>
    </row>
    <row r="15120" spans="2:3">
      <c r="B15120" s="12"/>
      <c r="C15120" s="12"/>
    </row>
    <row r="15121" spans="2:3">
      <c r="B15121" s="12"/>
      <c r="C15121" s="12"/>
    </row>
    <row r="15122" spans="2:3">
      <c r="B15122" s="12"/>
      <c r="C15122" s="12"/>
    </row>
    <row r="15123" spans="2:3">
      <c r="B15123" s="12"/>
      <c r="C15123" s="12"/>
    </row>
    <row r="15124" spans="2:3">
      <c r="B15124" s="12"/>
      <c r="C15124" s="12"/>
    </row>
    <row r="15125" spans="2:3">
      <c r="B15125" s="12"/>
      <c r="C15125" s="12"/>
    </row>
    <row r="15126" spans="2:3">
      <c r="B15126" s="12"/>
      <c r="C15126" s="12"/>
    </row>
    <row r="15127" spans="2:3">
      <c r="B15127" s="12"/>
      <c r="C15127" s="12"/>
    </row>
    <row r="15128" spans="2:3">
      <c r="B15128" s="12"/>
      <c r="C15128" s="12"/>
    </row>
    <row r="15129" spans="2:3">
      <c r="B15129" s="12"/>
      <c r="C15129" s="12"/>
    </row>
    <row r="15130" spans="2:3">
      <c r="B15130" s="12"/>
      <c r="C15130" s="12"/>
    </row>
    <row r="15131" spans="2:3">
      <c r="B15131" s="12"/>
      <c r="C15131" s="12"/>
    </row>
    <row r="15132" spans="2:3">
      <c r="B15132" s="12"/>
      <c r="C15132" s="12"/>
    </row>
    <row r="15133" spans="2:3">
      <c r="B15133" s="12"/>
      <c r="C15133" s="12"/>
    </row>
    <row r="15134" spans="2:3">
      <c r="B15134" s="12"/>
      <c r="C15134" s="12"/>
    </row>
    <row r="15135" spans="2:3">
      <c r="B15135" s="12"/>
      <c r="C15135" s="12"/>
    </row>
    <row r="15136" spans="2:3">
      <c r="B15136" s="12"/>
      <c r="C15136" s="12"/>
    </row>
    <row r="15137" spans="2:3">
      <c r="B15137" s="12"/>
      <c r="C15137" s="12"/>
    </row>
    <row r="15138" spans="2:3">
      <c r="B15138" s="12"/>
      <c r="C15138" s="12"/>
    </row>
    <row r="15139" spans="2:3">
      <c r="B15139" s="12"/>
      <c r="C15139" s="12"/>
    </row>
    <row r="15140" spans="2:3">
      <c r="B15140" s="12"/>
      <c r="C15140" s="12"/>
    </row>
    <row r="15141" spans="2:3">
      <c r="B15141" s="12"/>
      <c r="C15141" s="12"/>
    </row>
    <row r="15142" spans="2:3">
      <c r="B15142" s="12"/>
      <c r="C15142" s="12"/>
    </row>
    <row r="15143" spans="2:3">
      <c r="B15143" s="12"/>
      <c r="C15143" s="12"/>
    </row>
    <row r="15144" spans="2:3">
      <c r="B15144" s="12"/>
      <c r="C15144" s="12"/>
    </row>
    <row r="15145" spans="2:3">
      <c r="B15145" s="12"/>
      <c r="C15145" s="12"/>
    </row>
    <row r="15146" spans="2:3">
      <c r="B15146" s="12"/>
      <c r="C15146" s="12"/>
    </row>
    <row r="15147" spans="2:3">
      <c r="B15147" s="12"/>
      <c r="C15147" s="12"/>
    </row>
    <row r="15148" spans="2:3">
      <c r="B15148" s="12"/>
      <c r="C15148" s="12"/>
    </row>
    <row r="15149" spans="2:3">
      <c r="B15149" s="12"/>
      <c r="C15149" s="12"/>
    </row>
    <row r="15150" spans="2:3">
      <c r="B15150" s="12"/>
      <c r="C15150" s="12"/>
    </row>
    <row r="15151" spans="2:3">
      <c r="B15151" s="12"/>
      <c r="C15151" s="12"/>
    </row>
    <row r="15152" spans="2:3">
      <c r="B15152" s="12"/>
      <c r="C15152" s="12"/>
    </row>
    <row r="15153" spans="2:3">
      <c r="B15153" s="12"/>
      <c r="C15153" s="12"/>
    </row>
    <row r="15154" spans="2:3">
      <c r="B15154" s="12"/>
      <c r="C15154" s="12"/>
    </row>
    <row r="15155" spans="2:3">
      <c r="B15155" s="12"/>
      <c r="C15155" s="12"/>
    </row>
    <row r="15156" spans="2:3">
      <c r="B15156" s="12"/>
      <c r="C15156" s="12"/>
    </row>
    <row r="15157" spans="2:3">
      <c r="B15157" s="12"/>
      <c r="C15157" s="12"/>
    </row>
    <row r="15158" spans="2:3">
      <c r="B15158" s="12"/>
      <c r="C15158" s="12"/>
    </row>
    <row r="15159" spans="2:3">
      <c r="B15159" s="12"/>
      <c r="C15159" s="12"/>
    </row>
    <row r="15160" spans="2:3">
      <c r="B15160" s="12"/>
      <c r="C15160" s="12"/>
    </row>
    <row r="15161" spans="2:3">
      <c r="B15161" s="12"/>
      <c r="C15161" s="12"/>
    </row>
    <row r="15162" spans="2:3">
      <c r="B15162" s="12"/>
      <c r="C15162" s="12"/>
    </row>
    <row r="15163" spans="2:3">
      <c r="B15163" s="12"/>
      <c r="C15163" s="12"/>
    </row>
    <row r="15164" spans="2:3">
      <c r="B15164" s="12"/>
      <c r="C15164" s="12"/>
    </row>
    <row r="15165" spans="2:3">
      <c r="B15165" s="12"/>
      <c r="C15165" s="12"/>
    </row>
    <row r="15166" spans="2:3">
      <c r="B15166" s="12"/>
      <c r="C15166" s="12"/>
    </row>
    <row r="15167" spans="2:3">
      <c r="B15167" s="12"/>
      <c r="C15167" s="12"/>
    </row>
    <row r="15168" spans="2:3">
      <c r="B15168" s="12"/>
      <c r="C15168" s="12"/>
    </row>
    <row r="15169" spans="2:3">
      <c r="B15169" s="12"/>
      <c r="C15169" s="12"/>
    </row>
    <row r="15170" spans="2:3">
      <c r="B15170" s="12"/>
      <c r="C15170" s="12"/>
    </row>
    <row r="15171" spans="2:3">
      <c r="B15171" s="12"/>
      <c r="C15171" s="12"/>
    </row>
    <row r="15172" spans="2:3">
      <c r="B15172" s="12"/>
      <c r="C15172" s="12"/>
    </row>
    <row r="15173" spans="2:3">
      <c r="B15173" s="12"/>
      <c r="C15173" s="12"/>
    </row>
    <row r="15174" spans="2:3">
      <c r="B15174" s="12"/>
      <c r="C15174" s="12"/>
    </row>
    <row r="15175" spans="2:3">
      <c r="B15175" s="12"/>
      <c r="C15175" s="12"/>
    </row>
    <row r="15176" spans="2:3">
      <c r="B15176" s="12"/>
      <c r="C15176" s="12"/>
    </row>
    <row r="15177" spans="2:3">
      <c r="B15177" s="12"/>
      <c r="C15177" s="12"/>
    </row>
    <row r="15178" spans="2:3">
      <c r="B15178" s="12"/>
      <c r="C15178" s="12"/>
    </row>
    <row r="15179" spans="2:3">
      <c r="B15179" s="12"/>
      <c r="C15179" s="12"/>
    </row>
    <row r="15180" spans="2:3">
      <c r="B15180" s="12"/>
      <c r="C15180" s="12"/>
    </row>
    <row r="15181" spans="2:3">
      <c r="B15181" s="12"/>
      <c r="C15181" s="12"/>
    </row>
    <row r="15182" spans="2:3">
      <c r="B15182" s="12"/>
      <c r="C15182" s="12"/>
    </row>
    <row r="15183" spans="2:3">
      <c r="B15183" s="12"/>
      <c r="C15183" s="12"/>
    </row>
    <row r="15184" spans="2:3">
      <c r="B15184" s="12"/>
      <c r="C15184" s="12"/>
    </row>
    <row r="15185" spans="2:3">
      <c r="B15185" s="12"/>
      <c r="C15185" s="12"/>
    </row>
    <row r="15186" spans="2:3">
      <c r="B15186" s="12"/>
      <c r="C15186" s="12"/>
    </row>
    <row r="15187" spans="2:3">
      <c r="B15187" s="12"/>
      <c r="C15187" s="12"/>
    </row>
    <row r="15188" spans="2:3">
      <c r="B15188" s="12"/>
      <c r="C15188" s="12"/>
    </row>
    <row r="15189" spans="2:3">
      <c r="B15189" s="12"/>
      <c r="C15189" s="12"/>
    </row>
    <row r="15190" spans="2:3">
      <c r="B15190" s="12"/>
      <c r="C15190" s="12"/>
    </row>
    <row r="15191" spans="2:3">
      <c r="B15191" s="12"/>
      <c r="C15191" s="12"/>
    </row>
    <row r="15192" spans="2:3">
      <c r="B15192" s="12"/>
      <c r="C15192" s="12"/>
    </row>
    <row r="15193" spans="2:3">
      <c r="B15193" s="12"/>
      <c r="C15193" s="12"/>
    </row>
    <row r="15194" spans="2:3">
      <c r="B15194" s="12"/>
      <c r="C15194" s="12"/>
    </row>
    <row r="15195" spans="2:3">
      <c r="B15195" s="12"/>
      <c r="C15195" s="12"/>
    </row>
    <row r="15196" spans="2:3">
      <c r="B15196" s="12"/>
      <c r="C15196" s="12"/>
    </row>
    <row r="15197" spans="2:3">
      <c r="B15197" s="12"/>
      <c r="C15197" s="12"/>
    </row>
    <row r="15198" spans="2:3">
      <c r="B15198" s="12"/>
      <c r="C15198" s="12"/>
    </row>
    <row r="15199" spans="2:3">
      <c r="B15199" s="12"/>
      <c r="C15199" s="12"/>
    </row>
    <row r="15200" spans="2:3">
      <c r="B15200" s="12"/>
      <c r="C15200" s="12"/>
    </row>
    <row r="15201" spans="2:3">
      <c r="B15201" s="12"/>
      <c r="C15201" s="12"/>
    </row>
    <row r="15202" spans="2:3">
      <c r="B15202" s="12"/>
      <c r="C15202" s="12"/>
    </row>
    <row r="15203" spans="2:3">
      <c r="B15203" s="12"/>
      <c r="C15203" s="12"/>
    </row>
    <row r="15204" spans="2:3">
      <c r="B15204" s="12"/>
      <c r="C15204" s="12"/>
    </row>
    <row r="15205" spans="2:3">
      <c r="B15205" s="12"/>
      <c r="C15205" s="12"/>
    </row>
    <row r="15206" spans="2:3">
      <c r="B15206" s="12"/>
      <c r="C15206" s="12"/>
    </row>
    <row r="15207" spans="2:3">
      <c r="B15207" s="12"/>
      <c r="C15207" s="12"/>
    </row>
    <row r="15208" spans="2:3">
      <c r="B15208" s="12"/>
      <c r="C15208" s="12"/>
    </row>
    <row r="15209" spans="2:3">
      <c r="B15209" s="12"/>
      <c r="C15209" s="12"/>
    </row>
    <row r="15210" spans="2:3">
      <c r="B15210" s="12"/>
      <c r="C15210" s="12"/>
    </row>
    <row r="15211" spans="2:3">
      <c r="B15211" s="12"/>
      <c r="C15211" s="12"/>
    </row>
    <row r="15212" spans="2:3">
      <c r="B15212" s="12"/>
      <c r="C15212" s="12"/>
    </row>
    <row r="15213" spans="2:3">
      <c r="B15213" s="12"/>
      <c r="C15213" s="12"/>
    </row>
    <row r="15214" spans="2:3">
      <c r="B15214" s="12"/>
      <c r="C15214" s="12"/>
    </row>
    <row r="15215" spans="2:3">
      <c r="B15215" s="12"/>
      <c r="C15215" s="12"/>
    </row>
    <row r="15216" spans="2:3">
      <c r="B15216" s="12"/>
      <c r="C15216" s="12"/>
    </row>
    <row r="15217" spans="2:3">
      <c r="B15217" s="12"/>
      <c r="C15217" s="12"/>
    </row>
    <row r="15218" spans="2:3">
      <c r="B15218" s="12"/>
      <c r="C15218" s="12"/>
    </row>
    <row r="15219" spans="2:3">
      <c r="B15219" s="12"/>
      <c r="C15219" s="12"/>
    </row>
    <row r="15220" spans="2:3">
      <c r="B15220" s="12"/>
      <c r="C15220" s="12"/>
    </row>
    <row r="15221" spans="2:3">
      <c r="B15221" s="12"/>
      <c r="C15221" s="12"/>
    </row>
    <row r="15222" spans="2:3">
      <c r="B15222" s="12"/>
      <c r="C15222" s="12"/>
    </row>
    <row r="15223" spans="2:3">
      <c r="B15223" s="12"/>
      <c r="C15223" s="12"/>
    </row>
    <row r="15224" spans="2:3">
      <c r="B15224" s="12"/>
      <c r="C15224" s="12"/>
    </row>
    <row r="15225" spans="2:3">
      <c r="B15225" s="12"/>
      <c r="C15225" s="12"/>
    </row>
    <row r="15226" spans="2:3">
      <c r="B15226" s="12"/>
      <c r="C15226" s="12"/>
    </row>
    <row r="15227" spans="2:3">
      <c r="B15227" s="12"/>
      <c r="C15227" s="12"/>
    </row>
    <row r="15228" spans="2:3">
      <c r="B15228" s="12"/>
      <c r="C15228" s="12"/>
    </row>
    <row r="15229" spans="2:3">
      <c r="B15229" s="12"/>
      <c r="C15229" s="12"/>
    </row>
    <row r="15230" spans="2:3">
      <c r="B15230" s="12"/>
      <c r="C15230" s="12"/>
    </row>
    <row r="15231" spans="2:3">
      <c r="B15231" s="12"/>
      <c r="C15231" s="12"/>
    </row>
    <row r="15232" spans="2:3">
      <c r="B15232" s="12"/>
      <c r="C15232" s="12"/>
    </row>
    <row r="15233" spans="2:3">
      <c r="B15233" s="12"/>
      <c r="C15233" s="12"/>
    </row>
    <row r="15234" spans="2:3">
      <c r="B15234" s="12"/>
      <c r="C15234" s="12"/>
    </row>
    <row r="15235" spans="2:3">
      <c r="B15235" s="12"/>
      <c r="C15235" s="12"/>
    </row>
    <row r="15236" spans="2:3">
      <c r="B15236" s="12"/>
      <c r="C15236" s="12"/>
    </row>
    <row r="15237" spans="2:3">
      <c r="B15237" s="12"/>
      <c r="C15237" s="12"/>
    </row>
    <row r="15238" spans="2:3">
      <c r="B15238" s="12"/>
      <c r="C15238" s="12"/>
    </row>
    <row r="15239" spans="2:3">
      <c r="B15239" s="12"/>
      <c r="C15239" s="12"/>
    </row>
    <row r="15240" spans="2:3">
      <c r="B15240" s="12"/>
      <c r="C15240" s="12"/>
    </row>
    <row r="15241" spans="2:3">
      <c r="B15241" s="12"/>
      <c r="C15241" s="12"/>
    </row>
    <row r="15242" spans="2:3">
      <c r="B15242" s="12"/>
      <c r="C15242" s="12"/>
    </row>
    <row r="15243" spans="2:3">
      <c r="B15243" s="12"/>
      <c r="C15243" s="12"/>
    </row>
    <row r="15244" spans="2:3">
      <c r="B15244" s="12"/>
      <c r="C15244" s="12"/>
    </row>
    <row r="15245" spans="2:3">
      <c r="B15245" s="12"/>
      <c r="C15245" s="12"/>
    </row>
    <row r="15246" spans="2:3">
      <c r="B15246" s="12"/>
      <c r="C15246" s="12"/>
    </row>
    <row r="15247" spans="2:3">
      <c r="B15247" s="12"/>
      <c r="C15247" s="12"/>
    </row>
    <row r="15248" spans="2:3">
      <c r="B15248" s="12"/>
      <c r="C15248" s="12"/>
    </row>
    <row r="15249" spans="2:3">
      <c r="B15249" s="12"/>
      <c r="C15249" s="12"/>
    </row>
    <row r="15250" spans="2:3">
      <c r="B15250" s="12"/>
      <c r="C15250" s="12"/>
    </row>
    <row r="15251" spans="2:3">
      <c r="B15251" s="12"/>
      <c r="C15251" s="12"/>
    </row>
    <row r="15252" spans="2:3">
      <c r="B15252" s="12"/>
      <c r="C15252" s="12"/>
    </row>
    <row r="15253" spans="2:3">
      <c r="B15253" s="12"/>
      <c r="C15253" s="12"/>
    </row>
    <row r="15254" spans="2:3">
      <c r="B15254" s="12"/>
      <c r="C15254" s="12"/>
    </row>
    <row r="15255" spans="2:3">
      <c r="B15255" s="12"/>
      <c r="C15255" s="12"/>
    </row>
    <row r="15256" spans="2:3">
      <c r="B15256" s="12"/>
      <c r="C15256" s="12"/>
    </row>
    <row r="15257" spans="2:3">
      <c r="B15257" s="12"/>
      <c r="C15257" s="12"/>
    </row>
    <row r="15258" spans="2:3">
      <c r="B15258" s="12"/>
      <c r="C15258" s="12"/>
    </row>
    <row r="15259" spans="2:3">
      <c r="B15259" s="12"/>
      <c r="C15259" s="12"/>
    </row>
    <row r="15260" spans="2:3">
      <c r="B15260" s="12"/>
      <c r="C15260" s="12"/>
    </row>
    <row r="15261" spans="2:3">
      <c r="B15261" s="12"/>
      <c r="C15261" s="12"/>
    </row>
    <row r="15262" spans="2:3">
      <c r="B15262" s="12"/>
      <c r="C15262" s="12"/>
    </row>
    <row r="15263" spans="2:3">
      <c r="B15263" s="12"/>
      <c r="C15263" s="12"/>
    </row>
    <row r="15264" spans="2:3">
      <c r="B15264" s="12"/>
      <c r="C15264" s="12"/>
    </row>
    <row r="15265" spans="2:3">
      <c r="B15265" s="12"/>
      <c r="C15265" s="12"/>
    </row>
    <row r="15266" spans="2:3">
      <c r="B15266" s="12"/>
      <c r="C15266" s="12"/>
    </row>
    <row r="15267" spans="2:3">
      <c r="B15267" s="12"/>
      <c r="C15267" s="12"/>
    </row>
    <row r="15268" spans="2:3">
      <c r="B15268" s="12"/>
      <c r="C15268" s="12"/>
    </row>
    <row r="15269" spans="2:3">
      <c r="B15269" s="12"/>
      <c r="C15269" s="12"/>
    </row>
    <row r="15270" spans="2:3">
      <c r="B15270" s="12"/>
      <c r="C15270" s="12"/>
    </row>
    <row r="15271" spans="2:3">
      <c r="B15271" s="12"/>
      <c r="C15271" s="12"/>
    </row>
    <row r="15272" spans="2:3">
      <c r="B15272" s="12"/>
      <c r="C15272" s="12"/>
    </row>
    <row r="15273" spans="2:3">
      <c r="B15273" s="12"/>
      <c r="C15273" s="12"/>
    </row>
    <row r="15274" spans="2:3">
      <c r="B15274" s="12"/>
      <c r="C15274" s="12"/>
    </row>
    <row r="15275" spans="2:3">
      <c r="B15275" s="12"/>
      <c r="C15275" s="12"/>
    </row>
    <row r="15276" spans="2:3">
      <c r="B15276" s="12"/>
      <c r="C15276" s="12"/>
    </row>
    <row r="15277" spans="2:3">
      <c r="B15277" s="12"/>
      <c r="C15277" s="12"/>
    </row>
    <row r="15278" spans="2:3">
      <c r="B15278" s="12"/>
      <c r="C15278" s="12"/>
    </row>
    <row r="15279" spans="2:3">
      <c r="B15279" s="12"/>
      <c r="C15279" s="12"/>
    </row>
    <row r="15280" spans="2:3">
      <c r="B15280" s="12"/>
      <c r="C15280" s="12"/>
    </row>
    <row r="15281" spans="2:3">
      <c r="B15281" s="12"/>
      <c r="C15281" s="12"/>
    </row>
    <row r="15282" spans="2:3">
      <c r="B15282" s="12"/>
      <c r="C15282" s="12"/>
    </row>
    <row r="15283" spans="2:3">
      <c r="B15283" s="12"/>
      <c r="C15283" s="12"/>
    </row>
    <row r="15284" spans="2:3">
      <c r="B15284" s="12"/>
      <c r="C15284" s="12"/>
    </row>
    <row r="15285" spans="2:3">
      <c r="B15285" s="12"/>
      <c r="C15285" s="12"/>
    </row>
    <row r="15286" spans="2:3">
      <c r="B15286" s="12"/>
      <c r="C15286" s="12"/>
    </row>
    <row r="15287" spans="2:3">
      <c r="B15287" s="12"/>
      <c r="C15287" s="12"/>
    </row>
    <row r="15288" spans="2:3">
      <c r="B15288" s="12"/>
      <c r="C15288" s="12"/>
    </row>
    <row r="15289" spans="2:3">
      <c r="B15289" s="12"/>
      <c r="C15289" s="12"/>
    </row>
    <row r="15290" spans="2:3">
      <c r="B15290" s="12"/>
      <c r="C15290" s="12"/>
    </row>
    <row r="15291" spans="2:3">
      <c r="B15291" s="12"/>
      <c r="C15291" s="12"/>
    </row>
    <row r="15292" spans="2:3">
      <c r="B15292" s="12"/>
      <c r="C15292" s="12"/>
    </row>
    <row r="15293" spans="2:3">
      <c r="B15293" s="12"/>
      <c r="C15293" s="12"/>
    </row>
    <row r="15294" spans="2:3">
      <c r="B15294" s="12"/>
      <c r="C15294" s="12"/>
    </row>
    <row r="15295" spans="2:3">
      <c r="B15295" s="12"/>
      <c r="C15295" s="12"/>
    </row>
    <row r="15296" spans="2:3">
      <c r="B15296" s="12"/>
      <c r="C15296" s="12"/>
    </row>
    <row r="15297" spans="2:3">
      <c r="B15297" s="12"/>
      <c r="C15297" s="12"/>
    </row>
    <row r="15298" spans="2:3">
      <c r="B15298" s="12"/>
      <c r="C15298" s="12"/>
    </row>
    <row r="15299" spans="2:3">
      <c r="B15299" s="12"/>
      <c r="C15299" s="12"/>
    </row>
    <row r="15300" spans="2:3">
      <c r="B15300" s="12"/>
      <c r="C15300" s="12"/>
    </row>
    <row r="15301" spans="2:3">
      <c r="B15301" s="12"/>
      <c r="C15301" s="12"/>
    </row>
    <row r="15302" spans="2:3">
      <c r="B15302" s="12"/>
      <c r="C15302" s="12"/>
    </row>
    <row r="15303" spans="2:3">
      <c r="B15303" s="12"/>
      <c r="C15303" s="12"/>
    </row>
    <row r="15304" spans="2:3">
      <c r="B15304" s="12"/>
      <c r="C15304" s="12"/>
    </row>
    <row r="15305" spans="2:3">
      <c r="B15305" s="12"/>
      <c r="C15305" s="12"/>
    </row>
    <row r="15306" spans="2:3">
      <c r="B15306" s="12"/>
      <c r="C15306" s="12"/>
    </row>
    <row r="15307" spans="2:3">
      <c r="B15307" s="12"/>
      <c r="C15307" s="12"/>
    </row>
    <row r="15308" spans="2:3">
      <c r="B15308" s="12"/>
      <c r="C15308" s="12"/>
    </row>
    <row r="15309" spans="2:3">
      <c r="B15309" s="12"/>
      <c r="C15309" s="12"/>
    </row>
    <row r="15310" spans="2:3">
      <c r="B15310" s="12"/>
      <c r="C15310" s="12"/>
    </row>
    <row r="15311" spans="2:3">
      <c r="B15311" s="12"/>
      <c r="C15311" s="12"/>
    </row>
    <row r="15312" spans="2:3">
      <c r="B15312" s="12"/>
      <c r="C15312" s="12"/>
    </row>
    <row r="15313" spans="2:3">
      <c r="B15313" s="12"/>
      <c r="C15313" s="12"/>
    </row>
    <row r="15314" spans="2:3">
      <c r="B15314" s="12"/>
      <c r="C15314" s="12"/>
    </row>
    <row r="15315" spans="2:3">
      <c r="B15315" s="12"/>
      <c r="C15315" s="12"/>
    </row>
    <row r="15316" spans="2:3">
      <c r="B15316" s="12"/>
      <c r="C15316" s="12"/>
    </row>
    <row r="15317" spans="2:3">
      <c r="B15317" s="12"/>
      <c r="C15317" s="12"/>
    </row>
    <row r="15318" spans="2:3">
      <c r="B15318" s="12"/>
      <c r="C15318" s="12"/>
    </row>
    <row r="15319" spans="2:3">
      <c r="B15319" s="12"/>
      <c r="C15319" s="12"/>
    </row>
    <row r="15320" spans="2:3">
      <c r="B15320" s="12"/>
      <c r="C15320" s="12"/>
    </row>
    <row r="15321" spans="2:3">
      <c r="B15321" s="12"/>
      <c r="C15321" s="12"/>
    </row>
    <row r="15322" spans="2:3">
      <c r="B15322" s="12"/>
      <c r="C15322" s="12"/>
    </row>
    <row r="15323" spans="2:3">
      <c r="B15323" s="12"/>
      <c r="C15323" s="12"/>
    </row>
    <row r="15324" spans="2:3">
      <c r="B15324" s="12"/>
      <c r="C15324" s="12"/>
    </row>
    <row r="15325" spans="2:3">
      <c r="B15325" s="12"/>
      <c r="C15325" s="12"/>
    </row>
    <row r="15326" spans="2:3">
      <c r="B15326" s="12"/>
      <c r="C15326" s="12"/>
    </row>
    <row r="15327" spans="2:3">
      <c r="B15327" s="12"/>
      <c r="C15327" s="12"/>
    </row>
    <row r="15328" spans="2:3">
      <c r="B15328" s="12"/>
      <c r="C15328" s="12"/>
    </row>
    <row r="15329" spans="2:3">
      <c r="B15329" s="12"/>
      <c r="C15329" s="12"/>
    </row>
    <row r="15330" spans="2:3">
      <c r="B15330" s="12"/>
      <c r="C15330" s="12"/>
    </row>
    <row r="15331" spans="2:3">
      <c r="B15331" s="12"/>
      <c r="C15331" s="12"/>
    </row>
    <row r="15332" spans="2:3">
      <c r="B15332" s="12"/>
      <c r="C15332" s="12"/>
    </row>
    <row r="15333" spans="2:3">
      <c r="B15333" s="12"/>
      <c r="C15333" s="12"/>
    </row>
    <row r="15334" spans="2:3">
      <c r="B15334" s="12"/>
      <c r="C15334" s="12"/>
    </row>
    <row r="15335" spans="2:3">
      <c r="B15335" s="12"/>
      <c r="C15335" s="12"/>
    </row>
    <row r="15336" spans="2:3">
      <c r="B15336" s="12"/>
      <c r="C15336" s="12"/>
    </row>
    <row r="15337" spans="2:3">
      <c r="B15337" s="12"/>
      <c r="C15337" s="12"/>
    </row>
    <row r="15338" spans="2:3">
      <c r="B15338" s="12"/>
      <c r="C15338" s="12"/>
    </row>
    <row r="15339" spans="2:3">
      <c r="B15339" s="12"/>
      <c r="C15339" s="12"/>
    </row>
    <row r="15340" spans="2:3">
      <c r="B15340" s="12"/>
      <c r="C15340" s="12"/>
    </row>
    <row r="15341" spans="2:3">
      <c r="B15341" s="12"/>
      <c r="C15341" s="12"/>
    </row>
    <row r="15342" spans="2:3">
      <c r="B15342" s="12"/>
      <c r="C15342" s="12"/>
    </row>
    <row r="15343" spans="2:3">
      <c r="B15343" s="12"/>
      <c r="C15343" s="12"/>
    </row>
    <row r="15344" spans="2:3">
      <c r="B15344" s="12"/>
      <c r="C15344" s="12"/>
    </row>
    <row r="15345" spans="2:3">
      <c r="B15345" s="12"/>
      <c r="C15345" s="12"/>
    </row>
    <row r="15346" spans="2:3">
      <c r="B15346" s="12"/>
      <c r="C15346" s="12"/>
    </row>
    <row r="15347" spans="2:3">
      <c r="B15347" s="12"/>
      <c r="C15347" s="12"/>
    </row>
    <row r="15348" spans="2:3">
      <c r="B15348" s="12"/>
      <c r="C15348" s="12"/>
    </row>
    <row r="15349" spans="2:3">
      <c r="B15349" s="12"/>
      <c r="C15349" s="12"/>
    </row>
    <row r="15350" spans="2:3">
      <c r="B15350" s="12"/>
      <c r="C15350" s="12"/>
    </row>
    <row r="15351" spans="2:3">
      <c r="B15351" s="12"/>
      <c r="C15351" s="12"/>
    </row>
    <row r="15352" spans="2:3">
      <c r="B15352" s="12"/>
      <c r="C15352" s="12"/>
    </row>
    <row r="15353" spans="2:3">
      <c r="B15353" s="12"/>
      <c r="C15353" s="12"/>
    </row>
    <row r="15354" spans="2:3">
      <c r="B15354" s="12"/>
      <c r="C15354" s="12"/>
    </row>
    <row r="15355" spans="2:3">
      <c r="B15355" s="12"/>
      <c r="C15355" s="12"/>
    </row>
    <row r="15356" spans="2:3">
      <c r="B15356" s="12"/>
      <c r="C15356" s="12"/>
    </row>
    <row r="15357" spans="2:3">
      <c r="B15357" s="12"/>
      <c r="C15357" s="12"/>
    </row>
    <row r="15358" spans="2:3">
      <c r="B15358" s="12"/>
      <c r="C15358" s="12"/>
    </row>
    <row r="15359" spans="2:3">
      <c r="B15359" s="12"/>
      <c r="C15359" s="12"/>
    </row>
    <row r="15360" spans="2:3">
      <c r="B15360" s="12"/>
      <c r="C15360" s="12"/>
    </row>
    <row r="15361" spans="2:3">
      <c r="B15361" s="12"/>
      <c r="C15361" s="12"/>
    </row>
    <row r="15362" spans="2:3">
      <c r="B15362" s="12"/>
      <c r="C15362" s="12"/>
    </row>
    <row r="15363" spans="2:3">
      <c r="B15363" s="12"/>
      <c r="C15363" s="12"/>
    </row>
    <row r="15364" spans="2:3">
      <c r="B15364" s="12"/>
      <c r="C15364" s="12"/>
    </row>
    <row r="15365" spans="2:3">
      <c r="B15365" s="12"/>
      <c r="C15365" s="12"/>
    </row>
    <row r="15366" spans="2:3">
      <c r="B15366" s="12"/>
      <c r="C15366" s="12"/>
    </row>
    <row r="15367" spans="2:3">
      <c r="B15367" s="12"/>
      <c r="C15367" s="12"/>
    </row>
    <row r="15368" spans="2:3">
      <c r="B15368" s="12"/>
      <c r="C15368" s="12"/>
    </row>
    <row r="15369" spans="2:3">
      <c r="B15369" s="12"/>
      <c r="C15369" s="12"/>
    </row>
    <row r="15370" spans="2:3">
      <c r="B15370" s="12"/>
      <c r="C15370" s="12"/>
    </row>
    <row r="15371" spans="2:3">
      <c r="B15371" s="12"/>
      <c r="C15371" s="12"/>
    </row>
    <row r="15372" spans="2:3">
      <c r="B15372" s="12"/>
      <c r="C15372" s="12"/>
    </row>
    <row r="15373" spans="2:3">
      <c r="B15373" s="12"/>
      <c r="C15373" s="12"/>
    </row>
    <row r="15374" spans="2:3">
      <c r="B15374" s="12"/>
      <c r="C15374" s="12"/>
    </row>
    <row r="15375" spans="2:3">
      <c r="B15375" s="12"/>
      <c r="C15375" s="12"/>
    </row>
    <row r="15376" spans="2:3">
      <c r="B15376" s="12"/>
      <c r="C15376" s="12"/>
    </row>
    <row r="15377" spans="2:3">
      <c r="B15377" s="12"/>
      <c r="C15377" s="12"/>
    </row>
    <row r="15378" spans="2:3">
      <c r="B15378" s="12"/>
      <c r="C15378" s="12"/>
    </row>
    <row r="15379" spans="2:3">
      <c r="B15379" s="12"/>
      <c r="C15379" s="12"/>
    </row>
    <row r="15380" spans="2:3">
      <c r="B15380" s="12"/>
      <c r="C15380" s="12"/>
    </row>
    <row r="15381" spans="2:3">
      <c r="B15381" s="12"/>
      <c r="C15381" s="12"/>
    </row>
    <row r="15382" spans="2:3">
      <c r="B15382" s="12"/>
      <c r="C15382" s="12"/>
    </row>
    <row r="15383" spans="2:3">
      <c r="B15383" s="12"/>
      <c r="C15383" s="12"/>
    </row>
    <row r="15384" spans="2:3">
      <c r="B15384" s="12"/>
      <c r="C15384" s="12"/>
    </row>
    <row r="15385" spans="2:3">
      <c r="B15385" s="12"/>
      <c r="C15385" s="12"/>
    </row>
    <row r="15386" spans="2:3">
      <c r="B15386" s="12"/>
      <c r="C15386" s="12"/>
    </row>
    <row r="15387" spans="2:3">
      <c r="B15387" s="12"/>
      <c r="C15387" s="12"/>
    </row>
    <row r="15388" spans="2:3">
      <c r="B15388" s="12"/>
      <c r="C15388" s="12"/>
    </row>
    <row r="15389" spans="2:3">
      <c r="B15389" s="12"/>
      <c r="C15389" s="12"/>
    </row>
    <row r="15390" spans="2:3">
      <c r="B15390" s="12"/>
      <c r="C15390" s="12"/>
    </row>
    <row r="15391" spans="2:3">
      <c r="B15391" s="12"/>
      <c r="C15391" s="12"/>
    </row>
    <row r="15392" spans="2:3">
      <c r="B15392" s="12"/>
      <c r="C15392" s="12"/>
    </row>
    <row r="15393" spans="2:3">
      <c r="B15393" s="12"/>
      <c r="C15393" s="12"/>
    </row>
    <row r="15394" spans="2:3">
      <c r="B15394" s="12"/>
      <c r="C15394" s="12"/>
    </row>
    <row r="15395" spans="2:3">
      <c r="B15395" s="12"/>
      <c r="C15395" s="12"/>
    </row>
    <row r="15396" spans="2:3">
      <c r="B15396" s="12"/>
      <c r="C15396" s="12"/>
    </row>
    <row r="15397" spans="2:3">
      <c r="B15397" s="12"/>
      <c r="C15397" s="12"/>
    </row>
    <row r="15398" spans="2:3">
      <c r="B15398" s="12"/>
      <c r="C15398" s="12"/>
    </row>
    <row r="15399" spans="2:3">
      <c r="B15399" s="12"/>
      <c r="C15399" s="12"/>
    </row>
    <row r="15400" spans="2:3">
      <c r="B15400" s="12"/>
      <c r="C15400" s="12"/>
    </row>
    <row r="15401" spans="2:3">
      <c r="B15401" s="12"/>
      <c r="C15401" s="12"/>
    </row>
    <row r="15402" spans="2:3">
      <c r="B15402" s="12"/>
      <c r="C15402" s="12"/>
    </row>
    <row r="15403" spans="2:3">
      <c r="B15403" s="12"/>
      <c r="C15403" s="12"/>
    </row>
    <row r="15404" spans="2:3">
      <c r="B15404" s="12"/>
      <c r="C15404" s="12"/>
    </row>
    <row r="15405" spans="2:3">
      <c r="B15405" s="12"/>
      <c r="C15405" s="12"/>
    </row>
    <row r="15406" spans="2:3">
      <c r="B15406" s="12"/>
      <c r="C15406" s="12"/>
    </row>
    <row r="15407" spans="2:3">
      <c r="B15407" s="12"/>
      <c r="C15407" s="12"/>
    </row>
    <row r="15408" spans="2:3">
      <c r="B15408" s="12"/>
      <c r="C15408" s="12"/>
    </row>
    <row r="15409" spans="2:3">
      <c r="B15409" s="12"/>
      <c r="C15409" s="12"/>
    </row>
    <row r="15410" spans="2:3">
      <c r="B15410" s="12"/>
      <c r="C15410" s="12"/>
    </row>
    <row r="15411" spans="2:3">
      <c r="B15411" s="12"/>
      <c r="C15411" s="12"/>
    </row>
    <row r="15412" spans="2:3">
      <c r="B15412" s="12"/>
      <c r="C15412" s="12"/>
    </row>
    <row r="15413" spans="2:3">
      <c r="B15413" s="12"/>
      <c r="C15413" s="12"/>
    </row>
    <row r="15414" spans="2:3">
      <c r="B15414" s="12"/>
      <c r="C15414" s="12"/>
    </row>
    <row r="15415" spans="2:3">
      <c r="B15415" s="12"/>
      <c r="C15415" s="12"/>
    </row>
    <row r="15416" spans="2:3">
      <c r="B15416" s="12"/>
      <c r="C15416" s="12"/>
    </row>
    <row r="15417" spans="2:3">
      <c r="B15417" s="12"/>
      <c r="C15417" s="12"/>
    </row>
    <row r="15418" spans="2:3">
      <c r="B15418" s="12"/>
      <c r="C15418" s="12"/>
    </row>
    <row r="15419" spans="2:3">
      <c r="B15419" s="12"/>
      <c r="C15419" s="12"/>
    </row>
    <row r="15420" spans="2:3">
      <c r="B15420" s="12"/>
      <c r="C15420" s="12"/>
    </row>
    <row r="15421" spans="2:3">
      <c r="B15421" s="12"/>
      <c r="C15421" s="12"/>
    </row>
    <row r="15422" spans="2:3">
      <c r="B15422" s="12"/>
      <c r="C15422" s="12"/>
    </row>
    <row r="15423" spans="2:3">
      <c r="B15423" s="12"/>
      <c r="C15423" s="12"/>
    </row>
    <row r="15424" spans="2:3">
      <c r="B15424" s="12"/>
      <c r="C15424" s="12"/>
    </row>
    <row r="15425" spans="2:3">
      <c r="B15425" s="12"/>
      <c r="C15425" s="12"/>
    </row>
    <row r="15426" spans="2:3">
      <c r="B15426" s="12"/>
      <c r="C15426" s="12"/>
    </row>
    <row r="15427" spans="2:3">
      <c r="B15427" s="12"/>
      <c r="C15427" s="12"/>
    </row>
    <row r="15428" spans="2:3">
      <c r="B15428" s="12"/>
      <c r="C15428" s="12"/>
    </row>
    <row r="15429" spans="2:3">
      <c r="B15429" s="12"/>
      <c r="C15429" s="12"/>
    </row>
    <row r="15430" spans="2:3">
      <c r="B15430" s="12"/>
      <c r="C15430" s="12"/>
    </row>
    <row r="15431" spans="2:3">
      <c r="B15431" s="12"/>
      <c r="C15431" s="12"/>
    </row>
    <row r="15432" spans="2:3">
      <c r="B15432" s="12"/>
      <c r="C15432" s="12"/>
    </row>
    <row r="15433" spans="2:3">
      <c r="B15433" s="12"/>
      <c r="C15433" s="12"/>
    </row>
    <row r="15434" spans="2:3">
      <c r="B15434" s="12"/>
      <c r="C15434" s="12"/>
    </row>
    <row r="15435" spans="2:3">
      <c r="B15435" s="12"/>
      <c r="C15435" s="12"/>
    </row>
    <row r="15436" spans="2:3">
      <c r="B15436" s="12"/>
      <c r="C15436" s="12"/>
    </row>
    <row r="15437" spans="2:3">
      <c r="B15437" s="12"/>
      <c r="C15437" s="12"/>
    </row>
    <row r="15438" spans="2:3">
      <c r="B15438" s="12"/>
      <c r="C15438" s="12"/>
    </row>
    <row r="15439" spans="2:3">
      <c r="B15439" s="12"/>
      <c r="C15439" s="12"/>
    </row>
    <row r="15440" spans="2:3">
      <c r="B15440" s="12"/>
      <c r="C15440" s="12"/>
    </row>
    <row r="15441" spans="2:3">
      <c r="B15441" s="12"/>
      <c r="C15441" s="12"/>
    </row>
    <row r="15442" spans="2:3">
      <c r="B15442" s="12"/>
      <c r="C15442" s="12"/>
    </row>
    <row r="15443" spans="2:3">
      <c r="B15443" s="12"/>
      <c r="C15443" s="12"/>
    </row>
    <row r="15444" spans="2:3">
      <c r="B15444" s="12"/>
      <c r="C15444" s="12"/>
    </row>
    <row r="15445" spans="2:3">
      <c r="B15445" s="12"/>
      <c r="C15445" s="12"/>
    </row>
    <row r="15446" spans="2:3">
      <c r="B15446" s="12"/>
      <c r="C15446" s="12"/>
    </row>
    <row r="15447" spans="2:3">
      <c r="B15447" s="12"/>
      <c r="C15447" s="12"/>
    </row>
    <row r="15448" spans="2:3">
      <c r="B15448" s="12"/>
      <c r="C15448" s="12"/>
    </row>
    <row r="15449" spans="2:3">
      <c r="B15449" s="12"/>
      <c r="C15449" s="12"/>
    </row>
    <row r="15450" spans="2:3">
      <c r="B15450" s="12"/>
      <c r="C15450" s="12"/>
    </row>
    <row r="15451" spans="2:3">
      <c r="B15451" s="12"/>
      <c r="C15451" s="12"/>
    </row>
    <row r="15452" spans="2:3">
      <c r="B15452" s="12"/>
      <c r="C15452" s="12"/>
    </row>
    <row r="15453" spans="2:3">
      <c r="B15453" s="12"/>
      <c r="C15453" s="12"/>
    </row>
    <row r="15454" spans="2:3">
      <c r="B15454" s="12"/>
      <c r="C15454" s="12"/>
    </row>
    <row r="15455" spans="2:3">
      <c r="B15455" s="12"/>
      <c r="C15455" s="12"/>
    </row>
    <row r="15456" spans="2:3">
      <c r="B15456" s="12"/>
      <c r="C15456" s="12"/>
    </row>
    <row r="15457" spans="2:3">
      <c r="B15457" s="12"/>
      <c r="C15457" s="12"/>
    </row>
    <row r="15458" spans="2:3">
      <c r="B15458" s="12"/>
      <c r="C15458" s="12"/>
    </row>
    <row r="15459" spans="2:3">
      <c r="B15459" s="12"/>
      <c r="C15459" s="12"/>
    </row>
    <row r="15460" spans="2:3">
      <c r="B15460" s="12"/>
      <c r="C15460" s="12"/>
    </row>
    <row r="15461" spans="2:3">
      <c r="B15461" s="12"/>
      <c r="C15461" s="12"/>
    </row>
    <row r="15462" spans="2:3">
      <c r="B15462" s="12"/>
      <c r="C15462" s="12"/>
    </row>
    <row r="15463" spans="2:3">
      <c r="B15463" s="12"/>
      <c r="C15463" s="12"/>
    </row>
    <row r="15464" spans="2:3">
      <c r="B15464" s="12"/>
      <c r="C15464" s="12"/>
    </row>
    <row r="15465" spans="2:3">
      <c r="B15465" s="12"/>
      <c r="C15465" s="12"/>
    </row>
    <row r="15466" spans="2:3">
      <c r="B15466" s="12"/>
      <c r="C15466" s="12"/>
    </row>
    <row r="15467" spans="2:3">
      <c r="B15467" s="12"/>
      <c r="C15467" s="12"/>
    </row>
    <row r="15468" spans="2:3">
      <c r="B15468" s="12"/>
      <c r="C15468" s="12"/>
    </row>
    <row r="15469" spans="2:3">
      <c r="B15469" s="12"/>
      <c r="C15469" s="12"/>
    </row>
    <row r="15470" spans="2:3">
      <c r="B15470" s="12"/>
      <c r="C15470" s="12"/>
    </row>
    <row r="15471" spans="2:3">
      <c r="B15471" s="12"/>
      <c r="C15471" s="12"/>
    </row>
    <row r="15472" spans="2:3">
      <c r="B15472" s="12"/>
      <c r="C15472" s="12"/>
    </row>
    <row r="15473" spans="2:3">
      <c r="B15473" s="12"/>
      <c r="C15473" s="12"/>
    </row>
    <row r="15474" spans="2:3">
      <c r="B15474" s="12"/>
      <c r="C15474" s="12"/>
    </row>
    <row r="15475" spans="2:3">
      <c r="B15475" s="12"/>
      <c r="C15475" s="12"/>
    </row>
    <row r="15476" spans="2:3">
      <c r="B15476" s="12"/>
      <c r="C15476" s="12"/>
    </row>
    <row r="15477" spans="2:3">
      <c r="B15477" s="12"/>
      <c r="C15477" s="12"/>
    </row>
    <row r="15478" spans="2:3">
      <c r="B15478" s="12"/>
      <c r="C15478" s="12"/>
    </row>
    <row r="15479" spans="2:3">
      <c r="B15479" s="12"/>
      <c r="C15479" s="12"/>
    </row>
    <row r="15480" spans="2:3">
      <c r="B15480" s="12"/>
      <c r="C15480" s="12"/>
    </row>
    <row r="15481" spans="2:3">
      <c r="B15481" s="12"/>
      <c r="C15481" s="12"/>
    </row>
    <row r="15482" spans="2:3">
      <c r="B15482" s="12"/>
      <c r="C15482" s="12"/>
    </row>
    <row r="15483" spans="2:3">
      <c r="B15483" s="12"/>
      <c r="C15483" s="12"/>
    </row>
    <row r="15484" spans="2:3">
      <c r="B15484" s="12"/>
      <c r="C15484" s="12"/>
    </row>
    <row r="15485" spans="2:3">
      <c r="B15485" s="12"/>
      <c r="C15485" s="12"/>
    </row>
    <row r="15486" spans="2:3">
      <c r="B15486" s="12"/>
      <c r="C15486" s="12"/>
    </row>
    <row r="15487" spans="2:3">
      <c r="B15487" s="12"/>
      <c r="C15487" s="12"/>
    </row>
    <row r="15488" spans="2:3">
      <c r="B15488" s="12"/>
      <c r="C15488" s="12"/>
    </row>
    <row r="15489" spans="2:3">
      <c r="B15489" s="12"/>
      <c r="C15489" s="12"/>
    </row>
    <row r="15490" spans="2:3">
      <c r="B15490" s="12"/>
      <c r="C15490" s="12"/>
    </row>
    <row r="15491" spans="2:3">
      <c r="B15491" s="12"/>
      <c r="C15491" s="12"/>
    </row>
    <row r="15492" spans="2:3">
      <c r="B15492" s="12"/>
      <c r="C15492" s="12"/>
    </row>
    <row r="15493" spans="2:3">
      <c r="B15493" s="12"/>
      <c r="C15493" s="12"/>
    </row>
    <row r="15494" spans="2:3">
      <c r="B15494" s="12"/>
      <c r="C15494" s="12"/>
    </row>
    <row r="15495" spans="2:3">
      <c r="B15495" s="12"/>
      <c r="C15495" s="12"/>
    </row>
    <row r="15496" spans="2:3">
      <c r="B15496" s="12"/>
      <c r="C15496" s="12"/>
    </row>
    <row r="15497" spans="2:3">
      <c r="B15497" s="12"/>
      <c r="C15497" s="12"/>
    </row>
    <row r="15498" spans="2:3">
      <c r="B15498" s="12"/>
      <c r="C15498" s="12"/>
    </row>
    <row r="15499" spans="2:3">
      <c r="B15499" s="12"/>
      <c r="C15499" s="12"/>
    </row>
    <row r="15500" spans="2:3">
      <c r="B15500" s="12"/>
      <c r="C15500" s="12"/>
    </row>
    <row r="15501" spans="2:3">
      <c r="B15501" s="12"/>
      <c r="C15501" s="12"/>
    </row>
    <row r="15502" spans="2:3">
      <c r="B15502" s="12"/>
      <c r="C15502" s="12"/>
    </row>
    <row r="15503" spans="2:3">
      <c r="B15503" s="12"/>
      <c r="C15503" s="12"/>
    </row>
    <row r="15504" spans="2:3">
      <c r="B15504" s="12"/>
      <c r="C15504" s="12"/>
    </row>
    <row r="15505" spans="2:3">
      <c r="B15505" s="12"/>
      <c r="C15505" s="12"/>
    </row>
    <row r="15506" spans="2:3">
      <c r="B15506" s="12"/>
      <c r="C15506" s="12"/>
    </row>
    <row r="15507" spans="2:3">
      <c r="B15507" s="12"/>
      <c r="C15507" s="12"/>
    </row>
    <row r="15508" spans="2:3">
      <c r="B15508" s="12"/>
      <c r="C15508" s="12"/>
    </row>
    <row r="15509" spans="2:3">
      <c r="B15509" s="12"/>
      <c r="C15509" s="12"/>
    </row>
    <row r="15510" spans="2:3">
      <c r="B15510" s="12"/>
      <c r="C15510" s="12"/>
    </row>
    <row r="15511" spans="2:3">
      <c r="B15511" s="12"/>
      <c r="C15511" s="12"/>
    </row>
    <row r="15512" spans="2:3">
      <c r="B15512" s="12"/>
      <c r="C15512" s="12"/>
    </row>
    <row r="15513" spans="2:3">
      <c r="B15513" s="12"/>
      <c r="C15513" s="12"/>
    </row>
    <row r="15514" spans="2:3">
      <c r="B15514" s="12"/>
      <c r="C15514" s="12"/>
    </row>
    <row r="15515" spans="2:3">
      <c r="B15515" s="12"/>
      <c r="C15515" s="12"/>
    </row>
    <row r="15516" spans="2:3">
      <c r="B15516" s="12"/>
      <c r="C15516" s="12"/>
    </row>
    <row r="15517" spans="2:3">
      <c r="B15517" s="12"/>
      <c r="C15517" s="12"/>
    </row>
    <row r="15518" spans="2:3">
      <c r="B15518" s="12"/>
      <c r="C15518" s="12"/>
    </row>
    <row r="15519" spans="2:3">
      <c r="B15519" s="12"/>
      <c r="C15519" s="12"/>
    </row>
    <row r="15520" spans="2:3">
      <c r="B15520" s="12"/>
      <c r="C15520" s="12"/>
    </row>
    <row r="15521" spans="2:3">
      <c r="B15521" s="12"/>
      <c r="C15521" s="12"/>
    </row>
    <row r="15522" spans="2:3">
      <c r="B15522" s="12"/>
      <c r="C15522" s="12"/>
    </row>
    <row r="15523" spans="2:3">
      <c r="B15523" s="12"/>
      <c r="C15523" s="12"/>
    </row>
    <row r="15524" spans="2:3">
      <c r="B15524" s="12"/>
      <c r="C15524" s="12"/>
    </row>
    <row r="15525" spans="2:3">
      <c r="B15525" s="12"/>
      <c r="C15525" s="12"/>
    </row>
    <row r="15526" spans="2:3">
      <c r="B15526" s="12"/>
      <c r="C15526" s="12"/>
    </row>
    <row r="15527" spans="2:3">
      <c r="B15527" s="12"/>
      <c r="C15527" s="12"/>
    </row>
    <row r="15528" spans="2:3">
      <c r="B15528" s="12"/>
      <c r="C15528" s="12"/>
    </row>
    <row r="15529" spans="2:3">
      <c r="B15529" s="12"/>
      <c r="C15529" s="12"/>
    </row>
    <row r="15530" spans="2:3">
      <c r="B15530" s="12"/>
      <c r="C15530" s="12"/>
    </row>
    <row r="15531" spans="2:3">
      <c r="B15531" s="12"/>
      <c r="C15531" s="12"/>
    </row>
    <row r="15532" spans="2:3">
      <c r="B15532" s="12"/>
      <c r="C15532" s="12"/>
    </row>
    <row r="15533" spans="2:3">
      <c r="B15533" s="12"/>
      <c r="C15533" s="12"/>
    </row>
    <row r="15534" spans="2:3">
      <c r="B15534" s="12"/>
      <c r="C15534" s="12"/>
    </row>
    <row r="15535" spans="2:3">
      <c r="B15535" s="12"/>
      <c r="C15535" s="12"/>
    </row>
    <row r="15536" spans="2:3">
      <c r="B15536" s="12"/>
      <c r="C15536" s="12"/>
    </row>
    <row r="15537" spans="2:3">
      <c r="B15537" s="12"/>
      <c r="C15537" s="12"/>
    </row>
    <row r="15538" spans="2:3">
      <c r="B15538" s="12"/>
      <c r="C15538" s="12"/>
    </row>
    <row r="15539" spans="2:3">
      <c r="B15539" s="12"/>
      <c r="C15539" s="12"/>
    </row>
    <row r="15540" spans="2:3">
      <c r="B15540" s="12"/>
      <c r="C15540" s="12"/>
    </row>
    <row r="15541" spans="2:3">
      <c r="B15541" s="12"/>
      <c r="C15541" s="12"/>
    </row>
    <row r="15542" spans="2:3">
      <c r="B15542" s="12"/>
      <c r="C15542" s="12"/>
    </row>
    <row r="15543" spans="2:3">
      <c r="B15543" s="12"/>
      <c r="C15543" s="12"/>
    </row>
    <row r="15544" spans="2:3">
      <c r="B15544" s="12"/>
      <c r="C15544" s="12"/>
    </row>
    <row r="15545" spans="2:3">
      <c r="B15545" s="12"/>
      <c r="C15545" s="12"/>
    </row>
    <row r="15546" spans="2:3">
      <c r="B15546" s="12"/>
      <c r="C15546" s="12"/>
    </row>
    <row r="15547" spans="2:3">
      <c r="B15547" s="12"/>
      <c r="C15547" s="12"/>
    </row>
    <row r="15548" spans="2:3">
      <c r="B15548" s="12"/>
      <c r="C15548" s="12"/>
    </row>
    <row r="15549" spans="2:3">
      <c r="B15549" s="12"/>
      <c r="C15549" s="12"/>
    </row>
    <row r="15550" spans="2:3">
      <c r="B15550" s="12"/>
      <c r="C15550" s="12"/>
    </row>
    <row r="15551" spans="2:3">
      <c r="B15551" s="12"/>
      <c r="C15551" s="12"/>
    </row>
    <row r="15552" spans="2:3">
      <c r="B15552" s="12"/>
      <c r="C15552" s="12"/>
    </row>
    <row r="15553" spans="2:3">
      <c r="B15553" s="12"/>
      <c r="C15553" s="12"/>
    </row>
    <row r="15554" spans="2:3">
      <c r="B15554" s="12"/>
      <c r="C15554" s="12"/>
    </row>
    <row r="15555" spans="2:3">
      <c r="B15555" s="12"/>
      <c r="C15555" s="12"/>
    </row>
    <row r="15556" spans="2:3">
      <c r="B15556" s="12"/>
      <c r="C15556" s="12"/>
    </row>
    <row r="15557" spans="2:3">
      <c r="B15557" s="12"/>
      <c r="C15557" s="12"/>
    </row>
    <row r="15558" spans="2:3">
      <c r="B15558" s="12"/>
      <c r="C15558" s="12"/>
    </row>
    <row r="15559" spans="2:3">
      <c r="B15559" s="12"/>
      <c r="C15559" s="12"/>
    </row>
    <row r="15560" spans="2:3">
      <c r="B15560" s="12"/>
      <c r="C15560" s="12"/>
    </row>
    <row r="15561" spans="2:3">
      <c r="B15561" s="12"/>
      <c r="C15561" s="12"/>
    </row>
    <row r="15562" spans="2:3">
      <c r="B15562" s="12"/>
      <c r="C15562" s="12"/>
    </row>
    <row r="15563" spans="2:3">
      <c r="B15563" s="12"/>
      <c r="C15563" s="12"/>
    </row>
    <row r="15564" spans="2:3">
      <c r="B15564" s="12"/>
      <c r="C15564" s="12"/>
    </row>
    <row r="15565" spans="2:3">
      <c r="B15565" s="12"/>
      <c r="C15565" s="12"/>
    </row>
    <row r="15566" spans="2:3">
      <c r="B15566" s="12"/>
      <c r="C15566" s="12"/>
    </row>
    <row r="15567" spans="2:3">
      <c r="B15567" s="12"/>
      <c r="C15567" s="12"/>
    </row>
    <row r="15568" spans="2:3">
      <c r="B15568" s="12"/>
      <c r="C15568" s="12"/>
    </row>
    <row r="15569" spans="2:3">
      <c r="B15569" s="12"/>
      <c r="C15569" s="12"/>
    </row>
    <row r="15570" spans="2:3">
      <c r="B15570" s="12"/>
      <c r="C15570" s="12"/>
    </row>
    <row r="15571" spans="2:3">
      <c r="B15571" s="12"/>
      <c r="C15571" s="12"/>
    </row>
    <row r="15572" spans="2:3">
      <c r="B15572" s="12"/>
      <c r="C15572" s="12"/>
    </row>
    <row r="15573" spans="2:3">
      <c r="B15573" s="12"/>
      <c r="C15573" s="12"/>
    </row>
    <row r="15574" spans="2:3">
      <c r="B15574" s="12"/>
      <c r="C15574" s="12"/>
    </row>
    <row r="15575" spans="2:3">
      <c r="B15575" s="12"/>
      <c r="C15575" s="12"/>
    </row>
    <row r="15576" spans="2:3">
      <c r="B15576" s="12"/>
      <c r="C15576" s="12"/>
    </row>
    <row r="15577" spans="2:3">
      <c r="B15577" s="12"/>
      <c r="C15577" s="12"/>
    </row>
    <row r="15578" spans="2:3">
      <c r="B15578" s="12"/>
      <c r="C15578" s="12"/>
    </row>
    <row r="15579" spans="2:3">
      <c r="B15579" s="12"/>
      <c r="C15579" s="12"/>
    </row>
    <row r="15580" spans="2:3">
      <c r="B15580" s="12"/>
      <c r="C15580" s="12"/>
    </row>
    <row r="15581" spans="2:3">
      <c r="B15581" s="12"/>
      <c r="C15581" s="12"/>
    </row>
    <row r="15582" spans="2:3">
      <c r="B15582" s="12"/>
      <c r="C15582" s="12"/>
    </row>
    <row r="15583" spans="2:3">
      <c r="B15583" s="12"/>
      <c r="C15583" s="12"/>
    </row>
    <row r="15584" spans="2:3">
      <c r="B15584" s="12"/>
      <c r="C15584" s="12"/>
    </row>
    <row r="15585" spans="2:3">
      <c r="B15585" s="12"/>
      <c r="C15585" s="12"/>
    </row>
    <row r="15586" spans="2:3">
      <c r="B15586" s="12"/>
      <c r="C15586" s="12"/>
    </row>
    <row r="15587" spans="2:3">
      <c r="B15587" s="12"/>
      <c r="C15587" s="12"/>
    </row>
    <row r="15588" spans="2:3">
      <c r="B15588" s="12"/>
      <c r="C15588" s="12"/>
    </row>
    <row r="15589" spans="2:3">
      <c r="B15589" s="12"/>
      <c r="C15589" s="12"/>
    </row>
    <row r="15590" spans="2:3">
      <c r="B15590" s="12"/>
      <c r="C15590" s="12"/>
    </row>
    <row r="15591" spans="2:3">
      <c r="B15591" s="12"/>
      <c r="C15591" s="12"/>
    </row>
    <row r="15592" spans="2:3">
      <c r="B15592" s="12"/>
      <c r="C15592" s="12"/>
    </row>
    <row r="15593" spans="2:3">
      <c r="B15593" s="12"/>
      <c r="C15593" s="12"/>
    </row>
    <row r="15594" spans="2:3">
      <c r="B15594" s="12"/>
      <c r="C15594" s="12"/>
    </row>
    <row r="15595" spans="2:3">
      <c r="B15595" s="12"/>
      <c r="C15595" s="12"/>
    </row>
    <row r="15596" spans="2:3">
      <c r="B15596" s="12"/>
      <c r="C15596" s="12"/>
    </row>
    <row r="15597" spans="2:3">
      <c r="B15597" s="12"/>
      <c r="C15597" s="12"/>
    </row>
    <row r="15598" spans="2:3">
      <c r="B15598" s="12"/>
      <c r="C15598" s="12"/>
    </row>
    <row r="15599" spans="2:3">
      <c r="B15599" s="12"/>
      <c r="C15599" s="12"/>
    </row>
    <row r="15600" spans="2:3">
      <c r="B15600" s="12"/>
      <c r="C15600" s="12"/>
    </row>
    <row r="15601" spans="2:3">
      <c r="B15601" s="12"/>
      <c r="C15601" s="12"/>
    </row>
    <row r="15602" spans="2:3">
      <c r="B15602" s="12"/>
      <c r="C15602" s="12"/>
    </row>
    <row r="15603" spans="2:3">
      <c r="B15603" s="12"/>
      <c r="C15603" s="12"/>
    </row>
    <row r="15604" spans="2:3">
      <c r="B15604" s="12"/>
      <c r="C15604" s="12"/>
    </row>
    <row r="15605" spans="2:3">
      <c r="B15605" s="12"/>
      <c r="C15605" s="12"/>
    </row>
    <row r="15606" spans="2:3">
      <c r="B15606" s="12"/>
      <c r="C15606" s="12"/>
    </row>
    <row r="15607" spans="2:3">
      <c r="B15607" s="12"/>
      <c r="C15607" s="12"/>
    </row>
    <row r="15608" spans="2:3">
      <c r="B15608" s="12"/>
      <c r="C15608" s="12"/>
    </row>
    <row r="15609" spans="2:3">
      <c r="B15609" s="12"/>
      <c r="C15609" s="12"/>
    </row>
    <row r="15610" spans="2:3">
      <c r="B15610" s="12"/>
      <c r="C15610" s="12"/>
    </row>
    <row r="15611" spans="2:3">
      <c r="B15611" s="12"/>
      <c r="C15611" s="12"/>
    </row>
    <row r="15612" spans="2:3">
      <c r="B15612" s="12"/>
      <c r="C15612" s="12"/>
    </row>
    <row r="15613" spans="2:3">
      <c r="B15613" s="12"/>
      <c r="C15613" s="12"/>
    </row>
    <row r="15614" spans="2:3">
      <c r="B15614" s="12"/>
      <c r="C15614" s="12"/>
    </row>
    <row r="15615" spans="2:3">
      <c r="B15615" s="12"/>
      <c r="C15615" s="12"/>
    </row>
    <row r="15616" spans="2:3">
      <c r="B15616" s="12"/>
      <c r="C15616" s="12"/>
    </row>
    <row r="15617" spans="2:3">
      <c r="B15617" s="12"/>
      <c r="C15617" s="12"/>
    </row>
    <row r="15618" spans="2:3">
      <c r="B15618" s="12"/>
      <c r="C15618" s="12"/>
    </row>
    <row r="15619" spans="2:3">
      <c r="B15619" s="12"/>
      <c r="C15619" s="12"/>
    </row>
    <row r="15620" spans="2:3">
      <c r="B15620" s="12"/>
      <c r="C15620" s="12"/>
    </row>
    <row r="15621" spans="2:3">
      <c r="B15621" s="12"/>
      <c r="C15621" s="12"/>
    </row>
    <row r="15622" spans="2:3">
      <c r="B15622" s="12"/>
      <c r="C15622" s="12"/>
    </row>
    <row r="15623" spans="2:3">
      <c r="B15623" s="12"/>
      <c r="C15623" s="12"/>
    </row>
    <row r="15624" spans="2:3">
      <c r="B15624" s="12"/>
      <c r="C15624" s="12"/>
    </row>
    <row r="15625" spans="2:3">
      <c r="B15625" s="12"/>
      <c r="C15625" s="12"/>
    </row>
    <row r="15626" spans="2:3">
      <c r="B15626" s="12"/>
      <c r="C15626" s="12"/>
    </row>
    <row r="15627" spans="2:3">
      <c r="B15627" s="12"/>
      <c r="C15627" s="12"/>
    </row>
    <row r="15628" spans="2:3">
      <c r="B15628" s="12"/>
      <c r="C15628" s="12"/>
    </row>
    <row r="15629" spans="2:3">
      <c r="B15629" s="12"/>
      <c r="C15629" s="12"/>
    </row>
    <row r="15630" spans="2:3">
      <c r="B15630" s="12"/>
      <c r="C15630" s="12"/>
    </row>
    <row r="15631" spans="2:3">
      <c r="B15631" s="12"/>
      <c r="C15631" s="12"/>
    </row>
    <row r="15632" spans="2:3">
      <c r="B15632" s="12"/>
      <c r="C15632" s="12"/>
    </row>
    <row r="15633" spans="2:3">
      <c r="B15633" s="12"/>
      <c r="C15633" s="12"/>
    </row>
    <row r="15634" spans="2:3">
      <c r="B15634" s="12"/>
      <c r="C15634" s="12"/>
    </row>
    <row r="15635" spans="2:3">
      <c r="B15635" s="12"/>
      <c r="C15635" s="12"/>
    </row>
    <row r="15636" spans="2:3">
      <c r="B15636" s="12"/>
      <c r="C15636" s="12"/>
    </row>
    <row r="15637" spans="2:3">
      <c r="B15637" s="12"/>
      <c r="C15637" s="12"/>
    </row>
    <row r="15638" spans="2:3">
      <c r="B15638" s="12"/>
      <c r="C15638" s="12"/>
    </row>
    <row r="15639" spans="2:3">
      <c r="B15639" s="12"/>
      <c r="C15639" s="12"/>
    </row>
    <row r="15640" spans="2:3">
      <c r="B15640" s="12"/>
      <c r="C15640" s="12"/>
    </row>
    <row r="15641" spans="2:3">
      <c r="B15641" s="12"/>
      <c r="C15641" s="12"/>
    </row>
    <row r="15642" spans="2:3">
      <c r="B15642" s="12"/>
      <c r="C15642" s="12"/>
    </row>
    <row r="15643" spans="2:3">
      <c r="B15643" s="12"/>
      <c r="C15643" s="12"/>
    </row>
    <row r="15644" spans="2:3">
      <c r="B15644" s="12"/>
      <c r="C15644" s="12"/>
    </row>
    <row r="15645" spans="2:3">
      <c r="B15645" s="12"/>
      <c r="C15645" s="12"/>
    </row>
    <row r="15646" spans="2:3">
      <c r="B15646" s="12"/>
      <c r="C15646" s="12"/>
    </row>
    <row r="15647" spans="2:3">
      <c r="B15647" s="12"/>
      <c r="C15647" s="12"/>
    </row>
    <row r="15648" spans="2:3">
      <c r="B15648" s="12"/>
      <c r="C15648" s="12"/>
    </row>
    <row r="15649" spans="2:3">
      <c r="B15649" s="12"/>
      <c r="C15649" s="12"/>
    </row>
    <row r="15650" spans="2:3">
      <c r="B15650" s="12"/>
      <c r="C15650" s="12"/>
    </row>
    <row r="15651" spans="2:3">
      <c r="B15651" s="12"/>
      <c r="C15651" s="12"/>
    </row>
    <row r="15652" spans="2:3">
      <c r="B15652" s="12"/>
      <c r="C15652" s="12"/>
    </row>
    <row r="15653" spans="2:3">
      <c r="B15653" s="12"/>
      <c r="C15653" s="12"/>
    </row>
    <row r="15654" spans="2:3">
      <c r="B15654" s="12"/>
      <c r="C15654" s="12"/>
    </row>
    <row r="15655" spans="2:3">
      <c r="B15655" s="12"/>
      <c r="C15655" s="12"/>
    </row>
    <row r="15656" spans="2:3">
      <c r="B15656" s="12"/>
      <c r="C15656" s="12"/>
    </row>
    <row r="15657" spans="2:3">
      <c r="B15657" s="12"/>
      <c r="C15657" s="12"/>
    </row>
    <row r="15658" spans="2:3">
      <c r="B15658" s="12"/>
      <c r="C15658" s="12"/>
    </row>
    <row r="15659" spans="2:3">
      <c r="B15659" s="12"/>
      <c r="C15659" s="12"/>
    </row>
    <row r="15660" spans="2:3">
      <c r="B15660" s="12"/>
      <c r="C15660" s="12"/>
    </row>
    <row r="15661" spans="2:3">
      <c r="B15661" s="12"/>
      <c r="C15661" s="12"/>
    </row>
    <row r="15662" spans="2:3">
      <c r="B15662" s="12"/>
      <c r="C15662" s="12"/>
    </row>
    <row r="15663" spans="2:3">
      <c r="B15663" s="12"/>
      <c r="C15663" s="12"/>
    </row>
    <row r="15664" spans="2:3">
      <c r="B15664" s="12"/>
      <c r="C15664" s="12"/>
    </row>
    <row r="15665" spans="2:3">
      <c r="B15665" s="12"/>
      <c r="C15665" s="12"/>
    </row>
    <row r="15666" spans="2:3">
      <c r="B15666" s="12"/>
      <c r="C15666" s="12"/>
    </row>
    <row r="15667" spans="2:3">
      <c r="B15667" s="12"/>
      <c r="C15667" s="12"/>
    </row>
    <row r="15668" spans="2:3">
      <c r="B15668" s="12"/>
      <c r="C15668" s="12"/>
    </row>
    <row r="15669" spans="2:3">
      <c r="B15669" s="12"/>
      <c r="C15669" s="12"/>
    </row>
    <row r="15670" spans="2:3">
      <c r="B15670" s="12"/>
      <c r="C15670" s="12"/>
    </row>
    <row r="15671" spans="2:3">
      <c r="B15671" s="12"/>
      <c r="C15671" s="12"/>
    </row>
    <row r="15672" spans="2:3">
      <c r="B15672" s="12"/>
      <c r="C15672" s="12"/>
    </row>
    <row r="15673" spans="2:3">
      <c r="B15673" s="12"/>
      <c r="C15673" s="12"/>
    </row>
    <row r="15674" spans="2:3">
      <c r="B15674" s="12"/>
      <c r="C15674" s="12"/>
    </row>
    <row r="15675" spans="2:3">
      <c r="B15675" s="12"/>
      <c r="C15675" s="12"/>
    </row>
    <row r="15676" spans="2:3">
      <c r="B15676" s="12"/>
      <c r="C15676" s="12"/>
    </row>
    <row r="15677" spans="2:3">
      <c r="B15677" s="12"/>
      <c r="C15677" s="12"/>
    </row>
    <row r="15678" spans="2:3">
      <c r="B15678" s="12"/>
      <c r="C15678" s="12"/>
    </row>
    <row r="15679" spans="2:3">
      <c r="B15679" s="12"/>
      <c r="C15679" s="12"/>
    </row>
    <row r="15680" spans="2:3">
      <c r="B15680" s="12"/>
      <c r="C15680" s="12"/>
    </row>
    <row r="15681" spans="2:3">
      <c r="B15681" s="12"/>
      <c r="C15681" s="12"/>
    </row>
    <row r="15682" spans="2:3">
      <c r="B15682" s="12"/>
      <c r="C15682" s="12"/>
    </row>
    <row r="15683" spans="2:3">
      <c r="B15683" s="12"/>
      <c r="C15683" s="12"/>
    </row>
    <row r="15684" spans="2:3">
      <c r="B15684" s="12"/>
      <c r="C15684" s="12"/>
    </row>
    <row r="15685" spans="2:3">
      <c r="B15685" s="12"/>
      <c r="C15685" s="12"/>
    </row>
    <row r="15686" spans="2:3">
      <c r="B15686" s="12"/>
      <c r="C15686" s="12"/>
    </row>
    <row r="15687" spans="2:3">
      <c r="B15687" s="12"/>
      <c r="C15687" s="12"/>
    </row>
    <row r="15688" spans="2:3">
      <c r="B15688" s="12"/>
      <c r="C15688" s="12"/>
    </row>
    <row r="15689" spans="2:3">
      <c r="B15689" s="12"/>
      <c r="C15689" s="12"/>
    </row>
    <row r="15690" spans="2:3">
      <c r="B15690" s="12"/>
      <c r="C15690" s="12"/>
    </row>
    <row r="15691" spans="2:3">
      <c r="B15691" s="12"/>
      <c r="C15691" s="12"/>
    </row>
    <row r="15692" spans="2:3">
      <c r="B15692" s="12"/>
      <c r="C15692" s="12"/>
    </row>
    <row r="15693" spans="2:3">
      <c r="B15693" s="12"/>
      <c r="C15693" s="12"/>
    </row>
    <row r="15694" spans="2:3">
      <c r="B15694" s="12"/>
      <c r="C15694" s="12"/>
    </row>
    <row r="15695" spans="2:3">
      <c r="B15695" s="12"/>
      <c r="C15695" s="12"/>
    </row>
    <row r="15696" spans="2:3">
      <c r="B15696" s="12"/>
      <c r="C15696" s="12"/>
    </row>
    <row r="15697" spans="2:3">
      <c r="B15697" s="12"/>
      <c r="C15697" s="12"/>
    </row>
    <row r="15698" spans="2:3">
      <c r="B15698" s="12"/>
      <c r="C15698" s="12"/>
    </row>
    <row r="15699" spans="2:3">
      <c r="B15699" s="12"/>
      <c r="C15699" s="12"/>
    </row>
    <row r="15700" spans="2:3">
      <c r="B15700" s="12"/>
      <c r="C15700" s="12"/>
    </row>
    <row r="15701" spans="2:3">
      <c r="B15701" s="12"/>
      <c r="C15701" s="12"/>
    </row>
    <row r="15702" spans="2:3">
      <c r="B15702" s="12"/>
      <c r="C15702" s="12"/>
    </row>
    <row r="15703" spans="2:3">
      <c r="B15703" s="12"/>
      <c r="C15703" s="12"/>
    </row>
    <row r="15704" spans="2:3">
      <c r="B15704" s="12"/>
      <c r="C15704" s="12"/>
    </row>
    <row r="15705" spans="2:3">
      <c r="B15705" s="12"/>
      <c r="C15705" s="12"/>
    </row>
    <row r="15706" spans="2:3">
      <c r="B15706" s="12"/>
      <c r="C15706" s="12"/>
    </row>
    <row r="15707" spans="2:3">
      <c r="B15707" s="12"/>
      <c r="C15707" s="12"/>
    </row>
    <row r="15708" spans="2:3">
      <c r="B15708" s="12"/>
      <c r="C15708" s="12"/>
    </row>
    <row r="15709" spans="2:3">
      <c r="B15709" s="12"/>
      <c r="C15709" s="12"/>
    </row>
    <row r="15710" spans="2:3">
      <c r="B15710" s="12"/>
      <c r="C15710" s="12"/>
    </row>
    <row r="15711" spans="2:3">
      <c r="B15711" s="12"/>
      <c r="C15711" s="12"/>
    </row>
    <row r="15712" spans="2:3">
      <c r="B15712" s="12"/>
      <c r="C15712" s="12"/>
    </row>
    <row r="15713" spans="2:3">
      <c r="B15713" s="12"/>
      <c r="C15713" s="12"/>
    </row>
    <row r="15714" spans="2:3">
      <c r="B15714" s="12"/>
      <c r="C15714" s="12"/>
    </row>
    <row r="15715" spans="2:3">
      <c r="B15715" s="12"/>
      <c r="C15715" s="12"/>
    </row>
    <row r="15716" spans="2:3">
      <c r="B15716" s="12"/>
      <c r="C15716" s="12"/>
    </row>
    <row r="15717" spans="2:3">
      <c r="B15717" s="12"/>
      <c r="C15717" s="12"/>
    </row>
    <row r="15718" spans="2:3">
      <c r="B15718" s="12"/>
      <c r="C15718" s="12"/>
    </row>
    <row r="15719" spans="2:3">
      <c r="B15719" s="12"/>
      <c r="C15719" s="12"/>
    </row>
    <row r="15720" spans="2:3">
      <c r="B15720" s="12"/>
      <c r="C15720" s="12"/>
    </row>
    <row r="15721" spans="2:3">
      <c r="B15721" s="12"/>
      <c r="C15721" s="12"/>
    </row>
    <row r="15722" spans="2:3">
      <c r="B15722" s="12"/>
      <c r="C15722" s="12"/>
    </row>
    <row r="15723" spans="2:3">
      <c r="B15723" s="12"/>
      <c r="C15723" s="12"/>
    </row>
    <row r="15724" spans="2:3">
      <c r="B15724" s="12"/>
      <c r="C15724" s="12"/>
    </row>
    <row r="15725" spans="2:3">
      <c r="B15725" s="12"/>
      <c r="C15725" s="12"/>
    </row>
    <row r="15726" spans="2:3">
      <c r="B15726" s="12"/>
      <c r="C15726" s="12"/>
    </row>
    <row r="15727" spans="2:3">
      <c r="B15727" s="12"/>
      <c r="C15727" s="12"/>
    </row>
    <row r="15728" spans="2:3">
      <c r="B15728" s="12"/>
      <c r="C15728" s="12"/>
    </row>
    <row r="15729" spans="2:3">
      <c r="B15729" s="12"/>
      <c r="C15729" s="12"/>
    </row>
    <row r="15730" spans="2:3">
      <c r="B15730" s="12"/>
      <c r="C15730" s="12"/>
    </row>
    <row r="15731" spans="2:3">
      <c r="B15731" s="12"/>
      <c r="C15731" s="12"/>
    </row>
    <row r="15732" spans="2:3">
      <c r="B15732" s="12"/>
      <c r="C15732" s="12"/>
    </row>
    <row r="15733" spans="2:3">
      <c r="B15733" s="12"/>
      <c r="C15733" s="12"/>
    </row>
    <row r="15734" spans="2:3">
      <c r="B15734" s="12"/>
      <c r="C15734" s="12"/>
    </row>
    <row r="15735" spans="2:3">
      <c r="B15735" s="12"/>
      <c r="C15735" s="12"/>
    </row>
    <row r="15736" spans="2:3">
      <c r="B15736" s="12"/>
      <c r="C15736" s="12"/>
    </row>
    <row r="15737" spans="2:3">
      <c r="B15737" s="12"/>
      <c r="C15737" s="12"/>
    </row>
    <row r="15738" spans="2:3">
      <c r="B15738" s="12"/>
      <c r="C15738" s="12"/>
    </row>
    <row r="15739" spans="2:3">
      <c r="B15739" s="12"/>
      <c r="C15739" s="12"/>
    </row>
    <row r="15740" spans="2:3">
      <c r="B15740" s="12"/>
      <c r="C15740" s="12"/>
    </row>
    <row r="15741" spans="2:3">
      <c r="B15741" s="12"/>
      <c r="C15741" s="12"/>
    </row>
    <row r="15742" spans="2:3">
      <c r="B15742" s="12"/>
      <c r="C15742" s="12"/>
    </row>
    <row r="15743" spans="2:3">
      <c r="B15743" s="12"/>
      <c r="C15743" s="12"/>
    </row>
    <row r="15744" spans="2:3">
      <c r="B15744" s="12"/>
      <c r="C15744" s="12"/>
    </row>
    <row r="15745" spans="2:3">
      <c r="B15745" s="12"/>
      <c r="C15745" s="12"/>
    </row>
    <row r="15746" spans="2:3">
      <c r="B15746" s="12"/>
      <c r="C15746" s="12"/>
    </row>
    <row r="15747" spans="2:3">
      <c r="B15747" s="12"/>
      <c r="C15747" s="12"/>
    </row>
    <row r="15748" spans="2:3">
      <c r="B15748" s="12"/>
      <c r="C15748" s="12"/>
    </row>
    <row r="15749" spans="2:3">
      <c r="B15749" s="12"/>
      <c r="C15749" s="12"/>
    </row>
    <row r="15750" spans="2:3">
      <c r="B15750" s="12"/>
      <c r="C15750" s="12"/>
    </row>
    <row r="15751" spans="2:3">
      <c r="B15751" s="12"/>
      <c r="C15751" s="12"/>
    </row>
    <row r="15752" spans="2:3">
      <c r="B15752" s="12"/>
      <c r="C15752" s="12"/>
    </row>
    <row r="15753" spans="2:3">
      <c r="B15753" s="12"/>
      <c r="C15753" s="12"/>
    </row>
    <row r="15754" spans="2:3">
      <c r="B15754" s="12"/>
      <c r="C15754" s="12"/>
    </row>
    <row r="15755" spans="2:3">
      <c r="B15755" s="12"/>
      <c r="C15755" s="12"/>
    </row>
    <row r="15756" spans="2:3">
      <c r="B15756" s="12"/>
      <c r="C15756" s="12"/>
    </row>
    <row r="15757" spans="2:3">
      <c r="B15757" s="12"/>
      <c r="C15757" s="12"/>
    </row>
    <row r="15758" spans="2:3">
      <c r="B15758" s="12"/>
      <c r="C15758" s="12"/>
    </row>
    <row r="15759" spans="2:3">
      <c r="B15759" s="12"/>
      <c r="C15759" s="12"/>
    </row>
    <row r="15760" spans="2:3">
      <c r="B15760" s="12"/>
      <c r="C15760" s="12"/>
    </row>
    <row r="15761" spans="2:3">
      <c r="B15761" s="12"/>
      <c r="C15761" s="12"/>
    </row>
    <row r="15762" spans="2:3">
      <c r="B15762" s="12"/>
      <c r="C15762" s="12"/>
    </row>
    <row r="15763" spans="2:3">
      <c r="B15763" s="12"/>
      <c r="C15763" s="12"/>
    </row>
    <row r="15764" spans="2:3">
      <c r="B15764" s="12"/>
      <c r="C15764" s="12"/>
    </row>
    <row r="15765" spans="2:3">
      <c r="B15765" s="12"/>
      <c r="C15765" s="12"/>
    </row>
    <row r="15766" spans="2:3">
      <c r="B15766" s="12"/>
      <c r="C15766" s="12"/>
    </row>
    <row r="15767" spans="2:3">
      <c r="B15767" s="12"/>
      <c r="C15767" s="12"/>
    </row>
    <row r="15768" spans="2:3">
      <c r="B15768" s="12"/>
      <c r="C15768" s="12"/>
    </row>
    <row r="15769" spans="2:3">
      <c r="B15769" s="12"/>
      <c r="C15769" s="12"/>
    </row>
    <row r="15770" spans="2:3">
      <c r="B15770" s="12"/>
      <c r="C15770" s="12"/>
    </row>
    <row r="15771" spans="2:3">
      <c r="B15771" s="12"/>
      <c r="C15771" s="12"/>
    </row>
    <row r="15772" spans="2:3">
      <c r="B15772" s="12"/>
      <c r="C15772" s="12"/>
    </row>
    <row r="15773" spans="2:3">
      <c r="B15773" s="12"/>
      <c r="C15773" s="12"/>
    </row>
    <row r="15774" spans="2:3">
      <c r="B15774" s="12"/>
      <c r="C15774" s="12"/>
    </row>
    <row r="15775" spans="2:3">
      <c r="B15775" s="12"/>
      <c r="C15775" s="12"/>
    </row>
    <row r="15776" spans="2:3">
      <c r="B15776" s="12"/>
      <c r="C15776" s="12"/>
    </row>
    <row r="15777" spans="2:3">
      <c r="B15777" s="12"/>
      <c r="C15777" s="12"/>
    </row>
    <row r="15778" spans="2:3">
      <c r="B15778" s="12"/>
      <c r="C15778" s="12"/>
    </row>
    <row r="15779" spans="2:3">
      <c r="B15779" s="12"/>
      <c r="C15779" s="12"/>
    </row>
    <row r="15780" spans="2:3">
      <c r="B15780" s="12"/>
      <c r="C15780" s="12"/>
    </row>
    <row r="15781" spans="2:3">
      <c r="B15781" s="12"/>
      <c r="C15781" s="12"/>
    </row>
    <row r="15782" spans="2:3">
      <c r="B15782" s="12"/>
      <c r="C15782" s="12"/>
    </row>
    <row r="15783" spans="2:3">
      <c r="B15783" s="12"/>
      <c r="C15783" s="12"/>
    </row>
    <row r="15784" spans="2:3">
      <c r="B15784" s="12"/>
      <c r="C15784" s="12"/>
    </row>
    <row r="15785" spans="2:3">
      <c r="B15785" s="12"/>
      <c r="C15785" s="12"/>
    </row>
    <row r="15786" spans="2:3">
      <c r="B15786" s="12"/>
      <c r="C15786" s="12"/>
    </row>
    <row r="15787" spans="2:3">
      <c r="B15787" s="12"/>
      <c r="C15787" s="12"/>
    </row>
    <row r="15788" spans="2:3">
      <c r="B15788" s="12"/>
      <c r="C15788" s="12"/>
    </row>
    <row r="15789" spans="2:3">
      <c r="B15789" s="12"/>
      <c r="C15789" s="12"/>
    </row>
    <row r="15790" spans="2:3">
      <c r="B15790" s="12"/>
      <c r="C15790" s="12"/>
    </row>
    <row r="15791" spans="2:3">
      <c r="B15791" s="12"/>
      <c r="C15791" s="12"/>
    </row>
    <row r="15792" spans="2:3">
      <c r="B15792" s="12"/>
      <c r="C15792" s="12"/>
    </row>
    <row r="15793" spans="2:3">
      <c r="B15793" s="12"/>
      <c r="C15793" s="12"/>
    </row>
    <row r="15794" spans="2:3">
      <c r="B15794" s="12"/>
      <c r="C15794" s="12"/>
    </row>
    <row r="15795" spans="2:3">
      <c r="B15795" s="12"/>
      <c r="C15795" s="12"/>
    </row>
    <row r="15796" spans="2:3">
      <c r="B15796" s="12"/>
      <c r="C15796" s="12"/>
    </row>
    <row r="15797" spans="2:3">
      <c r="B15797" s="12"/>
      <c r="C15797" s="12"/>
    </row>
    <row r="15798" spans="2:3">
      <c r="B15798" s="12"/>
      <c r="C15798" s="12"/>
    </row>
    <row r="15799" spans="2:3">
      <c r="B15799" s="12"/>
      <c r="C15799" s="12"/>
    </row>
    <row r="15800" spans="2:3">
      <c r="B15800" s="12"/>
      <c r="C15800" s="12"/>
    </row>
    <row r="15801" spans="2:3">
      <c r="B15801" s="12"/>
      <c r="C15801" s="12"/>
    </row>
    <row r="15802" spans="2:3">
      <c r="B15802" s="12"/>
      <c r="C15802" s="12"/>
    </row>
    <row r="15803" spans="2:3">
      <c r="B15803" s="12"/>
      <c r="C15803" s="12"/>
    </row>
    <row r="15804" spans="2:3">
      <c r="B15804" s="12"/>
      <c r="C15804" s="12"/>
    </row>
    <row r="15805" spans="2:3">
      <c r="B15805" s="12"/>
      <c r="C15805" s="12"/>
    </row>
    <row r="15806" spans="2:3">
      <c r="B15806" s="12"/>
      <c r="C15806" s="12"/>
    </row>
    <row r="15807" spans="2:3">
      <c r="B15807" s="12"/>
      <c r="C15807" s="12"/>
    </row>
    <row r="15808" spans="2:3">
      <c r="B15808" s="12"/>
      <c r="C15808" s="12"/>
    </row>
    <row r="15809" spans="2:3">
      <c r="B15809" s="12"/>
      <c r="C15809" s="12"/>
    </row>
    <row r="15810" spans="2:3">
      <c r="B15810" s="12"/>
      <c r="C15810" s="12"/>
    </row>
    <row r="15811" spans="2:3">
      <c r="B15811" s="12"/>
      <c r="C15811" s="12"/>
    </row>
    <row r="15812" spans="2:3">
      <c r="B15812" s="12"/>
      <c r="C15812" s="12"/>
    </row>
    <row r="15813" spans="2:3">
      <c r="B15813" s="12"/>
      <c r="C15813" s="12"/>
    </row>
    <row r="15814" spans="2:3">
      <c r="B15814" s="12"/>
      <c r="C15814" s="12"/>
    </row>
    <row r="15815" spans="2:3">
      <c r="B15815" s="12"/>
      <c r="C15815" s="12"/>
    </row>
    <row r="15816" spans="2:3">
      <c r="B15816" s="12"/>
      <c r="C15816" s="12"/>
    </row>
    <row r="15817" spans="2:3">
      <c r="B15817" s="12"/>
      <c r="C15817" s="12"/>
    </row>
    <row r="15818" spans="2:3">
      <c r="B15818" s="12"/>
      <c r="C15818" s="12"/>
    </row>
    <row r="15819" spans="2:3">
      <c r="B15819" s="12"/>
      <c r="C15819" s="12"/>
    </row>
    <row r="15820" spans="2:3">
      <c r="B15820" s="12"/>
      <c r="C15820" s="12"/>
    </row>
    <row r="15821" spans="2:3">
      <c r="B15821" s="12"/>
      <c r="C15821" s="12"/>
    </row>
    <row r="15822" spans="2:3">
      <c r="B15822" s="12"/>
      <c r="C15822" s="12"/>
    </row>
    <row r="15823" spans="2:3">
      <c r="B15823" s="12"/>
      <c r="C15823" s="12"/>
    </row>
    <row r="15824" spans="2:3">
      <c r="B15824" s="12"/>
      <c r="C15824" s="12"/>
    </row>
    <row r="15825" spans="2:3">
      <c r="B15825" s="12"/>
      <c r="C15825" s="12"/>
    </row>
    <row r="15826" spans="2:3">
      <c r="B15826" s="12"/>
      <c r="C15826" s="12"/>
    </row>
    <row r="15827" spans="2:3">
      <c r="B15827" s="12"/>
      <c r="C15827" s="12"/>
    </row>
    <row r="15828" spans="2:3">
      <c r="B15828" s="12"/>
      <c r="C15828" s="12"/>
    </row>
    <row r="15829" spans="2:3">
      <c r="B15829" s="12"/>
      <c r="C15829" s="12"/>
    </row>
    <row r="15830" spans="2:3">
      <c r="B15830" s="12"/>
      <c r="C15830" s="12"/>
    </row>
    <row r="15831" spans="2:3">
      <c r="B15831" s="12"/>
      <c r="C15831" s="12"/>
    </row>
    <row r="15832" spans="2:3">
      <c r="B15832" s="12"/>
      <c r="C15832" s="12"/>
    </row>
    <row r="15833" spans="2:3">
      <c r="B15833" s="12"/>
      <c r="C15833" s="12"/>
    </row>
    <row r="15834" spans="2:3">
      <c r="B15834" s="12"/>
      <c r="C15834" s="12"/>
    </row>
    <row r="15835" spans="2:3">
      <c r="B15835" s="12"/>
      <c r="C15835" s="12"/>
    </row>
    <row r="15836" spans="2:3">
      <c r="B15836" s="12"/>
      <c r="C15836" s="12"/>
    </row>
    <row r="15837" spans="2:3">
      <c r="B15837" s="12"/>
      <c r="C15837" s="12"/>
    </row>
    <row r="15838" spans="2:3">
      <c r="B15838" s="12"/>
      <c r="C15838" s="12"/>
    </row>
    <row r="15839" spans="2:3">
      <c r="B15839" s="12"/>
      <c r="C15839" s="12"/>
    </row>
    <row r="15840" spans="2:3">
      <c r="B15840" s="12"/>
      <c r="C15840" s="12"/>
    </row>
    <row r="15841" spans="2:3">
      <c r="B15841" s="12"/>
      <c r="C15841" s="12"/>
    </row>
    <row r="15842" spans="2:3">
      <c r="B15842" s="12"/>
      <c r="C15842" s="12"/>
    </row>
    <row r="15843" spans="2:3">
      <c r="B15843" s="12"/>
      <c r="C15843" s="12"/>
    </row>
    <row r="15844" spans="2:3">
      <c r="B15844" s="12"/>
      <c r="C15844" s="12"/>
    </row>
    <row r="15845" spans="2:3">
      <c r="B15845" s="12"/>
      <c r="C15845" s="12"/>
    </row>
    <row r="15846" spans="2:3">
      <c r="B15846" s="12"/>
      <c r="C15846" s="12"/>
    </row>
    <row r="15847" spans="2:3">
      <c r="B15847" s="12"/>
      <c r="C15847" s="12"/>
    </row>
    <row r="15848" spans="2:3">
      <c r="B15848" s="12"/>
      <c r="C15848" s="12"/>
    </row>
    <row r="15849" spans="2:3">
      <c r="B15849" s="12"/>
      <c r="C15849" s="12"/>
    </row>
    <row r="15850" spans="2:3">
      <c r="B15850" s="12"/>
      <c r="C15850" s="12"/>
    </row>
    <row r="15851" spans="2:3">
      <c r="B15851" s="12"/>
      <c r="C15851" s="12"/>
    </row>
    <row r="15852" spans="2:3">
      <c r="B15852" s="12"/>
      <c r="C15852" s="12"/>
    </row>
    <row r="15853" spans="2:3">
      <c r="B15853" s="12"/>
      <c r="C15853" s="12"/>
    </row>
    <row r="15854" spans="2:3">
      <c r="B15854" s="12"/>
      <c r="C15854" s="12"/>
    </row>
    <row r="15855" spans="2:3">
      <c r="B15855" s="12"/>
      <c r="C15855" s="12"/>
    </row>
    <row r="15856" spans="2:3">
      <c r="B15856" s="12"/>
      <c r="C15856" s="12"/>
    </row>
    <row r="15857" spans="2:3">
      <c r="B15857" s="12"/>
      <c r="C15857" s="12"/>
    </row>
    <row r="15858" spans="2:3">
      <c r="B15858" s="12"/>
      <c r="C15858" s="12"/>
    </row>
    <row r="15859" spans="2:3">
      <c r="B15859" s="12"/>
      <c r="C15859" s="12"/>
    </row>
    <row r="15860" spans="2:3">
      <c r="B15860" s="12"/>
      <c r="C15860" s="12"/>
    </row>
    <row r="15861" spans="2:3">
      <c r="B15861" s="12"/>
      <c r="C15861" s="12"/>
    </row>
    <row r="15862" spans="2:3">
      <c r="B15862" s="12"/>
      <c r="C15862" s="12"/>
    </row>
    <row r="15863" spans="2:3">
      <c r="B15863" s="12"/>
      <c r="C15863" s="12"/>
    </row>
    <row r="15864" spans="2:3">
      <c r="B15864" s="12"/>
      <c r="C15864" s="12"/>
    </row>
    <row r="15865" spans="2:3">
      <c r="B15865" s="12"/>
      <c r="C15865" s="12"/>
    </row>
    <row r="15866" spans="2:3">
      <c r="B15866" s="12"/>
      <c r="C15866" s="12"/>
    </row>
    <row r="15867" spans="2:3">
      <c r="B15867" s="12"/>
      <c r="C15867" s="12"/>
    </row>
    <row r="15868" spans="2:3">
      <c r="B15868" s="12"/>
      <c r="C15868" s="12"/>
    </row>
    <row r="15869" spans="2:3">
      <c r="B15869" s="12"/>
      <c r="C15869" s="12"/>
    </row>
    <row r="15870" spans="2:3">
      <c r="B15870" s="12"/>
      <c r="C15870" s="12"/>
    </row>
    <row r="15871" spans="2:3">
      <c r="B15871" s="12"/>
      <c r="C15871" s="12"/>
    </row>
    <row r="15872" spans="2:3">
      <c r="B15872" s="12"/>
      <c r="C15872" s="12"/>
    </row>
    <row r="15873" spans="2:3">
      <c r="B15873" s="12"/>
      <c r="C15873" s="12"/>
    </row>
    <row r="15874" spans="2:3">
      <c r="B15874" s="12"/>
      <c r="C15874" s="12"/>
    </row>
    <row r="15875" spans="2:3">
      <c r="B15875" s="12"/>
      <c r="C15875" s="12"/>
    </row>
    <row r="15876" spans="2:3">
      <c r="B15876" s="12"/>
      <c r="C15876" s="12"/>
    </row>
    <row r="15877" spans="2:3">
      <c r="B15877" s="12"/>
      <c r="C15877" s="12"/>
    </row>
    <row r="15878" spans="2:3">
      <c r="B15878" s="12"/>
      <c r="C15878" s="12"/>
    </row>
    <row r="15879" spans="2:3">
      <c r="B15879" s="12"/>
      <c r="C15879" s="12"/>
    </row>
    <row r="15880" spans="2:3">
      <c r="B15880" s="12"/>
      <c r="C15880" s="12"/>
    </row>
    <row r="15881" spans="2:3">
      <c r="B15881" s="12"/>
      <c r="C15881" s="12"/>
    </row>
    <row r="15882" spans="2:3">
      <c r="B15882" s="12"/>
      <c r="C15882" s="12"/>
    </row>
    <row r="15883" spans="2:3">
      <c r="B15883" s="12"/>
      <c r="C15883" s="12"/>
    </row>
    <row r="15884" spans="2:3">
      <c r="B15884" s="12"/>
      <c r="C15884" s="12"/>
    </row>
    <row r="15885" spans="2:3">
      <c r="B15885" s="12"/>
      <c r="C15885" s="12"/>
    </row>
    <row r="15886" spans="2:3">
      <c r="B15886" s="12"/>
      <c r="C15886" s="12"/>
    </row>
    <row r="15887" spans="2:3">
      <c r="B15887" s="12"/>
      <c r="C15887" s="12"/>
    </row>
    <row r="15888" spans="2:3">
      <c r="B15888" s="12"/>
      <c r="C15888" s="12"/>
    </row>
    <row r="15889" spans="2:3">
      <c r="B15889" s="12"/>
      <c r="C15889" s="12"/>
    </row>
    <row r="15890" spans="2:3">
      <c r="B15890" s="12"/>
      <c r="C15890" s="12"/>
    </row>
    <row r="15891" spans="2:3">
      <c r="B15891" s="12"/>
      <c r="C15891" s="12"/>
    </row>
    <row r="15892" spans="2:3">
      <c r="B15892" s="12"/>
      <c r="C15892" s="12"/>
    </row>
    <row r="15893" spans="2:3">
      <c r="B15893" s="12"/>
      <c r="C15893" s="12"/>
    </row>
    <row r="15894" spans="2:3">
      <c r="B15894" s="12"/>
      <c r="C15894" s="12"/>
    </row>
    <row r="15895" spans="2:3">
      <c r="B15895" s="12"/>
      <c r="C15895" s="12"/>
    </row>
    <row r="15896" spans="2:3">
      <c r="B15896" s="12"/>
      <c r="C15896" s="12"/>
    </row>
    <row r="15897" spans="2:3">
      <c r="B15897" s="12"/>
      <c r="C15897" s="12"/>
    </row>
    <row r="15898" spans="2:3">
      <c r="B15898" s="12"/>
      <c r="C15898" s="12"/>
    </row>
    <row r="15899" spans="2:3">
      <c r="B15899" s="12"/>
      <c r="C15899" s="12"/>
    </row>
    <row r="15900" spans="2:3">
      <c r="B15900" s="12"/>
      <c r="C15900" s="12"/>
    </row>
    <row r="15901" spans="2:3">
      <c r="B15901" s="12"/>
      <c r="C15901" s="12"/>
    </row>
    <row r="15902" spans="2:3">
      <c r="B15902" s="12"/>
      <c r="C15902" s="12"/>
    </row>
    <row r="15903" spans="2:3">
      <c r="B15903" s="12"/>
      <c r="C15903" s="12"/>
    </row>
    <row r="15904" spans="2:3">
      <c r="B15904" s="12"/>
      <c r="C15904" s="12"/>
    </row>
    <row r="15905" spans="2:3">
      <c r="B15905" s="12"/>
      <c r="C15905" s="12"/>
    </row>
    <row r="15906" spans="2:3">
      <c r="B15906" s="12"/>
      <c r="C15906" s="12"/>
    </row>
    <row r="15907" spans="2:3">
      <c r="B15907" s="12"/>
      <c r="C15907" s="12"/>
    </row>
    <row r="15908" spans="2:3">
      <c r="B15908" s="12"/>
      <c r="C15908" s="12"/>
    </row>
    <row r="15909" spans="2:3">
      <c r="B15909" s="12"/>
      <c r="C15909" s="12"/>
    </row>
    <row r="15910" spans="2:3">
      <c r="B15910" s="12"/>
      <c r="C15910" s="12"/>
    </row>
    <row r="15911" spans="2:3">
      <c r="B15911" s="12"/>
      <c r="C15911" s="12"/>
    </row>
    <row r="15912" spans="2:3">
      <c r="B15912" s="12"/>
      <c r="C15912" s="12"/>
    </row>
    <row r="15913" spans="2:3">
      <c r="B15913" s="12"/>
      <c r="C15913" s="12"/>
    </row>
    <row r="15914" spans="2:3">
      <c r="B15914" s="12"/>
      <c r="C15914" s="12"/>
    </row>
    <row r="15915" spans="2:3">
      <c r="B15915" s="12"/>
      <c r="C15915" s="12"/>
    </row>
    <row r="15916" spans="2:3">
      <c r="B15916" s="12"/>
      <c r="C15916" s="12"/>
    </row>
    <row r="15917" spans="2:3">
      <c r="B15917" s="12"/>
      <c r="C15917" s="12"/>
    </row>
    <row r="15918" spans="2:3">
      <c r="B15918" s="12"/>
      <c r="C15918" s="12"/>
    </row>
    <row r="15919" spans="2:3">
      <c r="B15919" s="12"/>
      <c r="C15919" s="12"/>
    </row>
    <row r="15920" spans="2:3">
      <c r="B15920" s="12"/>
      <c r="C15920" s="12"/>
    </row>
    <row r="15921" spans="2:3">
      <c r="B15921" s="12"/>
      <c r="C15921" s="12"/>
    </row>
    <row r="15922" spans="2:3">
      <c r="B15922" s="12"/>
      <c r="C15922" s="12"/>
    </row>
    <row r="15923" spans="2:3">
      <c r="B15923" s="12"/>
      <c r="C15923" s="12"/>
    </row>
    <row r="15924" spans="2:3">
      <c r="B15924" s="12"/>
      <c r="C15924" s="12"/>
    </row>
    <row r="15925" spans="2:3">
      <c r="B15925" s="12"/>
      <c r="C15925" s="12"/>
    </row>
    <row r="15926" spans="2:3">
      <c r="B15926" s="12"/>
      <c r="C15926" s="12"/>
    </row>
    <row r="15927" spans="2:3">
      <c r="B15927" s="12"/>
      <c r="C15927" s="12"/>
    </row>
    <row r="15928" spans="2:3">
      <c r="B15928" s="12"/>
      <c r="C15928" s="12"/>
    </row>
    <row r="15929" spans="2:3">
      <c r="B15929" s="12"/>
      <c r="C15929" s="12"/>
    </row>
    <row r="15930" spans="2:3">
      <c r="B15930" s="12"/>
      <c r="C15930" s="12"/>
    </row>
    <row r="15931" spans="2:3">
      <c r="B15931" s="12"/>
      <c r="C15931" s="12"/>
    </row>
    <row r="15932" spans="2:3">
      <c r="B15932" s="12"/>
      <c r="C15932" s="12"/>
    </row>
    <row r="15933" spans="2:3">
      <c r="B15933" s="12"/>
      <c r="C15933" s="12"/>
    </row>
    <row r="15934" spans="2:3">
      <c r="B15934" s="12"/>
      <c r="C15934" s="12"/>
    </row>
    <row r="15935" spans="2:3">
      <c r="B15935" s="12"/>
      <c r="C15935" s="12"/>
    </row>
    <row r="15936" spans="2:3">
      <c r="B15936" s="12"/>
      <c r="C15936" s="12"/>
    </row>
    <row r="15937" spans="2:3">
      <c r="B15937" s="12"/>
      <c r="C15937" s="12"/>
    </row>
    <row r="15938" spans="2:3">
      <c r="B15938" s="12"/>
      <c r="C15938" s="12"/>
    </row>
    <row r="15939" spans="2:3">
      <c r="B15939" s="12"/>
      <c r="C15939" s="12"/>
    </row>
    <row r="15940" spans="2:3">
      <c r="B15940" s="12"/>
      <c r="C15940" s="12"/>
    </row>
    <row r="15941" spans="2:3">
      <c r="B15941" s="12"/>
      <c r="C15941" s="12"/>
    </row>
    <row r="15942" spans="2:3">
      <c r="B15942" s="12"/>
      <c r="C15942" s="12"/>
    </row>
    <row r="15943" spans="2:3">
      <c r="B15943" s="12"/>
      <c r="C15943" s="12"/>
    </row>
    <row r="15944" spans="2:3">
      <c r="B15944" s="12"/>
      <c r="C15944" s="12"/>
    </row>
    <row r="15945" spans="2:3">
      <c r="B15945" s="12"/>
      <c r="C15945" s="12"/>
    </row>
    <row r="15946" spans="2:3">
      <c r="B15946" s="12"/>
      <c r="C15946" s="12"/>
    </row>
    <row r="15947" spans="2:3">
      <c r="B15947" s="12"/>
      <c r="C15947" s="12"/>
    </row>
    <row r="15948" spans="2:3">
      <c r="B15948" s="12"/>
      <c r="C15948" s="12"/>
    </row>
    <row r="15949" spans="2:3">
      <c r="B15949" s="12"/>
      <c r="C15949" s="12"/>
    </row>
    <row r="15950" spans="2:3">
      <c r="B15950" s="12"/>
      <c r="C15950" s="12"/>
    </row>
    <row r="15951" spans="2:3">
      <c r="B15951" s="12"/>
      <c r="C15951" s="12"/>
    </row>
    <row r="15952" spans="2:3">
      <c r="B15952" s="12"/>
      <c r="C15952" s="12"/>
    </row>
    <row r="15953" spans="2:3">
      <c r="B15953" s="12"/>
      <c r="C15953" s="12"/>
    </row>
    <row r="15954" spans="2:3">
      <c r="B15954" s="12"/>
      <c r="C15954" s="12"/>
    </row>
    <row r="15955" spans="2:3">
      <c r="B15955" s="12"/>
      <c r="C15955" s="12"/>
    </row>
    <row r="15956" spans="2:3">
      <c r="B15956" s="12"/>
      <c r="C15956" s="12"/>
    </row>
    <row r="15957" spans="2:3">
      <c r="B15957" s="12"/>
      <c r="C15957" s="12"/>
    </row>
    <row r="15958" spans="2:3">
      <c r="B15958" s="12"/>
      <c r="C15958" s="12"/>
    </row>
    <row r="15959" spans="2:3">
      <c r="B15959" s="12"/>
      <c r="C15959" s="12"/>
    </row>
    <row r="15960" spans="2:3">
      <c r="B15960" s="12"/>
      <c r="C15960" s="12"/>
    </row>
    <row r="15961" spans="2:3">
      <c r="B15961" s="12"/>
      <c r="C15961" s="12"/>
    </row>
    <row r="15962" spans="2:3">
      <c r="B15962" s="12"/>
      <c r="C15962" s="12"/>
    </row>
    <row r="15963" spans="2:3">
      <c r="B15963" s="12"/>
      <c r="C15963" s="12"/>
    </row>
    <row r="15964" spans="2:3">
      <c r="B15964" s="12"/>
      <c r="C15964" s="12"/>
    </row>
    <row r="15965" spans="2:3">
      <c r="B15965" s="12"/>
      <c r="C15965" s="12"/>
    </row>
    <row r="15966" spans="2:3">
      <c r="B15966" s="12"/>
      <c r="C15966" s="12"/>
    </row>
    <row r="15967" spans="2:3">
      <c r="B15967" s="12"/>
      <c r="C15967" s="12"/>
    </row>
    <row r="15968" spans="2:3">
      <c r="B15968" s="12"/>
      <c r="C15968" s="12"/>
    </row>
    <row r="15969" spans="2:3">
      <c r="B15969" s="12"/>
      <c r="C15969" s="12"/>
    </row>
    <row r="15970" spans="2:3">
      <c r="B15970" s="12"/>
      <c r="C15970" s="12"/>
    </row>
    <row r="15971" spans="2:3">
      <c r="B15971" s="12"/>
      <c r="C15971" s="12"/>
    </row>
    <row r="15972" spans="2:3">
      <c r="B15972" s="12"/>
      <c r="C15972" s="12"/>
    </row>
    <row r="15973" spans="2:3">
      <c r="B15973" s="12"/>
      <c r="C15973" s="12"/>
    </row>
    <row r="15974" spans="2:3">
      <c r="B15974" s="12"/>
      <c r="C15974" s="12"/>
    </row>
    <row r="15975" spans="2:3">
      <c r="B15975" s="12"/>
      <c r="C15975" s="12"/>
    </row>
    <row r="15976" spans="2:3">
      <c r="B15976" s="12"/>
      <c r="C15976" s="12"/>
    </row>
    <row r="15977" spans="2:3">
      <c r="B15977" s="12"/>
      <c r="C15977" s="12"/>
    </row>
    <row r="15978" spans="2:3">
      <c r="B15978" s="12"/>
      <c r="C15978" s="12"/>
    </row>
    <row r="15979" spans="2:3">
      <c r="B15979" s="12"/>
      <c r="C15979" s="12"/>
    </row>
    <row r="15980" spans="2:3">
      <c r="B15980" s="12"/>
      <c r="C15980" s="12"/>
    </row>
    <row r="15981" spans="2:3">
      <c r="B15981" s="12"/>
      <c r="C15981" s="12"/>
    </row>
    <row r="15982" spans="2:3">
      <c r="B15982" s="12"/>
      <c r="C15982" s="12"/>
    </row>
    <row r="15983" spans="2:3">
      <c r="B15983" s="12"/>
      <c r="C15983" s="12"/>
    </row>
    <row r="15984" spans="2:3">
      <c r="B15984" s="12"/>
      <c r="C15984" s="12"/>
    </row>
    <row r="15985" spans="2:3">
      <c r="B15985" s="12"/>
      <c r="C15985" s="12"/>
    </row>
    <row r="15986" spans="2:3">
      <c r="B15986" s="12"/>
      <c r="C15986" s="12"/>
    </row>
    <row r="15987" spans="2:3">
      <c r="B15987" s="12"/>
      <c r="C15987" s="12"/>
    </row>
    <row r="15988" spans="2:3">
      <c r="B15988" s="12"/>
      <c r="C15988" s="12"/>
    </row>
    <row r="15989" spans="2:3">
      <c r="B15989" s="12"/>
      <c r="C15989" s="12"/>
    </row>
    <row r="15990" spans="2:3">
      <c r="B15990" s="12"/>
      <c r="C15990" s="12"/>
    </row>
    <row r="15991" spans="2:3">
      <c r="B15991" s="12"/>
      <c r="C15991" s="12"/>
    </row>
    <row r="15992" spans="2:3">
      <c r="B15992" s="12"/>
      <c r="C15992" s="12"/>
    </row>
    <row r="15993" spans="2:3">
      <c r="B15993" s="12"/>
      <c r="C15993" s="12"/>
    </row>
    <row r="15994" spans="2:3">
      <c r="B15994" s="12"/>
      <c r="C15994" s="12"/>
    </row>
    <row r="15995" spans="2:3">
      <c r="B15995" s="12"/>
      <c r="C15995" s="12"/>
    </row>
    <row r="15996" spans="2:3">
      <c r="B15996" s="12"/>
      <c r="C15996" s="12"/>
    </row>
    <row r="15997" spans="2:3">
      <c r="B15997" s="12"/>
      <c r="C15997" s="12"/>
    </row>
    <row r="15998" spans="2:3">
      <c r="B15998" s="12"/>
      <c r="C15998" s="12"/>
    </row>
    <row r="15999" spans="2:3">
      <c r="B15999" s="12"/>
      <c r="C15999" s="12"/>
    </row>
    <row r="16000" spans="2:3">
      <c r="B16000" s="12"/>
      <c r="C16000" s="12"/>
    </row>
    <row r="16001" spans="2:3">
      <c r="B16001" s="12"/>
      <c r="C16001" s="12"/>
    </row>
    <row r="16002" spans="2:3">
      <c r="B16002" s="12"/>
      <c r="C16002" s="12"/>
    </row>
    <row r="16003" spans="2:3">
      <c r="B16003" s="12"/>
      <c r="C16003" s="12"/>
    </row>
    <row r="16004" spans="2:3">
      <c r="B16004" s="12"/>
      <c r="C16004" s="12"/>
    </row>
    <row r="16005" spans="2:3">
      <c r="B16005" s="12"/>
      <c r="C16005" s="12"/>
    </row>
    <row r="16006" spans="2:3">
      <c r="B16006" s="12"/>
      <c r="C16006" s="12"/>
    </row>
    <row r="16007" spans="2:3">
      <c r="B16007" s="12"/>
      <c r="C16007" s="12"/>
    </row>
    <row r="16008" spans="2:3">
      <c r="B16008" s="12"/>
      <c r="C16008" s="12"/>
    </row>
    <row r="16009" spans="2:3">
      <c r="B16009" s="12"/>
      <c r="C16009" s="12"/>
    </row>
    <row r="16010" spans="2:3">
      <c r="B16010" s="12"/>
      <c r="C16010" s="12"/>
    </row>
    <row r="16011" spans="2:3">
      <c r="B16011" s="12"/>
      <c r="C16011" s="12"/>
    </row>
    <row r="16012" spans="2:3">
      <c r="B16012" s="12"/>
      <c r="C16012" s="12"/>
    </row>
    <row r="16013" spans="2:3">
      <c r="B16013" s="12"/>
      <c r="C16013" s="12"/>
    </row>
    <row r="16014" spans="2:3">
      <c r="B16014" s="12"/>
      <c r="C16014" s="12"/>
    </row>
    <row r="16015" spans="2:3">
      <c r="B16015" s="12"/>
      <c r="C16015" s="12"/>
    </row>
    <row r="16016" spans="2:3">
      <c r="B16016" s="12"/>
      <c r="C16016" s="12"/>
    </row>
    <row r="16017" spans="2:3">
      <c r="B16017" s="12"/>
      <c r="C16017" s="12"/>
    </row>
    <row r="16018" spans="2:3">
      <c r="B16018" s="12"/>
      <c r="C16018" s="12"/>
    </row>
    <row r="16019" spans="2:3">
      <c r="B16019" s="12"/>
      <c r="C16019" s="12"/>
    </row>
    <row r="16020" spans="2:3">
      <c r="B16020" s="12"/>
      <c r="C16020" s="12"/>
    </row>
    <row r="16021" spans="2:3">
      <c r="B16021" s="12"/>
      <c r="C16021" s="12"/>
    </row>
    <row r="16022" spans="2:3">
      <c r="B16022" s="12"/>
      <c r="C16022" s="12"/>
    </row>
    <row r="16023" spans="2:3">
      <c r="B16023" s="12"/>
      <c r="C16023" s="12"/>
    </row>
    <row r="16024" spans="2:3">
      <c r="B16024" s="12"/>
      <c r="C16024" s="12"/>
    </row>
    <row r="16025" spans="2:3">
      <c r="B16025" s="12"/>
      <c r="C16025" s="12"/>
    </row>
    <row r="16026" spans="2:3">
      <c r="B16026" s="12"/>
      <c r="C16026" s="12"/>
    </row>
    <row r="16027" spans="2:3">
      <c r="B16027" s="12"/>
      <c r="C16027" s="12"/>
    </row>
    <row r="16028" spans="2:3">
      <c r="B16028" s="12"/>
      <c r="C16028" s="12"/>
    </row>
    <row r="16029" spans="2:3">
      <c r="B16029" s="12"/>
      <c r="C16029" s="12"/>
    </row>
    <row r="16030" spans="2:3">
      <c r="B16030" s="12"/>
      <c r="C16030" s="12"/>
    </row>
    <row r="16031" spans="2:3">
      <c r="B16031" s="12"/>
      <c r="C16031" s="12"/>
    </row>
    <row r="16032" spans="2:3">
      <c r="B16032" s="12"/>
      <c r="C16032" s="12"/>
    </row>
    <row r="16033" spans="2:3">
      <c r="B16033" s="12"/>
      <c r="C16033" s="12"/>
    </row>
    <row r="16034" spans="2:3">
      <c r="B16034" s="12"/>
      <c r="C16034" s="12"/>
    </row>
    <row r="16035" spans="2:3">
      <c r="B16035" s="12"/>
      <c r="C16035" s="12"/>
    </row>
    <row r="16036" spans="2:3">
      <c r="B16036" s="12"/>
      <c r="C16036" s="12"/>
    </row>
    <row r="16037" spans="2:3">
      <c r="B16037" s="12"/>
      <c r="C16037" s="12"/>
    </row>
    <row r="16038" spans="2:3">
      <c r="B16038" s="12"/>
      <c r="C16038" s="12"/>
    </row>
    <row r="16039" spans="2:3">
      <c r="B16039" s="12"/>
      <c r="C16039" s="12"/>
    </row>
    <row r="16040" spans="2:3">
      <c r="B16040" s="12"/>
      <c r="C16040" s="12"/>
    </row>
    <row r="16041" spans="2:3">
      <c r="B16041" s="12"/>
      <c r="C16041" s="12"/>
    </row>
    <row r="16042" spans="2:3">
      <c r="B16042" s="12"/>
      <c r="C16042" s="12"/>
    </row>
    <row r="16043" spans="2:3">
      <c r="B16043" s="12"/>
      <c r="C16043" s="12"/>
    </row>
    <row r="16044" spans="2:3">
      <c r="B16044" s="12"/>
      <c r="C16044" s="12"/>
    </row>
    <row r="16045" spans="2:3">
      <c r="B16045" s="12"/>
      <c r="C16045" s="12"/>
    </row>
    <row r="16046" spans="2:3">
      <c r="B16046" s="12"/>
      <c r="C16046" s="12"/>
    </row>
    <row r="16047" spans="2:3">
      <c r="B16047" s="12"/>
      <c r="C16047" s="12"/>
    </row>
    <row r="16048" spans="2:3">
      <c r="B16048" s="12"/>
      <c r="C16048" s="12"/>
    </row>
    <row r="16049" spans="2:3">
      <c r="B16049" s="12"/>
      <c r="C16049" s="12"/>
    </row>
    <row r="16050" spans="2:3">
      <c r="B16050" s="12"/>
      <c r="C16050" s="12"/>
    </row>
    <row r="16051" spans="2:3">
      <c r="B16051" s="12"/>
      <c r="C16051" s="12"/>
    </row>
    <row r="16052" spans="2:3">
      <c r="B16052" s="12"/>
      <c r="C16052" s="12"/>
    </row>
    <row r="16053" spans="2:3">
      <c r="B16053" s="12"/>
      <c r="C16053" s="12"/>
    </row>
    <row r="16054" spans="2:3">
      <c r="B16054" s="12"/>
      <c r="C16054" s="12"/>
    </row>
    <row r="16055" spans="2:3">
      <c r="B16055" s="12"/>
      <c r="C16055" s="12"/>
    </row>
    <row r="16056" spans="2:3">
      <c r="B16056" s="12"/>
      <c r="C16056" s="12"/>
    </row>
    <row r="16057" spans="2:3">
      <c r="B16057" s="12"/>
      <c r="C16057" s="12"/>
    </row>
    <row r="16058" spans="2:3">
      <c r="B16058" s="12"/>
      <c r="C16058" s="12"/>
    </row>
    <row r="16059" spans="2:3">
      <c r="B16059" s="12"/>
      <c r="C16059" s="12"/>
    </row>
    <row r="16060" spans="2:3">
      <c r="B16060" s="12"/>
      <c r="C16060" s="12"/>
    </row>
    <row r="16061" spans="2:3">
      <c r="B16061" s="12"/>
      <c r="C16061" s="12"/>
    </row>
    <row r="16062" spans="2:3">
      <c r="B16062" s="12"/>
      <c r="C16062" s="12"/>
    </row>
    <row r="16063" spans="2:3">
      <c r="B16063" s="12"/>
      <c r="C16063" s="12"/>
    </row>
    <row r="16064" spans="2:3">
      <c r="B16064" s="12"/>
      <c r="C16064" s="12"/>
    </row>
    <row r="16065" spans="2:3">
      <c r="B16065" s="12"/>
      <c r="C16065" s="12"/>
    </row>
    <row r="16066" spans="2:3">
      <c r="B16066" s="12"/>
      <c r="C16066" s="12"/>
    </row>
    <row r="16067" spans="2:3">
      <c r="B16067" s="12"/>
      <c r="C16067" s="12"/>
    </row>
    <row r="16068" spans="2:3">
      <c r="B16068" s="12"/>
      <c r="C16068" s="12"/>
    </row>
    <row r="16069" spans="2:3">
      <c r="B16069" s="12"/>
      <c r="C16069" s="12"/>
    </row>
    <row r="16070" spans="2:3">
      <c r="B16070" s="12"/>
      <c r="C16070" s="12"/>
    </row>
    <row r="16071" spans="2:3">
      <c r="B16071" s="12"/>
      <c r="C16071" s="12"/>
    </row>
    <row r="16072" spans="2:3">
      <c r="B16072" s="12"/>
      <c r="C16072" s="12"/>
    </row>
    <row r="16073" spans="2:3">
      <c r="B16073" s="12"/>
      <c r="C16073" s="12"/>
    </row>
    <row r="16074" spans="2:3">
      <c r="B16074" s="12"/>
      <c r="C16074" s="12"/>
    </row>
    <row r="16075" spans="2:3">
      <c r="B16075" s="12"/>
      <c r="C16075" s="12"/>
    </row>
    <row r="16076" spans="2:3">
      <c r="B16076" s="12"/>
      <c r="C16076" s="12"/>
    </row>
    <row r="16077" spans="2:3">
      <c r="B16077" s="12"/>
      <c r="C16077" s="12"/>
    </row>
    <row r="16078" spans="2:3">
      <c r="B16078" s="12"/>
      <c r="C16078" s="12"/>
    </row>
    <row r="16079" spans="2:3">
      <c r="B16079" s="12"/>
      <c r="C16079" s="12"/>
    </row>
    <row r="16080" spans="2:3">
      <c r="B16080" s="12"/>
      <c r="C16080" s="12"/>
    </row>
    <row r="16081" spans="2:3">
      <c r="B16081" s="12"/>
      <c r="C16081" s="12"/>
    </row>
    <row r="16082" spans="2:3">
      <c r="B16082" s="12"/>
      <c r="C16082" s="12"/>
    </row>
    <row r="16083" spans="2:3">
      <c r="B16083" s="12"/>
      <c r="C16083" s="12"/>
    </row>
    <row r="16084" spans="2:3">
      <c r="B16084" s="12"/>
      <c r="C16084" s="12"/>
    </row>
    <row r="16085" spans="2:3">
      <c r="B16085" s="12"/>
      <c r="C16085" s="12"/>
    </row>
    <row r="16086" spans="2:3">
      <c r="B16086" s="12"/>
      <c r="C16086" s="12"/>
    </row>
    <row r="16087" spans="2:3">
      <c r="B16087" s="12"/>
      <c r="C16087" s="12"/>
    </row>
    <row r="16088" spans="2:3">
      <c r="B16088" s="12"/>
      <c r="C16088" s="12"/>
    </row>
    <row r="16089" spans="2:3">
      <c r="B16089" s="12"/>
      <c r="C16089" s="12"/>
    </row>
    <row r="16090" spans="2:3">
      <c r="B16090" s="12"/>
      <c r="C16090" s="12"/>
    </row>
    <row r="16091" spans="2:3">
      <c r="B16091" s="12"/>
      <c r="C16091" s="12"/>
    </row>
    <row r="16092" spans="2:3">
      <c r="B16092" s="12"/>
      <c r="C16092" s="12"/>
    </row>
    <row r="16093" spans="2:3">
      <c r="B16093" s="12"/>
      <c r="C16093" s="12"/>
    </row>
    <row r="16094" spans="2:3">
      <c r="B16094" s="12"/>
      <c r="C16094" s="12"/>
    </row>
    <row r="16095" spans="2:3">
      <c r="B16095" s="12"/>
      <c r="C16095" s="12"/>
    </row>
    <row r="16096" spans="2:3">
      <c r="B16096" s="12"/>
      <c r="C16096" s="12"/>
    </row>
    <row r="16097" spans="2:3">
      <c r="B16097" s="12"/>
      <c r="C16097" s="12"/>
    </row>
    <row r="16098" spans="2:3">
      <c r="B16098" s="12"/>
      <c r="C16098" s="12"/>
    </row>
    <row r="16099" spans="2:3">
      <c r="B16099" s="12"/>
      <c r="C16099" s="12"/>
    </row>
    <row r="16100" spans="2:3">
      <c r="B16100" s="12"/>
      <c r="C16100" s="12"/>
    </row>
    <row r="16101" spans="2:3">
      <c r="B16101" s="12"/>
      <c r="C16101" s="12"/>
    </row>
    <row r="16102" spans="2:3">
      <c r="B16102" s="12"/>
      <c r="C16102" s="12"/>
    </row>
    <row r="16103" spans="2:3">
      <c r="B16103" s="12"/>
      <c r="C16103" s="12"/>
    </row>
    <row r="16104" spans="2:3">
      <c r="B16104" s="12"/>
      <c r="C16104" s="12"/>
    </row>
    <row r="16105" spans="2:3">
      <c r="B16105" s="12"/>
      <c r="C16105" s="12"/>
    </row>
    <row r="16106" spans="2:3">
      <c r="B16106" s="12"/>
      <c r="C16106" s="12"/>
    </row>
    <row r="16107" spans="2:3">
      <c r="B16107" s="12"/>
      <c r="C16107" s="12"/>
    </row>
    <row r="16108" spans="2:3">
      <c r="B16108" s="12"/>
      <c r="C16108" s="12"/>
    </row>
    <row r="16109" spans="2:3">
      <c r="B16109" s="12"/>
      <c r="C16109" s="12"/>
    </row>
    <row r="16110" spans="2:3">
      <c r="B16110" s="12"/>
      <c r="C16110" s="12"/>
    </row>
    <row r="16111" spans="2:3">
      <c r="B16111" s="12"/>
      <c r="C16111" s="12"/>
    </row>
    <row r="16112" spans="2:3">
      <c r="B16112" s="12"/>
      <c r="C16112" s="12"/>
    </row>
    <row r="16113" spans="2:3">
      <c r="B16113" s="12"/>
      <c r="C16113" s="12"/>
    </row>
    <row r="16114" spans="2:3">
      <c r="B16114" s="12"/>
      <c r="C16114" s="12"/>
    </row>
    <row r="16115" spans="2:3">
      <c r="B16115" s="12"/>
      <c r="C16115" s="12"/>
    </row>
    <row r="16116" spans="2:3">
      <c r="B16116" s="12"/>
      <c r="C16116" s="12"/>
    </row>
    <row r="16117" spans="2:3">
      <c r="B16117" s="12"/>
      <c r="C16117" s="12"/>
    </row>
    <row r="16118" spans="2:3">
      <c r="B16118" s="12"/>
      <c r="C16118" s="12"/>
    </row>
    <row r="16119" spans="2:3">
      <c r="B16119" s="12"/>
      <c r="C16119" s="12"/>
    </row>
    <row r="16120" spans="2:3">
      <c r="B16120" s="12"/>
      <c r="C16120" s="12"/>
    </row>
    <row r="16121" spans="2:3">
      <c r="B16121" s="12"/>
      <c r="C16121" s="12"/>
    </row>
    <row r="16122" spans="2:3">
      <c r="B16122" s="12"/>
      <c r="C16122" s="12"/>
    </row>
    <row r="16123" spans="2:3">
      <c r="B16123" s="12"/>
      <c r="C16123" s="12"/>
    </row>
    <row r="16124" spans="2:3">
      <c r="B16124" s="12"/>
      <c r="C16124" s="12"/>
    </row>
    <row r="16125" spans="2:3">
      <c r="B16125" s="12"/>
      <c r="C16125" s="12"/>
    </row>
    <row r="16126" spans="2:3">
      <c r="B16126" s="12"/>
      <c r="C16126" s="12"/>
    </row>
    <row r="16127" spans="2:3">
      <c r="B16127" s="12"/>
      <c r="C16127" s="12"/>
    </row>
    <row r="16128" spans="2:3">
      <c r="B16128" s="12"/>
      <c r="C16128" s="12"/>
    </row>
    <row r="16129" spans="2:3">
      <c r="B16129" s="12"/>
      <c r="C16129" s="12"/>
    </row>
    <row r="16130" spans="2:3">
      <c r="B16130" s="12"/>
      <c r="C16130" s="12"/>
    </row>
    <row r="16131" spans="2:3">
      <c r="B16131" s="12"/>
      <c r="C16131" s="12"/>
    </row>
    <row r="16132" spans="2:3">
      <c r="B16132" s="12"/>
      <c r="C16132" s="12"/>
    </row>
    <row r="16133" spans="2:3">
      <c r="B16133" s="12"/>
      <c r="C16133" s="12"/>
    </row>
    <row r="16134" spans="2:3">
      <c r="B16134" s="12"/>
      <c r="C16134" s="12"/>
    </row>
    <row r="16135" spans="2:3">
      <c r="B16135" s="12"/>
      <c r="C16135" s="12"/>
    </row>
    <row r="16136" spans="2:3">
      <c r="B16136" s="12"/>
      <c r="C16136" s="12"/>
    </row>
    <row r="16137" spans="2:3">
      <c r="B16137" s="12"/>
      <c r="C16137" s="12"/>
    </row>
    <row r="16138" spans="2:3">
      <c r="B16138" s="12"/>
      <c r="C16138" s="12"/>
    </row>
    <row r="16139" spans="2:3">
      <c r="B16139" s="12"/>
      <c r="C16139" s="12"/>
    </row>
    <row r="16140" spans="2:3">
      <c r="B16140" s="12"/>
      <c r="C16140" s="12"/>
    </row>
    <row r="16141" spans="2:3">
      <c r="B16141" s="12"/>
      <c r="C16141" s="12"/>
    </row>
    <row r="16142" spans="2:3">
      <c r="B16142" s="12"/>
      <c r="C16142" s="12"/>
    </row>
    <row r="16143" spans="2:3">
      <c r="B16143" s="12"/>
      <c r="C16143" s="12"/>
    </row>
    <row r="16144" spans="2:3">
      <c r="B16144" s="12"/>
      <c r="C16144" s="12"/>
    </row>
    <row r="16145" spans="2:3">
      <c r="B16145" s="12"/>
      <c r="C16145" s="12"/>
    </row>
    <row r="16146" spans="2:3">
      <c r="B16146" s="12"/>
      <c r="C16146" s="12"/>
    </row>
    <row r="16147" spans="2:3">
      <c r="B16147" s="12"/>
      <c r="C16147" s="12"/>
    </row>
    <row r="16148" spans="2:3">
      <c r="B16148" s="12"/>
      <c r="C16148" s="12"/>
    </row>
    <row r="16149" spans="2:3">
      <c r="B16149" s="12"/>
      <c r="C16149" s="12"/>
    </row>
    <row r="16150" spans="2:3">
      <c r="B16150" s="12"/>
      <c r="C16150" s="12"/>
    </row>
    <row r="16151" spans="2:3">
      <c r="B16151" s="12"/>
      <c r="C16151" s="12"/>
    </row>
    <row r="16152" spans="2:3">
      <c r="B16152" s="12"/>
      <c r="C16152" s="12"/>
    </row>
    <row r="16153" spans="2:3">
      <c r="B16153" s="12"/>
      <c r="C16153" s="12"/>
    </row>
    <row r="16154" spans="2:3">
      <c r="B16154" s="12"/>
      <c r="C16154" s="12"/>
    </row>
    <row r="16155" spans="2:3">
      <c r="B16155" s="12"/>
      <c r="C16155" s="12"/>
    </row>
    <row r="16156" spans="2:3">
      <c r="B16156" s="12"/>
      <c r="C16156" s="12"/>
    </row>
    <row r="16157" spans="2:3">
      <c r="B16157" s="12"/>
      <c r="C16157" s="12"/>
    </row>
    <row r="16158" spans="2:3">
      <c r="B16158" s="12"/>
      <c r="C16158" s="12"/>
    </row>
    <row r="16159" spans="2:3">
      <c r="B16159" s="12"/>
      <c r="C16159" s="12"/>
    </row>
    <row r="16160" spans="2:3">
      <c r="B16160" s="12"/>
      <c r="C16160" s="12"/>
    </row>
    <row r="16161" spans="2:3">
      <c r="B16161" s="12"/>
      <c r="C16161" s="12"/>
    </row>
    <row r="16162" spans="2:3">
      <c r="B16162" s="12"/>
      <c r="C16162" s="12"/>
    </row>
    <row r="16163" spans="2:3">
      <c r="B16163" s="12"/>
      <c r="C16163" s="12"/>
    </row>
    <row r="16164" spans="2:3">
      <c r="B16164" s="12"/>
      <c r="C16164" s="12"/>
    </row>
    <row r="16165" spans="2:3">
      <c r="B16165" s="12"/>
      <c r="C16165" s="12"/>
    </row>
    <row r="16166" spans="2:3">
      <c r="B16166" s="12"/>
      <c r="C16166" s="12"/>
    </row>
    <row r="16167" spans="2:3">
      <c r="B16167" s="12"/>
      <c r="C16167" s="12"/>
    </row>
    <row r="16168" spans="2:3">
      <c r="B16168" s="12"/>
      <c r="C16168" s="12"/>
    </row>
    <row r="16169" spans="2:3">
      <c r="B16169" s="12"/>
      <c r="C16169" s="12"/>
    </row>
    <row r="16170" spans="2:3">
      <c r="B16170" s="12"/>
      <c r="C16170" s="12"/>
    </row>
    <row r="16171" spans="2:3">
      <c r="B16171" s="12"/>
      <c r="C16171" s="12"/>
    </row>
    <row r="16172" spans="2:3">
      <c r="B16172" s="12"/>
      <c r="C16172" s="12"/>
    </row>
    <row r="16173" spans="2:3">
      <c r="B16173" s="12"/>
      <c r="C16173" s="12"/>
    </row>
    <row r="16174" spans="2:3">
      <c r="B16174" s="12"/>
      <c r="C16174" s="12"/>
    </row>
    <row r="16175" spans="2:3">
      <c r="B16175" s="12"/>
      <c r="C16175" s="12"/>
    </row>
    <row r="16176" spans="2:3">
      <c r="B16176" s="12"/>
      <c r="C16176" s="12"/>
    </row>
    <row r="16177" spans="2:3">
      <c r="B16177" s="12"/>
      <c r="C16177" s="12"/>
    </row>
    <row r="16178" spans="2:3">
      <c r="B16178" s="12"/>
      <c r="C16178" s="12"/>
    </row>
    <row r="16179" spans="2:3">
      <c r="B16179" s="12"/>
      <c r="C16179" s="12"/>
    </row>
    <row r="16180" spans="2:3">
      <c r="B16180" s="12"/>
      <c r="C16180" s="12"/>
    </row>
    <row r="16181" spans="2:3">
      <c r="B16181" s="12"/>
      <c r="C16181" s="12"/>
    </row>
    <row r="16182" spans="2:3">
      <c r="B16182" s="12"/>
      <c r="C16182" s="12"/>
    </row>
    <row r="16183" spans="2:3">
      <c r="B16183" s="12"/>
      <c r="C16183" s="12"/>
    </row>
    <row r="16184" spans="2:3">
      <c r="B16184" s="12"/>
      <c r="C16184" s="12"/>
    </row>
    <row r="16185" spans="2:3">
      <c r="B16185" s="12"/>
      <c r="C16185" s="12"/>
    </row>
    <row r="16186" spans="2:3">
      <c r="B16186" s="12"/>
      <c r="C16186" s="12"/>
    </row>
    <row r="16187" spans="2:3">
      <c r="B16187" s="12"/>
      <c r="C16187" s="12"/>
    </row>
    <row r="16188" spans="2:3">
      <c r="B16188" s="12"/>
      <c r="C16188" s="12"/>
    </row>
    <row r="16189" spans="2:3">
      <c r="B16189" s="12"/>
      <c r="C16189" s="12"/>
    </row>
    <row r="16190" spans="2:3">
      <c r="B16190" s="12"/>
      <c r="C16190" s="12"/>
    </row>
    <row r="16191" spans="2:3">
      <c r="B16191" s="12"/>
      <c r="C16191" s="12"/>
    </row>
    <row r="16192" spans="2:3">
      <c r="B16192" s="12"/>
      <c r="C16192" s="12"/>
    </row>
    <row r="16193" spans="2:3">
      <c r="B16193" s="12"/>
      <c r="C16193" s="12"/>
    </row>
    <row r="16194" spans="2:3">
      <c r="B16194" s="12"/>
      <c r="C16194" s="12"/>
    </row>
    <row r="16195" spans="2:3">
      <c r="B16195" s="12"/>
      <c r="C16195" s="12"/>
    </row>
    <row r="16196" spans="2:3">
      <c r="B16196" s="12"/>
      <c r="C16196" s="12"/>
    </row>
    <row r="16197" spans="2:3">
      <c r="B16197" s="12"/>
      <c r="C16197" s="12"/>
    </row>
    <row r="16198" spans="2:3">
      <c r="B16198" s="12"/>
      <c r="C16198" s="12"/>
    </row>
    <row r="16199" spans="2:3">
      <c r="B16199" s="12"/>
      <c r="C16199" s="12"/>
    </row>
    <row r="16200" spans="2:3">
      <c r="B16200" s="12"/>
      <c r="C16200" s="12"/>
    </row>
    <row r="16201" spans="2:3">
      <c r="B16201" s="12"/>
      <c r="C16201" s="12"/>
    </row>
    <row r="16202" spans="2:3">
      <c r="B16202" s="12"/>
      <c r="C16202" s="12"/>
    </row>
    <row r="16203" spans="2:3">
      <c r="B16203" s="12"/>
      <c r="C16203" s="12"/>
    </row>
    <row r="16204" spans="2:3">
      <c r="B16204" s="12"/>
      <c r="C16204" s="12"/>
    </row>
    <row r="16205" spans="2:3">
      <c r="B16205" s="12"/>
      <c r="C16205" s="12"/>
    </row>
    <row r="16206" spans="2:3">
      <c r="B16206" s="12"/>
      <c r="C16206" s="12"/>
    </row>
    <row r="16207" spans="2:3">
      <c r="B16207" s="12"/>
      <c r="C16207" s="12"/>
    </row>
    <row r="16208" spans="2:3">
      <c r="B16208" s="12"/>
      <c r="C16208" s="12"/>
    </row>
    <row r="16209" spans="2:3">
      <c r="B16209" s="12"/>
      <c r="C16209" s="12"/>
    </row>
    <row r="16210" spans="2:3">
      <c r="B16210" s="12"/>
      <c r="C16210" s="12"/>
    </row>
    <row r="16211" spans="2:3">
      <c r="B16211" s="12"/>
      <c r="C16211" s="12"/>
    </row>
    <row r="16212" spans="2:3">
      <c r="B16212" s="12"/>
      <c r="C16212" s="12"/>
    </row>
    <row r="16213" spans="2:3">
      <c r="B16213" s="12"/>
      <c r="C16213" s="12"/>
    </row>
    <row r="16214" spans="2:3">
      <c r="B16214" s="12"/>
      <c r="C16214" s="12"/>
    </row>
    <row r="16215" spans="2:3">
      <c r="B16215" s="12"/>
      <c r="C16215" s="12"/>
    </row>
    <row r="16216" spans="2:3">
      <c r="B16216" s="12"/>
      <c r="C16216" s="12"/>
    </row>
    <row r="16217" spans="2:3">
      <c r="B16217" s="12"/>
      <c r="C16217" s="12"/>
    </row>
    <row r="16218" spans="2:3">
      <c r="B16218" s="12"/>
      <c r="C16218" s="12"/>
    </row>
    <row r="16219" spans="2:3">
      <c r="B16219" s="12"/>
      <c r="C16219" s="12"/>
    </row>
    <row r="16220" spans="2:3">
      <c r="B16220" s="12"/>
      <c r="C16220" s="12"/>
    </row>
    <row r="16221" spans="2:3">
      <c r="B16221" s="12"/>
      <c r="C16221" s="12"/>
    </row>
    <row r="16222" spans="2:3">
      <c r="B16222" s="12"/>
      <c r="C16222" s="12"/>
    </row>
    <row r="16223" spans="2:3">
      <c r="B16223" s="12"/>
      <c r="C16223" s="12"/>
    </row>
    <row r="16224" spans="2:3">
      <c r="B16224" s="12"/>
      <c r="C16224" s="12"/>
    </row>
    <row r="16225" spans="2:3">
      <c r="B16225" s="12"/>
      <c r="C16225" s="12"/>
    </row>
    <row r="16226" spans="2:3">
      <c r="B16226" s="12"/>
      <c r="C16226" s="12"/>
    </row>
    <row r="16227" spans="2:3">
      <c r="B16227" s="12"/>
      <c r="C16227" s="12"/>
    </row>
    <row r="16228" spans="2:3">
      <c r="B16228" s="12"/>
      <c r="C16228" s="12"/>
    </row>
    <row r="16229" spans="2:3">
      <c r="B16229" s="12"/>
      <c r="C16229" s="12"/>
    </row>
    <row r="16230" spans="2:3">
      <c r="B16230" s="12"/>
      <c r="C16230" s="12"/>
    </row>
    <row r="16231" spans="2:3">
      <c r="B16231" s="12"/>
      <c r="C16231" s="12"/>
    </row>
    <row r="16232" spans="2:3">
      <c r="B16232" s="12"/>
      <c r="C16232" s="12"/>
    </row>
    <row r="16233" spans="2:3">
      <c r="B16233" s="12"/>
      <c r="C16233" s="12"/>
    </row>
    <row r="16234" spans="2:3">
      <c r="B16234" s="12"/>
      <c r="C16234" s="12"/>
    </row>
    <row r="16235" spans="2:3">
      <c r="B16235" s="12"/>
      <c r="C16235" s="12"/>
    </row>
    <row r="16236" spans="2:3">
      <c r="B16236" s="12"/>
      <c r="C16236" s="12"/>
    </row>
    <row r="16237" spans="2:3">
      <c r="B16237" s="12"/>
      <c r="C16237" s="12"/>
    </row>
    <row r="16238" spans="2:3">
      <c r="B16238" s="12"/>
      <c r="C16238" s="12"/>
    </row>
    <row r="16239" spans="2:3">
      <c r="B16239" s="12"/>
      <c r="C16239" s="12"/>
    </row>
    <row r="16240" spans="2:3">
      <c r="B16240" s="12"/>
      <c r="C16240" s="12"/>
    </row>
    <row r="16241" spans="2:3">
      <c r="B16241" s="12"/>
      <c r="C16241" s="12"/>
    </row>
    <row r="16242" spans="2:3">
      <c r="B16242" s="12"/>
      <c r="C16242" s="12"/>
    </row>
    <row r="16243" spans="2:3">
      <c r="B16243" s="12"/>
      <c r="C16243" s="12"/>
    </row>
    <row r="16244" spans="2:3">
      <c r="B16244" s="12"/>
      <c r="C16244" s="12"/>
    </row>
    <row r="16245" spans="2:3">
      <c r="B16245" s="12"/>
      <c r="C16245" s="12"/>
    </row>
    <row r="16246" spans="2:3">
      <c r="B16246" s="12"/>
      <c r="C16246" s="12"/>
    </row>
    <row r="16247" spans="2:3">
      <c r="B16247" s="12"/>
      <c r="C16247" s="12"/>
    </row>
    <row r="16248" spans="2:3">
      <c r="B16248" s="12"/>
      <c r="C16248" s="12"/>
    </row>
    <row r="16249" spans="2:3">
      <c r="B16249" s="12"/>
      <c r="C16249" s="12"/>
    </row>
    <row r="16250" spans="2:3">
      <c r="B16250" s="12"/>
      <c r="C16250" s="12"/>
    </row>
    <row r="16251" spans="2:3">
      <c r="B16251" s="12"/>
      <c r="C16251" s="12"/>
    </row>
    <row r="16252" spans="2:3">
      <c r="B16252" s="12"/>
      <c r="C16252" s="12"/>
    </row>
    <row r="16253" spans="2:3">
      <c r="B16253" s="12"/>
      <c r="C16253" s="12"/>
    </row>
    <row r="16254" spans="2:3">
      <c r="B16254" s="12"/>
      <c r="C16254" s="12"/>
    </row>
    <row r="16255" spans="2:3">
      <c r="B16255" s="12"/>
      <c r="C16255" s="12"/>
    </row>
    <row r="16256" spans="2:3">
      <c r="B16256" s="12"/>
      <c r="C16256" s="12"/>
    </row>
    <row r="16257" spans="2:3">
      <c r="B16257" s="12"/>
      <c r="C16257" s="12"/>
    </row>
    <row r="16258" spans="2:3">
      <c r="B16258" s="12"/>
      <c r="C16258" s="12"/>
    </row>
    <row r="16259" spans="2:3">
      <c r="B16259" s="12"/>
      <c r="C16259" s="12"/>
    </row>
    <row r="16260" spans="2:3">
      <c r="B16260" s="12"/>
      <c r="C16260" s="12"/>
    </row>
    <row r="16261" spans="2:3">
      <c r="B16261" s="12"/>
      <c r="C16261" s="12"/>
    </row>
    <row r="16262" spans="2:3">
      <c r="B16262" s="12"/>
      <c r="C16262" s="12"/>
    </row>
    <row r="16263" spans="2:3">
      <c r="B16263" s="12"/>
      <c r="C16263" s="12"/>
    </row>
    <row r="16264" spans="2:3">
      <c r="B16264" s="12"/>
      <c r="C16264" s="12"/>
    </row>
    <row r="16265" spans="2:3">
      <c r="B16265" s="12"/>
      <c r="C16265" s="12"/>
    </row>
    <row r="16266" spans="2:3">
      <c r="B16266" s="12"/>
      <c r="C16266" s="12"/>
    </row>
    <row r="16267" spans="2:3">
      <c r="B16267" s="12"/>
      <c r="C16267" s="12"/>
    </row>
    <row r="16268" spans="2:3">
      <c r="B16268" s="12"/>
      <c r="C16268" s="12"/>
    </row>
    <row r="16269" spans="2:3">
      <c r="B16269" s="12"/>
      <c r="C16269" s="12"/>
    </row>
    <row r="16270" spans="2:3">
      <c r="B16270" s="12"/>
      <c r="C16270" s="12"/>
    </row>
    <row r="16271" spans="2:3">
      <c r="B16271" s="12"/>
      <c r="C16271" s="12"/>
    </row>
    <row r="16272" spans="2:3">
      <c r="B16272" s="12"/>
      <c r="C16272" s="12"/>
    </row>
    <row r="16273" spans="2:3">
      <c r="B16273" s="12"/>
      <c r="C16273" s="12"/>
    </row>
    <row r="16274" spans="2:3">
      <c r="B16274" s="12"/>
      <c r="C16274" s="12"/>
    </row>
    <row r="16275" spans="2:3">
      <c r="B16275" s="12"/>
      <c r="C16275" s="12"/>
    </row>
    <row r="16276" spans="2:3">
      <c r="B16276" s="12"/>
      <c r="C16276" s="12"/>
    </row>
    <row r="16277" spans="2:3">
      <c r="B16277" s="12"/>
      <c r="C16277" s="12"/>
    </row>
    <row r="16278" spans="2:3">
      <c r="B16278" s="12"/>
      <c r="C16278" s="12"/>
    </row>
    <row r="16279" spans="2:3">
      <c r="B16279" s="12"/>
      <c r="C16279" s="12"/>
    </row>
    <row r="16280" spans="2:3">
      <c r="B16280" s="12"/>
      <c r="C16280" s="12"/>
    </row>
    <row r="16281" spans="2:3">
      <c r="B16281" s="12"/>
      <c r="C16281" s="12"/>
    </row>
    <row r="16282" spans="2:3">
      <c r="B16282" s="12"/>
      <c r="C16282" s="12"/>
    </row>
    <row r="16283" spans="2:3">
      <c r="B16283" s="12"/>
      <c r="C16283" s="12"/>
    </row>
    <row r="16284" spans="2:3">
      <c r="B16284" s="12"/>
      <c r="C16284" s="12"/>
    </row>
    <row r="16285" spans="2:3">
      <c r="B16285" s="12"/>
      <c r="C16285" s="12"/>
    </row>
    <row r="16286" spans="2:3">
      <c r="B16286" s="12"/>
      <c r="C16286" s="12"/>
    </row>
    <row r="16287" spans="2:3">
      <c r="B16287" s="12"/>
      <c r="C16287" s="12"/>
    </row>
    <row r="16288" spans="2:3">
      <c r="B16288" s="12"/>
      <c r="C16288" s="12"/>
    </row>
    <row r="16289" spans="2:3">
      <c r="B16289" s="12"/>
      <c r="C16289" s="12"/>
    </row>
    <row r="16290" spans="2:3">
      <c r="B16290" s="12"/>
      <c r="C16290" s="12"/>
    </row>
    <row r="16291" spans="2:3">
      <c r="B16291" s="12"/>
      <c r="C16291" s="12"/>
    </row>
    <row r="16292" spans="2:3">
      <c r="B16292" s="12"/>
      <c r="C16292" s="12"/>
    </row>
    <row r="16293" spans="2:3">
      <c r="B16293" s="12"/>
      <c r="C16293" s="12"/>
    </row>
    <row r="16294" spans="2:3">
      <c r="B16294" s="12"/>
      <c r="C16294" s="12"/>
    </row>
    <row r="16295" spans="2:3">
      <c r="B16295" s="12"/>
      <c r="C16295" s="12"/>
    </row>
    <row r="16296" spans="2:3">
      <c r="B16296" s="12"/>
      <c r="C16296" s="12"/>
    </row>
    <row r="16297" spans="2:3">
      <c r="B16297" s="12"/>
      <c r="C16297" s="12"/>
    </row>
    <row r="16298" spans="2:3">
      <c r="B16298" s="12"/>
      <c r="C16298" s="12"/>
    </row>
    <row r="16299" spans="2:3">
      <c r="B16299" s="12"/>
      <c r="C16299" s="12"/>
    </row>
    <row r="16300" spans="2:3">
      <c r="B16300" s="12"/>
      <c r="C16300" s="12"/>
    </row>
    <row r="16301" spans="2:3">
      <c r="B16301" s="12"/>
      <c r="C16301" s="12"/>
    </row>
    <row r="16302" spans="2:3">
      <c r="B16302" s="12"/>
      <c r="C16302" s="12"/>
    </row>
    <row r="16303" spans="2:3">
      <c r="B16303" s="12"/>
      <c r="C16303" s="12"/>
    </row>
    <row r="16304" spans="2:3">
      <c r="B16304" s="12"/>
      <c r="C16304" s="12"/>
    </row>
    <row r="16305" spans="2:3">
      <c r="B16305" s="12"/>
      <c r="C16305" s="12"/>
    </row>
    <row r="16306" spans="2:3">
      <c r="B16306" s="12"/>
      <c r="C16306" s="12"/>
    </row>
    <row r="16307" spans="2:3">
      <c r="B16307" s="12"/>
      <c r="C16307" s="12"/>
    </row>
    <row r="16308" spans="2:3">
      <c r="B16308" s="12"/>
      <c r="C16308" s="12"/>
    </row>
    <row r="16309" spans="2:3">
      <c r="B16309" s="12"/>
      <c r="C16309" s="12"/>
    </row>
    <row r="16310" spans="2:3">
      <c r="B16310" s="12"/>
      <c r="C16310" s="12"/>
    </row>
    <row r="16311" spans="2:3">
      <c r="B16311" s="12"/>
      <c r="C16311" s="12"/>
    </row>
    <row r="16312" spans="2:3">
      <c r="B16312" s="12"/>
      <c r="C16312" s="12"/>
    </row>
    <row r="16313" spans="2:3">
      <c r="B16313" s="12"/>
      <c r="C16313" s="12"/>
    </row>
    <row r="16314" spans="2:3">
      <c r="B16314" s="12"/>
      <c r="C16314" s="12"/>
    </row>
    <row r="16315" spans="2:3">
      <c r="B16315" s="12"/>
      <c r="C16315" s="12"/>
    </row>
    <row r="16316" spans="2:3">
      <c r="B16316" s="12"/>
      <c r="C16316" s="12"/>
    </row>
    <row r="16317" spans="2:3">
      <c r="B16317" s="12"/>
      <c r="C16317" s="12"/>
    </row>
    <row r="16318" spans="2:3">
      <c r="B16318" s="12"/>
      <c r="C16318" s="12"/>
    </row>
    <row r="16319" spans="2:3">
      <c r="B16319" s="12"/>
      <c r="C16319" s="12"/>
    </row>
    <row r="16320" spans="2:3">
      <c r="B16320" s="12"/>
      <c r="C16320" s="12"/>
    </row>
    <row r="16321" spans="2:3">
      <c r="B16321" s="12"/>
      <c r="C16321" s="12"/>
    </row>
    <row r="16322" spans="2:3">
      <c r="B16322" s="12"/>
      <c r="C16322" s="12"/>
    </row>
    <row r="16323" spans="2:3">
      <c r="B16323" s="12"/>
      <c r="C16323" s="12"/>
    </row>
    <row r="16324" spans="2:3">
      <c r="B16324" s="12"/>
      <c r="C16324" s="12"/>
    </row>
    <row r="16325" spans="2:3">
      <c r="B16325" s="12"/>
      <c r="C16325" s="12"/>
    </row>
    <row r="16326" spans="2:3">
      <c r="B16326" s="12"/>
      <c r="C16326" s="12"/>
    </row>
    <row r="16327" spans="2:3">
      <c r="B16327" s="12"/>
      <c r="C16327" s="12"/>
    </row>
    <row r="16328" spans="2:3">
      <c r="B16328" s="12"/>
      <c r="C16328" s="12"/>
    </row>
    <row r="16329" spans="2:3">
      <c r="B16329" s="12"/>
      <c r="C16329" s="12"/>
    </row>
    <row r="16330" spans="2:3">
      <c r="B16330" s="12"/>
      <c r="C16330" s="12"/>
    </row>
    <row r="16331" spans="2:3">
      <c r="B16331" s="12"/>
      <c r="C16331" s="12"/>
    </row>
    <row r="16332" spans="2:3">
      <c r="B16332" s="12"/>
      <c r="C16332" s="12"/>
    </row>
    <row r="16333" spans="2:3">
      <c r="B16333" s="12"/>
      <c r="C16333" s="12"/>
    </row>
    <row r="16334" spans="2:3">
      <c r="B16334" s="12"/>
      <c r="C16334" s="12"/>
    </row>
    <row r="16335" spans="2:3">
      <c r="B16335" s="12"/>
      <c r="C16335" s="12"/>
    </row>
    <row r="16336" spans="2:3">
      <c r="B16336" s="12"/>
      <c r="C16336" s="12"/>
    </row>
    <row r="16337" spans="2:3">
      <c r="B16337" s="12"/>
      <c r="C16337" s="12"/>
    </row>
    <row r="16338" spans="2:3">
      <c r="B16338" s="12"/>
      <c r="C16338" s="12"/>
    </row>
    <row r="16339" spans="2:3">
      <c r="B16339" s="12"/>
      <c r="C16339" s="12"/>
    </row>
    <row r="16340" spans="2:3">
      <c r="B16340" s="12"/>
      <c r="C16340" s="12"/>
    </row>
    <row r="16341" spans="2:3">
      <c r="B16341" s="12"/>
      <c r="C16341" s="12"/>
    </row>
    <row r="16342" spans="2:3">
      <c r="B16342" s="12"/>
      <c r="C16342" s="12"/>
    </row>
    <row r="16343" spans="2:3">
      <c r="B16343" s="12"/>
      <c r="C16343" s="12"/>
    </row>
    <row r="16344" spans="2:3">
      <c r="B16344" s="12"/>
      <c r="C16344" s="12"/>
    </row>
    <row r="16345" spans="2:3">
      <c r="B16345" s="12"/>
      <c r="C16345" s="12"/>
    </row>
    <row r="16346" spans="2:3">
      <c r="B16346" s="12"/>
      <c r="C16346" s="12"/>
    </row>
    <row r="16347" spans="2:3">
      <c r="B16347" s="12"/>
      <c r="C16347" s="12"/>
    </row>
    <row r="16348" spans="2:3">
      <c r="B16348" s="12"/>
      <c r="C16348" s="12"/>
    </row>
    <row r="16349" spans="2:3">
      <c r="B16349" s="12"/>
      <c r="C16349" s="12"/>
    </row>
    <row r="16350" spans="2:3">
      <c r="B16350" s="12"/>
      <c r="C16350" s="12"/>
    </row>
    <row r="16351" spans="2:3">
      <c r="B16351" s="12"/>
      <c r="C16351" s="12"/>
    </row>
    <row r="16352" spans="2:3">
      <c r="B16352" s="12"/>
      <c r="C16352" s="12"/>
    </row>
    <row r="16353" spans="2:3">
      <c r="B16353" s="12"/>
      <c r="C16353" s="12"/>
    </row>
    <row r="16354" spans="2:3">
      <c r="B16354" s="12"/>
      <c r="C16354" s="12"/>
    </row>
    <row r="16355" spans="2:3">
      <c r="B16355" s="12"/>
      <c r="C16355" s="12"/>
    </row>
    <row r="16356" spans="2:3">
      <c r="B16356" s="12"/>
      <c r="C16356" s="12"/>
    </row>
    <row r="16357" spans="2:3">
      <c r="B16357" s="12"/>
      <c r="C16357" s="12"/>
    </row>
    <row r="16358" spans="2:3">
      <c r="B16358" s="12"/>
      <c r="C16358" s="12"/>
    </row>
    <row r="16359" spans="2:3">
      <c r="B16359" s="12"/>
      <c r="C16359" s="12"/>
    </row>
    <row r="16360" spans="2:3">
      <c r="B16360" s="12"/>
      <c r="C16360" s="12"/>
    </row>
    <row r="16361" spans="2:3">
      <c r="B16361" s="12"/>
      <c r="C16361" s="12"/>
    </row>
    <row r="16362" spans="2:3">
      <c r="B16362" s="12"/>
      <c r="C16362" s="12"/>
    </row>
    <row r="16363" spans="2:3">
      <c r="B16363" s="12"/>
      <c r="C16363" s="12"/>
    </row>
    <row r="16364" spans="2:3">
      <c r="B16364" s="12"/>
      <c r="C16364" s="12"/>
    </row>
    <row r="16365" spans="2:3">
      <c r="B16365" s="12"/>
      <c r="C16365" s="12"/>
    </row>
    <row r="16366" spans="2:3">
      <c r="B16366" s="12"/>
      <c r="C16366" s="12"/>
    </row>
    <row r="16367" spans="2:3">
      <c r="B16367" s="12"/>
      <c r="C16367" s="12"/>
    </row>
    <row r="16368" spans="2:3">
      <c r="B16368" s="12"/>
      <c r="C16368" s="12"/>
    </row>
    <row r="16369" spans="2:3">
      <c r="B16369" s="12"/>
      <c r="C16369" s="12"/>
    </row>
    <row r="16370" spans="2:3">
      <c r="B16370" s="12"/>
      <c r="C16370" s="12"/>
    </row>
    <row r="16371" spans="2:3">
      <c r="B16371" s="12"/>
      <c r="C16371" s="12"/>
    </row>
    <row r="16372" spans="2:3">
      <c r="B16372" s="12"/>
      <c r="C16372" s="12"/>
    </row>
    <row r="16373" spans="2:3">
      <c r="B16373" s="12"/>
      <c r="C16373" s="12"/>
    </row>
    <row r="16374" spans="2:3">
      <c r="B16374" s="12"/>
      <c r="C16374" s="12"/>
    </row>
    <row r="16375" spans="2:3">
      <c r="B16375" s="12"/>
      <c r="C16375" s="12"/>
    </row>
    <row r="16376" spans="2:3">
      <c r="B16376" s="12"/>
      <c r="C16376" s="12"/>
    </row>
    <row r="16377" spans="2:3">
      <c r="B16377" s="12"/>
      <c r="C16377" s="12"/>
    </row>
    <row r="16378" spans="2:3">
      <c r="B16378" s="12"/>
      <c r="C16378" s="12"/>
    </row>
    <row r="16379" spans="2:3">
      <c r="B16379" s="12"/>
      <c r="C16379" s="12"/>
    </row>
    <row r="16380" spans="2:3">
      <c r="B16380" s="12"/>
      <c r="C16380" s="12"/>
    </row>
    <row r="16381" spans="2:3">
      <c r="B16381" s="12"/>
      <c r="C16381" s="12"/>
    </row>
    <row r="16382" spans="2:3">
      <c r="B16382" s="12"/>
      <c r="C16382" s="12"/>
    </row>
    <row r="16383" spans="2:3">
      <c r="B16383" s="12"/>
      <c r="C16383" s="12"/>
    </row>
    <row r="16384" spans="2:3">
      <c r="B16384" s="12"/>
      <c r="C16384" s="12"/>
    </row>
    <row r="16385" spans="2:3">
      <c r="B16385" s="12"/>
      <c r="C16385" s="12"/>
    </row>
    <row r="16386" spans="2:3">
      <c r="B16386" s="12"/>
      <c r="C16386" s="12"/>
    </row>
    <row r="16387" spans="2:3">
      <c r="B16387" s="12"/>
      <c r="C16387" s="12"/>
    </row>
    <row r="16388" spans="2:3">
      <c r="B16388" s="12"/>
      <c r="C16388" s="12"/>
    </row>
    <row r="16389" spans="2:3">
      <c r="B16389" s="12"/>
      <c r="C16389" s="12"/>
    </row>
    <row r="16390" spans="2:3">
      <c r="B16390" s="12"/>
      <c r="C16390" s="12"/>
    </row>
    <row r="16391" spans="2:3">
      <c r="B16391" s="12"/>
      <c r="C16391" s="12"/>
    </row>
    <row r="16392" spans="2:3">
      <c r="B16392" s="12"/>
      <c r="C16392" s="12"/>
    </row>
    <row r="16393" spans="2:3">
      <c r="B16393" s="12"/>
      <c r="C16393" s="12"/>
    </row>
    <row r="16394" spans="2:3">
      <c r="B16394" s="12"/>
      <c r="C16394" s="12"/>
    </row>
    <row r="16395" spans="2:3">
      <c r="B16395" s="12"/>
      <c r="C16395" s="12"/>
    </row>
    <row r="16396" spans="2:3">
      <c r="B16396" s="12"/>
      <c r="C16396" s="12"/>
    </row>
    <row r="16397" spans="2:3">
      <c r="B16397" s="12"/>
      <c r="C16397" s="12"/>
    </row>
    <row r="16398" spans="2:3">
      <c r="B16398" s="12"/>
      <c r="C16398" s="12"/>
    </row>
    <row r="16399" spans="2:3">
      <c r="B16399" s="12"/>
      <c r="C16399" s="12"/>
    </row>
    <row r="16400" spans="2:3">
      <c r="B16400" s="12"/>
      <c r="C16400" s="12"/>
    </row>
    <row r="16401" spans="2:3">
      <c r="B16401" s="12"/>
      <c r="C16401" s="12"/>
    </row>
    <row r="16402" spans="2:3">
      <c r="B16402" s="12"/>
      <c r="C16402" s="12"/>
    </row>
    <row r="16403" spans="2:3">
      <c r="B16403" s="12"/>
      <c r="C16403" s="12"/>
    </row>
    <row r="16404" spans="2:3">
      <c r="B16404" s="12"/>
      <c r="C16404" s="12"/>
    </row>
    <row r="16405" spans="2:3">
      <c r="B16405" s="12"/>
      <c r="C16405" s="12"/>
    </row>
    <row r="16406" spans="2:3">
      <c r="B16406" s="12"/>
      <c r="C16406" s="12"/>
    </row>
    <row r="16407" spans="2:3">
      <c r="B16407" s="12"/>
      <c r="C16407" s="12"/>
    </row>
    <row r="16408" spans="2:3">
      <c r="B16408" s="12"/>
      <c r="C16408" s="12"/>
    </row>
    <row r="16409" spans="2:3">
      <c r="B16409" s="12"/>
      <c r="C16409" s="12"/>
    </row>
    <row r="16410" spans="2:3">
      <c r="B16410" s="12"/>
      <c r="C16410" s="12"/>
    </row>
    <row r="16411" spans="2:3">
      <c r="B16411" s="12"/>
      <c r="C16411" s="12"/>
    </row>
    <row r="16412" spans="2:3">
      <c r="B16412" s="12"/>
      <c r="C16412" s="12"/>
    </row>
    <row r="16413" spans="2:3">
      <c r="B16413" s="12"/>
      <c r="C16413" s="12"/>
    </row>
    <row r="16414" spans="2:3">
      <c r="B16414" s="12"/>
      <c r="C16414" s="12"/>
    </row>
    <row r="16415" spans="2:3">
      <c r="B16415" s="12"/>
      <c r="C16415" s="12"/>
    </row>
    <row r="16416" spans="2:3">
      <c r="B16416" s="12"/>
      <c r="C16416" s="12"/>
    </row>
    <row r="16417" spans="2:3">
      <c r="B16417" s="12"/>
      <c r="C16417" s="12"/>
    </row>
    <row r="16418" spans="2:3">
      <c r="B16418" s="12"/>
      <c r="C16418" s="12"/>
    </row>
    <row r="16419" spans="2:3">
      <c r="B16419" s="12"/>
      <c r="C16419" s="12"/>
    </row>
    <row r="16420" spans="2:3">
      <c r="B16420" s="12"/>
      <c r="C16420" s="12"/>
    </row>
    <row r="16421" spans="2:3">
      <c r="B16421" s="12"/>
      <c r="C16421" s="12"/>
    </row>
    <row r="16422" spans="2:3">
      <c r="B16422" s="12"/>
      <c r="C16422" s="12"/>
    </row>
    <row r="16423" spans="2:3">
      <c r="B16423" s="12"/>
      <c r="C16423" s="12"/>
    </row>
    <row r="16424" spans="2:3">
      <c r="B16424" s="12"/>
      <c r="C16424" s="12"/>
    </row>
    <row r="16425" spans="2:3">
      <c r="B16425" s="12"/>
      <c r="C16425" s="12"/>
    </row>
    <row r="16426" spans="2:3">
      <c r="B16426" s="12"/>
      <c r="C16426" s="12"/>
    </row>
    <row r="16427" spans="2:3">
      <c r="B16427" s="12"/>
      <c r="C16427" s="12"/>
    </row>
    <row r="16428" spans="2:3">
      <c r="B16428" s="12"/>
      <c r="C16428" s="12"/>
    </row>
    <row r="16429" spans="2:3">
      <c r="B16429" s="12"/>
      <c r="C16429" s="12"/>
    </row>
    <row r="16430" spans="2:3">
      <c r="B16430" s="12"/>
      <c r="C16430" s="12"/>
    </row>
    <row r="16431" spans="2:3">
      <c r="B16431" s="12"/>
      <c r="C16431" s="12"/>
    </row>
    <row r="16432" spans="2:3">
      <c r="B16432" s="12"/>
      <c r="C16432" s="12"/>
    </row>
    <row r="16433" spans="2:3">
      <c r="B16433" s="12"/>
      <c r="C16433" s="12"/>
    </row>
    <row r="16434" spans="2:3">
      <c r="B16434" s="12"/>
      <c r="C16434" s="12"/>
    </row>
    <row r="16435" spans="2:3">
      <c r="B16435" s="12"/>
      <c r="C16435" s="12"/>
    </row>
    <row r="16436" spans="2:3">
      <c r="B16436" s="12"/>
      <c r="C16436" s="12"/>
    </row>
    <row r="16437" spans="2:3">
      <c r="B16437" s="12"/>
      <c r="C16437" s="12"/>
    </row>
    <row r="16438" spans="2:3">
      <c r="B16438" s="12"/>
      <c r="C16438" s="12"/>
    </row>
    <row r="16439" spans="2:3">
      <c r="B16439" s="12"/>
      <c r="C16439" s="12"/>
    </row>
    <row r="16440" spans="2:3">
      <c r="B16440" s="12"/>
      <c r="C16440" s="12"/>
    </row>
    <row r="16441" spans="2:3">
      <c r="B16441" s="12"/>
      <c r="C16441" s="12"/>
    </row>
    <row r="16442" spans="2:3">
      <c r="B16442" s="12"/>
      <c r="C16442" s="12"/>
    </row>
    <row r="16443" spans="2:3">
      <c r="B16443" s="12"/>
      <c r="C16443" s="12"/>
    </row>
    <row r="16444" spans="2:3">
      <c r="B16444" s="12"/>
      <c r="C16444" s="12"/>
    </row>
    <row r="16445" spans="2:3">
      <c r="B16445" s="12"/>
      <c r="C16445" s="12"/>
    </row>
    <row r="16446" spans="2:3">
      <c r="B16446" s="12"/>
      <c r="C16446" s="12"/>
    </row>
    <row r="16447" spans="2:3">
      <c r="B16447" s="12"/>
      <c r="C16447" s="12"/>
    </row>
    <row r="16448" spans="2:3">
      <c r="B16448" s="12"/>
      <c r="C16448" s="12"/>
    </row>
    <row r="16449" spans="2:3">
      <c r="B16449" s="12"/>
      <c r="C16449" s="12"/>
    </row>
    <row r="16450" spans="2:3">
      <c r="B16450" s="12"/>
      <c r="C16450" s="12"/>
    </row>
    <row r="16451" spans="2:3">
      <c r="B16451" s="12"/>
      <c r="C16451" s="12"/>
    </row>
    <row r="16452" spans="2:3">
      <c r="B16452" s="12"/>
      <c r="C16452" s="12"/>
    </row>
    <row r="16453" spans="2:3">
      <c r="B16453" s="12"/>
      <c r="C16453" s="12"/>
    </row>
    <row r="16454" spans="2:3">
      <c r="B16454" s="12"/>
      <c r="C16454" s="12"/>
    </row>
    <row r="16455" spans="2:3">
      <c r="B16455" s="12"/>
      <c r="C16455" s="12"/>
    </row>
    <row r="16456" spans="2:3">
      <c r="B16456" s="12"/>
      <c r="C16456" s="12"/>
    </row>
    <row r="16457" spans="2:3">
      <c r="B16457" s="12"/>
      <c r="C16457" s="12"/>
    </row>
    <row r="16458" spans="2:3">
      <c r="B16458" s="12"/>
      <c r="C16458" s="12"/>
    </row>
    <row r="16459" spans="2:3">
      <c r="B16459" s="12"/>
      <c r="C16459" s="12"/>
    </row>
    <row r="16460" spans="2:3">
      <c r="B16460" s="12"/>
      <c r="C16460" s="12"/>
    </row>
    <row r="16461" spans="2:3">
      <c r="B16461" s="12"/>
      <c r="C16461" s="12"/>
    </row>
    <row r="16462" spans="2:3">
      <c r="B16462" s="12"/>
      <c r="C16462" s="12"/>
    </row>
    <row r="16463" spans="2:3">
      <c r="B16463" s="12"/>
      <c r="C16463" s="12"/>
    </row>
    <row r="16464" spans="2:3">
      <c r="B16464" s="12"/>
      <c r="C16464" s="12"/>
    </row>
    <row r="16465" spans="2:3">
      <c r="B16465" s="12"/>
      <c r="C16465" s="12"/>
    </row>
    <row r="16466" spans="2:3">
      <c r="B16466" s="12"/>
      <c r="C16466" s="12"/>
    </row>
    <row r="16467" spans="2:3">
      <c r="B16467" s="12"/>
      <c r="C16467" s="12"/>
    </row>
    <row r="16468" spans="2:3">
      <c r="B16468" s="12"/>
      <c r="C16468" s="12"/>
    </row>
    <row r="16469" spans="2:3">
      <c r="B16469" s="12"/>
      <c r="C16469" s="12"/>
    </row>
    <row r="16470" spans="2:3">
      <c r="B16470" s="12"/>
      <c r="C16470" s="12"/>
    </row>
    <row r="16471" spans="2:3">
      <c r="B16471" s="12"/>
      <c r="C16471" s="12"/>
    </row>
    <row r="16472" spans="2:3">
      <c r="B16472" s="12"/>
      <c r="C16472" s="12"/>
    </row>
    <row r="16473" spans="2:3">
      <c r="B16473" s="12"/>
      <c r="C16473" s="12"/>
    </row>
    <row r="16474" spans="2:3">
      <c r="B16474" s="12"/>
      <c r="C16474" s="12"/>
    </row>
    <row r="16475" spans="2:3">
      <c r="B16475" s="12"/>
      <c r="C16475" s="12"/>
    </row>
    <row r="16476" spans="2:3">
      <c r="B16476" s="12"/>
      <c r="C16476" s="12"/>
    </row>
    <row r="16477" spans="2:3">
      <c r="B16477" s="12"/>
      <c r="C16477" s="12"/>
    </row>
    <row r="16478" spans="2:3">
      <c r="B16478" s="12"/>
      <c r="C16478" s="12"/>
    </row>
    <row r="16479" spans="2:3">
      <c r="B16479" s="12"/>
      <c r="C16479" s="12"/>
    </row>
    <row r="16480" spans="2:3">
      <c r="B16480" s="12"/>
      <c r="C16480" s="12"/>
    </row>
    <row r="16481" spans="2:3">
      <c r="B16481" s="12"/>
      <c r="C16481" s="12"/>
    </row>
    <row r="16482" spans="2:3">
      <c r="B16482" s="12"/>
      <c r="C16482" s="12"/>
    </row>
    <row r="16483" spans="2:3">
      <c r="B16483" s="12"/>
      <c r="C16483" s="12"/>
    </row>
    <row r="16484" spans="2:3">
      <c r="B16484" s="12"/>
      <c r="C16484" s="12"/>
    </row>
    <row r="16485" spans="2:3">
      <c r="B16485" s="12"/>
      <c r="C16485" s="12"/>
    </row>
    <row r="16486" spans="2:3">
      <c r="B16486" s="12"/>
      <c r="C16486" s="12"/>
    </row>
    <row r="16487" spans="2:3">
      <c r="B16487" s="12"/>
      <c r="C16487" s="12"/>
    </row>
    <row r="16488" spans="2:3">
      <c r="B16488" s="12"/>
      <c r="C16488" s="12"/>
    </row>
    <row r="16489" spans="2:3">
      <c r="B16489" s="12"/>
      <c r="C16489" s="12"/>
    </row>
    <row r="16490" spans="2:3">
      <c r="B16490" s="12"/>
      <c r="C16490" s="12"/>
    </row>
    <row r="16491" spans="2:3">
      <c r="B16491" s="12"/>
      <c r="C16491" s="12"/>
    </row>
    <row r="16492" spans="2:3">
      <c r="B16492" s="12"/>
      <c r="C16492" s="12"/>
    </row>
    <row r="16493" spans="2:3">
      <c r="B16493" s="12"/>
      <c r="C16493" s="12"/>
    </row>
    <row r="16494" spans="2:3">
      <c r="B16494" s="12"/>
      <c r="C16494" s="12"/>
    </row>
    <row r="16495" spans="2:3">
      <c r="B16495" s="12"/>
      <c r="C16495" s="12"/>
    </row>
    <row r="16496" spans="2:3">
      <c r="B16496" s="12"/>
      <c r="C16496" s="12"/>
    </row>
    <row r="16497" spans="2:3">
      <c r="B16497" s="12"/>
      <c r="C16497" s="12"/>
    </row>
    <row r="16498" spans="2:3">
      <c r="B16498" s="12"/>
      <c r="C16498" s="12"/>
    </row>
    <row r="16499" spans="2:3">
      <c r="B16499" s="12"/>
      <c r="C16499" s="12"/>
    </row>
    <row r="16500" spans="2:3">
      <c r="B16500" s="12"/>
      <c r="C16500" s="12"/>
    </row>
    <row r="16501" spans="2:3">
      <c r="B16501" s="12"/>
      <c r="C16501" s="12"/>
    </row>
    <row r="16502" spans="2:3">
      <c r="B16502" s="12"/>
      <c r="C16502" s="12"/>
    </row>
    <row r="16503" spans="2:3">
      <c r="B16503" s="12"/>
      <c r="C16503" s="12"/>
    </row>
    <row r="16504" spans="2:3">
      <c r="B16504" s="12"/>
      <c r="C16504" s="12"/>
    </row>
    <row r="16505" spans="2:3">
      <c r="B16505" s="12"/>
      <c r="C16505" s="12"/>
    </row>
    <row r="16506" spans="2:3">
      <c r="B16506" s="12"/>
      <c r="C16506" s="12"/>
    </row>
    <row r="16507" spans="2:3">
      <c r="B16507" s="12"/>
      <c r="C16507" s="12"/>
    </row>
    <row r="16508" spans="2:3">
      <c r="B16508" s="12"/>
      <c r="C16508" s="12"/>
    </row>
    <row r="16509" spans="2:3">
      <c r="B16509" s="12"/>
      <c r="C16509" s="12"/>
    </row>
    <row r="16510" spans="2:3">
      <c r="B16510" s="12"/>
      <c r="C16510" s="12"/>
    </row>
    <row r="16511" spans="2:3">
      <c r="B16511" s="12"/>
      <c r="C16511" s="12"/>
    </row>
    <row r="16512" spans="2:3">
      <c r="B16512" s="12"/>
      <c r="C16512" s="12"/>
    </row>
    <row r="16513" spans="2:3">
      <c r="B16513" s="12"/>
      <c r="C16513" s="12"/>
    </row>
    <row r="16514" spans="2:3">
      <c r="B16514" s="12"/>
      <c r="C16514" s="12"/>
    </row>
    <row r="16515" spans="2:3">
      <c r="B16515" s="12"/>
      <c r="C16515" s="12"/>
    </row>
    <row r="16516" spans="2:3">
      <c r="B16516" s="12"/>
      <c r="C16516" s="12"/>
    </row>
    <row r="16517" spans="2:3">
      <c r="B16517" s="12"/>
      <c r="C16517" s="12"/>
    </row>
    <row r="16518" spans="2:3">
      <c r="B16518" s="12"/>
      <c r="C16518" s="12"/>
    </row>
    <row r="16519" spans="2:3">
      <c r="B16519" s="12"/>
      <c r="C16519" s="12"/>
    </row>
    <row r="16520" spans="2:3">
      <c r="B16520" s="12"/>
      <c r="C16520" s="12"/>
    </row>
    <row r="16521" spans="2:3">
      <c r="B16521" s="12"/>
      <c r="C16521" s="12"/>
    </row>
    <row r="16522" spans="2:3">
      <c r="B16522" s="12"/>
      <c r="C16522" s="12"/>
    </row>
    <row r="16523" spans="2:3">
      <c r="B16523" s="12"/>
      <c r="C16523" s="12"/>
    </row>
    <row r="16524" spans="2:3">
      <c r="B16524" s="12"/>
      <c r="C16524" s="12"/>
    </row>
    <row r="16525" spans="2:3">
      <c r="B16525" s="12"/>
      <c r="C16525" s="12"/>
    </row>
    <row r="16526" spans="2:3">
      <c r="B16526" s="12"/>
      <c r="C16526" s="12"/>
    </row>
    <row r="16527" spans="2:3">
      <c r="B16527" s="12"/>
      <c r="C16527" s="12"/>
    </row>
    <row r="16528" spans="2:3">
      <c r="B16528" s="12"/>
      <c r="C16528" s="12"/>
    </row>
    <row r="16529" spans="2:3">
      <c r="B16529" s="12"/>
      <c r="C16529" s="12"/>
    </row>
    <row r="16530" spans="2:3">
      <c r="B16530" s="12"/>
      <c r="C16530" s="12"/>
    </row>
    <row r="16531" spans="2:3">
      <c r="B16531" s="12"/>
      <c r="C16531" s="12"/>
    </row>
    <row r="16532" spans="2:3">
      <c r="B16532" s="12"/>
      <c r="C16532" s="12"/>
    </row>
    <row r="16533" spans="2:3">
      <c r="B16533" s="12"/>
      <c r="C16533" s="12"/>
    </row>
    <row r="16534" spans="2:3">
      <c r="B16534" s="12"/>
      <c r="C16534" s="12"/>
    </row>
    <row r="16535" spans="2:3">
      <c r="B16535" s="12"/>
      <c r="C16535" s="12"/>
    </row>
    <row r="16536" spans="2:3">
      <c r="B16536" s="12"/>
      <c r="C16536" s="12"/>
    </row>
    <row r="16537" spans="2:3">
      <c r="B16537" s="12"/>
      <c r="C16537" s="12"/>
    </row>
    <row r="16538" spans="2:3">
      <c r="B16538" s="12"/>
      <c r="C16538" s="12"/>
    </row>
    <row r="16539" spans="2:3">
      <c r="B16539" s="12"/>
      <c r="C16539" s="12"/>
    </row>
    <row r="16540" spans="2:3">
      <c r="B16540" s="12"/>
      <c r="C16540" s="12"/>
    </row>
    <row r="16541" spans="2:3">
      <c r="B16541" s="12"/>
      <c r="C16541" s="12"/>
    </row>
    <row r="16542" spans="2:3">
      <c r="B16542" s="12"/>
      <c r="C16542" s="12"/>
    </row>
    <row r="16543" spans="2:3">
      <c r="B16543" s="12"/>
      <c r="C16543" s="12"/>
    </row>
    <row r="16544" spans="2:3">
      <c r="B16544" s="12"/>
      <c r="C16544" s="12"/>
    </row>
    <row r="16545" spans="2:3">
      <c r="B16545" s="12"/>
      <c r="C16545" s="12"/>
    </row>
    <row r="16546" spans="2:3">
      <c r="B16546" s="12"/>
      <c r="C16546" s="12"/>
    </row>
    <row r="16547" spans="2:3">
      <c r="B16547" s="12"/>
      <c r="C16547" s="12"/>
    </row>
    <row r="16548" spans="2:3">
      <c r="B16548" s="12"/>
      <c r="C16548" s="12"/>
    </row>
    <row r="16549" spans="2:3">
      <c r="B16549" s="12"/>
      <c r="C16549" s="12"/>
    </row>
    <row r="16550" spans="2:3">
      <c r="B16550" s="12"/>
      <c r="C16550" s="12"/>
    </row>
    <row r="16551" spans="2:3">
      <c r="B16551" s="12"/>
      <c r="C16551" s="12"/>
    </row>
    <row r="16552" spans="2:3">
      <c r="B16552" s="12"/>
      <c r="C16552" s="12"/>
    </row>
    <row r="16553" spans="2:3">
      <c r="B16553" s="12"/>
      <c r="C16553" s="12"/>
    </row>
    <row r="16554" spans="2:3">
      <c r="B16554" s="12"/>
      <c r="C16554" s="12"/>
    </row>
    <row r="16555" spans="2:3">
      <c r="B16555" s="12"/>
      <c r="C16555" s="12"/>
    </row>
    <row r="16556" spans="2:3">
      <c r="B16556" s="12"/>
      <c r="C16556" s="12"/>
    </row>
    <row r="16557" spans="2:3">
      <c r="B16557" s="12"/>
      <c r="C16557" s="12"/>
    </row>
    <row r="16558" spans="2:3">
      <c r="B16558" s="12"/>
      <c r="C16558" s="12"/>
    </row>
    <row r="16559" spans="2:3">
      <c r="B16559" s="12"/>
      <c r="C16559" s="12"/>
    </row>
    <row r="16560" spans="2:3">
      <c r="B16560" s="12"/>
      <c r="C16560" s="12"/>
    </row>
    <row r="16561" spans="2:3">
      <c r="B16561" s="12"/>
      <c r="C16561" s="12"/>
    </row>
    <row r="16562" spans="2:3">
      <c r="B16562" s="12"/>
      <c r="C16562" s="12"/>
    </row>
    <row r="16563" spans="2:3">
      <c r="B16563" s="12"/>
      <c r="C16563" s="12"/>
    </row>
    <row r="16564" spans="2:3">
      <c r="B16564" s="12"/>
      <c r="C16564" s="12"/>
    </row>
    <row r="16565" spans="2:3">
      <c r="B16565" s="12"/>
      <c r="C16565" s="12"/>
    </row>
    <row r="16566" spans="2:3">
      <c r="B16566" s="12"/>
      <c r="C16566" s="12"/>
    </row>
    <row r="16567" spans="2:3">
      <c r="B16567" s="12"/>
      <c r="C16567" s="12"/>
    </row>
    <row r="16568" spans="2:3">
      <c r="B16568" s="12"/>
      <c r="C16568" s="12"/>
    </row>
    <row r="16569" spans="2:3">
      <c r="B16569" s="12"/>
      <c r="C16569" s="12"/>
    </row>
    <row r="16570" spans="2:3">
      <c r="B16570" s="12"/>
      <c r="C16570" s="12"/>
    </row>
    <row r="16571" spans="2:3">
      <c r="B16571" s="12"/>
      <c r="C16571" s="12"/>
    </row>
    <row r="16572" spans="2:3">
      <c r="B16572" s="12"/>
      <c r="C16572" s="12"/>
    </row>
    <row r="16573" spans="2:3">
      <c r="B16573" s="12"/>
      <c r="C16573" s="12"/>
    </row>
    <row r="16574" spans="2:3">
      <c r="B16574" s="12"/>
      <c r="C16574" s="12"/>
    </row>
    <row r="16575" spans="2:3">
      <c r="B16575" s="12"/>
      <c r="C16575" s="12"/>
    </row>
    <row r="16576" spans="2:3">
      <c r="B16576" s="12"/>
      <c r="C16576" s="12"/>
    </row>
    <row r="16577" spans="2:3">
      <c r="B16577" s="12"/>
      <c r="C16577" s="12"/>
    </row>
    <row r="16578" spans="2:3">
      <c r="B16578" s="12"/>
      <c r="C16578" s="12"/>
    </row>
    <row r="16579" spans="2:3">
      <c r="B16579" s="12"/>
      <c r="C16579" s="12"/>
    </row>
    <row r="16580" spans="2:3">
      <c r="B16580" s="12"/>
      <c r="C16580" s="12"/>
    </row>
    <row r="16581" spans="2:3">
      <c r="B16581" s="12"/>
      <c r="C16581" s="12"/>
    </row>
    <row r="16582" spans="2:3">
      <c r="B16582" s="12"/>
      <c r="C16582" s="12"/>
    </row>
    <row r="16583" spans="2:3">
      <c r="B16583" s="12"/>
      <c r="C16583" s="12"/>
    </row>
    <row r="16584" spans="2:3">
      <c r="B16584" s="12"/>
      <c r="C16584" s="12"/>
    </row>
    <row r="16585" spans="2:3">
      <c r="B16585" s="12"/>
      <c r="C16585" s="12"/>
    </row>
    <row r="16586" spans="2:3">
      <c r="B16586" s="12"/>
      <c r="C16586" s="12"/>
    </row>
    <row r="16587" spans="2:3">
      <c r="B16587" s="12"/>
      <c r="C16587" s="12"/>
    </row>
    <row r="16588" spans="2:3">
      <c r="B16588" s="12"/>
      <c r="C16588" s="12"/>
    </row>
    <row r="16589" spans="2:3">
      <c r="B16589" s="12"/>
      <c r="C16589" s="12"/>
    </row>
    <row r="16590" spans="2:3">
      <c r="B16590" s="12"/>
      <c r="C16590" s="12"/>
    </row>
    <row r="16591" spans="2:3">
      <c r="B16591" s="12"/>
      <c r="C16591" s="12"/>
    </row>
    <row r="16592" spans="2:3">
      <c r="B16592" s="12"/>
      <c r="C16592" s="12"/>
    </row>
    <row r="16593" spans="2:3">
      <c r="B16593" s="12"/>
      <c r="C16593" s="12"/>
    </row>
    <row r="16594" spans="2:3">
      <c r="B16594" s="12"/>
      <c r="C16594" s="12"/>
    </row>
    <row r="16595" spans="2:3">
      <c r="B16595" s="12"/>
      <c r="C16595" s="12"/>
    </row>
    <row r="16596" spans="2:3">
      <c r="B16596" s="12"/>
      <c r="C16596" s="12"/>
    </row>
    <row r="16597" spans="2:3">
      <c r="B16597" s="12"/>
      <c r="C16597" s="12"/>
    </row>
    <row r="16598" spans="2:3">
      <c r="B16598" s="12"/>
      <c r="C16598" s="12"/>
    </row>
    <row r="16599" spans="2:3">
      <c r="B16599" s="12"/>
      <c r="C16599" s="12"/>
    </row>
    <row r="16600" spans="2:3">
      <c r="B16600" s="12"/>
      <c r="C16600" s="12"/>
    </row>
    <row r="16601" spans="2:3">
      <c r="B16601" s="12"/>
      <c r="C16601" s="12"/>
    </row>
    <row r="16602" spans="2:3">
      <c r="B16602" s="12"/>
      <c r="C16602" s="12"/>
    </row>
    <row r="16603" spans="2:3">
      <c r="B16603" s="12"/>
      <c r="C16603" s="12"/>
    </row>
    <row r="16604" spans="2:3">
      <c r="B16604" s="12"/>
      <c r="C16604" s="12"/>
    </row>
    <row r="16605" spans="2:3">
      <c r="B16605" s="12"/>
      <c r="C16605" s="12"/>
    </row>
    <row r="16606" spans="2:3">
      <c r="B16606" s="12"/>
      <c r="C16606" s="12"/>
    </row>
    <row r="16607" spans="2:3">
      <c r="B16607" s="12"/>
      <c r="C16607" s="12"/>
    </row>
    <row r="16608" spans="2:3">
      <c r="B16608" s="12"/>
      <c r="C16608" s="12"/>
    </row>
    <row r="16609" spans="2:3">
      <c r="B16609" s="12"/>
      <c r="C16609" s="12"/>
    </row>
    <row r="16610" spans="2:3">
      <c r="B16610" s="12"/>
      <c r="C16610" s="12"/>
    </row>
    <row r="16611" spans="2:3">
      <c r="B16611" s="12"/>
      <c r="C16611" s="12"/>
    </row>
    <row r="16612" spans="2:3">
      <c r="B16612" s="12"/>
      <c r="C16612" s="12"/>
    </row>
    <row r="16613" spans="2:3">
      <c r="B16613" s="12"/>
      <c r="C16613" s="12"/>
    </row>
    <row r="16614" spans="2:3">
      <c r="B16614" s="12"/>
      <c r="C16614" s="12"/>
    </row>
    <row r="16615" spans="2:3">
      <c r="B16615" s="12"/>
      <c r="C16615" s="12"/>
    </row>
    <row r="16616" spans="2:3">
      <c r="B16616" s="12"/>
      <c r="C16616" s="12"/>
    </row>
    <row r="16617" spans="2:3">
      <c r="B16617" s="12"/>
      <c r="C16617" s="12"/>
    </row>
    <row r="16618" spans="2:3">
      <c r="B16618" s="12"/>
      <c r="C16618" s="12"/>
    </row>
    <row r="16619" spans="2:3">
      <c r="B16619" s="12"/>
      <c r="C16619" s="12"/>
    </row>
    <row r="16620" spans="2:3">
      <c r="B16620" s="12"/>
      <c r="C16620" s="12"/>
    </row>
    <row r="16621" spans="2:3">
      <c r="B16621" s="12"/>
      <c r="C16621" s="12"/>
    </row>
    <row r="16622" spans="2:3">
      <c r="B16622" s="12"/>
      <c r="C16622" s="12"/>
    </row>
    <row r="16623" spans="2:3">
      <c r="B16623" s="12"/>
      <c r="C16623" s="12"/>
    </row>
    <row r="16624" spans="2:3">
      <c r="B16624" s="12"/>
      <c r="C16624" s="12"/>
    </row>
    <row r="16625" spans="2:3">
      <c r="B16625" s="12"/>
      <c r="C16625" s="12"/>
    </row>
    <row r="16626" spans="2:3">
      <c r="B16626" s="12"/>
      <c r="C16626" s="12"/>
    </row>
    <row r="16627" spans="2:3">
      <c r="B16627" s="12"/>
      <c r="C16627" s="12"/>
    </row>
    <row r="16628" spans="2:3">
      <c r="B16628" s="12"/>
      <c r="C16628" s="12"/>
    </row>
    <row r="16629" spans="2:3">
      <c r="B16629" s="12"/>
      <c r="C16629" s="12"/>
    </row>
    <row r="16630" spans="2:3">
      <c r="B16630" s="12"/>
      <c r="C16630" s="12"/>
    </row>
    <row r="16631" spans="2:3">
      <c r="B16631" s="12"/>
      <c r="C16631" s="12"/>
    </row>
    <row r="16632" spans="2:3">
      <c r="B16632" s="12"/>
      <c r="C16632" s="12"/>
    </row>
    <row r="16633" spans="2:3">
      <c r="B16633" s="12"/>
      <c r="C16633" s="12"/>
    </row>
    <row r="16634" spans="2:3">
      <c r="B16634" s="12"/>
      <c r="C16634" s="12"/>
    </row>
    <row r="16635" spans="2:3">
      <c r="B16635" s="12"/>
      <c r="C16635" s="12"/>
    </row>
    <row r="16636" spans="2:3">
      <c r="B16636" s="12"/>
      <c r="C16636" s="12"/>
    </row>
    <row r="16637" spans="2:3">
      <c r="B16637" s="12"/>
      <c r="C16637" s="12"/>
    </row>
    <row r="16638" spans="2:3">
      <c r="B16638" s="12"/>
      <c r="C16638" s="12"/>
    </row>
    <row r="16639" spans="2:3">
      <c r="B16639" s="12"/>
      <c r="C16639" s="12"/>
    </row>
    <row r="16640" spans="2:3">
      <c r="B16640" s="12"/>
      <c r="C16640" s="12"/>
    </row>
    <row r="16641" spans="2:3">
      <c r="B16641" s="12"/>
      <c r="C16641" s="12"/>
    </row>
    <row r="16642" spans="2:3">
      <c r="B16642" s="12"/>
      <c r="C16642" s="12"/>
    </row>
    <row r="16643" spans="2:3">
      <c r="B16643" s="12"/>
      <c r="C16643" s="12"/>
    </row>
    <row r="16644" spans="2:3">
      <c r="B16644" s="12"/>
      <c r="C16644" s="12"/>
    </row>
    <row r="16645" spans="2:3">
      <c r="B16645" s="12"/>
      <c r="C16645" s="12"/>
    </row>
    <row r="16646" spans="2:3">
      <c r="B16646" s="12"/>
      <c r="C16646" s="12"/>
    </row>
    <row r="16647" spans="2:3">
      <c r="B16647" s="12"/>
      <c r="C16647" s="12"/>
    </row>
    <row r="16648" spans="2:3">
      <c r="B16648" s="12"/>
      <c r="C16648" s="12"/>
    </row>
    <row r="16649" spans="2:3">
      <c r="B16649" s="12"/>
      <c r="C16649" s="12"/>
    </row>
    <row r="16650" spans="2:3">
      <c r="B16650" s="12"/>
      <c r="C16650" s="12"/>
    </row>
    <row r="16651" spans="2:3">
      <c r="B16651" s="12"/>
      <c r="C16651" s="12"/>
    </row>
    <row r="16652" spans="2:3">
      <c r="B16652" s="12"/>
      <c r="C16652" s="12"/>
    </row>
    <row r="16653" spans="2:3">
      <c r="B16653" s="12"/>
      <c r="C16653" s="12"/>
    </row>
    <row r="16654" spans="2:3">
      <c r="B16654" s="12"/>
      <c r="C16654" s="12"/>
    </row>
    <row r="16655" spans="2:3">
      <c r="B16655" s="12"/>
      <c r="C16655" s="12"/>
    </row>
    <row r="16656" spans="2:3">
      <c r="B16656" s="12"/>
      <c r="C16656" s="12"/>
    </row>
    <row r="16657" spans="2:3">
      <c r="B16657" s="12"/>
      <c r="C16657" s="12"/>
    </row>
    <row r="16658" spans="2:3">
      <c r="B16658" s="12"/>
      <c r="C16658" s="12"/>
    </row>
    <row r="16659" spans="2:3">
      <c r="B16659" s="12"/>
      <c r="C16659" s="12"/>
    </row>
    <row r="16660" spans="2:3">
      <c r="B16660" s="12"/>
      <c r="C16660" s="12"/>
    </row>
    <row r="16661" spans="2:3">
      <c r="B16661" s="12"/>
      <c r="C16661" s="12"/>
    </row>
    <row r="16662" spans="2:3">
      <c r="B16662" s="12"/>
      <c r="C16662" s="12"/>
    </row>
    <row r="16663" spans="2:3">
      <c r="B16663" s="12"/>
      <c r="C16663" s="12"/>
    </row>
    <row r="16664" spans="2:3">
      <c r="B16664" s="12"/>
      <c r="C16664" s="12"/>
    </row>
    <row r="16665" spans="2:3">
      <c r="B16665" s="12"/>
      <c r="C16665" s="12"/>
    </row>
    <row r="16666" spans="2:3">
      <c r="B16666" s="12"/>
      <c r="C16666" s="12"/>
    </row>
    <row r="16667" spans="2:3">
      <c r="B16667" s="12"/>
      <c r="C16667" s="12"/>
    </row>
    <row r="16668" spans="2:3">
      <c r="B16668" s="12"/>
      <c r="C16668" s="12"/>
    </row>
    <row r="16669" spans="2:3">
      <c r="B16669" s="12"/>
      <c r="C16669" s="12"/>
    </row>
    <row r="16670" spans="2:3">
      <c r="B16670" s="12"/>
      <c r="C16670" s="12"/>
    </row>
    <row r="16671" spans="2:3">
      <c r="B16671" s="12"/>
      <c r="C16671" s="12"/>
    </row>
    <row r="16672" spans="2:3">
      <c r="B16672" s="12"/>
      <c r="C16672" s="12"/>
    </row>
    <row r="16673" spans="2:3">
      <c r="B16673" s="12"/>
      <c r="C16673" s="12"/>
    </row>
    <row r="16674" spans="2:3">
      <c r="B16674" s="12"/>
      <c r="C16674" s="12"/>
    </row>
    <row r="16675" spans="2:3">
      <c r="B16675" s="12"/>
      <c r="C16675" s="12"/>
    </row>
    <row r="16676" spans="2:3">
      <c r="B16676" s="12"/>
      <c r="C16676" s="12"/>
    </row>
    <row r="16677" spans="2:3">
      <c r="B16677" s="12"/>
      <c r="C16677" s="12"/>
    </row>
    <row r="16678" spans="2:3">
      <c r="B16678" s="12"/>
      <c r="C16678" s="12"/>
    </row>
    <row r="16679" spans="2:3">
      <c r="B16679" s="12"/>
      <c r="C16679" s="12"/>
    </row>
    <row r="16680" spans="2:3">
      <c r="B16680" s="12"/>
      <c r="C16680" s="12"/>
    </row>
    <row r="16681" spans="2:3">
      <c r="B16681" s="12"/>
      <c r="C16681" s="12"/>
    </row>
    <row r="16682" spans="2:3">
      <c r="B16682" s="12"/>
      <c r="C16682" s="12"/>
    </row>
    <row r="16683" spans="2:3">
      <c r="B16683" s="12"/>
      <c r="C16683" s="12"/>
    </row>
    <row r="16684" spans="2:3">
      <c r="B16684" s="12"/>
      <c r="C16684" s="12"/>
    </row>
    <row r="16685" spans="2:3">
      <c r="B16685" s="12"/>
      <c r="C16685" s="12"/>
    </row>
    <row r="16686" spans="2:3">
      <c r="B16686" s="12"/>
      <c r="C16686" s="12"/>
    </row>
    <row r="16687" spans="2:3">
      <c r="B16687" s="12"/>
      <c r="C16687" s="12"/>
    </row>
    <row r="16688" spans="2:3">
      <c r="B16688" s="12"/>
      <c r="C16688" s="12"/>
    </row>
    <row r="16689" spans="2:3">
      <c r="B16689" s="12"/>
      <c r="C16689" s="12"/>
    </row>
    <row r="16690" spans="2:3">
      <c r="B16690" s="12"/>
      <c r="C16690" s="12"/>
    </row>
    <row r="16691" spans="2:3">
      <c r="B16691" s="12"/>
      <c r="C16691" s="12"/>
    </row>
    <row r="16692" spans="2:3">
      <c r="B16692" s="12"/>
      <c r="C16692" s="12"/>
    </row>
    <row r="16693" spans="2:3">
      <c r="B16693" s="12"/>
      <c r="C16693" s="12"/>
    </row>
    <row r="16694" spans="2:3">
      <c r="B16694" s="12"/>
      <c r="C16694" s="12"/>
    </row>
    <row r="16695" spans="2:3">
      <c r="B16695" s="12"/>
      <c r="C16695" s="12"/>
    </row>
    <row r="16696" spans="2:3">
      <c r="B16696" s="12"/>
      <c r="C16696" s="12"/>
    </row>
    <row r="16697" spans="2:3">
      <c r="B16697" s="12"/>
      <c r="C16697" s="12"/>
    </row>
    <row r="16698" spans="2:3">
      <c r="B16698" s="12"/>
      <c r="C16698" s="12"/>
    </row>
    <row r="16699" spans="2:3">
      <c r="B16699" s="12"/>
      <c r="C16699" s="12"/>
    </row>
    <row r="16700" spans="2:3">
      <c r="B16700" s="12"/>
      <c r="C16700" s="12"/>
    </row>
    <row r="16701" spans="2:3">
      <c r="B16701" s="12"/>
      <c r="C16701" s="12"/>
    </row>
    <row r="16702" spans="2:3">
      <c r="B16702" s="12"/>
      <c r="C16702" s="12"/>
    </row>
    <row r="16703" spans="2:3">
      <c r="B16703" s="12"/>
      <c r="C16703" s="12"/>
    </row>
    <row r="16704" spans="2:3">
      <c r="B16704" s="12"/>
      <c r="C16704" s="12"/>
    </row>
    <row r="16705" spans="2:3">
      <c r="B16705" s="12"/>
      <c r="C16705" s="12"/>
    </row>
    <row r="16706" spans="2:3">
      <c r="B16706" s="12"/>
      <c r="C16706" s="12"/>
    </row>
    <row r="16707" spans="2:3">
      <c r="B16707" s="12"/>
      <c r="C16707" s="12"/>
    </row>
    <row r="16708" spans="2:3">
      <c r="B16708" s="12"/>
      <c r="C16708" s="12"/>
    </row>
    <row r="16709" spans="2:3">
      <c r="B16709" s="12"/>
      <c r="C16709" s="12"/>
    </row>
    <row r="16710" spans="2:3">
      <c r="B16710" s="12"/>
      <c r="C16710" s="12"/>
    </row>
    <row r="16711" spans="2:3">
      <c r="B16711" s="12"/>
      <c r="C16711" s="12"/>
    </row>
    <row r="16712" spans="2:3">
      <c r="B16712" s="12"/>
      <c r="C16712" s="12"/>
    </row>
    <row r="16713" spans="2:3">
      <c r="B16713" s="12"/>
      <c r="C16713" s="12"/>
    </row>
    <row r="16714" spans="2:3">
      <c r="B16714" s="12"/>
      <c r="C16714" s="12"/>
    </row>
    <row r="16715" spans="2:3">
      <c r="B16715" s="12"/>
      <c r="C16715" s="12"/>
    </row>
    <row r="16716" spans="2:3">
      <c r="B16716" s="12"/>
      <c r="C16716" s="12"/>
    </row>
    <row r="16717" spans="2:3">
      <c r="B16717" s="12"/>
      <c r="C16717" s="12"/>
    </row>
    <row r="16718" spans="2:3">
      <c r="B16718" s="12"/>
      <c r="C16718" s="12"/>
    </row>
    <row r="16719" spans="2:3">
      <c r="B16719" s="12"/>
      <c r="C16719" s="12"/>
    </row>
    <row r="16720" spans="2:3">
      <c r="B16720" s="12"/>
      <c r="C16720" s="12"/>
    </row>
    <row r="16721" spans="2:3">
      <c r="B16721" s="12"/>
      <c r="C16721" s="12"/>
    </row>
    <row r="16722" spans="2:3">
      <c r="B16722" s="12"/>
      <c r="C16722" s="12"/>
    </row>
    <row r="16723" spans="2:3">
      <c r="B16723" s="12"/>
      <c r="C16723" s="12"/>
    </row>
    <row r="16724" spans="2:3">
      <c r="B16724" s="12"/>
      <c r="C16724" s="12"/>
    </row>
    <row r="16725" spans="2:3">
      <c r="B16725" s="12"/>
      <c r="C16725" s="12"/>
    </row>
    <row r="16726" spans="2:3">
      <c r="B16726" s="12"/>
      <c r="C16726" s="12"/>
    </row>
    <row r="16727" spans="2:3">
      <c r="B16727" s="12"/>
      <c r="C16727" s="12"/>
    </row>
    <row r="16728" spans="2:3">
      <c r="B16728" s="12"/>
      <c r="C16728" s="12"/>
    </row>
    <row r="16729" spans="2:3">
      <c r="B16729" s="12"/>
      <c r="C16729" s="12"/>
    </row>
    <row r="16730" spans="2:3">
      <c r="B16730" s="12"/>
      <c r="C16730" s="12"/>
    </row>
    <row r="16731" spans="2:3">
      <c r="B16731" s="12"/>
      <c r="C16731" s="12"/>
    </row>
    <row r="16732" spans="2:3">
      <c r="B16732" s="12"/>
      <c r="C16732" s="12"/>
    </row>
    <row r="16733" spans="2:3">
      <c r="B16733" s="12"/>
      <c r="C16733" s="12"/>
    </row>
    <row r="16734" spans="2:3">
      <c r="B16734" s="12"/>
      <c r="C16734" s="12"/>
    </row>
    <row r="16735" spans="2:3">
      <c r="B16735" s="12"/>
      <c r="C16735" s="12"/>
    </row>
    <row r="16736" spans="2:3">
      <c r="B16736" s="12"/>
      <c r="C16736" s="12"/>
    </row>
    <row r="16737" spans="2:3">
      <c r="B16737" s="12"/>
      <c r="C16737" s="12"/>
    </row>
    <row r="16738" spans="2:3">
      <c r="B16738" s="12"/>
      <c r="C16738" s="12"/>
    </row>
    <row r="16739" spans="2:3">
      <c r="B16739" s="12"/>
      <c r="C16739" s="12"/>
    </row>
    <row r="16740" spans="2:3">
      <c r="B16740" s="12"/>
      <c r="C16740" s="12"/>
    </row>
    <row r="16741" spans="2:3">
      <c r="B16741" s="12"/>
      <c r="C16741" s="12"/>
    </row>
    <row r="16742" spans="2:3">
      <c r="B16742" s="12"/>
      <c r="C16742" s="12"/>
    </row>
    <row r="16743" spans="2:3">
      <c r="B16743" s="12"/>
      <c r="C16743" s="12"/>
    </row>
    <row r="16744" spans="2:3">
      <c r="B16744" s="12"/>
      <c r="C16744" s="12"/>
    </row>
    <row r="16745" spans="2:3">
      <c r="B16745" s="12"/>
      <c r="C16745" s="12"/>
    </row>
    <row r="16746" spans="2:3">
      <c r="B16746" s="12"/>
      <c r="C16746" s="12"/>
    </row>
    <row r="16747" spans="2:3">
      <c r="B16747" s="12"/>
      <c r="C16747" s="12"/>
    </row>
    <row r="16748" spans="2:3">
      <c r="B16748" s="12"/>
      <c r="C16748" s="12"/>
    </row>
    <row r="16749" spans="2:3">
      <c r="B16749" s="12"/>
      <c r="C16749" s="12"/>
    </row>
    <row r="16750" spans="2:3">
      <c r="B16750" s="12"/>
      <c r="C16750" s="12"/>
    </row>
    <row r="16751" spans="2:3">
      <c r="B16751" s="12"/>
      <c r="C16751" s="12"/>
    </row>
    <row r="16752" spans="2:3">
      <c r="B16752" s="12"/>
      <c r="C16752" s="12"/>
    </row>
    <row r="16753" spans="2:3">
      <c r="B16753" s="12"/>
      <c r="C16753" s="12"/>
    </row>
    <row r="16754" spans="2:3">
      <c r="B16754" s="12"/>
      <c r="C16754" s="12"/>
    </row>
    <row r="16755" spans="2:3">
      <c r="B16755" s="12"/>
      <c r="C16755" s="12"/>
    </row>
    <row r="16756" spans="2:3">
      <c r="B16756" s="12"/>
      <c r="C16756" s="12"/>
    </row>
    <row r="16757" spans="2:3">
      <c r="B16757" s="12"/>
      <c r="C16757" s="12"/>
    </row>
    <row r="16758" spans="2:3">
      <c r="B16758" s="12"/>
      <c r="C16758" s="12"/>
    </row>
    <row r="16759" spans="2:3">
      <c r="B16759" s="12"/>
      <c r="C16759" s="12"/>
    </row>
    <row r="16760" spans="2:3">
      <c r="B16760" s="12"/>
      <c r="C16760" s="12"/>
    </row>
    <row r="16761" spans="2:3">
      <c r="B16761" s="12"/>
      <c r="C16761" s="12"/>
    </row>
    <row r="16762" spans="2:3">
      <c r="B16762" s="12"/>
      <c r="C16762" s="12"/>
    </row>
    <row r="16763" spans="2:3">
      <c r="B16763" s="12"/>
      <c r="C16763" s="12"/>
    </row>
    <row r="16764" spans="2:3">
      <c r="B16764" s="12"/>
      <c r="C16764" s="12"/>
    </row>
    <row r="16765" spans="2:3">
      <c r="B16765" s="12"/>
      <c r="C16765" s="12"/>
    </row>
    <row r="16766" spans="2:3">
      <c r="B16766" s="12"/>
      <c r="C16766" s="12"/>
    </row>
    <row r="16767" spans="2:3">
      <c r="B16767" s="12"/>
      <c r="C16767" s="12"/>
    </row>
    <row r="16768" spans="2:3">
      <c r="B16768" s="12"/>
      <c r="C16768" s="12"/>
    </row>
    <row r="16769" spans="2:3">
      <c r="B16769" s="12"/>
      <c r="C16769" s="12"/>
    </row>
    <row r="16770" spans="2:3">
      <c r="B16770" s="12"/>
      <c r="C16770" s="12"/>
    </row>
    <row r="16771" spans="2:3">
      <c r="B16771" s="12"/>
      <c r="C16771" s="12"/>
    </row>
    <row r="16772" spans="2:3">
      <c r="B16772" s="12"/>
      <c r="C16772" s="12"/>
    </row>
    <row r="16773" spans="2:3">
      <c r="B16773" s="12"/>
      <c r="C16773" s="12"/>
    </row>
    <row r="16774" spans="2:3">
      <c r="B16774" s="12"/>
      <c r="C16774" s="12"/>
    </row>
    <row r="16775" spans="2:3">
      <c r="B16775" s="12"/>
      <c r="C16775" s="12"/>
    </row>
    <row r="16776" spans="2:3">
      <c r="B16776" s="12"/>
      <c r="C16776" s="12"/>
    </row>
    <row r="16777" spans="2:3">
      <c r="B16777" s="12"/>
      <c r="C16777" s="12"/>
    </row>
    <row r="16778" spans="2:3">
      <c r="B16778" s="12"/>
      <c r="C16778" s="12"/>
    </row>
    <row r="16779" spans="2:3">
      <c r="B16779" s="12"/>
      <c r="C16779" s="12"/>
    </row>
    <row r="16780" spans="2:3">
      <c r="B16780" s="12"/>
      <c r="C16780" s="12"/>
    </row>
    <row r="16781" spans="2:3">
      <c r="B16781" s="12"/>
      <c r="C16781" s="12"/>
    </row>
    <row r="16782" spans="2:3">
      <c r="B16782" s="12"/>
      <c r="C16782" s="12"/>
    </row>
    <row r="16783" spans="2:3">
      <c r="B16783" s="12"/>
      <c r="C16783" s="12"/>
    </row>
    <row r="16784" spans="2:3">
      <c r="B16784" s="12"/>
      <c r="C16784" s="12"/>
    </row>
    <row r="16785" spans="2:3">
      <c r="B16785" s="12"/>
      <c r="C16785" s="12"/>
    </row>
    <row r="16786" spans="2:3">
      <c r="B16786" s="12"/>
      <c r="C16786" s="12"/>
    </row>
    <row r="16787" spans="2:3">
      <c r="B16787" s="12"/>
      <c r="C16787" s="12"/>
    </row>
    <row r="16788" spans="2:3">
      <c r="B16788" s="12"/>
      <c r="C16788" s="12"/>
    </row>
    <row r="16789" spans="2:3">
      <c r="B16789" s="12"/>
      <c r="C16789" s="12"/>
    </row>
    <row r="16790" spans="2:3">
      <c r="B16790" s="12"/>
      <c r="C16790" s="12"/>
    </row>
    <row r="16791" spans="2:3">
      <c r="B16791" s="12"/>
      <c r="C16791" s="12"/>
    </row>
    <row r="16792" spans="2:3">
      <c r="B16792" s="12"/>
      <c r="C16792" s="12"/>
    </row>
    <row r="16793" spans="2:3">
      <c r="B16793" s="12"/>
      <c r="C16793" s="12"/>
    </row>
    <row r="16794" spans="2:3">
      <c r="B16794" s="12"/>
      <c r="C16794" s="12"/>
    </row>
    <row r="16795" spans="2:3">
      <c r="B16795" s="12"/>
      <c r="C16795" s="12"/>
    </row>
    <row r="16796" spans="2:3">
      <c r="B16796" s="12"/>
      <c r="C16796" s="12"/>
    </row>
    <row r="16797" spans="2:3">
      <c r="B16797" s="12"/>
      <c r="C16797" s="12"/>
    </row>
    <row r="16798" spans="2:3">
      <c r="B16798" s="12"/>
      <c r="C16798" s="12"/>
    </row>
    <row r="16799" spans="2:3">
      <c r="B16799" s="12"/>
      <c r="C16799" s="12"/>
    </row>
    <row r="16800" spans="2:3">
      <c r="B16800" s="12"/>
      <c r="C16800" s="12"/>
    </row>
    <row r="16801" spans="2:3">
      <c r="B16801" s="12"/>
      <c r="C16801" s="12"/>
    </row>
    <row r="16802" spans="2:3">
      <c r="B16802" s="12"/>
      <c r="C16802" s="12"/>
    </row>
    <row r="16803" spans="2:3">
      <c r="B16803" s="12"/>
      <c r="C16803" s="12"/>
    </row>
    <row r="16804" spans="2:3">
      <c r="B16804" s="12"/>
      <c r="C16804" s="12"/>
    </row>
    <row r="16805" spans="2:3">
      <c r="B16805" s="12"/>
      <c r="C16805" s="12"/>
    </row>
    <row r="16806" spans="2:3">
      <c r="B16806" s="12"/>
      <c r="C16806" s="12"/>
    </row>
    <row r="16807" spans="2:3">
      <c r="B16807" s="12"/>
      <c r="C16807" s="12"/>
    </row>
    <row r="16808" spans="2:3">
      <c r="B16808" s="12"/>
      <c r="C16808" s="12"/>
    </row>
    <row r="16809" spans="2:3">
      <c r="B16809" s="12"/>
      <c r="C16809" s="12"/>
    </row>
    <row r="16810" spans="2:3">
      <c r="B16810" s="12"/>
      <c r="C16810" s="12"/>
    </row>
    <row r="16811" spans="2:3">
      <c r="B16811" s="12"/>
      <c r="C16811" s="12"/>
    </row>
    <row r="16812" spans="2:3">
      <c r="B16812" s="12"/>
      <c r="C16812" s="12"/>
    </row>
    <row r="16813" spans="2:3">
      <c r="B16813" s="12"/>
      <c r="C16813" s="12"/>
    </row>
    <row r="16814" spans="2:3">
      <c r="B16814" s="12"/>
      <c r="C16814" s="12"/>
    </row>
    <row r="16815" spans="2:3">
      <c r="B16815" s="12"/>
      <c r="C16815" s="12"/>
    </row>
    <row r="16816" spans="2:3">
      <c r="B16816" s="12"/>
      <c r="C16816" s="12"/>
    </row>
    <row r="16817" spans="2:3">
      <c r="B16817" s="12"/>
      <c r="C16817" s="12"/>
    </row>
    <row r="16818" spans="2:3">
      <c r="B16818" s="12"/>
      <c r="C16818" s="12"/>
    </row>
    <row r="16819" spans="2:3">
      <c r="B16819" s="12"/>
      <c r="C16819" s="12"/>
    </row>
    <row r="16820" spans="2:3">
      <c r="B16820" s="12"/>
      <c r="C16820" s="12"/>
    </row>
    <row r="16821" spans="2:3">
      <c r="B16821" s="12"/>
      <c r="C16821" s="12"/>
    </row>
    <row r="16822" spans="2:3">
      <c r="B16822" s="12"/>
      <c r="C16822" s="12"/>
    </row>
    <row r="16823" spans="2:3">
      <c r="B16823" s="12"/>
      <c r="C16823" s="12"/>
    </row>
    <row r="16824" spans="2:3">
      <c r="B16824" s="12"/>
      <c r="C16824" s="12"/>
    </row>
    <row r="16825" spans="2:3">
      <c r="B16825" s="12"/>
      <c r="C16825" s="12"/>
    </row>
    <row r="16826" spans="2:3">
      <c r="B16826" s="12"/>
      <c r="C16826" s="12"/>
    </row>
    <row r="16827" spans="2:3">
      <c r="B16827" s="12"/>
      <c r="C16827" s="12"/>
    </row>
    <row r="16828" spans="2:3">
      <c r="B16828" s="12"/>
      <c r="C16828" s="12"/>
    </row>
    <row r="16829" spans="2:3">
      <c r="B16829" s="12"/>
      <c r="C16829" s="12"/>
    </row>
    <row r="16830" spans="2:3">
      <c r="B16830" s="12"/>
      <c r="C16830" s="12"/>
    </row>
    <row r="16831" spans="2:3">
      <c r="B16831" s="12"/>
      <c r="C16831" s="12"/>
    </row>
    <row r="16832" spans="2:3">
      <c r="B16832" s="12"/>
      <c r="C16832" s="12"/>
    </row>
    <row r="16833" spans="2:3">
      <c r="B16833" s="12"/>
      <c r="C16833" s="12"/>
    </row>
    <row r="16834" spans="2:3">
      <c r="B16834" s="12"/>
      <c r="C16834" s="12"/>
    </row>
    <row r="16835" spans="2:3">
      <c r="B16835" s="12"/>
      <c r="C16835" s="12"/>
    </row>
    <row r="16836" spans="2:3">
      <c r="B16836" s="12"/>
      <c r="C16836" s="12"/>
    </row>
    <row r="16837" spans="2:3">
      <c r="B16837" s="12"/>
      <c r="C16837" s="12"/>
    </row>
    <row r="16838" spans="2:3">
      <c r="B16838" s="12"/>
      <c r="C16838" s="12"/>
    </row>
    <row r="16839" spans="2:3">
      <c r="B16839" s="12"/>
      <c r="C16839" s="12"/>
    </row>
    <row r="16840" spans="2:3">
      <c r="B16840" s="12"/>
      <c r="C16840" s="12"/>
    </row>
    <row r="16841" spans="2:3">
      <c r="B16841" s="12"/>
      <c r="C16841" s="12"/>
    </row>
    <row r="16842" spans="2:3">
      <c r="B16842" s="12"/>
      <c r="C16842" s="12"/>
    </row>
    <row r="16843" spans="2:3">
      <c r="B16843" s="12"/>
      <c r="C16843" s="12"/>
    </row>
    <row r="16844" spans="2:3">
      <c r="B16844" s="12"/>
      <c r="C16844" s="12"/>
    </row>
    <row r="16845" spans="2:3">
      <c r="B16845" s="12"/>
      <c r="C16845" s="12"/>
    </row>
    <row r="16846" spans="2:3">
      <c r="B16846" s="12"/>
      <c r="C16846" s="12"/>
    </row>
    <row r="16847" spans="2:3">
      <c r="B16847" s="12"/>
      <c r="C16847" s="12"/>
    </row>
    <row r="16848" spans="2:3">
      <c r="B16848" s="12"/>
      <c r="C16848" s="12"/>
    </row>
    <row r="16849" spans="2:3">
      <c r="B16849" s="12"/>
      <c r="C16849" s="12"/>
    </row>
    <row r="16850" spans="2:3">
      <c r="B16850" s="12"/>
      <c r="C16850" s="12"/>
    </row>
    <row r="16851" spans="2:3">
      <c r="B16851" s="12"/>
      <c r="C16851" s="12"/>
    </row>
    <row r="16852" spans="2:3">
      <c r="B16852" s="12"/>
      <c r="C16852" s="12"/>
    </row>
    <row r="16853" spans="2:3">
      <c r="B16853" s="12"/>
      <c r="C16853" s="12"/>
    </row>
    <row r="16854" spans="2:3">
      <c r="B16854" s="12"/>
      <c r="C16854" s="12"/>
    </row>
    <row r="16855" spans="2:3">
      <c r="B16855" s="12"/>
      <c r="C16855" s="12"/>
    </row>
    <row r="16856" spans="2:3">
      <c r="B16856" s="12"/>
      <c r="C16856" s="12"/>
    </row>
    <row r="16857" spans="2:3">
      <c r="B16857" s="12"/>
      <c r="C16857" s="12"/>
    </row>
    <row r="16858" spans="2:3">
      <c r="B16858" s="12"/>
      <c r="C16858" s="12"/>
    </row>
    <row r="16859" spans="2:3">
      <c r="B16859" s="12"/>
      <c r="C16859" s="12"/>
    </row>
    <row r="16860" spans="2:3">
      <c r="B16860" s="12"/>
      <c r="C16860" s="12"/>
    </row>
    <row r="16861" spans="2:3">
      <c r="B16861" s="12"/>
      <c r="C16861" s="12"/>
    </row>
    <row r="16862" spans="2:3">
      <c r="B16862" s="12"/>
      <c r="C16862" s="12"/>
    </row>
    <row r="16863" spans="2:3">
      <c r="B16863" s="12"/>
      <c r="C16863" s="12"/>
    </row>
    <row r="16864" spans="2:3">
      <c r="B16864" s="12"/>
      <c r="C16864" s="12"/>
    </row>
    <row r="16865" spans="2:3">
      <c r="B16865" s="12"/>
      <c r="C16865" s="12"/>
    </row>
    <row r="16866" spans="2:3">
      <c r="B16866" s="12"/>
      <c r="C16866" s="12"/>
    </row>
    <row r="16867" spans="2:3">
      <c r="B16867" s="12"/>
      <c r="C16867" s="12"/>
    </row>
    <row r="16868" spans="2:3">
      <c r="B16868" s="12"/>
      <c r="C16868" s="12"/>
    </row>
    <row r="16869" spans="2:3">
      <c r="B16869" s="12"/>
      <c r="C16869" s="12"/>
    </row>
    <row r="16870" spans="2:3">
      <c r="B16870" s="12"/>
      <c r="C16870" s="12"/>
    </row>
    <row r="16871" spans="2:3">
      <c r="B16871" s="12"/>
      <c r="C16871" s="12"/>
    </row>
    <row r="16872" spans="2:3">
      <c r="B16872" s="12"/>
      <c r="C16872" s="12"/>
    </row>
    <row r="16873" spans="2:3">
      <c r="B16873" s="12"/>
      <c r="C16873" s="12"/>
    </row>
    <row r="16874" spans="2:3">
      <c r="B16874" s="12"/>
      <c r="C16874" s="12"/>
    </row>
    <row r="16875" spans="2:3">
      <c r="B16875" s="12"/>
      <c r="C16875" s="12"/>
    </row>
    <row r="16876" spans="2:3">
      <c r="B16876" s="12"/>
      <c r="C16876" s="12"/>
    </row>
    <row r="16877" spans="2:3">
      <c r="B16877" s="12"/>
      <c r="C16877" s="12"/>
    </row>
    <row r="16878" spans="2:3">
      <c r="B16878" s="12"/>
      <c r="C16878" s="12"/>
    </row>
    <row r="16879" spans="2:3">
      <c r="B16879" s="12"/>
      <c r="C16879" s="12"/>
    </row>
    <row r="16880" spans="2:3">
      <c r="B16880" s="12"/>
      <c r="C16880" s="12"/>
    </row>
    <row r="16881" spans="2:3">
      <c r="B16881" s="12"/>
      <c r="C16881" s="12"/>
    </row>
    <row r="16882" spans="2:3">
      <c r="B16882" s="12"/>
      <c r="C16882" s="12"/>
    </row>
    <row r="16883" spans="2:3">
      <c r="B16883" s="12"/>
      <c r="C16883" s="12"/>
    </row>
    <row r="16884" spans="2:3">
      <c r="B16884" s="12"/>
      <c r="C16884" s="12"/>
    </row>
    <row r="16885" spans="2:3">
      <c r="B16885" s="12"/>
      <c r="C16885" s="12"/>
    </row>
    <row r="16886" spans="2:3">
      <c r="B16886" s="12"/>
      <c r="C16886" s="12"/>
    </row>
    <row r="16887" spans="2:3">
      <c r="B16887" s="12"/>
      <c r="C16887" s="12"/>
    </row>
    <row r="16888" spans="2:3">
      <c r="B16888" s="12"/>
      <c r="C16888" s="12"/>
    </row>
    <row r="16889" spans="2:3">
      <c r="B16889" s="12"/>
      <c r="C16889" s="12"/>
    </row>
    <row r="16890" spans="2:3">
      <c r="B16890" s="12"/>
      <c r="C16890" s="12"/>
    </row>
    <row r="16891" spans="2:3">
      <c r="B16891" s="12"/>
      <c r="C16891" s="12"/>
    </row>
    <row r="16892" spans="2:3">
      <c r="B16892" s="12"/>
      <c r="C16892" s="12"/>
    </row>
    <row r="16893" spans="2:3">
      <c r="B16893" s="12"/>
      <c r="C16893" s="12"/>
    </row>
    <row r="16894" spans="2:3">
      <c r="B16894" s="12"/>
      <c r="C16894" s="12"/>
    </row>
    <row r="16895" spans="2:3">
      <c r="B16895" s="12"/>
      <c r="C16895" s="12"/>
    </row>
    <row r="16896" spans="2:3">
      <c r="B16896" s="12"/>
      <c r="C16896" s="12"/>
    </row>
    <row r="16897" spans="2:3">
      <c r="B16897" s="12"/>
      <c r="C16897" s="12"/>
    </row>
    <row r="16898" spans="2:3">
      <c r="B16898" s="12"/>
      <c r="C16898" s="12"/>
    </row>
    <row r="16899" spans="2:3">
      <c r="B16899" s="12"/>
      <c r="C16899" s="12"/>
    </row>
    <row r="16900" spans="2:3">
      <c r="B16900" s="12"/>
      <c r="C16900" s="12"/>
    </row>
    <row r="16901" spans="2:3">
      <c r="B16901" s="12"/>
      <c r="C16901" s="12"/>
    </row>
    <row r="16902" spans="2:3">
      <c r="B16902" s="12"/>
      <c r="C16902" s="12"/>
    </row>
    <row r="16903" spans="2:3">
      <c r="B16903" s="12"/>
      <c r="C16903" s="12"/>
    </row>
    <row r="16904" spans="2:3">
      <c r="B16904" s="12"/>
      <c r="C16904" s="12"/>
    </row>
    <row r="16905" spans="2:3">
      <c r="B16905" s="12"/>
      <c r="C16905" s="12"/>
    </row>
    <row r="16906" spans="2:3">
      <c r="B16906" s="12"/>
      <c r="C16906" s="12"/>
    </row>
    <row r="16907" spans="2:3">
      <c r="B16907" s="12"/>
      <c r="C16907" s="12"/>
    </row>
    <row r="16908" spans="2:3">
      <c r="B16908" s="12"/>
      <c r="C16908" s="12"/>
    </row>
    <row r="16909" spans="2:3">
      <c r="B16909" s="12"/>
      <c r="C16909" s="12"/>
    </row>
    <row r="16910" spans="2:3">
      <c r="B16910" s="12"/>
      <c r="C16910" s="12"/>
    </row>
    <row r="16911" spans="2:3">
      <c r="B16911" s="12"/>
      <c r="C16911" s="12"/>
    </row>
    <row r="16912" spans="2:3">
      <c r="B16912" s="12"/>
      <c r="C16912" s="12"/>
    </row>
    <row r="16913" spans="2:3">
      <c r="B16913" s="12"/>
      <c r="C16913" s="12"/>
    </row>
    <row r="16914" spans="2:3">
      <c r="B16914" s="12"/>
      <c r="C16914" s="12"/>
    </row>
    <row r="16915" spans="2:3">
      <c r="B16915" s="12"/>
      <c r="C16915" s="12"/>
    </row>
    <row r="16916" spans="2:3">
      <c r="B16916" s="12"/>
      <c r="C16916" s="12"/>
    </row>
    <row r="16917" spans="2:3">
      <c r="B16917" s="12"/>
      <c r="C16917" s="12"/>
    </row>
    <row r="16918" spans="2:3">
      <c r="B16918" s="12"/>
      <c r="C16918" s="12"/>
    </row>
    <row r="16919" spans="2:3">
      <c r="B16919" s="12"/>
      <c r="C16919" s="12"/>
    </row>
    <row r="16920" spans="2:3">
      <c r="B16920" s="12"/>
      <c r="C16920" s="12"/>
    </row>
    <row r="16921" spans="2:3">
      <c r="B16921" s="12"/>
      <c r="C16921" s="12"/>
    </row>
    <row r="16922" spans="2:3">
      <c r="B16922" s="12"/>
      <c r="C16922" s="12"/>
    </row>
    <row r="16923" spans="2:3">
      <c r="B16923" s="12"/>
      <c r="C16923" s="12"/>
    </row>
    <row r="16924" spans="2:3">
      <c r="B16924" s="12"/>
      <c r="C16924" s="12"/>
    </row>
    <row r="16925" spans="2:3">
      <c r="B16925" s="12"/>
      <c r="C16925" s="12"/>
    </row>
    <row r="16926" spans="2:3">
      <c r="B16926" s="12"/>
      <c r="C16926" s="12"/>
    </row>
    <row r="16927" spans="2:3">
      <c r="B16927" s="12"/>
      <c r="C16927" s="12"/>
    </row>
    <row r="16928" spans="2:3">
      <c r="B16928" s="12"/>
      <c r="C16928" s="12"/>
    </row>
    <row r="16929" spans="2:3">
      <c r="B16929" s="12"/>
      <c r="C16929" s="12"/>
    </row>
    <row r="16930" spans="2:3">
      <c r="B16930" s="12"/>
      <c r="C16930" s="12"/>
    </row>
    <row r="16931" spans="2:3">
      <c r="B16931" s="12"/>
      <c r="C16931" s="12"/>
    </row>
    <row r="16932" spans="2:3">
      <c r="B16932" s="12"/>
      <c r="C16932" s="12"/>
    </row>
    <row r="16933" spans="2:3">
      <c r="B16933" s="12"/>
      <c r="C16933" s="12"/>
    </row>
    <row r="16934" spans="2:3">
      <c r="B16934" s="12"/>
      <c r="C16934" s="12"/>
    </row>
    <row r="16935" spans="2:3">
      <c r="B16935" s="12"/>
      <c r="C16935" s="12"/>
    </row>
    <row r="16936" spans="2:3">
      <c r="B16936" s="12"/>
      <c r="C16936" s="12"/>
    </row>
    <row r="16937" spans="2:3">
      <c r="B16937" s="12"/>
      <c r="C16937" s="12"/>
    </row>
    <row r="16938" spans="2:3">
      <c r="B16938" s="12"/>
      <c r="C16938" s="12"/>
    </row>
    <row r="16939" spans="2:3">
      <c r="B16939" s="12"/>
      <c r="C16939" s="12"/>
    </row>
    <row r="16940" spans="2:3">
      <c r="B16940" s="12"/>
      <c r="C16940" s="12"/>
    </row>
    <row r="16941" spans="2:3">
      <c r="B16941" s="12"/>
      <c r="C16941" s="12"/>
    </row>
    <row r="16942" spans="2:3">
      <c r="B16942" s="12"/>
      <c r="C16942" s="12"/>
    </row>
    <row r="16943" spans="2:3">
      <c r="B16943" s="12"/>
      <c r="C16943" s="12"/>
    </row>
    <row r="16944" spans="2:3">
      <c r="B16944" s="12"/>
      <c r="C16944" s="12"/>
    </row>
    <row r="16945" spans="2:3">
      <c r="B16945" s="12"/>
      <c r="C16945" s="12"/>
    </row>
    <row r="16946" spans="2:3">
      <c r="B16946" s="12"/>
      <c r="C16946" s="12"/>
    </row>
    <row r="16947" spans="2:3">
      <c r="B16947" s="12"/>
      <c r="C16947" s="12"/>
    </row>
    <row r="16948" spans="2:3">
      <c r="B16948" s="12"/>
      <c r="C16948" s="12"/>
    </row>
    <row r="16949" spans="2:3">
      <c r="B16949" s="12"/>
      <c r="C16949" s="12"/>
    </row>
    <row r="16950" spans="2:3">
      <c r="B16950" s="12"/>
      <c r="C16950" s="12"/>
    </row>
    <row r="16951" spans="2:3">
      <c r="B16951" s="12"/>
      <c r="C16951" s="12"/>
    </row>
    <row r="16952" spans="2:3">
      <c r="B16952" s="12"/>
      <c r="C16952" s="12"/>
    </row>
    <row r="16953" spans="2:3">
      <c r="B16953" s="12"/>
      <c r="C16953" s="12"/>
    </row>
    <row r="16954" spans="2:3">
      <c r="B16954" s="12"/>
      <c r="C16954" s="12"/>
    </row>
    <row r="16955" spans="2:3">
      <c r="B16955" s="12"/>
      <c r="C16955" s="12"/>
    </row>
    <row r="16956" spans="2:3">
      <c r="B16956" s="12"/>
      <c r="C16956" s="12"/>
    </row>
    <row r="16957" spans="2:3">
      <c r="B16957" s="12"/>
      <c r="C16957" s="12"/>
    </row>
    <row r="16958" spans="2:3">
      <c r="B16958" s="12"/>
      <c r="C16958" s="12"/>
    </row>
    <row r="16959" spans="2:3">
      <c r="B16959" s="12"/>
      <c r="C16959" s="12"/>
    </row>
    <row r="16960" spans="2:3">
      <c r="B16960" s="12"/>
      <c r="C16960" s="12"/>
    </row>
    <row r="16961" spans="2:3">
      <c r="B16961" s="12"/>
      <c r="C16961" s="12"/>
    </row>
    <row r="16962" spans="2:3">
      <c r="B16962" s="12"/>
      <c r="C16962" s="12"/>
    </row>
    <row r="16963" spans="2:3">
      <c r="B16963" s="12"/>
      <c r="C16963" s="12"/>
    </row>
    <row r="16964" spans="2:3">
      <c r="B16964" s="12"/>
      <c r="C16964" s="12"/>
    </row>
    <row r="16965" spans="2:3">
      <c r="B16965" s="12"/>
      <c r="C16965" s="12"/>
    </row>
    <row r="16966" spans="2:3">
      <c r="B16966" s="12"/>
      <c r="C16966" s="12"/>
    </row>
    <row r="16967" spans="2:3">
      <c r="B16967" s="12"/>
      <c r="C16967" s="12"/>
    </row>
    <row r="16968" spans="2:3">
      <c r="B16968" s="12"/>
      <c r="C16968" s="12"/>
    </row>
    <row r="16969" spans="2:3">
      <c r="B16969" s="12"/>
      <c r="C16969" s="12"/>
    </row>
    <row r="16970" spans="2:3">
      <c r="B16970" s="12"/>
      <c r="C16970" s="12"/>
    </row>
    <row r="16971" spans="2:3">
      <c r="B16971" s="12"/>
      <c r="C16971" s="12"/>
    </row>
    <row r="16972" spans="2:3">
      <c r="B16972" s="12"/>
      <c r="C16972" s="12"/>
    </row>
    <row r="16973" spans="2:3">
      <c r="B16973" s="12"/>
      <c r="C16973" s="12"/>
    </row>
    <row r="16974" spans="2:3">
      <c r="B16974" s="12"/>
      <c r="C16974" s="12"/>
    </row>
    <row r="16975" spans="2:3">
      <c r="B16975" s="12"/>
      <c r="C16975" s="12"/>
    </row>
    <row r="16976" spans="2:3">
      <c r="B16976" s="12"/>
      <c r="C16976" s="12"/>
    </row>
    <row r="16977" spans="2:3">
      <c r="B16977" s="12"/>
      <c r="C16977" s="12"/>
    </row>
    <row r="16978" spans="2:3">
      <c r="B16978" s="12"/>
      <c r="C16978" s="12"/>
    </row>
    <row r="16979" spans="2:3">
      <c r="B16979" s="12"/>
      <c r="C16979" s="12"/>
    </row>
    <row r="16980" spans="2:3">
      <c r="B16980" s="12"/>
      <c r="C16980" s="12"/>
    </row>
    <row r="16981" spans="2:3">
      <c r="B16981" s="12"/>
      <c r="C16981" s="12"/>
    </row>
    <row r="16982" spans="2:3">
      <c r="B16982" s="12"/>
      <c r="C16982" s="12"/>
    </row>
    <row r="16983" spans="2:3">
      <c r="B16983" s="12"/>
      <c r="C16983" s="12"/>
    </row>
    <row r="16984" spans="2:3">
      <c r="B16984" s="12"/>
      <c r="C16984" s="12"/>
    </row>
    <row r="16985" spans="2:3">
      <c r="B16985" s="12"/>
      <c r="C16985" s="12"/>
    </row>
    <row r="16986" spans="2:3">
      <c r="B16986" s="12"/>
      <c r="C16986" s="12"/>
    </row>
    <row r="16987" spans="2:3">
      <c r="B16987" s="12"/>
      <c r="C16987" s="12"/>
    </row>
    <row r="16988" spans="2:3">
      <c r="B16988" s="12"/>
      <c r="C16988" s="12"/>
    </row>
    <row r="16989" spans="2:3">
      <c r="B16989" s="12"/>
      <c r="C16989" s="12"/>
    </row>
    <row r="16990" spans="2:3">
      <c r="B16990" s="12"/>
      <c r="C16990" s="12"/>
    </row>
    <row r="16991" spans="2:3">
      <c r="B16991" s="12"/>
      <c r="C16991" s="12"/>
    </row>
    <row r="16992" spans="2:3">
      <c r="B16992" s="12"/>
      <c r="C16992" s="12"/>
    </row>
    <row r="16993" spans="2:3">
      <c r="B16993" s="12"/>
      <c r="C16993" s="12"/>
    </row>
    <row r="16994" spans="2:3">
      <c r="B16994" s="12"/>
      <c r="C16994" s="12"/>
    </row>
    <row r="16995" spans="2:3">
      <c r="B16995" s="12"/>
      <c r="C16995" s="12"/>
    </row>
    <row r="16996" spans="2:3">
      <c r="B16996" s="12"/>
      <c r="C16996" s="12"/>
    </row>
    <row r="16997" spans="2:3">
      <c r="B16997" s="12"/>
      <c r="C16997" s="12"/>
    </row>
    <row r="16998" spans="2:3">
      <c r="B16998" s="12"/>
      <c r="C16998" s="12"/>
    </row>
    <row r="16999" spans="2:3">
      <c r="B16999" s="12"/>
      <c r="C16999" s="12"/>
    </row>
    <row r="17000" spans="2:3">
      <c r="B17000" s="12"/>
      <c r="C17000" s="12"/>
    </row>
    <row r="17001" spans="2:3">
      <c r="B17001" s="12"/>
      <c r="C17001" s="12"/>
    </row>
    <row r="17002" spans="2:3">
      <c r="B17002" s="12"/>
      <c r="C17002" s="12"/>
    </row>
    <row r="17003" spans="2:3">
      <c r="B17003" s="12"/>
      <c r="C17003" s="12"/>
    </row>
    <row r="17004" spans="2:3">
      <c r="B17004" s="12"/>
      <c r="C17004" s="12"/>
    </row>
    <row r="17005" spans="2:3">
      <c r="B17005" s="12"/>
      <c r="C17005" s="12"/>
    </row>
    <row r="17006" spans="2:3">
      <c r="B17006" s="12"/>
      <c r="C17006" s="12"/>
    </row>
    <row r="17007" spans="2:3">
      <c r="B17007" s="12"/>
      <c r="C17007" s="12"/>
    </row>
    <row r="17008" spans="2:3">
      <c r="B17008" s="12"/>
      <c r="C17008" s="12"/>
    </row>
    <row r="17009" spans="2:3">
      <c r="B17009" s="12"/>
      <c r="C17009" s="12"/>
    </row>
    <row r="17010" spans="2:3">
      <c r="B17010" s="12"/>
      <c r="C17010" s="12"/>
    </row>
    <row r="17011" spans="2:3">
      <c r="B17011" s="12"/>
      <c r="C17011" s="12"/>
    </row>
    <row r="17012" spans="2:3">
      <c r="B17012" s="12"/>
      <c r="C17012" s="12"/>
    </row>
    <row r="17013" spans="2:3">
      <c r="B17013" s="12"/>
      <c r="C17013" s="12"/>
    </row>
    <row r="17014" spans="2:3">
      <c r="B17014" s="12"/>
      <c r="C17014" s="12"/>
    </row>
    <row r="17015" spans="2:3">
      <c r="B17015" s="12"/>
      <c r="C17015" s="12"/>
    </row>
    <row r="17016" spans="2:3">
      <c r="B17016" s="12"/>
      <c r="C17016" s="12"/>
    </row>
    <row r="17017" spans="2:3">
      <c r="B17017" s="12"/>
      <c r="C17017" s="12"/>
    </row>
    <row r="17018" spans="2:3">
      <c r="B17018" s="12"/>
      <c r="C17018" s="12"/>
    </row>
    <row r="17019" spans="2:3">
      <c r="B17019" s="12"/>
      <c r="C17019" s="12"/>
    </row>
    <row r="17020" spans="2:3">
      <c r="B17020" s="12"/>
      <c r="C17020" s="12"/>
    </row>
    <row r="17021" spans="2:3">
      <c r="B17021" s="12"/>
      <c r="C17021" s="12"/>
    </row>
    <row r="17022" spans="2:3">
      <c r="B17022" s="12"/>
      <c r="C17022" s="12"/>
    </row>
    <row r="17023" spans="2:3">
      <c r="B17023" s="12"/>
      <c r="C17023" s="12"/>
    </row>
    <row r="17024" spans="2:3">
      <c r="B17024" s="12"/>
      <c r="C17024" s="12"/>
    </row>
    <row r="17025" spans="2:3">
      <c r="B17025" s="12"/>
      <c r="C17025" s="12"/>
    </row>
    <row r="17026" spans="2:3">
      <c r="B17026" s="12"/>
      <c r="C17026" s="12"/>
    </row>
    <row r="17027" spans="2:3">
      <c r="B17027" s="12"/>
      <c r="C17027" s="12"/>
    </row>
    <row r="17028" spans="2:3">
      <c r="B17028" s="12"/>
      <c r="C17028" s="12"/>
    </row>
    <row r="17029" spans="2:3">
      <c r="B17029" s="12"/>
      <c r="C17029" s="12"/>
    </row>
    <row r="17030" spans="2:3">
      <c r="B17030" s="12"/>
      <c r="C17030" s="12"/>
    </row>
    <row r="17031" spans="2:3">
      <c r="B17031" s="12"/>
      <c r="C17031" s="12"/>
    </row>
    <row r="17032" spans="2:3">
      <c r="B17032" s="12"/>
      <c r="C17032" s="12"/>
    </row>
    <row r="17033" spans="2:3">
      <c r="B17033" s="12"/>
      <c r="C17033" s="12"/>
    </row>
    <row r="17034" spans="2:3">
      <c r="B17034" s="12"/>
      <c r="C17034" s="12"/>
    </row>
    <row r="17035" spans="2:3">
      <c r="B17035" s="12"/>
      <c r="C17035" s="12"/>
    </row>
    <row r="17036" spans="2:3">
      <c r="B17036" s="12"/>
      <c r="C17036" s="12"/>
    </row>
    <row r="17037" spans="2:3">
      <c r="B17037" s="12"/>
      <c r="C17037" s="12"/>
    </row>
    <row r="17038" spans="2:3">
      <c r="B17038" s="12"/>
      <c r="C17038" s="12"/>
    </row>
    <row r="17039" spans="2:3">
      <c r="B17039" s="12"/>
      <c r="C17039" s="12"/>
    </row>
    <row r="17040" spans="2:3">
      <c r="B17040" s="12"/>
      <c r="C17040" s="12"/>
    </row>
    <row r="17041" spans="2:3">
      <c r="B17041" s="12"/>
      <c r="C17041" s="12"/>
    </row>
    <row r="17042" spans="2:3">
      <c r="B17042" s="12"/>
      <c r="C17042" s="12"/>
    </row>
    <row r="17043" spans="2:3">
      <c r="B17043" s="12"/>
      <c r="C17043" s="12"/>
    </row>
    <row r="17044" spans="2:3">
      <c r="B17044" s="12"/>
      <c r="C17044" s="12"/>
    </row>
    <row r="17045" spans="2:3">
      <c r="B17045" s="12"/>
      <c r="C17045" s="12"/>
    </row>
    <row r="17046" spans="2:3">
      <c r="B17046" s="12"/>
      <c r="C17046" s="12"/>
    </row>
    <row r="17047" spans="2:3">
      <c r="B17047" s="12"/>
      <c r="C17047" s="12"/>
    </row>
    <row r="17048" spans="2:3">
      <c r="B17048" s="12"/>
      <c r="C17048" s="12"/>
    </row>
    <row r="17049" spans="2:3">
      <c r="B17049" s="12"/>
      <c r="C17049" s="12"/>
    </row>
    <row r="17050" spans="2:3">
      <c r="B17050" s="12"/>
      <c r="C17050" s="12"/>
    </row>
    <row r="17051" spans="2:3">
      <c r="B17051" s="12"/>
      <c r="C17051" s="12"/>
    </row>
    <row r="17052" spans="2:3">
      <c r="B17052" s="12"/>
      <c r="C17052" s="12"/>
    </row>
    <row r="17053" spans="2:3">
      <c r="B17053" s="12"/>
      <c r="C17053" s="12"/>
    </row>
    <row r="17054" spans="2:3">
      <c r="B17054" s="12"/>
      <c r="C17054" s="12"/>
    </row>
    <row r="17055" spans="2:3">
      <c r="B17055" s="12"/>
      <c r="C17055" s="12"/>
    </row>
    <row r="17056" spans="2:3">
      <c r="B17056" s="12"/>
      <c r="C17056" s="12"/>
    </row>
    <row r="17057" spans="2:3">
      <c r="B17057" s="12"/>
      <c r="C17057" s="12"/>
    </row>
    <row r="17058" spans="2:3">
      <c r="B17058" s="12"/>
      <c r="C17058" s="12"/>
    </row>
    <row r="17059" spans="2:3">
      <c r="B17059" s="12"/>
      <c r="C17059" s="12"/>
    </row>
    <row r="17060" spans="2:3">
      <c r="B17060" s="12"/>
      <c r="C17060" s="12"/>
    </row>
    <row r="17061" spans="2:3">
      <c r="B17061" s="12"/>
      <c r="C17061" s="12"/>
    </row>
    <row r="17062" spans="2:3">
      <c r="B17062" s="12"/>
      <c r="C17062" s="12"/>
    </row>
    <row r="17063" spans="2:3">
      <c r="B17063" s="12"/>
      <c r="C17063" s="12"/>
    </row>
    <row r="17064" spans="2:3">
      <c r="B17064" s="12"/>
      <c r="C17064" s="12"/>
    </row>
    <row r="17065" spans="2:3">
      <c r="B17065" s="12"/>
      <c r="C17065" s="12"/>
    </row>
    <row r="17066" spans="2:3">
      <c r="B17066" s="12"/>
      <c r="C17066" s="12"/>
    </row>
    <row r="17067" spans="2:3">
      <c r="B17067" s="12"/>
      <c r="C17067" s="12"/>
    </row>
    <row r="17068" spans="2:3">
      <c r="B17068" s="12"/>
      <c r="C17068" s="12"/>
    </row>
    <row r="17069" spans="2:3">
      <c r="B17069" s="12"/>
      <c r="C17069" s="12"/>
    </row>
    <row r="17070" spans="2:3">
      <c r="B17070" s="12"/>
      <c r="C17070" s="12"/>
    </row>
    <row r="17071" spans="2:3">
      <c r="B17071" s="12"/>
      <c r="C17071" s="12"/>
    </row>
    <row r="17072" spans="2:3">
      <c r="B17072" s="12"/>
      <c r="C17072" s="12"/>
    </row>
    <row r="17073" spans="2:3">
      <c r="B17073" s="12"/>
      <c r="C17073" s="12"/>
    </row>
    <row r="17074" spans="2:3">
      <c r="B17074" s="12"/>
      <c r="C17074" s="12"/>
    </row>
    <row r="17075" spans="2:3">
      <c r="B17075" s="12"/>
      <c r="C17075" s="12"/>
    </row>
    <row r="17076" spans="2:3">
      <c r="B17076" s="12"/>
      <c r="C17076" s="12"/>
    </row>
    <row r="17077" spans="2:3">
      <c r="B17077" s="12"/>
      <c r="C17077" s="12"/>
    </row>
    <row r="17078" spans="2:3">
      <c r="B17078" s="12"/>
      <c r="C17078" s="12"/>
    </row>
    <row r="17079" spans="2:3">
      <c r="B17079" s="12"/>
      <c r="C17079" s="12"/>
    </row>
    <row r="17080" spans="2:3">
      <c r="B17080" s="12"/>
      <c r="C17080" s="12"/>
    </row>
    <row r="17081" spans="2:3">
      <c r="B17081" s="12"/>
      <c r="C17081" s="12"/>
    </row>
    <row r="17082" spans="2:3">
      <c r="B17082" s="12"/>
      <c r="C17082" s="12"/>
    </row>
    <row r="17083" spans="2:3">
      <c r="B17083" s="12"/>
      <c r="C17083" s="12"/>
    </row>
    <row r="17084" spans="2:3">
      <c r="B17084" s="12"/>
      <c r="C17084" s="12"/>
    </row>
    <row r="17085" spans="2:3">
      <c r="B17085" s="12"/>
      <c r="C17085" s="12"/>
    </row>
    <row r="17086" spans="2:3">
      <c r="B17086" s="12"/>
      <c r="C17086" s="12"/>
    </row>
    <row r="17087" spans="2:3">
      <c r="B17087" s="12"/>
      <c r="C17087" s="12"/>
    </row>
    <row r="17088" spans="2:3">
      <c r="B17088" s="12"/>
      <c r="C17088" s="12"/>
    </row>
    <row r="17089" spans="2:3">
      <c r="B17089" s="12"/>
      <c r="C17089" s="12"/>
    </row>
    <row r="17090" spans="2:3">
      <c r="B17090" s="12"/>
      <c r="C17090" s="12"/>
    </row>
    <row r="17091" spans="2:3">
      <c r="B17091" s="12"/>
      <c r="C17091" s="12"/>
    </row>
    <row r="17092" spans="2:3">
      <c r="B17092" s="12"/>
      <c r="C17092" s="12"/>
    </row>
    <row r="17093" spans="2:3">
      <c r="B17093" s="12"/>
      <c r="C17093" s="12"/>
    </row>
    <row r="17094" spans="2:3">
      <c r="B17094" s="12"/>
      <c r="C17094" s="12"/>
    </row>
    <row r="17095" spans="2:3">
      <c r="B17095" s="12"/>
      <c r="C17095" s="12"/>
    </row>
    <row r="17096" spans="2:3">
      <c r="B17096" s="12"/>
      <c r="C17096" s="12"/>
    </row>
    <row r="17097" spans="2:3">
      <c r="B17097" s="12"/>
      <c r="C17097" s="12"/>
    </row>
    <row r="17098" spans="2:3">
      <c r="B17098" s="12"/>
      <c r="C17098" s="12"/>
    </row>
    <row r="17099" spans="2:3">
      <c r="B17099" s="12"/>
      <c r="C17099" s="12"/>
    </row>
    <row r="17100" spans="2:3">
      <c r="B17100" s="12"/>
      <c r="C17100" s="12"/>
    </row>
    <row r="17101" spans="2:3">
      <c r="B17101" s="12"/>
      <c r="C17101" s="12"/>
    </row>
    <row r="17102" spans="2:3">
      <c r="B17102" s="12"/>
      <c r="C17102" s="12"/>
    </row>
    <row r="17103" spans="2:3">
      <c r="B17103" s="12"/>
      <c r="C17103" s="12"/>
    </row>
    <row r="17104" spans="2:3">
      <c r="B17104" s="12"/>
      <c r="C17104" s="12"/>
    </row>
    <row r="17105" spans="2:3">
      <c r="B17105" s="12"/>
      <c r="C17105" s="12"/>
    </row>
    <row r="17106" spans="2:3">
      <c r="B17106" s="12"/>
      <c r="C17106" s="12"/>
    </row>
    <row r="17107" spans="2:3">
      <c r="B17107" s="12"/>
      <c r="C17107" s="12"/>
    </row>
    <row r="17108" spans="2:3">
      <c r="B17108" s="12"/>
      <c r="C17108" s="12"/>
    </row>
    <row r="17109" spans="2:3">
      <c r="B17109" s="12"/>
      <c r="C17109" s="12"/>
    </row>
    <row r="17110" spans="2:3">
      <c r="B17110" s="12"/>
      <c r="C17110" s="12"/>
    </row>
    <row r="17111" spans="2:3">
      <c r="B17111" s="12"/>
      <c r="C17111" s="12"/>
    </row>
    <row r="17112" spans="2:3">
      <c r="B17112" s="12"/>
      <c r="C17112" s="12"/>
    </row>
    <row r="17113" spans="2:3">
      <c r="B17113" s="12"/>
      <c r="C17113" s="12"/>
    </row>
    <row r="17114" spans="2:3">
      <c r="B17114" s="12"/>
      <c r="C17114" s="12"/>
    </row>
    <row r="17115" spans="2:3">
      <c r="B17115" s="12"/>
      <c r="C17115" s="12"/>
    </row>
    <row r="17116" spans="2:3">
      <c r="B17116" s="12"/>
      <c r="C17116" s="12"/>
    </row>
    <row r="17117" spans="2:3">
      <c r="B17117" s="12"/>
      <c r="C17117" s="12"/>
    </row>
    <row r="17118" spans="2:3">
      <c r="B17118" s="12"/>
      <c r="C17118" s="12"/>
    </row>
    <row r="17119" spans="2:3">
      <c r="B17119" s="12"/>
      <c r="C17119" s="12"/>
    </row>
    <row r="17120" spans="2:3">
      <c r="B17120" s="12"/>
      <c r="C17120" s="12"/>
    </row>
    <row r="17121" spans="2:3">
      <c r="B17121" s="12"/>
      <c r="C17121" s="12"/>
    </row>
    <row r="17122" spans="2:3">
      <c r="B17122" s="12"/>
      <c r="C17122" s="12"/>
    </row>
    <row r="17123" spans="2:3">
      <c r="B17123" s="12"/>
      <c r="C17123" s="12"/>
    </row>
    <row r="17124" spans="2:3">
      <c r="B17124" s="12"/>
      <c r="C17124" s="12"/>
    </row>
    <row r="17125" spans="2:3">
      <c r="B17125" s="12"/>
      <c r="C17125" s="12"/>
    </row>
    <row r="17126" spans="2:3">
      <c r="B17126" s="12"/>
      <c r="C17126" s="12"/>
    </row>
    <row r="17127" spans="2:3">
      <c r="B17127" s="12"/>
      <c r="C17127" s="12"/>
    </row>
    <row r="17128" spans="2:3">
      <c r="B17128" s="12"/>
      <c r="C17128" s="12"/>
    </row>
    <row r="17129" spans="2:3">
      <c r="B17129" s="12"/>
      <c r="C17129" s="12"/>
    </row>
    <row r="17130" spans="2:3">
      <c r="B17130" s="12"/>
      <c r="C17130" s="12"/>
    </row>
    <row r="17131" spans="2:3">
      <c r="B17131" s="12"/>
      <c r="C17131" s="12"/>
    </row>
    <row r="17132" spans="2:3">
      <c r="B17132" s="12"/>
      <c r="C17132" s="12"/>
    </row>
    <row r="17133" spans="2:3">
      <c r="B17133" s="12"/>
      <c r="C17133" s="12"/>
    </row>
    <row r="17134" spans="2:3">
      <c r="B17134" s="12"/>
      <c r="C17134" s="12"/>
    </row>
    <row r="17135" spans="2:3">
      <c r="B17135" s="12"/>
      <c r="C17135" s="12"/>
    </row>
    <row r="17136" spans="2:3">
      <c r="B17136" s="12"/>
      <c r="C17136" s="12"/>
    </row>
    <row r="17137" spans="2:3">
      <c r="B17137" s="12"/>
      <c r="C17137" s="12"/>
    </row>
    <row r="17138" spans="2:3">
      <c r="B17138" s="12"/>
      <c r="C17138" s="12"/>
    </row>
    <row r="17139" spans="2:3">
      <c r="B17139" s="12"/>
      <c r="C17139" s="12"/>
    </row>
    <row r="17140" spans="2:3">
      <c r="B17140" s="12"/>
      <c r="C17140" s="12"/>
    </row>
    <row r="17141" spans="2:3">
      <c r="B17141" s="12"/>
      <c r="C17141" s="12"/>
    </row>
    <row r="17142" spans="2:3">
      <c r="B17142" s="12"/>
      <c r="C17142" s="12"/>
    </row>
    <row r="17143" spans="2:3">
      <c r="B17143" s="12"/>
      <c r="C17143" s="12"/>
    </row>
    <row r="17144" spans="2:3">
      <c r="B17144" s="12"/>
      <c r="C17144" s="12"/>
    </row>
    <row r="17145" spans="2:3">
      <c r="B17145" s="12"/>
      <c r="C17145" s="12"/>
    </row>
    <row r="17146" spans="2:3">
      <c r="B17146" s="12"/>
      <c r="C17146" s="12"/>
    </row>
    <row r="17147" spans="2:3">
      <c r="B17147" s="12"/>
      <c r="C17147" s="12"/>
    </row>
    <row r="17148" spans="2:3">
      <c r="B17148" s="12"/>
      <c r="C17148" s="12"/>
    </row>
    <row r="17149" spans="2:3">
      <c r="B17149" s="12"/>
      <c r="C17149" s="12"/>
    </row>
    <row r="17150" spans="2:3">
      <c r="B17150" s="12"/>
      <c r="C17150" s="12"/>
    </row>
    <row r="17151" spans="2:3">
      <c r="B17151" s="12"/>
      <c r="C17151" s="12"/>
    </row>
    <row r="17152" spans="2:3">
      <c r="B17152" s="12"/>
      <c r="C17152" s="12"/>
    </row>
    <row r="17153" spans="2:3">
      <c r="B17153" s="12"/>
      <c r="C17153" s="12"/>
    </row>
    <row r="17154" spans="2:3">
      <c r="B17154" s="12"/>
      <c r="C17154" s="12"/>
    </row>
    <row r="17155" spans="2:3">
      <c r="B17155" s="12"/>
      <c r="C17155" s="12"/>
    </row>
    <row r="17156" spans="2:3">
      <c r="B17156" s="12"/>
      <c r="C17156" s="12"/>
    </row>
    <row r="17157" spans="2:3">
      <c r="B17157" s="12"/>
      <c r="C17157" s="12"/>
    </row>
    <row r="17158" spans="2:3">
      <c r="B17158" s="12"/>
      <c r="C17158" s="12"/>
    </row>
    <row r="17159" spans="2:3">
      <c r="B17159" s="12"/>
      <c r="C17159" s="12"/>
    </row>
    <row r="17160" spans="2:3">
      <c r="B17160" s="12"/>
      <c r="C17160" s="12"/>
    </row>
    <row r="17161" spans="2:3">
      <c r="B17161" s="12"/>
      <c r="C17161" s="12"/>
    </row>
    <row r="17162" spans="2:3">
      <c r="B17162" s="12"/>
      <c r="C17162" s="12"/>
    </row>
    <row r="17163" spans="2:3">
      <c r="B17163" s="12"/>
      <c r="C17163" s="12"/>
    </row>
    <row r="17164" spans="2:3">
      <c r="B17164" s="12"/>
      <c r="C17164" s="12"/>
    </row>
    <row r="17165" spans="2:3">
      <c r="B17165" s="12"/>
      <c r="C17165" s="12"/>
    </row>
    <row r="17166" spans="2:3">
      <c r="B17166" s="12"/>
      <c r="C17166" s="12"/>
    </row>
    <row r="17167" spans="2:3">
      <c r="B17167" s="12"/>
      <c r="C17167" s="12"/>
    </row>
    <row r="17168" spans="2:3">
      <c r="B17168" s="12"/>
      <c r="C17168" s="12"/>
    </row>
    <row r="17169" spans="2:3">
      <c r="B17169" s="12"/>
      <c r="C17169" s="12"/>
    </row>
    <row r="17170" spans="2:3">
      <c r="B17170" s="12"/>
      <c r="C17170" s="12"/>
    </row>
    <row r="17171" spans="2:3">
      <c r="B17171" s="12"/>
      <c r="C17171" s="12"/>
    </row>
    <row r="17172" spans="2:3">
      <c r="B17172" s="12"/>
      <c r="C17172" s="12"/>
    </row>
    <row r="17173" spans="2:3">
      <c r="B17173" s="12"/>
      <c r="C17173" s="12"/>
    </row>
    <row r="17174" spans="2:3">
      <c r="B17174" s="12"/>
      <c r="C17174" s="12"/>
    </row>
    <row r="17175" spans="2:3">
      <c r="B17175" s="12"/>
      <c r="C17175" s="12"/>
    </row>
    <row r="17176" spans="2:3">
      <c r="B17176" s="12"/>
      <c r="C17176" s="12"/>
    </row>
    <row r="17177" spans="2:3">
      <c r="B17177" s="12"/>
      <c r="C17177" s="12"/>
    </row>
    <row r="17178" spans="2:3">
      <c r="B17178" s="12"/>
      <c r="C17178" s="12"/>
    </row>
    <row r="17179" spans="2:3">
      <c r="B17179" s="12"/>
      <c r="C17179" s="12"/>
    </row>
    <row r="17180" spans="2:3">
      <c r="B17180" s="12"/>
      <c r="C17180" s="12"/>
    </row>
    <row r="17181" spans="2:3">
      <c r="B17181" s="12"/>
      <c r="C17181" s="12"/>
    </row>
    <row r="17182" spans="2:3">
      <c r="B17182" s="12"/>
      <c r="C17182" s="12"/>
    </row>
    <row r="17183" spans="2:3">
      <c r="B17183" s="12"/>
      <c r="C17183" s="12"/>
    </row>
    <row r="17184" spans="2:3">
      <c r="B17184" s="12"/>
      <c r="C17184" s="12"/>
    </row>
    <row r="17185" spans="2:3">
      <c r="B17185" s="12"/>
      <c r="C17185" s="12"/>
    </row>
    <row r="17186" spans="2:3">
      <c r="B17186" s="12"/>
      <c r="C17186" s="12"/>
    </row>
    <row r="17187" spans="2:3">
      <c r="B17187" s="12"/>
      <c r="C17187" s="12"/>
    </row>
    <row r="17188" spans="2:3">
      <c r="B17188" s="12"/>
      <c r="C17188" s="12"/>
    </row>
    <row r="17189" spans="2:3">
      <c r="B17189" s="12"/>
      <c r="C17189" s="12"/>
    </row>
    <row r="17190" spans="2:3">
      <c r="B17190" s="12"/>
      <c r="C17190" s="12"/>
    </row>
    <row r="17191" spans="2:3">
      <c r="B17191" s="12"/>
      <c r="C17191" s="12"/>
    </row>
    <row r="17192" spans="2:3">
      <c r="B17192" s="12"/>
      <c r="C17192" s="12"/>
    </row>
    <row r="17193" spans="2:3">
      <c r="B17193" s="12"/>
      <c r="C17193" s="12"/>
    </row>
    <row r="17194" spans="2:3">
      <c r="B17194" s="12"/>
      <c r="C17194" s="12"/>
    </row>
    <row r="17195" spans="2:3">
      <c r="B17195" s="12"/>
      <c r="C17195" s="12"/>
    </row>
    <row r="17196" spans="2:3">
      <c r="B17196" s="12"/>
      <c r="C17196" s="12"/>
    </row>
    <row r="17197" spans="2:3">
      <c r="B17197" s="12"/>
      <c r="C17197" s="12"/>
    </row>
    <row r="17198" spans="2:3">
      <c r="B17198" s="12"/>
      <c r="C17198" s="12"/>
    </row>
    <row r="17199" spans="2:3">
      <c r="B17199" s="12"/>
      <c r="C17199" s="12"/>
    </row>
    <row r="17200" spans="2:3">
      <c r="B17200" s="12"/>
      <c r="C17200" s="12"/>
    </row>
    <row r="17201" spans="2:3">
      <c r="B17201" s="12"/>
      <c r="C17201" s="12"/>
    </row>
    <row r="17202" spans="2:3">
      <c r="B17202" s="12"/>
      <c r="C17202" s="12"/>
    </row>
    <row r="17203" spans="2:3">
      <c r="B17203" s="12"/>
      <c r="C17203" s="12"/>
    </row>
    <row r="17204" spans="2:3">
      <c r="B17204" s="12"/>
      <c r="C17204" s="12"/>
    </row>
    <row r="17205" spans="2:3">
      <c r="B17205" s="12"/>
      <c r="C17205" s="12"/>
    </row>
    <row r="17206" spans="2:3">
      <c r="B17206" s="12"/>
      <c r="C17206" s="12"/>
    </row>
    <row r="17207" spans="2:3">
      <c r="B17207" s="12"/>
      <c r="C17207" s="12"/>
    </row>
    <row r="17208" spans="2:3">
      <c r="B17208" s="12"/>
      <c r="C17208" s="12"/>
    </row>
    <row r="17209" spans="2:3">
      <c r="B17209" s="12"/>
      <c r="C17209" s="12"/>
    </row>
    <row r="17210" spans="2:3">
      <c r="B17210" s="12"/>
      <c r="C17210" s="12"/>
    </row>
    <row r="17211" spans="2:3">
      <c r="B17211" s="12"/>
      <c r="C17211" s="12"/>
    </row>
    <row r="17212" spans="2:3">
      <c r="B17212" s="12"/>
      <c r="C17212" s="12"/>
    </row>
    <row r="17213" spans="2:3">
      <c r="B17213" s="12"/>
      <c r="C17213" s="12"/>
    </row>
    <row r="17214" spans="2:3">
      <c r="B17214" s="12"/>
      <c r="C17214" s="12"/>
    </row>
    <row r="17215" spans="2:3">
      <c r="B17215" s="12"/>
      <c r="C17215" s="12"/>
    </row>
    <row r="17216" spans="2:3">
      <c r="B17216" s="12"/>
      <c r="C17216" s="12"/>
    </row>
    <row r="17217" spans="2:3">
      <c r="B17217" s="12"/>
      <c r="C17217" s="12"/>
    </row>
    <row r="17218" spans="2:3">
      <c r="B17218" s="12"/>
      <c r="C17218" s="12"/>
    </row>
    <row r="17219" spans="2:3">
      <c r="B17219" s="12"/>
      <c r="C17219" s="12"/>
    </row>
    <row r="17220" spans="2:3">
      <c r="B17220" s="12"/>
      <c r="C17220" s="12"/>
    </row>
    <row r="17221" spans="2:3">
      <c r="B17221" s="12"/>
      <c r="C17221" s="12"/>
    </row>
    <row r="17222" spans="2:3">
      <c r="B17222" s="12"/>
      <c r="C17222" s="12"/>
    </row>
    <row r="17223" spans="2:3">
      <c r="B17223" s="12"/>
      <c r="C17223" s="12"/>
    </row>
    <row r="17224" spans="2:3">
      <c r="B17224" s="12"/>
      <c r="C17224" s="12"/>
    </row>
    <row r="17225" spans="2:3">
      <c r="B17225" s="12"/>
      <c r="C17225" s="12"/>
    </row>
    <row r="17226" spans="2:3">
      <c r="B17226" s="12"/>
      <c r="C17226" s="12"/>
    </row>
    <row r="17227" spans="2:3">
      <c r="B17227" s="12"/>
      <c r="C17227" s="12"/>
    </row>
    <row r="17228" spans="2:3">
      <c r="B17228" s="12"/>
      <c r="C17228" s="12"/>
    </row>
    <row r="17229" spans="2:3">
      <c r="B17229" s="12"/>
      <c r="C17229" s="12"/>
    </row>
    <row r="17230" spans="2:3">
      <c r="B17230" s="12"/>
      <c r="C17230" s="12"/>
    </row>
    <row r="17231" spans="2:3">
      <c r="B17231" s="12"/>
      <c r="C17231" s="12"/>
    </row>
    <row r="17232" spans="2:3">
      <c r="B17232" s="12"/>
      <c r="C17232" s="12"/>
    </row>
    <row r="17233" spans="2:3">
      <c r="B17233" s="12"/>
      <c r="C17233" s="12"/>
    </row>
    <row r="17234" spans="2:3">
      <c r="B17234" s="12"/>
      <c r="C17234" s="12"/>
    </row>
    <row r="17235" spans="2:3">
      <c r="B17235" s="12"/>
      <c r="C17235" s="12"/>
    </row>
    <row r="17236" spans="2:3">
      <c r="B17236" s="12"/>
      <c r="C17236" s="12"/>
    </row>
    <row r="17237" spans="2:3">
      <c r="B17237" s="12"/>
      <c r="C17237" s="12"/>
    </row>
    <row r="17238" spans="2:3">
      <c r="B17238" s="12"/>
      <c r="C17238" s="12"/>
    </row>
    <row r="17239" spans="2:3">
      <c r="B17239" s="12"/>
      <c r="C17239" s="12"/>
    </row>
    <row r="17240" spans="2:3">
      <c r="B17240" s="12"/>
      <c r="C17240" s="12"/>
    </row>
    <row r="17241" spans="2:3">
      <c r="B17241" s="12"/>
      <c r="C17241" s="12"/>
    </row>
    <row r="17242" spans="2:3">
      <c r="B17242" s="12"/>
      <c r="C17242" s="12"/>
    </row>
    <row r="17243" spans="2:3">
      <c r="B17243" s="12"/>
      <c r="C17243" s="12"/>
    </row>
    <row r="17244" spans="2:3">
      <c r="B17244" s="12"/>
      <c r="C17244" s="12"/>
    </row>
    <row r="17245" spans="2:3">
      <c r="B17245" s="12"/>
      <c r="C17245" s="12"/>
    </row>
    <row r="17246" spans="2:3">
      <c r="B17246" s="12"/>
      <c r="C17246" s="12"/>
    </row>
    <row r="17247" spans="2:3">
      <c r="B17247" s="12"/>
      <c r="C17247" s="12"/>
    </row>
    <row r="17248" spans="2:3">
      <c r="B17248" s="12"/>
      <c r="C17248" s="12"/>
    </row>
    <row r="17249" spans="2:3">
      <c r="B17249" s="12"/>
      <c r="C17249" s="12"/>
    </row>
    <row r="17250" spans="2:3">
      <c r="B17250" s="12"/>
      <c r="C17250" s="12"/>
    </row>
    <row r="17251" spans="2:3">
      <c r="B17251" s="12"/>
      <c r="C17251" s="12"/>
    </row>
    <row r="17252" spans="2:3">
      <c r="B17252" s="12"/>
      <c r="C17252" s="12"/>
    </row>
    <row r="17253" spans="2:3">
      <c r="B17253" s="12"/>
      <c r="C17253" s="12"/>
    </row>
    <row r="17254" spans="2:3">
      <c r="B17254" s="12"/>
      <c r="C17254" s="12"/>
    </row>
    <row r="17255" spans="2:3">
      <c r="B17255" s="12"/>
      <c r="C17255" s="12"/>
    </row>
    <row r="17256" spans="2:3">
      <c r="B17256" s="12"/>
      <c r="C17256" s="12"/>
    </row>
    <row r="17257" spans="2:3">
      <c r="B17257" s="12"/>
      <c r="C17257" s="12"/>
    </row>
    <row r="17258" spans="2:3">
      <c r="B17258" s="12"/>
      <c r="C17258" s="12"/>
    </row>
    <row r="17259" spans="2:3">
      <c r="B17259" s="12"/>
      <c r="C17259" s="12"/>
    </row>
    <row r="17260" spans="2:3">
      <c r="B17260" s="12"/>
      <c r="C17260" s="12"/>
    </row>
    <row r="17261" spans="2:3">
      <c r="B17261" s="12"/>
      <c r="C17261" s="12"/>
    </row>
    <row r="17262" spans="2:3">
      <c r="B17262" s="12"/>
      <c r="C17262" s="12"/>
    </row>
    <row r="17263" spans="2:3">
      <c r="B17263" s="12"/>
      <c r="C17263" s="12"/>
    </row>
    <row r="17264" spans="2:3">
      <c r="B17264" s="12"/>
      <c r="C17264" s="12"/>
    </row>
    <row r="17265" spans="2:3">
      <c r="B17265" s="12"/>
      <c r="C17265" s="12"/>
    </row>
    <row r="17266" spans="2:3">
      <c r="B17266" s="12"/>
      <c r="C17266" s="12"/>
    </row>
    <row r="17267" spans="2:3">
      <c r="B17267" s="12"/>
      <c r="C17267" s="12"/>
    </row>
    <row r="17268" spans="2:3">
      <c r="B17268" s="12"/>
      <c r="C17268" s="12"/>
    </row>
    <row r="17269" spans="2:3">
      <c r="B17269" s="12"/>
      <c r="C17269" s="12"/>
    </row>
    <row r="17270" spans="2:3">
      <c r="B17270" s="12"/>
      <c r="C17270" s="12"/>
    </row>
    <row r="17271" spans="2:3">
      <c r="B17271" s="12"/>
      <c r="C17271" s="12"/>
    </row>
    <row r="17272" spans="2:3">
      <c r="B17272" s="12"/>
      <c r="C17272" s="12"/>
    </row>
    <row r="17273" spans="2:3">
      <c r="B17273" s="12"/>
      <c r="C17273" s="12"/>
    </row>
    <row r="17274" spans="2:3">
      <c r="B17274" s="12"/>
      <c r="C17274" s="12"/>
    </row>
    <row r="17275" spans="2:3">
      <c r="B17275" s="12"/>
      <c r="C17275" s="12"/>
    </row>
    <row r="17276" spans="2:3">
      <c r="B17276" s="12"/>
      <c r="C17276" s="12"/>
    </row>
    <row r="17277" spans="2:3">
      <c r="B17277" s="12"/>
      <c r="C17277" s="12"/>
    </row>
    <row r="17278" spans="2:3">
      <c r="B17278" s="12"/>
      <c r="C17278" s="12"/>
    </row>
    <row r="17279" spans="2:3">
      <c r="B17279" s="12"/>
      <c r="C17279" s="12"/>
    </row>
    <row r="17280" spans="2:3">
      <c r="B17280" s="12"/>
      <c r="C17280" s="12"/>
    </row>
    <row r="17281" spans="2:3">
      <c r="B17281" s="12"/>
      <c r="C17281" s="12"/>
    </row>
    <row r="17282" spans="2:3">
      <c r="B17282" s="12"/>
      <c r="C17282" s="12"/>
    </row>
    <row r="17283" spans="2:3">
      <c r="B17283" s="12"/>
      <c r="C17283" s="12"/>
    </row>
    <row r="17284" spans="2:3">
      <c r="B17284" s="12"/>
      <c r="C17284" s="12"/>
    </row>
    <row r="17285" spans="2:3">
      <c r="B17285" s="12"/>
      <c r="C17285" s="12"/>
    </row>
    <row r="17286" spans="2:3">
      <c r="B17286" s="12"/>
      <c r="C17286" s="12"/>
    </row>
    <row r="17287" spans="2:3">
      <c r="B17287" s="12"/>
      <c r="C17287" s="12"/>
    </row>
    <row r="17288" spans="2:3">
      <c r="B17288" s="12"/>
      <c r="C17288" s="12"/>
    </row>
    <row r="17289" spans="2:3">
      <c r="B17289" s="12"/>
      <c r="C17289" s="12"/>
    </row>
    <row r="17290" spans="2:3">
      <c r="B17290" s="12"/>
      <c r="C17290" s="12"/>
    </row>
    <row r="17291" spans="2:3">
      <c r="B17291" s="12"/>
      <c r="C17291" s="12"/>
    </row>
    <row r="17292" spans="2:3">
      <c r="B17292" s="12"/>
      <c r="C17292" s="12"/>
    </row>
    <row r="17293" spans="2:3">
      <c r="B17293" s="12"/>
      <c r="C17293" s="12"/>
    </row>
    <row r="17294" spans="2:3">
      <c r="B17294" s="12"/>
      <c r="C17294" s="12"/>
    </row>
    <row r="17295" spans="2:3">
      <c r="B17295" s="12"/>
      <c r="C17295" s="12"/>
    </row>
    <row r="17296" spans="2:3">
      <c r="B17296" s="12"/>
      <c r="C17296" s="12"/>
    </row>
    <row r="17297" spans="2:3">
      <c r="B17297" s="12"/>
      <c r="C17297" s="12"/>
    </row>
    <row r="17298" spans="2:3">
      <c r="B17298" s="12"/>
      <c r="C17298" s="12"/>
    </row>
    <row r="17299" spans="2:3">
      <c r="B17299" s="12"/>
      <c r="C17299" s="12"/>
    </row>
    <row r="17300" spans="2:3">
      <c r="B17300" s="12"/>
      <c r="C17300" s="12"/>
    </row>
    <row r="17301" spans="2:3">
      <c r="B17301" s="12"/>
      <c r="C17301" s="12"/>
    </row>
    <row r="17302" spans="2:3">
      <c r="B17302" s="12"/>
      <c r="C17302" s="12"/>
    </row>
    <row r="17303" spans="2:3">
      <c r="B17303" s="12"/>
      <c r="C17303" s="12"/>
    </row>
    <row r="17304" spans="2:3">
      <c r="B17304" s="12"/>
      <c r="C17304" s="12"/>
    </row>
    <row r="17305" spans="2:3">
      <c r="B17305" s="12"/>
      <c r="C17305" s="12"/>
    </row>
    <row r="17306" spans="2:3">
      <c r="B17306" s="12"/>
      <c r="C17306" s="12"/>
    </row>
    <row r="17307" spans="2:3">
      <c r="B17307" s="12"/>
      <c r="C17307" s="12"/>
    </row>
    <row r="17308" spans="2:3">
      <c r="B17308" s="12"/>
      <c r="C17308" s="12"/>
    </row>
    <row r="17309" spans="2:3">
      <c r="B17309" s="12"/>
      <c r="C17309" s="12"/>
    </row>
    <row r="17310" spans="2:3">
      <c r="B17310" s="12"/>
      <c r="C17310" s="12"/>
    </row>
    <row r="17311" spans="2:3">
      <c r="B17311" s="12"/>
      <c r="C17311" s="12"/>
    </row>
    <row r="17312" spans="2:3">
      <c r="B17312" s="12"/>
      <c r="C17312" s="12"/>
    </row>
    <row r="17313" spans="2:3">
      <c r="B17313" s="12"/>
      <c r="C17313" s="12"/>
    </row>
    <row r="17314" spans="2:3">
      <c r="B17314" s="12"/>
      <c r="C17314" s="12"/>
    </row>
    <row r="17315" spans="2:3">
      <c r="B17315" s="12"/>
      <c r="C17315" s="12"/>
    </row>
    <row r="17316" spans="2:3">
      <c r="B17316" s="12"/>
      <c r="C17316" s="12"/>
    </row>
    <row r="17317" spans="2:3">
      <c r="B17317" s="12"/>
      <c r="C17317" s="12"/>
    </row>
    <row r="17318" spans="2:3">
      <c r="B17318" s="12"/>
      <c r="C17318" s="12"/>
    </row>
    <row r="17319" spans="2:3">
      <c r="B17319" s="12"/>
      <c r="C17319" s="12"/>
    </row>
    <row r="17320" spans="2:3">
      <c r="B17320" s="12"/>
      <c r="C17320" s="12"/>
    </row>
    <row r="17321" spans="2:3">
      <c r="B17321" s="12"/>
      <c r="C17321" s="12"/>
    </row>
    <row r="17322" spans="2:3">
      <c r="B17322" s="12"/>
      <c r="C17322" s="12"/>
    </row>
    <row r="17323" spans="2:3">
      <c r="B17323" s="12"/>
      <c r="C17323" s="12"/>
    </row>
    <row r="17324" spans="2:3">
      <c r="B17324" s="12"/>
      <c r="C17324" s="12"/>
    </row>
    <row r="17325" spans="2:3">
      <c r="B17325" s="12"/>
      <c r="C17325" s="12"/>
    </row>
    <row r="17326" spans="2:3">
      <c r="B17326" s="12"/>
      <c r="C17326" s="12"/>
    </row>
    <row r="17327" spans="2:3">
      <c r="B17327" s="12"/>
      <c r="C17327" s="12"/>
    </row>
    <row r="17328" spans="2:3">
      <c r="B17328" s="12"/>
      <c r="C17328" s="12"/>
    </row>
    <row r="17329" spans="2:3">
      <c r="B17329" s="12"/>
      <c r="C17329" s="12"/>
    </row>
    <row r="17330" spans="2:3">
      <c r="B17330" s="12"/>
      <c r="C17330" s="12"/>
    </row>
    <row r="17331" spans="2:3">
      <c r="B17331" s="12"/>
      <c r="C17331" s="12"/>
    </row>
    <row r="17332" spans="2:3">
      <c r="B17332" s="12"/>
      <c r="C17332" s="12"/>
    </row>
    <row r="17333" spans="2:3">
      <c r="B17333" s="12"/>
      <c r="C17333" s="12"/>
    </row>
    <row r="17334" spans="2:3">
      <c r="B17334" s="12"/>
      <c r="C17334" s="12"/>
    </row>
    <row r="17335" spans="2:3">
      <c r="B17335" s="12"/>
      <c r="C17335" s="12"/>
    </row>
    <row r="17336" spans="2:3">
      <c r="B17336" s="12"/>
      <c r="C17336" s="12"/>
    </row>
    <row r="17337" spans="2:3">
      <c r="B17337" s="12"/>
      <c r="C17337" s="12"/>
    </row>
    <row r="17338" spans="2:3">
      <c r="B17338" s="12"/>
      <c r="C17338" s="12"/>
    </row>
    <row r="17339" spans="2:3">
      <c r="B17339" s="12"/>
      <c r="C17339" s="12"/>
    </row>
    <row r="17340" spans="2:3">
      <c r="B17340" s="12"/>
      <c r="C17340" s="12"/>
    </row>
    <row r="17341" spans="2:3">
      <c r="B17341" s="12"/>
      <c r="C17341" s="12"/>
    </row>
    <row r="17342" spans="2:3">
      <c r="B17342" s="12"/>
      <c r="C17342" s="12"/>
    </row>
    <row r="17343" spans="2:3">
      <c r="B17343" s="12"/>
      <c r="C17343" s="12"/>
    </row>
    <row r="17344" spans="2:3">
      <c r="B17344" s="12"/>
      <c r="C17344" s="12"/>
    </row>
    <row r="17345" spans="2:3">
      <c r="B17345" s="12"/>
      <c r="C17345" s="12"/>
    </row>
    <row r="17346" spans="2:3">
      <c r="B17346" s="12"/>
      <c r="C17346" s="12"/>
    </row>
    <row r="17347" spans="2:3">
      <c r="B17347" s="12"/>
      <c r="C17347" s="12"/>
    </row>
    <row r="17348" spans="2:3">
      <c r="B17348" s="12"/>
      <c r="C17348" s="12"/>
    </row>
    <row r="17349" spans="2:3">
      <c r="B17349" s="12"/>
      <c r="C17349" s="12"/>
    </row>
    <row r="17350" spans="2:3">
      <c r="B17350" s="12"/>
      <c r="C17350" s="12"/>
    </row>
    <row r="17351" spans="2:3">
      <c r="B17351" s="12"/>
      <c r="C17351" s="12"/>
    </row>
    <row r="17352" spans="2:3">
      <c r="B17352" s="12"/>
      <c r="C17352" s="12"/>
    </row>
    <row r="17353" spans="2:3">
      <c r="B17353" s="12"/>
      <c r="C17353" s="12"/>
    </row>
    <row r="17354" spans="2:3">
      <c r="B17354" s="12"/>
      <c r="C17354" s="12"/>
    </row>
    <row r="17355" spans="2:3">
      <c r="B17355" s="12"/>
      <c r="C17355" s="12"/>
    </row>
    <row r="17356" spans="2:3">
      <c r="B17356" s="12"/>
      <c r="C17356" s="12"/>
    </row>
    <row r="17357" spans="2:3">
      <c r="B17357" s="12"/>
      <c r="C17357" s="12"/>
    </row>
    <row r="17358" spans="2:3">
      <c r="B17358" s="12"/>
      <c r="C17358" s="12"/>
    </row>
    <row r="17359" spans="2:3">
      <c r="B17359" s="12"/>
      <c r="C17359" s="12"/>
    </row>
    <row r="17360" spans="2:3">
      <c r="B17360" s="12"/>
      <c r="C17360" s="12"/>
    </row>
    <row r="17361" spans="2:3">
      <c r="B17361" s="12"/>
      <c r="C17361" s="12"/>
    </row>
    <row r="17362" spans="2:3">
      <c r="B17362" s="12"/>
      <c r="C17362" s="12"/>
    </row>
    <row r="17363" spans="2:3">
      <c r="B17363" s="12"/>
      <c r="C17363" s="12"/>
    </row>
    <row r="17364" spans="2:3">
      <c r="B17364" s="12"/>
      <c r="C17364" s="12"/>
    </row>
    <row r="17365" spans="2:3">
      <c r="B17365" s="12"/>
      <c r="C17365" s="12"/>
    </row>
    <row r="17366" spans="2:3">
      <c r="B17366" s="12"/>
      <c r="C17366" s="12"/>
    </row>
    <row r="17367" spans="2:3">
      <c r="B17367" s="12"/>
      <c r="C17367" s="12"/>
    </row>
    <row r="17368" spans="2:3">
      <c r="B17368" s="12"/>
      <c r="C17368" s="12"/>
    </row>
    <row r="17369" spans="2:3">
      <c r="B17369" s="12"/>
      <c r="C17369" s="12"/>
    </row>
    <row r="17370" spans="2:3">
      <c r="B17370" s="12"/>
      <c r="C17370" s="12"/>
    </row>
    <row r="17371" spans="2:3">
      <c r="B17371" s="12"/>
      <c r="C17371" s="12"/>
    </row>
    <row r="17372" spans="2:3">
      <c r="B17372" s="12"/>
      <c r="C17372" s="12"/>
    </row>
    <row r="17373" spans="2:3">
      <c r="B17373" s="12"/>
      <c r="C17373" s="12"/>
    </row>
    <row r="17374" spans="2:3">
      <c r="B17374" s="12"/>
      <c r="C17374" s="12"/>
    </row>
    <row r="17375" spans="2:3">
      <c r="B17375" s="12"/>
      <c r="C17375" s="12"/>
    </row>
    <row r="17376" spans="2:3">
      <c r="B17376" s="12"/>
      <c r="C17376" s="12"/>
    </row>
    <row r="17377" spans="2:3">
      <c r="B17377" s="12"/>
      <c r="C17377" s="12"/>
    </row>
    <row r="17378" spans="2:3">
      <c r="B17378" s="12"/>
      <c r="C17378" s="12"/>
    </row>
    <row r="17379" spans="2:3">
      <c r="B17379" s="12"/>
      <c r="C17379" s="12"/>
    </row>
    <row r="17380" spans="2:3">
      <c r="B17380" s="12"/>
      <c r="C17380" s="12"/>
    </row>
    <row r="17381" spans="2:3">
      <c r="B17381" s="12"/>
      <c r="C17381" s="12"/>
    </row>
    <row r="17382" spans="2:3">
      <c r="B17382" s="12"/>
      <c r="C17382" s="12"/>
    </row>
    <row r="17383" spans="2:3">
      <c r="B17383" s="12"/>
      <c r="C17383" s="12"/>
    </row>
    <row r="17384" spans="2:3">
      <c r="B17384" s="12"/>
      <c r="C17384" s="12"/>
    </row>
    <row r="17385" spans="2:3">
      <c r="B17385" s="12"/>
      <c r="C17385" s="12"/>
    </row>
    <row r="17386" spans="2:3">
      <c r="B17386" s="12"/>
      <c r="C17386" s="12"/>
    </row>
    <row r="17387" spans="2:3">
      <c r="B17387" s="12"/>
      <c r="C17387" s="12"/>
    </row>
    <row r="17388" spans="2:3">
      <c r="B17388" s="12"/>
      <c r="C17388" s="12"/>
    </row>
    <row r="17389" spans="2:3">
      <c r="B17389" s="12"/>
      <c r="C17389" s="12"/>
    </row>
    <row r="17390" spans="2:3">
      <c r="B17390" s="12"/>
      <c r="C17390" s="12"/>
    </row>
    <row r="17391" spans="2:3">
      <c r="B17391" s="12"/>
      <c r="C17391" s="12"/>
    </row>
    <row r="17392" spans="2:3">
      <c r="B17392" s="12"/>
      <c r="C17392" s="12"/>
    </row>
    <row r="17393" spans="2:3">
      <c r="B17393" s="12"/>
      <c r="C17393" s="12"/>
    </row>
    <row r="17394" spans="2:3">
      <c r="B17394" s="12"/>
      <c r="C17394" s="12"/>
    </row>
    <row r="17395" spans="2:3">
      <c r="B17395" s="12"/>
      <c r="C17395" s="12"/>
    </row>
    <row r="17396" spans="2:3">
      <c r="B17396" s="12"/>
      <c r="C17396" s="12"/>
    </row>
    <row r="17397" spans="2:3">
      <c r="B17397" s="12"/>
      <c r="C17397" s="12"/>
    </row>
    <row r="17398" spans="2:3">
      <c r="B17398" s="12"/>
      <c r="C17398" s="12"/>
    </row>
    <row r="17399" spans="2:3">
      <c r="B17399" s="12"/>
      <c r="C17399" s="12"/>
    </row>
    <row r="17400" spans="2:3">
      <c r="B17400" s="12"/>
      <c r="C17400" s="12"/>
    </row>
    <row r="17401" spans="2:3">
      <c r="B17401" s="12"/>
      <c r="C17401" s="12"/>
    </row>
    <row r="17402" spans="2:3">
      <c r="B17402" s="12"/>
      <c r="C17402" s="12"/>
    </row>
    <row r="17403" spans="2:3">
      <c r="B17403" s="12"/>
      <c r="C17403" s="12"/>
    </row>
    <row r="17404" spans="2:3">
      <c r="B17404" s="12"/>
      <c r="C17404" s="12"/>
    </row>
    <row r="17405" spans="2:3">
      <c r="B17405" s="12"/>
      <c r="C17405" s="12"/>
    </row>
    <row r="17406" spans="2:3">
      <c r="B17406" s="12"/>
      <c r="C17406" s="12"/>
    </row>
    <row r="17407" spans="2:3">
      <c r="B17407" s="12"/>
      <c r="C17407" s="12"/>
    </row>
    <row r="17408" spans="2:3">
      <c r="B17408" s="12"/>
      <c r="C17408" s="12"/>
    </row>
    <row r="17409" spans="2:3">
      <c r="B17409" s="12"/>
      <c r="C17409" s="12"/>
    </row>
    <row r="17410" spans="2:3">
      <c r="B17410" s="12"/>
      <c r="C17410" s="12"/>
    </row>
    <row r="17411" spans="2:3">
      <c r="B17411" s="12"/>
      <c r="C17411" s="12"/>
    </row>
    <row r="17412" spans="2:3">
      <c r="B17412" s="12"/>
      <c r="C17412" s="12"/>
    </row>
    <row r="17413" spans="2:3">
      <c r="B17413" s="12"/>
      <c r="C17413" s="12"/>
    </row>
    <row r="17414" spans="2:3">
      <c r="B17414" s="12"/>
      <c r="C17414" s="12"/>
    </row>
    <row r="17415" spans="2:3">
      <c r="B17415" s="12"/>
      <c r="C17415" s="12"/>
    </row>
    <row r="17416" spans="2:3">
      <c r="B17416" s="12"/>
      <c r="C17416" s="12"/>
    </row>
    <row r="17417" spans="2:3">
      <c r="B17417" s="12"/>
      <c r="C17417" s="12"/>
    </row>
    <row r="17418" spans="2:3">
      <c r="B17418" s="12"/>
      <c r="C17418" s="12"/>
    </row>
    <row r="17419" spans="2:3">
      <c r="B17419" s="12"/>
      <c r="C17419" s="12"/>
    </row>
    <row r="17420" spans="2:3">
      <c r="B17420" s="12"/>
      <c r="C17420" s="12"/>
    </row>
    <row r="17421" spans="2:3">
      <c r="B17421" s="12"/>
      <c r="C17421" s="12"/>
    </row>
    <row r="17422" spans="2:3">
      <c r="B17422" s="12"/>
      <c r="C17422" s="12"/>
    </row>
    <row r="17423" spans="2:3">
      <c r="B17423" s="12"/>
      <c r="C17423" s="12"/>
    </row>
    <row r="17424" spans="2:3">
      <c r="B17424" s="12"/>
      <c r="C17424" s="12"/>
    </row>
    <row r="17425" spans="2:3">
      <c r="B17425" s="12"/>
      <c r="C17425" s="12"/>
    </row>
    <row r="17426" spans="2:3">
      <c r="B17426" s="12"/>
      <c r="C17426" s="12"/>
    </row>
    <row r="17427" spans="2:3">
      <c r="B17427" s="12"/>
      <c r="C17427" s="12"/>
    </row>
    <row r="17428" spans="2:3">
      <c r="B17428" s="12"/>
      <c r="C17428" s="12"/>
    </row>
    <row r="17429" spans="2:3">
      <c r="B17429" s="12"/>
      <c r="C17429" s="12"/>
    </row>
    <row r="17430" spans="2:3">
      <c r="B17430" s="12"/>
      <c r="C17430" s="12"/>
    </row>
    <row r="17431" spans="2:3">
      <c r="B17431" s="12"/>
      <c r="C17431" s="12"/>
    </row>
    <row r="17432" spans="2:3">
      <c r="B17432" s="12"/>
      <c r="C17432" s="12"/>
    </row>
    <row r="17433" spans="2:3">
      <c r="B17433" s="12"/>
      <c r="C17433" s="12"/>
    </row>
    <row r="17434" spans="2:3">
      <c r="B17434" s="12"/>
      <c r="C17434" s="12"/>
    </row>
    <row r="17435" spans="2:3">
      <c r="B17435" s="12"/>
      <c r="C17435" s="12"/>
    </row>
    <row r="17436" spans="2:3">
      <c r="B17436" s="12"/>
      <c r="C17436" s="12"/>
    </row>
    <row r="17437" spans="2:3">
      <c r="B17437" s="12"/>
      <c r="C17437" s="12"/>
    </row>
    <row r="17438" spans="2:3">
      <c r="B17438" s="12"/>
      <c r="C17438" s="12"/>
    </row>
    <row r="17439" spans="2:3">
      <c r="B17439" s="12"/>
      <c r="C17439" s="12"/>
    </row>
    <row r="17440" spans="2:3">
      <c r="B17440" s="12"/>
      <c r="C17440" s="12"/>
    </row>
    <row r="17441" spans="2:3">
      <c r="B17441" s="12"/>
      <c r="C17441" s="12"/>
    </row>
    <row r="17442" spans="2:3">
      <c r="B17442" s="12"/>
      <c r="C17442" s="12"/>
    </row>
    <row r="17443" spans="2:3">
      <c r="B17443" s="12"/>
      <c r="C17443" s="12"/>
    </row>
    <row r="17444" spans="2:3">
      <c r="B17444" s="12"/>
      <c r="C17444" s="12"/>
    </row>
    <row r="17445" spans="2:3">
      <c r="B17445" s="12"/>
      <c r="C17445" s="12"/>
    </row>
    <row r="17446" spans="2:3">
      <c r="B17446" s="12"/>
      <c r="C17446" s="12"/>
    </row>
    <row r="17447" spans="2:3">
      <c r="B17447" s="12"/>
      <c r="C17447" s="12"/>
    </row>
    <row r="17448" spans="2:3">
      <c r="B17448" s="12"/>
      <c r="C17448" s="12"/>
    </row>
    <row r="17449" spans="2:3">
      <c r="B17449" s="12"/>
      <c r="C17449" s="12"/>
    </row>
    <row r="17450" spans="2:3">
      <c r="B17450" s="12"/>
      <c r="C17450" s="12"/>
    </row>
    <row r="17451" spans="2:3">
      <c r="B17451" s="12"/>
      <c r="C17451" s="12"/>
    </row>
    <row r="17452" spans="2:3">
      <c r="B17452" s="12"/>
      <c r="C17452" s="12"/>
    </row>
    <row r="17453" spans="2:3">
      <c r="B17453" s="12"/>
      <c r="C17453" s="12"/>
    </row>
    <row r="17454" spans="2:3">
      <c r="B17454" s="12"/>
      <c r="C17454" s="12"/>
    </row>
    <row r="17455" spans="2:3">
      <c r="B17455" s="12"/>
      <c r="C17455" s="12"/>
    </row>
    <row r="17456" spans="2:3">
      <c r="B17456" s="12"/>
      <c r="C17456" s="12"/>
    </row>
    <row r="17457" spans="2:3">
      <c r="B17457" s="12"/>
      <c r="C17457" s="12"/>
    </row>
    <row r="17458" spans="2:3">
      <c r="B17458" s="12"/>
      <c r="C17458" s="12"/>
    </row>
    <row r="17459" spans="2:3">
      <c r="B17459" s="12"/>
      <c r="C17459" s="12"/>
    </row>
    <row r="17460" spans="2:3">
      <c r="B17460" s="12"/>
      <c r="C17460" s="12"/>
    </row>
    <row r="17461" spans="2:3">
      <c r="B17461" s="12"/>
      <c r="C17461" s="12"/>
    </row>
    <row r="17462" spans="2:3">
      <c r="B17462" s="12"/>
      <c r="C17462" s="12"/>
    </row>
    <row r="17463" spans="2:3">
      <c r="B17463" s="12"/>
      <c r="C17463" s="12"/>
    </row>
    <row r="17464" spans="2:3">
      <c r="B17464" s="12"/>
      <c r="C17464" s="12"/>
    </row>
    <row r="17465" spans="2:3">
      <c r="B17465" s="12"/>
      <c r="C17465" s="12"/>
    </row>
    <row r="17466" spans="2:3">
      <c r="B17466" s="12"/>
      <c r="C17466" s="12"/>
    </row>
    <row r="17467" spans="2:3">
      <c r="B17467" s="12"/>
      <c r="C17467" s="12"/>
    </row>
    <row r="17468" spans="2:3">
      <c r="B17468" s="12"/>
      <c r="C17468" s="12"/>
    </row>
    <row r="17469" spans="2:3">
      <c r="B17469" s="12"/>
      <c r="C17469" s="12"/>
    </row>
    <row r="17470" spans="2:3">
      <c r="B17470" s="12"/>
      <c r="C17470" s="12"/>
    </row>
    <row r="17471" spans="2:3">
      <c r="B17471" s="12"/>
      <c r="C17471" s="12"/>
    </row>
    <row r="17472" spans="2:3">
      <c r="B17472" s="12"/>
      <c r="C17472" s="12"/>
    </row>
    <row r="17473" spans="2:3">
      <c r="B17473" s="12"/>
      <c r="C17473" s="12"/>
    </row>
    <row r="17474" spans="2:3">
      <c r="B17474" s="12"/>
      <c r="C17474" s="12"/>
    </row>
    <row r="17475" spans="2:3">
      <c r="B17475" s="12"/>
      <c r="C17475" s="12"/>
    </row>
    <row r="17476" spans="2:3">
      <c r="B17476" s="12"/>
      <c r="C17476" s="12"/>
    </row>
    <row r="17477" spans="2:3">
      <c r="B17477" s="12"/>
      <c r="C17477" s="12"/>
    </row>
    <row r="17478" spans="2:3">
      <c r="B17478" s="12"/>
      <c r="C17478" s="12"/>
    </row>
    <row r="17479" spans="2:3">
      <c r="B17479" s="12"/>
      <c r="C17479" s="12"/>
    </row>
    <row r="17480" spans="2:3">
      <c r="B17480" s="12"/>
      <c r="C17480" s="12"/>
    </row>
    <row r="17481" spans="2:3">
      <c r="B17481" s="12"/>
      <c r="C17481" s="12"/>
    </row>
    <row r="17482" spans="2:3">
      <c r="B17482" s="12"/>
      <c r="C17482" s="12"/>
    </row>
    <row r="17483" spans="2:3">
      <c r="B17483" s="12"/>
      <c r="C17483" s="12"/>
    </row>
    <row r="17484" spans="2:3">
      <c r="B17484" s="12"/>
      <c r="C17484" s="12"/>
    </row>
    <row r="17485" spans="2:3">
      <c r="B17485" s="12"/>
      <c r="C17485" s="12"/>
    </row>
    <row r="17486" spans="2:3">
      <c r="B17486" s="12"/>
      <c r="C17486" s="12"/>
    </row>
    <row r="17487" spans="2:3">
      <c r="B17487" s="12"/>
      <c r="C17487" s="12"/>
    </row>
    <row r="17488" spans="2:3">
      <c r="B17488" s="12"/>
      <c r="C17488" s="12"/>
    </row>
    <row r="17489" spans="2:3">
      <c r="B17489" s="12"/>
      <c r="C17489" s="12"/>
    </row>
    <row r="17490" spans="2:3">
      <c r="B17490" s="12"/>
      <c r="C17490" s="12"/>
    </row>
    <row r="17491" spans="2:3">
      <c r="B17491" s="12"/>
      <c r="C17491" s="12"/>
    </row>
    <row r="17492" spans="2:3">
      <c r="B17492" s="12"/>
      <c r="C17492" s="12"/>
    </row>
    <row r="17493" spans="2:3">
      <c r="B17493" s="12"/>
      <c r="C17493" s="12"/>
    </row>
    <row r="17494" spans="2:3">
      <c r="B17494" s="12"/>
      <c r="C17494" s="12"/>
    </row>
    <row r="17495" spans="2:3">
      <c r="B17495" s="12"/>
      <c r="C17495" s="12"/>
    </row>
    <row r="17496" spans="2:3">
      <c r="B17496" s="12"/>
      <c r="C17496" s="12"/>
    </row>
    <row r="17497" spans="2:3">
      <c r="B17497" s="12"/>
      <c r="C17497" s="12"/>
    </row>
    <row r="17498" spans="2:3">
      <c r="B17498" s="12"/>
      <c r="C17498" s="12"/>
    </row>
    <row r="17499" spans="2:3">
      <c r="B17499" s="12"/>
      <c r="C17499" s="12"/>
    </row>
    <row r="17500" spans="2:3">
      <c r="B17500" s="12"/>
      <c r="C17500" s="12"/>
    </row>
    <row r="17501" spans="2:3">
      <c r="B17501" s="12"/>
      <c r="C17501" s="12"/>
    </row>
    <row r="17502" spans="2:3">
      <c r="B17502" s="12"/>
      <c r="C17502" s="12"/>
    </row>
    <row r="17503" spans="2:3">
      <c r="B17503" s="12"/>
      <c r="C17503" s="12"/>
    </row>
    <row r="17504" spans="2:3">
      <c r="B17504" s="12"/>
      <c r="C17504" s="12"/>
    </row>
    <row r="17505" spans="2:3">
      <c r="B17505" s="12"/>
      <c r="C17505" s="12"/>
    </row>
    <row r="17506" spans="2:3">
      <c r="B17506" s="12"/>
      <c r="C17506" s="12"/>
    </row>
    <row r="17507" spans="2:3">
      <c r="B17507" s="12"/>
      <c r="C17507" s="12"/>
    </row>
    <row r="17508" spans="2:3">
      <c r="B17508" s="12"/>
      <c r="C17508" s="12"/>
    </row>
    <row r="17509" spans="2:3">
      <c r="B17509" s="12"/>
      <c r="C17509" s="12"/>
    </row>
    <row r="17510" spans="2:3">
      <c r="B17510" s="12"/>
      <c r="C17510" s="12"/>
    </row>
    <row r="17511" spans="2:3">
      <c r="B17511" s="12"/>
      <c r="C17511" s="12"/>
    </row>
    <row r="17512" spans="2:3">
      <c r="B17512" s="12"/>
      <c r="C17512" s="12"/>
    </row>
    <row r="17513" spans="2:3">
      <c r="B17513" s="12"/>
      <c r="C17513" s="12"/>
    </row>
    <row r="17514" spans="2:3">
      <c r="B17514" s="12"/>
      <c r="C17514" s="12"/>
    </row>
    <row r="17515" spans="2:3">
      <c r="B17515" s="12"/>
      <c r="C17515" s="12"/>
    </row>
    <row r="17516" spans="2:3">
      <c r="B17516" s="12"/>
      <c r="C17516" s="12"/>
    </row>
    <row r="17517" spans="2:3">
      <c r="B17517" s="12"/>
      <c r="C17517" s="12"/>
    </row>
    <row r="17518" spans="2:3">
      <c r="B17518" s="12"/>
      <c r="C17518" s="12"/>
    </row>
    <row r="17519" spans="2:3">
      <c r="B17519" s="12"/>
      <c r="C17519" s="12"/>
    </row>
    <row r="17520" spans="2:3">
      <c r="B17520" s="12"/>
      <c r="C17520" s="12"/>
    </row>
    <row r="17521" spans="2:3">
      <c r="B17521" s="12"/>
      <c r="C17521" s="12"/>
    </row>
    <row r="17522" spans="2:3">
      <c r="B17522" s="12"/>
      <c r="C17522" s="12"/>
    </row>
    <row r="17523" spans="2:3">
      <c r="B17523" s="12"/>
      <c r="C17523" s="12"/>
    </row>
    <row r="17524" spans="2:3">
      <c r="B17524" s="12"/>
      <c r="C17524" s="12"/>
    </row>
    <row r="17525" spans="2:3">
      <c r="B17525" s="12"/>
      <c r="C17525" s="12"/>
    </row>
    <row r="17526" spans="2:3">
      <c r="B17526" s="12"/>
      <c r="C17526" s="12"/>
    </row>
    <row r="17527" spans="2:3">
      <c r="B17527" s="12"/>
      <c r="C17527" s="12"/>
    </row>
    <row r="17528" spans="2:3">
      <c r="B17528" s="12"/>
      <c r="C17528" s="12"/>
    </row>
    <row r="17529" spans="2:3">
      <c r="B17529" s="12"/>
      <c r="C17529" s="12"/>
    </row>
    <row r="17530" spans="2:3">
      <c r="B17530" s="12"/>
      <c r="C17530" s="12"/>
    </row>
    <row r="17531" spans="2:3">
      <c r="B17531" s="12"/>
      <c r="C17531" s="12"/>
    </row>
    <row r="17532" spans="2:3">
      <c r="B17532" s="12"/>
      <c r="C17532" s="12"/>
    </row>
    <row r="17533" spans="2:3">
      <c r="B17533" s="12"/>
      <c r="C17533" s="12"/>
    </row>
    <row r="17534" spans="2:3">
      <c r="B17534" s="12"/>
      <c r="C17534" s="12"/>
    </row>
    <row r="17535" spans="2:3">
      <c r="B17535" s="12"/>
      <c r="C17535" s="12"/>
    </row>
    <row r="17536" spans="2:3">
      <c r="B17536" s="12"/>
      <c r="C17536" s="12"/>
    </row>
    <row r="17537" spans="2:3">
      <c r="B17537" s="12"/>
      <c r="C17537" s="12"/>
    </row>
    <row r="17538" spans="2:3">
      <c r="B17538" s="12"/>
      <c r="C17538" s="12"/>
    </row>
    <row r="17539" spans="2:3">
      <c r="B17539" s="12"/>
      <c r="C17539" s="12"/>
    </row>
    <row r="17540" spans="2:3">
      <c r="B17540" s="12"/>
      <c r="C17540" s="12"/>
    </row>
    <row r="17541" spans="2:3">
      <c r="B17541" s="12"/>
      <c r="C17541" s="12"/>
    </row>
    <row r="17542" spans="2:3">
      <c r="B17542" s="12"/>
      <c r="C17542" s="12"/>
    </row>
    <row r="17543" spans="2:3">
      <c r="B17543" s="12"/>
      <c r="C17543" s="12"/>
    </row>
    <row r="17544" spans="2:3">
      <c r="B17544" s="12"/>
      <c r="C17544" s="12"/>
    </row>
    <row r="17545" spans="2:3">
      <c r="B17545" s="12"/>
      <c r="C17545" s="12"/>
    </row>
    <row r="17546" spans="2:3">
      <c r="B17546" s="12"/>
      <c r="C17546" s="12"/>
    </row>
    <row r="17547" spans="2:3">
      <c r="B17547" s="12"/>
      <c r="C17547" s="12"/>
    </row>
    <row r="17548" spans="2:3">
      <c r="B17548" s="12"/>
      <c r="C17548" s="12"/>
    </row>
    <row r="17549" spans="2:3">
      <c r="B17549" s="12"/>
      <c r="C17549" s="12"/>
    </row>
    <row r="17550" spans="2:3">
      <c r="B17550" s="12"/>
      <c r="C17550" s="12"/>
    </row>
    <row r="17551" spans="2:3">
      <c r="B17551" s="12"/>
      <c r="C17551" s="12"/>
    </row>
    <row r="17552" spans="2:3">
      <c r="B17552" s="12"/>
      <c r="C17552" s="12"/>
    </row>
    <row r="17553" spans="2:3">
      <c r="B17553" s="12"/>
      <c r="C17553" s="12"/>
    </row>
    <row r="17554" spans="2:3">
      <c r="B17554" s="12"/>
      <c r="C17554" s="12"/>
    </row>
    <row r="17555" spans="2:3">
      <c r="B17555" s="12"/>
      <c r="C17555" s="12"/>
    </row>
    <row r="17556" spans="2:3">
      <c r="B17556" s="12"/>
      <c r="C17556" s="12"/>
    </row>
    <row r="17557" spans="2:3">
      <c r="B17557" s="12"/>
      <c r="C17557" s="12"/>
    </row>
    <row r="17558" spans="2:3">
      <c r="B17558" s="12"/>
      <c r="C17558" s="12"/>
    </row>
    <row r="17559" spans="2:3">
      <c r="B17559" s="12"/>
      <c r="C17559" s="12"/>
    </row>
    <row r="17560" spans="2:3">
      <c r="B17560" s="12"/>
      <c r="C17560" s="12"/>
    </row>
    <row r="17561" spans="2:3">
      <c r="B17561" s="12"/>
      <c r="C17561" s="12"/>
    </row>
    <row r="17562" spans="2:3">
      <c r="B17562" s="12"/>
      <c r="C17562" s="12"/>
    </row>
    <row r="17563" spans="2:3">
      <c r="B17563" s="12"/>
      <c r="C17563" s="12"/>
    </row>
    <row r="17564" spans="2:3">
      <c r="B17564" s="12"/>
      <c r="C17564" s="12"/>
    </row>
    <row r="17565" spans="2:3">
      <c r="B17565" s="12"/>
      <c r="C17565" s="12"/>
    </row>
    <row r="17566" spans="2:3">
      <c r="B17566" s="12"/>
      <c r="C17566" s="12"/>
    </row>
    <row r="17567" spans="2:3">
      <c r="B17567" s="12"/>
      <c r="C17567" s="12"/>
    </row>
    <row r="17568" spans="2:3">
      <c r="B17568" s="12"/>
      <c r="C17568" s="12"/>
    </row>
    <row r="17569" spans="2:3">
      <c r="B17569" s="12"/>
      <c r="C17569" s="12"/>
    </row>
    <row r="17570" spans="2:3">
      <c r="B17570" s="12"/>
      <c r="C17570" s="12"/>
    </row>
    <row r="17571" spans="2:3">
      <c r="B17571" s="12"/>
      <c r="C17571" s="12"/>
    </row>
    <row r="17572" spans="2:3">
      <c r="B17572" s="12"/>
      <c r="C17572" s="12"/>
    </row>
    <row r="17573" spans="2:3">
      <c r="B17573" s="12"/>
      <c r="C17573" s="12"/>
    </row>
    <row r="17574" spans="2:3">
      <c r="B17574" s="12"/>
      <c r="C17574" s="12"/>
    </row>
    <row r="17575" spans="2:3">
      <c r="B17575" s="12"/>
      <c r="C17575" s="12"/>
    </row>
    <row r="17576" spans="2:3">
      <c r="B17576" s="12"/>
      <c r="C17576" s="12"/>
    </row>
    <row r="17577" spans="2:3">
      <c r="B17577" s="12"/>
      <c r="C17577" s="12"/>
    </row>
    <row r="17578" spans="2:3">
      <c r="B17578" s="12"/>
      <c r="C17578" s="12"/>
    </row>
    <row r="17579" spans="2:3">
      <c r="B17579" s="12"/>
      <c r="C17579" s="12"/>
    </row>
    <row r="17580" spans="2:3">
      <c r="B17580" s="12"/>
      <c r="C17580" s="12"/>
    </row>
    <row r="17581" spans="2:3">
      <c r="B17581" s="12"/>
      <c r="C17581" s="12"/>
    </row>
    <row r="17582" spans="2:3">
      <c r="B17582" s="12"/>
      <c r="C17582" s="12"/>
    </row>
    <row r="17583" spans="2:3">
      <c r="B17583" s="12"/>
      <c r="C17583" s="12"/>
    </row>
    <row r="17584" spans="2:3">
      <c r="B17584" s="12"/>
      <c r="C17584" s="12"/>
    </row>
    <row r="17585" spans="2:3">
      <c r="B17585" s="12"/>
      <c r="C17585" s="12"/>
    </row>
    <row r="17586" spans="2:3">
      <c r="B17586" s="12"/>
      <c r="C17586" s="12"/>
    </row>
    <row r="17587" spans="2:3">
      <c r="B17587" s="12"/>
      <c r="C17587" s="12"/>
    </row>
    <row r="17588" spans="2:3">
      <c r="B17588" s="12"/>
      <c r="C17588" s="12"/>
    </row>
    <row r="17589" spans="2:3">
      <c r="B17589" s="12"/>
      <c r="C17589" s="12"/>
    </row>
    <row r="17590" spans="2:3">
      <c r="B17590" s="12"/>
      <c r="C17590" s="12"/>
    </row>
    <row r="17591" spans="2:3">
      <c r="B17591" s="12"/>
      <c r="C17591" s="12"/>
    </row>
    <row r="17592" spans="2:3">
      <c r="B17592" s="12"/>
      <c r="C17592" s="12"/>
    </row>
    <row r="17593" spans="2:3">
      <c r="B17593" s="12"/>
      <c r="C17593" s="12"/>
    </row>
    <row r="17594" spans="2:3">
      <c r="B17594" s="12"/>
      <c r="C17594" s="12"/>
    </row>
    <row r="17595" spans="2:3">
      <c r="B17595" s="12"/>
      <c r="C17595" s="12"/>
    </row>
    <row r="17596" spans="2:3">
      <c r="B17596" s="12"/>
      <c r="C17596" s="12"/>
    </row>
    <row r="17597" spans="2:3">
      <c r="B17597" s="12"/>
      <c r="C17597" s="12"/>
    </row>
    <row r="17598" spans="2:3">
      <c r="B17598" s="12"/>
      <c r="C17598" s="12"/>
    </row>
    <row r="17599" spans="2:3">
      <c r="B17599" s="12"/>
      <c r="C17599" s="12"/>
    </row>
    <row r="17600" spans="2:3">
      <c r="B17600" s="12"/>
      <c r="C17600" s="12"/>
    </row>
    <row r="17601" spans="2:3">
      <c r="B17601" s="12"/>
      <c r="C17601" s="12"/>
    </row>
    <row r="17602" spans="2:3">
      <c r="B17602" s="12"/>
      <c r="C17602" s="12"/>
    </row>
    <row r="17603" spans="2:3">
      <c r="B17603" s="12"/>
      <c r="C17603" s="12"/>
    </row>
    <row r="17604" spans="2:3">
      <c r="B17604" s="12"/>
      <c r="C17604" s="12"/>
    </row>
    <row r="17605" spans="2:3">
      <c r="B17605" s="12"/>
      <c r="C17605" s="12"/>
    </row>
    <row r="17606" spans="2:3">
      <c r="B17606" s="12"/>
      <c r="C17606" s="12"/>
    </row>
    <row r="17607" spans="2:3">
      <c r="B17607" s="12"/>
      <c r="C17607" s="12"/>
    </row>
    <row r="17608" spans="2:3">
      <c r="B17608" s="12"/>
      <c r="C17608" s="12"/>
    </row>
    <row r="17609" spans="2:3">
      <c r="B17609" s="12"/>
      <c r="C17609" s="12"/>
    </row>
    <row r="17610" spans="2:3">
      <c r="B17610" s="12"/>
      <c r="C17610" s="12"/>
    </row>
    <row r="17611" spans="2:3">
      <c r="B17611" s="12"/>
      <c r="C17611" s="12"/>
    </row>
    <row r="17612" spans="2:3">
      <c r="B17612" s="12"/>
      <c r="C17612" s="12"/>
    </row>
    <row r="17613" spans="2:3">
      <c r="B17613" s="12"/>
      <c r="C17613" s="12"/>
    </row>
    <row r="17614" spans="2:3">
      <c r="B17614" s="12"/>
      <c r="C17614" s="12"/>
    </row>
    <row r="17615" spans="2:3">
      <c r="B17615" s="12"/>
      <c r="C17615" s="12"/>
    </row>
    <row r="17616" spans="2:3">
      <c r="B17616" s="12"/>
      <c r="C17616" s="12"/>
    </row>
    <row r="17617" spans="2:3">
      <c r="B17617" s="12"/>
      <c r="C17617" s="12"/>
    </row>
    <row r="17618" spans="2:3">
      <c r="B17618" s="12"/>
      <c r="C17618" s="12"/>
    </row>
    <row r="17619" spans="2:3">
      <c r="B17619" s="12"/>
      <c r="C17619" s="12"/>
    </row>
    <row r="17620" spans="2:3">
      <c r="B17620" s="12"/>
      <c r="C17620" s="12"/>
    </row>
    <row r="17621" spans="2:3">
      <c r="B17621" s="12"/>
      <c r="C17621" s="12"/>
    </row>
    <row r="17622" spans="2:3">
      <c r="B17622" s="12"/>
      <c r="C17622" s="12"/>
    </row>
    <row r="17623" spans="2:3">
      <c r="B17623" s="12"/>
      <c r="C17623" s="12"/>
    </row>
    <row r="17624" spans="2:3">
      <c r="B17624" s="12"/>
      <c r="C17624" s="12"/>
    </row>
    <row r="17625" spans="2:3">
      <c r="B17625" s="12"/>
      <c r="C17625" s="12"/>
    </row>
    <row r="17626" spans="2:3">
      <c r="B17626" s="12"/>
      <c r="C17626" s="12"/>
    </row>
    <row r="17627" spans="2:3">
      <c r="B17627" s="12"/>
      <c r="C17627" s="12"/>
    </row>
    <row r="17628" spans="2:3">
      <c r="B17628" s="12"/>
      <c r="C17628" s="12"/>
    </row>
    <row r="17629" spans="2:3">
      <c r="B17629" s="12"/>
      <c r="C17629" s="12"/>
    </row>
    <row r="17630" spans="2:3">
      <c r="B17630" s="12"/>
      <c r="C17630" s="12"/>
    </row>
    <row r="17631" spans="2:3">
      <c r="B17631" s="12"/>
      <c r="C17631" s="12"/>
    </row>
    <row r="17632" spans="2:3">
      <c r="B17632" s="12"/>
      <c r="C17632" s="12"/>
    </row>
    <row r="17633" spans="2:3">
      <c r="B17633" s="12"/>
      <c r="C17633" s="12"/>
    </row>
    <row r="17634" spans="2:3">
      <c r="B17634" s="12"/>
      <c r="C17634" s="12"/>
    </row>
    <row r="17635" spans="2:3">
      <c r="B17635" s="12"/>
      <c r="C17635" s="12"/>
    </row>
    <row r="17636" spans="2:3">
      <c r="B17636" s="12"/>
      <c r="C17636" s="12"/>
    </row>
    <row r="17637" spans="2:3">
      <c r="B17637" s="12"/>
      <c r="C17637" s="12"/>
    </row>
    <row r="17638" spans="2:3">
      <c r="B17638" s="12"/>
      <c r="C17638" s="12"/>
    </row>
    <row r="17639" spans="2:3">
      <c r="B17639" s="12"/>
      <c r="C17639" s="12"/>
    </row>
    <row r="17640" spans="2:3">
      <c r="B17640" s="12"/>
      <c r="C17640" s="12"/>
    </row>
    <row r="17641" spans="2:3">
      <c r="B17641" s="12"/>
      <c r="C17641" s="12"/>
    </row>
    <row r="17642" spans="2:3">
      <c r="B17642" s="12"/>
      <c r="C17642" s="12"/>
    </row>
    <row r="17643" spans="2:3">
      <c r="B17643" s="12"/>
      <c r="C17643" s="12"/>
    </row>
    <row r="17644" spans="2:3">
      <c r="B17644" s="12"/>
      <c r="C17644" s="12"/>
    </row>
    <row r="17645" spans="2:3">
      <c r="B17645" s="12"/>
      <c r="C17645" s="12"/>
    </row>
    <row r="17646" spans="2:3">
      <c r="B17646" s="12"/>
      <c r="C17646" s="12"/>
    </row>
    <row r="17647" spans="2:3">
      <c r="B17647" s="12"/>
      <c r="C17647" s="12"/>
    </row>
    <row r="17648" spans="2:3">
      <c r="B17648" s="12"/>
      <c r="C17648" s="12"/>
    </row>
    <row r="17649" spans="2:3">
      <c r="B17649" s="12"/>
      <c r="C17649" s="12"/>
    </row>
    <row r="17650" spans="2:3">
      <c r="B17650" s="12"/>
      <c r="C17650" s="12"/>
    </row>
    <row r="17651" spans="2:3">
      <c r="B17651" s="12"/>
      <c r="C17651" s="12"/>
    </row>
    <row r="17652" spans="2:3">
      <c r="B17652" s="12"/>
      <c r="C17652" s="12"/>
    </row>
    <row r="17653" spans="2:3">
      <c r="B17653" s="12"/>
      <c r="C17653" s="12"/>
    </row>
    <row r="17654" spans="2:3">
      <c r="B17654" s="12"/>
      <c r="C17654" s="12"/>
    </row>
    <row r="17655" spans="2:3">
      <c r="B17655" s="12"/>
      <c r="C17655" s="12"/>
    </row>
    <row r="17656" spans="2:3">
      <c r="B17656" s="12"/>
      <c r="C17656" s="12"/>
    </row>
    <row r="17657" spans="2:3">
      <c r="B17657" s="12"/>
      <c r="C17657" s="12"/>
    </row>
    <row r="17658" spans="2:3">
      <c r="B17658" s="12"/>
      <c r="C17658" s="12"/>
    </row>
    <row r="17659" spans="2:3">
      <c r="B17659" s="12"/>
      <c r="C17659" s="12"/>
    </row>
    <row r="17660" spans="2:3">
      <c r="B17660" s="12"/>
      <c r="C17660" s="12"/>
    </row>
    <row r="17661" spans="2:3">
      <c r="B17661" s="12"/>
      <c r="C17661" s="12"/>
    </row>
    <row r="17662" spans="2:3">
      <c r="B17662" s="12"/>
      <c r="C17662" s="12"/>
    </row>
    <row r="17663" spans="2:3">
      <c r="B17663" s="12"/>
      <c r="C17663" s="12"/>
    </row>
    <row r="17664" spans="2:3">
      <c r="B17664" s="12"/>
      <c r="C17664" s="12"/>
    </row>
    <row r="17665" spans="2:3">
      <c r="B17665" s="12"/>
      <c r="C17665" s="12"/>
    </row>
    <row r="17666" spans="2:3">
      <c r="B17666" s="12"/>
      <c r="C17666" s="12"/>
    </row>
    <row r="17667" spans="2:3">
      <c r="B17667" s="12"/>
      <c r="C17667" s="12"/>
    </row>
    <row r="17668" spans="2:3">
      <c r="B17668" s="12"/>
      <c r="C17668" s="12"/>
    </row>
    <row r="17669" spans="2:3">
      <c r="B17669" s="12"/>
      <c r="C17669" s="12"/>
    </row>
    <row r="17670" spans="2:3">
      <c r="B17670" s="12"/>
      <c r="C17670" s="12"/>
    </row>
    <row r="17671" spans="2:3">
      <c r="B17671" s="12"/>
      <c r="C17671" s="12"/>
    </row>
    <row r="17672" spans="2:3">
      <c r="B17672" s="12"/>
      <c r="C17672" s="12"/>
    </row>
    <row r="17673" spans="2:3">
      <c r="B17673" s="12"/>
      <c r="C17673" s="12"/>
    </row>
    <row r="17674" spans="2:3">
      <c r="B17674" s="12"/>
      <c r="C17674" s="12"/>
    </row>
    <row r="17675" spans="2:3">
      <c r="B17675" s="12"/>
      <c r="C17675" s="12"/>
    </row>
    <row r="17676" spans="2:3">
      <c r="B17676" s="12"/>
      <c r="C17676" s="12"/>
    </row>
    <row r="17677" spans="2:3">
      <c r="B17677" s="12"/>
      <c r="C17677" s="12"/>
    </row>
    <row r="17678" spans="2:3">
      <c r="B17678" s="12"/>
      <c r="C17678" s="12"/>
    </row>
    <row r="17679" spans="2:3">
      <c r="B17679" s="12"/>
      <c r="C17679" s="12"/>
    </row>
    <row r="17680" spans="2:3">
      <c r="B17680" s="12"/>
      <c r="C17680" s="12"/>
    </row>
    <row r="17681" spans="2:3">
      <c r="B17681" s="12"/>
      <c r="C17681" s="12"/>
    </row>
    <row r="17682" spans="2:3">
      <c r="B17682" s="12"/>
      <c r="C17682" s="12"/>
    </row>
    <row r="17683" spans="2:3">
      <c r="B17683" s="12"/>
      <c r="C17683" s="12"/>
    </row>
    <row r="17684" spans="2:3">
      <c r="B17684" s="12"/>
      <c r="C17684" s="12"/>
    </row>
    <row r="17685" spans="2:3">
      <c r="B17685" s="12"/>
      <c r="C17685" s="12"/>
    </row>
    <row r="17686" spans="2:3">
      <c r="B17686" s="12"/>
      <c r="C17686" s="12"/>
    </row>
    <row r="17687" spans="2:3">
      <c r="B17687" s="12"/>
      <c r="C17687" s="12"/>
    </row>
    <row r="17688" spans="2:3">
      <c r="B17688" s="12"/>
      <c r="C17688" s="12"/>
    </row>
    <row r="17689" spans="2:3">
      <c r="B17689" s="12"/>
      <c r="C17689" s="12"/>
    </row>
    <row r="17690" spans="2:3">
      <c r="B17690" s="12"/>
      <c r="C17690" s="12"/>
    </row>
    <row r="17691" spans="2:3">
      <c r="B17691" s="12"/>
      <c r="C17691" s="12"/>
    </row>
    <row r="17692" spans="2:3">
      <c r="B17692" s="12"/>
      <c r="C17692" s="12"/>
    </row>
    <row r="17693" spans="2:3">
      <c r="B17693" s="12"/>
      <c r="C17693" s="12"/>
    </row>
    <row r="17694" spans="2:3">
      <c r="B17694" s="12"/>
      <c r="C17694" s="12"/>
    </row>
    <row r="17695" spans="2:3">
      <c r="B17695" s="12"/>
      <c r="C17695" s="12"/>
    </row>
    <row r="17696" spans="2:3">
      <c r="B17696" s="12"/>
      <c r="C17696" s="12"/>
    </row>
    <row r="17697" spans="2:3">
      <c r="B17697" s="12"/>
      <c r="C17697" s="12"/>
    </row>
    <row r="17698" spans="2:3">
      <c r="B17698" s="12"/>
      <c r="C17698" s="12"/>
    </row>
    <row r="17699" spans="2:3">
      <c r="B17699" s="12"/>
      <c r="C17699" s="12"/>
    </row>
    <row r="17700" spans="2:3">
      <c r="B17700" s="12"/>
      <c r="C17700" s="12"/>
    </row>
    <row r="17701" spans="2:3">
      <c r="B17701" s="12"/>
      <c r="C17701" s="12"/>
    </row>
    <row r="17702" spans="2:3">
      <c r="B17702" s="12"/>
      <c r="C17702" s="12"/>
    </row>
    <row r="17703" spans="2:3">
      <c r="B17703" s="12"/>
      <c r="C17703" s="12"/>
    </row>
    <row r="17704" spans="2:3">
      <c r="B17704" s="12"/>
      <c r="C17704" s="12"/>
    </row>
    <row r="17705" spans="2:3">
      <c r="B17705" s="12"/>
      <c r="C17705" s="12"/>
    </row>
    <row r="17706" spans="2:3">
      <c r="B17706" s="12"/>
      <c r="C17706" s="12"/>
    </row>
    <row r="17707" spans="2:3">
      <c r="B17707" s="12"/>
      <c r="C17707" s="12"/>
    </row>
    <row r="17708" spans="2:3">
      <c r="B17708" s="12"/>
      <c r="C17708" s="12"/>
    </row>
    <row r="17709" spans="2:3">
      <c r="B17709" s="12"/>
      <c r="C17709" s="12"/>
    </row>
    <row r="17710" spans="2:3">
      <c r="B17710" s="12"/>
      <c r="C17710" s="12"/>
    </row>
    <row r="17711" spans="2:3">
      <c r="B17711" s="12"/>
      <c r="C17711" s="12"/>
    </row>
    <row r="17712" spans="2:3">
      <c r="B17712" s="12"/>
      <c r="C17712" s="12"/>
    </row>
    <row r="17713" spans="2:3">
      <c r="B17713" s="12"/>
      <c r="C17713" s="12"/>
    </row>
    <row r="17714" spans="2:3">
      <c r="B17714" s="12"/>
      <c r="C17714" s="12"/>
    </row>
    <row r="17715" spans="2:3">
      <c r="B17715" s="12"/>
      <c r="C17715" s="12"/>
    </row>
    <row r="17716" spans="2:3">
      <c r="B17716" s="12"/>
      <c r="C17716" s="12"/>
    </row>
    <row r="17717" spans="2:3">
      <c r="B17717" s="12"/>
      <c r="C17717" s="12"/>
    </row>
    <row r="17718" spans="2:3">
      <c r="B17718" s="12"/>
      <c r="C17718" s="12"/>
    </row>
    <row r="17719" spans="2:3">
      <c r="B17719" s="12"/>
      <c r="C17719" s="12"/>
    </row>
    <row r="17720" spans="2:3">
      <c r="B17720" s="12"/>
      <c r="C17720" s="12"/>
    </row>
    <row r="17721" spans="2:3">
      <c r="B17721" s="12"/>
      <c r="C17721" s="12"/>
    </row>
    <row r="17722" spans="2:3">
      <c r="B17722" s="12"/>
      <c r="C17722" s="12"/>
    </row>
    <row r="17723" spans="2:3">
      <c r="B17723" s="12"/>
      <c r="C17723" s="12"/>
    </row>
    <row r="17724" spans="2:3">
      <c r="B17724" s="12"/>
      <c r="C17724" s="12"/>
    </row>
    <row r="17725" spans="2:3">
      <c r="B17725" s="12"/>
      <c r="C17725" s="12"/>
    </row>
    <row r="17726" spans="2:3">
      <c r="B17726" s="12"/>
      <c r="C17726" s="12"/>
    </row>
    <row r="17727" spans="2:3">
      <c r="B17727" s="12"/>
      <c r="C17727" s="12"/>
    </row>
    <row r="17728" spans="2:3">
      <c r="B17728" s="12"/>
      <c r="C17728" s="12"/>
    </row>
    <row r="17729" spans="2:3">
      <c r="B17729" s="12"/>
      <c r="C17729" s="12"/>
    </row>
    <row r="17730" spans="2:3">
      <c r="B17730" s="12"/>
      <c r="C17730" s="12"/>
    </row>
    <row r="17731" spans="2:3">
      <c r="B17731" s="12"/>
      <c r="C17731" s="12"/>
    </row>
    <row r="17732" spans="2:3">
      <c r="B17732" s="12"/>
      <c r="C17732" s="12"/>
    </row>
    <row r="17733" spans="2:3">
      <c r="B17733" s="12"/>
      <c r="C17733" s="12"/>
    </row>
    <row r="17734" spans="2:3">
      <c r="B17734" s="12"/>
      <c r="C17734" s="12"/>
    </row>
    <row r="17735" spans="2:3">
      <c r="B17735" s="12"/>
      <c r="C17735" s="12"/>
    </row>
    <row r="17736" spans="2:3">
      <c r="B17736" s="12"/>
      <c r="C17736" s="12"/>
    </row>
    <row r="17737" spans="2:3">
      <c r="B17737" s="12"/>
      <c r="C17737" s="12"/>
    </row>
    <row r="17738" spans="2:3">
      <c r="B17738" s="12"/>
      <c r="C17738" s="12"/>
    </row>
    <row r="17739" spans="2:3">
      <c r="B17739" s="12"/>
      <c r="C17739" s="12"/>
    </row>
    <row r="17740" spans="2:3">
      <c r="B17740" s="12"/>
      <c r="C17740" s="12"/>
    </row>
    <row r="17741" spans="2:3">
      <c r="B17741" s="12"/>
      <c r="C17741" s="12"/>
    </row>
    <row r="17742" spans="2:3">
      <c r="B17742" s="12"/>
      <c r="C17742" s="12"/>
    </row>
    <row r="17743" spans="2:3">
      <c r="B17743" s="12"/>
      <c r="C17743" s="12"/>
    </row>
    <row r="17744" spans="2:3">
      <c r="B17744" s="12"/>
      <c r="C17744" s="12"/>
    </row>
    <row r="17745" spans="2:3">
      <c r="B17745" s="12"/>
      <c r="C17745" s="12"/>
    </row>
    <row r="17746" spans="2:3">
      <c r="B17746" s="12"/>
      <c r="C17746" s="12"/>
    </row>
    <row r="17747" spans="2:3">
      <c r="B17747" s="12"/>
      <c r="C17747" s="12"/>
    </row>
    <row r="17748" spans="2:3">
      <c r="B17748" s="12"/>
      <c r="C17748" s="12"/>
    </row>
    <row r="17749" spans="2:3">
      <c r="B17749" s="12"/>
      <c r="C17749" s="12"/>
    </row>
    <row r="17750" spans="2:3">
      <c r="B17750" s="12"/>
      <c r="C17750" s="12"/>
    </row>
    <row r="17751" spans="2:3">
      <c r="B17751" s="12"/>
      <c r="C17751" s="12"/>
    </row>
    <row r="17752" spans="2:3">
      <c r="B17752" s="12"/>
      <c r="C17752" s="12"/>
    </row>
    <row r="17753" spans="2:3">
      <c r="B17753" s="12"/>
      <c r="C17753" s="12"/>
    </row>
    <row r="17754" spans="2:3">
      <c r="B17754" s="12"/>
      <c r="C17754" s="12"/>
    </row>
    <row r="17755" spans="2:3">
      <c r="B17755" s="12"/>
      <c r="C17755" s="12"/>
    </row>
    <row r="17756" spans="2:3">
      <c r="B17756" s="12"/>
      <c r="C17756" s="12"/>
    </row>
    <row r="17757" spans="2:3">
      <c r="B17757" s="12"/>
      <c r="C17757" s="12"/>
    </row>
    <row r="17758" spans="2:3">
      <c r="B17758" s="12"/>
      <c r="C17758" s="12"/>
    </row>
    <row r="17759" spans="2:3">
      <c r="B17759" s="12"/>
      <c r="C17759" s="12"/>
    </row>
    <row r="17760" spans="2:3">
      <c r="B17760" s="12"/>
      <c r="C17760" s="12"/>
    </row>
    <row r="17761" spans="2:3">
      <c r="B17761" s="12"/>
      <c r="C17761" s="12"/>
    </row>
    <row r="17762" spans="2:3">
      <c r="B17762" s="12"/>
      <c r="C17762" s="12"/>
    </row>
    <row r="17763" spans="2:3">
      <c r="B17763" s="12"/>
      <c r="C17763" s="12"/>
    </row>
    <row r="17764" spans="2:3">
      <c r="B17764" s="12"/>
      <c r="C17764" s="12"/>
    </row>
    <row r="17765" spans="2:3">
      <c r="B17765" s="12"/>
      <c r="C17765" s="12"/>
    </row>
    <row r="17766" spans="2:3">
      <c r="B17766" s="12"/>
      <c r="C17766" s="12"/>
    </row>
    <row r="17767" spans="2:3">
      <c r="B17767" s="12"/>
      <c r="C17767" s="12"/>
    </row>
    <row r="17768" spans="2:3">
      <c r="B17768" s="12"/>
      <c r="C17768" s="12"/>
    </row>
    <row r="17769" spans="2:3">
      <c r="B17769" s="12"/>
      <c r="C17769" s="12"/>
    </row>
    <row r="17770" spans="2:3">
      <c r="B17770" s="12"/>
      <c r="C17770" s="12"/>
    </row>
    <row r="17771" spans="2:3">
      <c r="B17771" s="12"/>
      <c r="C17771" s="12"/>
    </row>
    <row r="17772" spans="2:3">
      <c r="B17772" s="12"/>
      <c r="C17772" s="12"/>
    </row>
    <row r="17773" spans="2:3">
      <c r="B17773" s="12"/>
      <c r="C17773" s="12"/>
    </row>
    <row r="17774" spans="2:3">
      <c r="B17774" s="12"/>
      <c r="C17774" s="12"/>
    </row>
    <row r="17775" spans="2:3">
      <c r="B17775" s="12"/>
      <c r="C17775" s="12"/>
    </row>
    <row r="17776" spans="2:3">
      <c r="B17776" s="12"/>
      <c r="C17776" s="12"/>
    </row>
    <row r="17777" spans="2:3">
      <c r="B17777" s="12"/>
      <c r="C17777" s="12"/>
    </row>
    <row r="17778" spans="2:3">
      <c r="B17778" s="12"/>
      <c r="C17778" s="12"/>
    </row>
    <row r="17779" spans="2:3">
      <c r="B17779" s="12"/>
      <c r="C17779" s="12"/>
    </row>
    <row r="17780" spans="2:3">
      <c r="B17780" s="12"/>
      <c r="C17780" s="12"/>
    </row>
    <row r="17781" spans="2:3">
      <c r="B17781" s="12"/>
      <c r="C17781" s="12"/>
    </row>
    <row r="17782" spans="2:3">
      <c r="B17782" s="12"/>
      <c r="C17782" s="12"/>
    </row>
    <row r="17783" spans="2:3">
      <c r="B17783" s="12"/>
      <c r="C17783" s="12"/>
    </row>
    <row r="17784" spans="2:3">
      <c r="B17784" s="12"/>
      <c r="C17784" s="12"/>
    </row>
    <row r="17785" spans="2:3">
      <c r="B17785" s="12"/>
      <c r="C17785" s="12"/>
    </row>
    <row r="17786" spans="2:3">
      <c r="B17786" s="12"/>
      <c r="C17786" s="12"/>
    </row>
    <row r="17787" spans="2:3">
      <c r="B17787" s="12"/>
      <c r="C17787" s="12"/>
    </row>
    <row r="17788" spans="2:3">
      <c r="B17788" s="12"/>
      <c r="C17788" s="12"/>
    </row>
    <row r="17789" spans="2:3">
      <c r="B17789" s="12"/>
      <c r="C17789" s="12"/>
    </row>
    <row r="17790" spans="2:3">
      <c r="B17790" s="12"/>
      <c r="C17790" s="12"/>
    </row>
    <row r="17791" spans="2:3">
      <c r="B17791" s="12"/>
      <c r="C17791" s="12"/>
    </row>
    <row r="17792" spans="2:3">
      <c r="B17792" s="12"/>
      <c r="C17792" s="12"/>
    </row>
    <row r="17793" spans="2:3">
      <c r="B17793" s="12"/>
      <c r="C17793" s="12"/>
    </row>
    <row r="17794" spans="2:3">
      <c r="B17794" s="12"/>
      <c r="C17794" s="12"/>
    </row>
    <row r="17795" spans="2:3">
      <c r="B17795" s="12"/>
      <c r="C17795" s="12"/>
    </row>
    <row r="17796" spans="2:3">
      <c r="B17796" s="12"/>
      <c r="C17796" s="12"/>
    </row>
    <row r="17797" spans="2:3">
      <c r="B17797" s="12"/>
      <c r="C17797" s="12"/>
    </row>
    <row r="17798" spans="2:3">
      <c r="B17798" s="12"/>
      <c r="C17798" s="12"/>
    </row>
    <row r="17799" spans="2:3">
      <c r="B17799" s="12"/>
      <c r="C17799" s="12"/>
    </row>
    <row r="17800" spans="2:3">
      <c r="B17800" s="12"/>
      <c r="C17800" s="12"/>
    </row>
    <row r="17801" spans="2:3">
      <c r="B17801" s="12"/>
      <c r="C17801" s="12"/>
    </row>
    <row r="17802" spans="2:3">
      <c r="B17802" s="12"/>
      <c r="C17802" s="12"/>
    </row>
    <row r="17803" spans="2:3">
      <c r="B17803" s="12"/>
      <c r="C17803" s="12"/>
    </row>
    <row r="17804" spans="2:3">
      <c r="B17804" s="12"/>
      <c r="C17804" s="12"/>
    </row>
    <row r="17805" spans="2:3">
      <c r="B17805" s="12"/>
      <c r="C17805" s="12"/>
    </row>
    <row r="17806" spans="2:3">
      <c r="B17806" s="12"/>
      <c r="C17806" s="12"/>
    </row>
    <row r="17807" spans="2:3">
      <c r="B17807" s="12"/>
      <c r="C17807" s="12"/>
    </row>
    <row r="17808" spans="2:3">
      <c r="B17808" s="12"/>
      <c r="C17808" s="12"/>
    </row>
    <row r="17809" spans="2:3">
      <c r="B17809" s="12"/>
      <c r="C17809" s="12"/>
    </row>
    <row r="17810" spans="2:3">
      <c r="B17810" s="12"/>
      <c r="C17810" s="12"/>
    </row>
    <row r="17811" spans="2:3">
      <c r="B17811" s="12"/>
      <c r="C17811" s="12"/>
    </row>
    <row r="17812" spans="2:3">
      <c r="B17812" s="12"/>
      <c r="C17812" s="12"/>
    </row>
    <row r="17813" spans="2:3">
      <c r="B17813" s="12"/>
      <c r="C17813" s="12"/>
    </row>
    <row r="17814" spans="2:3">
      <c r="B17814" s="12"/>
      <c r="C17814" s="12"/>
    </row>
    <row r="17815" spans="2:3">
      <c r="B17815" s="12"/>
      <c r="C17815" s="12"/>
    </row>
    <row r="17816" spans="2:3">
      <c r="B17816" s="12"/>
      <c r="C17816" s="12"/>
    </row>
    <row r="17817" spans="2:3">
      <c r="B17817" s="12"/>
      <c r="C17817" s="12"/>
    </row>
    <row r="17818" spans="2:3">
      <c r="B17818" s="12"/>
      <c r="C17818" s="12"/>
    </row>
    <row r="17819" spans="2:3">
      <c r="B17819" s="12"/>
      <c r="C17819" s="12"/>
    </row>
    <row r="17820" spans="2:3">
      <c r="B17820" s="12"/>
      <c r="C17820" s="12"/>
    </row>
    <row r="17821" spans="2:3">
      <c r="B17821" s="12"/>
      <c r="C17821" s="12"/>
    </row>
    <row r="17822" spans="2:3">
      <c r="B17822" s="12"/>
      <c r="C17822" s="12"/>
    </row>
    <row r="17823" spans="2:3">
      <c r="B17823" s="12"/>
      <c r="C17823" s="12"/>
    </row>
    <row r="17824" spans="2:3">
      <c r="B17824" s="12"/>
      <c r="C17824" s="12"/>
    </row>
    <row r="17825" spans="2:3">
      <c r="B17825" s="12"/>
      <c r="C17825" s="12"/>
    </row>
    <row r="17826" spans="2:3">
      <c r="B17826" s="12"/>
      <c r="C17826" s="12"/>
    </row>
    <row r="17827" spans="2:3">
      <c r="B17827" s="12"/>
      <c r="C17827" s="12"/>
    </row>
    <row r="17828" spans="2:3">
      <c r="B17828" s="12"/>
      <c r="C17828" s="12"/>
    </row>
    <row r="17829" spans="2:3">
      <c r="B17829" s="12"/>
      <c r="C17829" s="12"/>
    </row>
    <row r="17830" spans="2:3">
      <c r="B17830" s="12"/>
      <c r="C17830" s="12"/>
    </row>
    <row r="17831" spans="2:3">
      <c r="B17831" s="12"/>
      <c r="C17831" s="12"/>
    </row>
    <row r="17832" spans="2:3">
      <c r="B17832" s="12"/>
      <c r="C17832" s="12"/>
    </row>
    <row r="17833" spans="2:3">
      <c r="B17833" s="12"/>
      <c r="C17833" s="12"/>
    </row>
    <row r="17834" spans="2:3">
      <c r="B17834" s="12"/>
      <c r="C17834" s="12"/>
    </row>
    <row r="17835" spans="2:3">
      <c r="B17835" s="12"/>
      <c r="C17835" s="12"/>
    </row>
    <row r="17836" spans="2:3">
      <c r="B17836" s="12"/>
      <c r="C17836" s="12"/>
    </row>
    <row r="17837" spans="2:3">
      <c r="B17837" s="12"/>
      <c r="C17837" s="12"/>
    </row>
    <row r="17838" spans="2:3">
      <c r="B17838" s="12"/>
      <c r="C17838" s="12"/>
    </row>
    <row r="17839" spans="2:3">
      <c r="B17839" s="12"/>
      <c r="C17839" s="12"/>
    </row>
    <row r="17840" spans="2:3">
      <c r="B17840" s="12"/>
      <c r="C17840" s="12"/>
    </row>
    <row r="17841" spans="2:3">
      <c r="B17841" s="12"/>
      <c r="C17841" s="12"/>
    </row>
    <row r="17842" spans="2:3">
      <c r="B17842" s="12"/>
      <c r="C17842" s="12"/>
    </row>
    <row r="17843" spans="2:3">
      <c r="B17843" s="12"/>
      <c r="C17843" s="12"/>
    </row>
    <row r="17844" spans="2:3">
      <c r="B17844" s="12"/>
      <c r="C17844" s="12"/>
    </row>
    <row r="17845" spans="2:3">
      <c r="B17845" s="12"/>
      <c r="C17845" s="12"/>
    </row>
    <row r="17846" spans="2:3">
      <c r="B17846" s="12"/>
      <c r="C17846" s="12"/>
    </row>
    <row r="17847" spans="2:3">
      <c r="B17847" s="12"/>
      <c r="C17847" s="12"/>
    </row>
    <row r="17848" spans="2:3">
      <c r="B17848" s="12"/>
      <c r="C17848" s="12"/>
    </row>
    <row r="17849" spans="2:3">
      <c r="B17849" s="12"/>
      <c r="C17849" s="12"/>
    </row>
    <row r="17850" spans="2:3">
      <c r="B17850" s="12"/>
      <c r="C17850" s="12"/>
    </row>
    <row r="17851" spans="2:3">
      <c r="B17851" s="12"/>
      <c r="C17851" s="12"/>
    </row>
    <row r="17852" spans="2:3">
      <c r="B17852" s="12"/>
      <c r="C17852" s="12"/>
    </row>
    <row r="17853" spans="2:3">
      <c r="B17853" s="12"/>
      <c r="C17853" s="12"/>
    </row>
    <row r="17854" spans="2:3">
      <c r="B17854" s="12"/>
      <c r="C17854" s="12"/>
    </row>
    <row r="17855" spans="2:3">
      <c r="B17855" s="12"/>
      <c r="C17855" s="12"/>
    </row>
    <row r="17856" spans="2:3">
      <c r="B17856" s="12"/>
      <c r="C17856" s="12"/>
    </row>
    <row r="17857" spans="2:3">
      <c r="B17857" s="12"/>
      <c r="C17857" s="12"/>
    </row>
    <row r="17858" spans="2:3">
      <c r="B17858" s="12"/>
      <c r="C17858" s="12"/>
    </row>
    <row r="17859" spans="2:3">
      <c r="B17859" s="12"/>
      <c r="C17859" s="12"/>
    </row>
    <row r="17860" spans="2:3">
      <c r="B17860" s="12"/>
      <c r="C17860" s="12"/>
    </row>
    <row r="17861" spans="2:3">
      <c r="B17861" s="12"/>
      <c r="C17861" s="12"/>
    </row>
    <row r="17862" spans="2:3">
      <c r="B17862" s="12"/>
      <c r="C17862" s="12"/>
    </row>
    <row r="17863" spans="2:3">
      <c r="B17863" s="12"/>
      <c r="C17863" s="12"/>
    </row>
    <row r="17864" spans="2:3">
      <c r="B17864" s="12"/>
      <c r="C17864" s="12"/>
    </row>
    <row r="17865" spans="2:3">
      <c r="B17865" s="12"/>
      <c r="C17865" s="12"/>
    </row>
    <row r="17866" spans="2:3">
      <c r="B17866" s="12"/>
      <c r="C17866" s="12"/>
    </row>
    <row r="17867" spans="2:3">
      <c r="B17867" s="12"/>
      <c r="C17867" s="12"/>
    </row>
    <row r="17868" spans="2:3">
      <c r="B17868" s="12"/>
      <c r="C17868" s="12"/>
    </row>
    <row r="17869" spans="2:3">
      <c r="B17869" s="12"/>
      <c r="C17869" s="12"/>
    </row>
    <row r="17870" spans="2:3">
      <c r="B17870" s="12"/>
      <c r="C17870" s="12"/>
    </row>
    <row r="17871" spans="2:3">
      <c r="B17871" s="12"/>
      <c r="C17871" s="12"/>
    </row>
    <row r="17872" spans="2:3">
      <c r="B17872" s="12"/>
      <c r="C17872" s="12"/>
    </row>
    <row r="17873" spans="2:3">
      <c r="B17873" s="12"/>
      <c r="C17873" s="12"/>
    </row>
    <row r="17874" spans="2:3">
      <c r="B17874" s="12"/>
      <c r="C17874" s="12"/>
    </row>
    <row r="17875" spans="2:3">
      <c r="B17875" s="12"/>
      <c r="C17875" s="12"/>
    </row>
    <row r="17876" spans="2:3">
      <c r="B17876" s="12"/>
      <c r="C17876" s="12"/>
    </row>
    <row r="17877" spans="2:3">
      <c r="B17877" s="12"/>
      <c r="C17877" s="12"/>
    </row>
    <row r="17878" spans="2:3">
      <c r="B17878" s="12"/>
      <c r="C17878" s="12"/>
    </row>
    <row r="17879" spans="2:3">
      <c r="B17879" s="12"/>
      <c r="C17879" s="12"/>
    </row>
    <row r="17880" spans="2:3">
      <c r="B17880" s="12"/>
      <c r="C17880" s="12"/>
    </row>
    <row r="17881" spans="2:3">
      <c r="B17881" s="12"/>
      <c r="C17881" s="12"/>
    </row>
    <row r="17882" spans="2:3">
      <c r="B17882" s="12"/>
      <c r="C17882" s="12"/>
    </row>
    <row r="17883" spans="2:3">
      <c r="B17883" s="12"/>
      <c r="C17883" s="12"/>
    </row>
    <row r="17884" spans="2:3">
      <c r="B17884" s="12"/>
      <c r="C17884" s="12"/>
    </row>
    <row r="17885" spans="2:3">
      <c r="B17885" s="12"/>
      <c r="C17885" s="12"/>
    </row>
    <row r="17886" spans="2:3">
      <c r="B17886" s="12"/>
      <c r="C17886" s="12"/>
    </row>
    <row r="17887" spans="2:3">
      <c r="B17887" s="12"/>
      <c r="C17887" s="12"/>
    </row>
    <row r="17888" spans="2:3">
      <c r="B17888" s="12"/>
      <c r="C17888" s="12"/>
    </row>
    <row r="17889" spans="2:3">
      <c r="B17889" s="12"/>
      <c r="C17889" s="12"/>
    </row>
    <row r="17890" spans="2:3">
      <c r="B17890" s="12"/>
      <c r="C17890" s="12"/>
    </row>
    <row r="17891" spans="2:3">
      <c r="B17891" s="12"/>
      <c r="C17891" s="12"/>
    </row>
    <row r="17892" spans="2:3">
      <c r="B17892" s="12"/>
      <c r="C17892" s="12"/>
    </row>
    <row r="17893" spans="2:3">
      <c r="B17893" s="12"/>
      <c r="C17893" s="12"/>
    </row>
    <row r="17894" spans="2:3">
      <c r="B17894" s="12"/>
      <c r="C17894" s="12"/>
    </row>
    <row r="17895" spans="2:3">
      <c r="B17895" s="12"/>
      <c r="C17895" s="12"/>
    </row>
    <row r="17896" spans="2:3">
      <c r="B17896" s="12"/>
      <c r="C17896" s="12"/>
    </row>
    <row r="17897" spans="2:3">
      <c r="B17897" s="12"/>
      <c r="C17897" s="12"/>
    </row>
    <row r="17898" spans="2:3">
      <c r="B17898" s="12"/>
      <c r="C17898" s="12"/>
    </row>
    <row r="17899" spans="2:3">
      <c r="B17899" s="12"/>
      <c r="C17899" s="12"/>
    </row>
    <row r="17900" spans="2:3">
      <c r="B17900" s="12"/>
      <c r="C17900" s="12"/>
    </row>
    <row r="17901" spans="2:3">
      <c r="B17901" s="12"/>
      <c r="C17901" s="12"/>
    </row>
    <row r="17902" spans="2:3">
      <c r="B17902" s="12"/>
      <c r="C17902" s="12"/>
    </row>
    <row r="17903" spans="2:3">
      <c r="B17903" s="12"/>
      <c r="C17903" s="12"/>
    </row>
    <row r="17904" spans="2:3">
      <c r="B17904" s="12"/>
      <c r="C17904" s="12"/>
    </row>
    <row r="17905" spans="2:3">
      <c r="B17905" s="12"/>
      <c r="C17905" s="12"/>
    </row>
    <row r="17906" spans="2:3">
      <c r="B17906" s="12"/>
      <c r="C17906" s="12"/>
    </row>
    <row r="17907" spans="2:3">
      <c r="B17907" s="12"/>
      <c r="C17907" s="12"/>
    </row>
    <row r="17908" spans="2:3">
      <c r="B17908" s="12"/>
      <c r="C17908" s="12"/>
    </row>
    <row r="17909" spans="2:3">
      <c r="B17909" s="12"/>
      <c r="C17909" s="12"/>
    </row>
    <row r="17910" spans="2:3">
      <c r="B17910" s="12"/>
      <c r="C17910" s="12"/>
    </row>
    <row r="17911" spans="2:3">
      <c r="B17911" s="12"/>
      <c r="C17911" s="12"/>
    </row>
    <row r="17912" spans="2:3">
      <c r="B17912" s="12"/>
      <c r="C17912" s="12"/>
    </row>
    <row r="17913" spans="2:3">
      <c r="B17913" s="12"/>
      <c r="C17913" s="12"/>
    </row>
    <row r="17914" spans="2:3">
      <c r="B17914" s="12"/>
      <c r="C17914" s="12"/>
    </row>
    <row r="17915" spans="2:3">
      <c r="B17915" s="12"/>
      <c r="C17915" s="12"/>
    </row>
    <row r="17916" spans="2:3">
      <c r="B17916" s="12"/>
      <c r="C17916" s="12"/>
    </row>
    <row r="17917" spans="2:3">
      <c r="B17917" s="12"/>
      <c r="C17917" s="12"/>
    </row>
    <row r="17918" spans="2:3">
      <c r="B17918" s="12"/>
      <c r="C17918" s="12"/>
    </row>
    <row r="17919" spans="2:3">
      <c r="B17919" s="12"/>
      <c r="C17919" s="12"/>
    </row>
    <row r="17920" spans="2:3">
      <c r="B17920" s="12"/>
      <c r="C17920" s="12"/>
    </row>
    <row r="17921" spans="2:3">
      <c r="B17921" s="12"/>
      <c r="C17921" s="12"/>
    </row>
    <row r="17922" spans="2:3">
      <c r="B17922" s="12"/>
      <c r="C17922" s="12"/>
    </row>
    <row r="17923" spans="2:3">
      <c r="B17923" s="12"/>
      <c r="C17923" s="12"/>
    </row>
    <row r="17924" spans="2:3">
      <c r="B17924" s="12"/>
      <c r="C17924" s="12"/>
    </row>
    <row r="17925" spans="2:3">
      <c r="B17925" s="12"/>
      <c r="C17925" s="12"/>
    </row>
    <row r="17926" spans="2:3">
      <c r="B17926" s="12"/>
      <c r="C17926" s="12"/>
    </row>
    <row r="17927" spans="2:3">
      <c r="B17927" s="12"/>
      <c r="C17927" s="12"/>
    </row>
    <row r="17928" spans="2:3">
      <c r="B17928" s="12"/>
      <c r="C17928" s="12"/>
    </row>
    <row r="17929" spans="2:3">
      <c r="B17929" s="12"/>
      <c r="C17929" s="12"/>
    </row>
    <row r="17930" spans="2:3">
      <c r="B17930" s="12"/>
      <c r="C17930" s="12"/>
    </row>
    <row r="17931" spans="2:3">
      <c r="B17931" s="12"/>
      <c r="C17931" s="12"/>
    </row>
    <row r="17932" spans="2:3">
      <c r="B17932" s="12"/>
      <c r="C17932" s="12"/>
    </row>
    <row r="17933" spans="2:3">
      <c r="B17933" s="12"/>
      <c r="C17933" s="12"/>
    </row>
    <row r="17934" spans="2:3">
      <c r="B17934" s="12"/>
      <c r="C17934" s="12"/>
    </row>
    <row r="17935" spans="2:3">
      <c r="B17935" s="12"/>
      <c r="C17935" s="12"/>
    </row>
    <row r="17936" spans="2:3">
      <c r="B17936" s="12"/>
      <c r="C17936" s="12"/>
    </row>
    <row r="17937" spans="2:3">
      <c r="B17937" s="12"/>
      <c r="C17937" s="12"/>
    </row>
    <row r="17938" spans="2:3">
      <c r="B17938" s="12"/>
      <c r="C17938" s="12"/>
    </row>
    <row r="17939" spans="2:3">
      <c r="B17939" s="12"/>
      <c r="C17939" s="12"/>
    </row>
    <row r="17940" spans="2:3">
      <c r="B17940" s="12"/>
      <c r="C17940" s="12"/>
    </row>
    <row r="17941" spans="2:3">
      <c r="B17941" s="12"/>
      <c r="C17941" s="12"/>
    </row>
    <row r="17942" spans="2:3">
      <c r="B17942" s="12"/>
      <c r="C17942" s="12"/>
    </row>
    <row r="17943" spans="2:3">
      <c r="B17943" s="12"/>
      <c r="C17943" s="12"/>
    </row>
    <row r="17944" spans="2:3">
      <c r="B17944" s="12"/>
      <c r="C17944" s="12"/>
    </row>
    <row r="17945" spans="2:3">
      <c r="B17945" s="12"/>
      <c r="C17945" s="12"/>
    </row>
    <row r="17946" spans="2:3">
      <c r="B17946" s="12"/>
      <c r="C17946" s="12"/>
    </row>
    <row r="17947" spans="2:3">
      <c r="B17947" s="12"/>
      <c r="C17947" s="12"/>
    </row>
    <row r="17948" spans="2:3">
      <c r="B17948" s="12"/>
      <c r="C17948" s="12"/>
    </row>
    <row r="17949" spans="2:3">
      <c r="B17949" s="12"/>
      <c r="C17949" s="12"/>
    </row>
    <row r="17950" spans="2:3">
      <c r="B17950" s="12"/>
      <c r="C17950" s="12"/>
    </row>
    <row r="17951" spans="2:3">
      <c r="B17951" s="12"/>
      <c r="C17951" s="12"/>
    </row>
    <row r="17952" spans="2:3">
      <c r="B17952" s="12"/>
      <c r="C17952" s="12"/>
    </row>
    <row r="17953" spans="2:3">
      <c r="B17953" s="12"/>
      <c r="C17953" s="12"/>
    </row>
    <row r="17954" spans="2:3">
      <c r="B17954" s="12"/>
      <c r="C17954" s="12"/>
    </row>
    <row r="17955" spans="2:3">
      <c r="B17955" s="12"/>
      <c r="C17955" s="12"/>
    </row>
    <row r="17956" spans="2:3">
      <c r="B17956" s="12"/>
      <c r="C17956" s="12"/>
    </row>
    <row r="17957" spans="2:3">
      <c r="B17957" s="12"/>
      <c r="C17957" s="12"/>
    </row>
    <row r="17958" spans="2:3">
      <c r="B17958" s="12"/>
      <c r="C17958" s="12"/>
    </row>
    <row r="17959" spans="2:3">
      <c r="B17959" s="12"/>
      <c r="C17959" s="12"/>
    </row>
    <row r="17960" spans="2:3">
      <c r="B17960" s="12"/>
      <c r="C17960" s="12"/>
    </row>
    <row r="17961" spans="2:3">
      <c r="B17961" s="12"/>
      <c r="C17961" s="12"/>
    </row>
    <row r="17962" spans="2:3">
      <c r="B17962" s="12"/>
      <c r="C17962" s="12"/>
    </row>
    <row r="17963" spans="2:3">
      <c r="B17963" s="12"/>
      <c r="C17963" s="12"/>
    </row>
    <row r="17964" spans="2:3">
      <c r="B17964" s="12"/>
      <c r="C17964" s="12"/>
    </row>
    <row r="17965" spans="2:3">
      <c r="B17965" s="12"/>
      <c r="C17965" s="12"/>
    </row>
    <row r="17966" spans="2:3">
      <c r="B17966" s="12"/>
      <c r="C17966" s="12"/>
    </row>
    <row r="17967" spans="2:3">
      <c r="B17967" s="12"/>
      <c r="C17967" s="12"/>
    </row>
    <row r="17968" spans="2:3">
      <c r="B17968" s="12"/>
      <c r="C17968" s="12"/>
    </row>
    <row r="17969" spans="2:3">
      <c r="B17969" s="12"/>
      <c r="C17969" s="12"/>
    </row>
    <row r="17970" spans="2:3">
      <c r="B17970" s="12"/>
      <c r="C17970" s="12"/>
    </row>
    <row r="17971" spans="2:3">
      <c r="B17971" s="12"/>
      <c r="C17971" s="12"/>
    </row>
    <row r="17972" spans="2:3">
      <c r="B17972" s="12"/>
      <c r="C17972" s="12"/>
    </row>
    <row r="17973" spans="2:3">
      <c r="B17973" s="12"/>
      <c r="C17973" s="12"/>
    </row>
    <row r="17974" spans="2:3">
      <c r="B17974" s="12"/>
      <c r="C17974" s="12"/>
    </row>
    <row r="17975" spans="2:3">
      <c r="B17975" s="12"/>
      <c r="C17975" s="12"/>
    </row>
    <row r="17976" spans="2:3">
      <c r="B17976" s="12"/>
      <c r="C17976" s="12"/>
    </row>
    <row r="17977" spans="2:3">
      <c r="B17977" s="12"/>
      <c r="C17977" s="12"/>
    </row>
    <row r="17978" spans="2:3">
      <c r="B17978" s="12"/>
      <c r="C17978" s="12"/>
    </row>
    <row r="17979" spans="2:3">
      <c r="B17979" s="12"/>
      <c r="C17979" s="12"/>
    </row>
    <row r="17980" spans="2:3">
      <c r="B17980" s="12"/>
      <c r="C17980" s="12"/>
    </row>
    <row r="17981" spans="2:3">
      <c r="B17981" s="12"/>
      <c r="C17981" s="12"/>
    </row>
    <row r="17982" spans="2:3">
      <c r="B17982" s="12"/>
      <c r="C17982" s="12"/>
    </row>
    <row r="17983" spans="2:3">
      <c r="B17983" s="12"/>
      <c r="C17983" s="12"/>
    </row>
    <row r="17984" spans="2:3">
      <c r="B17984" s="12"/>
      <c r="C17984" s="12"/>
    </row>
    <row r="17985" spans="2:3">
      <c r="B17985" s="12"/>
      <c r="C17985" s="12"/>
    </row>
    <row r="17986" spans="2:3">
      <c r="B17986" s="12"/>
      <c r="C17986" s="12"/>
    </row>
    <row r="17987" spans="2:3">
      <c r="B17987" s="12"/>
      <c r="C17987" s="12"/>
    </row>
    <row r="17988" spans="2:3">
      <c r="B17988" s="12"/>
      <c r="C17988" s="12"/>
    </row>
    <row r="17989" spans="2:3">
      <c r="B17989" s="12"/>
      <c r="C17989" s="12"/>
    </row>
    <row r="17990" spans="2:3">
      <c r="B17990" s="12"/>
      <c r="C17990" s="12"/>
    </row>
    <row r="17991" spans="2:3">
      <c r="B17991" s="12"/>
      <c r="C17991" s="12"/>
    </row>
    <row r="17992" spans="2:3">
      <c r="B17992" s="12"/>
      <c r="C17992" s="12"/>
    </row>
    <row r="17993" spans="2:3">
      <c r="B17993" s="12"/>
      <c r="C17993" s="12"/>
    </row>
    <row r="17994" spans="2:3">
      <c r="B17994" s="12"/>
      <c r="C17994" s="12"/>
    </row>
    <row r="17995" spans="2:3">
      <c r="B17995" s="12"/>
      <c r="C17995" s="12"/>
    </row>
    <row r="17996" spans="2:3">
      <c r="B17996" s="12"/>
      <c r="C17996" s="12"/>
    </row>
    <row r="17997" spans="2:3">
      <c r="B17997" s="12"/>
      <c r="C17997" s="12"/>
    </row>
    <row r="17998" spans="2:3">
      <c r="B17998" s="12"/>
      <c r="C17998" s="12"/>
    </row>
    <row r="17999" spans="2:3">
      <c r="B17999" s="12"/>
      <c r="C17999" s="12"/>
    </row>
    <row r="18000" spans="2:3">
      <c r="B18000" s="12"/>
      <c r="C18000" s="12"/>
    </row>
    <row r="18001" spans="2:3">
      <c r="B18001" s="12"/>
      <c r="C18001" s="12"/>
    </row>
    <row r="18002" spans="2:3">
      <c r="B18002" s="12"/>
      <c r="C18002" s="12"/>
    </row>
    <row r="18003" spans="2:3">
      <c r="B18003" s="12"/>
      <c r="C18003" s="12"/>
    </row>
    <row r="18004" spans="2:3">
      <c r="B18004" s="12"/>
      <c r="C18004" s="12"/>
    </row>
    <row r="18005" spans="2:3">
      <c r="B18005" s="12"/>
      <c r="C18005" s="12"/>
    </row>
    <row r="18006" spans="2:3">
      <c r="B18006" s="12"/>
      <c r="C18006" s="12"/>
    </row>
    <row r="18007" spans="2:3">
      <c r="B18007" s="12"/>
      <c r="C18007" s="12"/>
    </row>
    <row r="18008" spans="2:3">
      <c r="B18008" s="12"/>
      <c r="C18008" s="12"/>
    </row>
    <row r="18009" spans="2:3">
      <c r="B18009" s="12"/>
      <c r="C18009" s="12"/>
    </row>
    <row r="18010" spans="2:3">
      <c r="B18010" s="12"/>
      <c r="C18010" s="12"/>
    </row>
    <row r="18011" spans="2:3">
      <c r="B18011" s="12"/>
      <c r="C18011" s="12"/>
    </row>
    <row r="18012" spans="2:3">
      <c r="B18012" s="12"/>
      <c r="C18012" s="12"/>
    </row>
    <row r="18013" spans="2:3">
      <c r="B18013" s="12"/>
      <c r="C18013" s="12"/>
    </row>
    <row r="18014" spans="2:3">
      <c r="B18014" s="12"/>
      <c r="C18014" s="12"/>
    </row>
    <row r="18015" spans="2:3">
      <c r="B18015" s="12"/>
      <c r="C18015" s="12"/>
    </row>
    <row r="18016" spans="2:3">
      <c r="B18016" s="12"/>
      <c r="C18016" s="12"/>
    </row>
    <row r="18017" spans="2:3">
      <c r="B18017" s="12"/>
      <c r="C18017" s="12"/>
    </row>
    <row r="18018" spans="2:3">
      <c r="B18018" s="12"/>
      <c r="C18018" s="12"/>
    </row>
    <row r="18019" spans="2:3">
      <c r="B18019" s="12"/>
      <c r="C18019" s="12"/>
    </row>
    <row r="18020" spans="2:3">
      <c r="B18020" s="12"/>
      <c r="C18020" s="12"/>
    </row>
    <row r="18021" spans="2:3">
      <c r="B18021" s="12"/>
      <c r="C18021" s="12"/>
    </row>
    <row r="18022" spans="2:3">
      <c r="B18022" s="12"/>
      <c r="C18022" s="12"/>
    </row>
    <row r="18023" spans="2:3">
      <c r="B18023" s="12"/>
      <c r="C18023" s="12"/>
    </row>
    <row r="18024" spans="2:3">
      <c r="B18024" s="12"/>
      <c r="C18024" s="12"/>
    </row>
    <row r="18025" spans="2:3">
      <c r="B18025" s="12"/>
      <c r="C18025" s="12"/>
    </row>
    <row r="18026" spans="2:3">
      <c r="B18026" s="12"/>
      <c r="C18026" s="12"/>
    </row>
    <row r="18027" spans="2:3">
      <c r="B18027" s="12"/>
      <c r="C18027" s="12"/>
    </row>
    <row r="18028" spans="2:3">
      <c r="B18028" s="12"/>
      <c r="C18028" s="12"/>
    </row>
    <row r="18029" spans="2:3">
      <c r="B18029" s="12"/>
      <c r="C18029" s="12"/>
    </row>
    <row r="18030" spans="2:3">
      <c r="B18030" s="12"/>
      <c r="C18030" s="12"/>
    </row>
    <row r="18031" spans="2:3">
      <c r="B18031" s="12"/>
      <c r="C18031" s="12"/>
    </row>
    <row r="18032" spans="2:3">
      <c r="B18032" s="12"/>
      <c r="C18032" s="12"/>
    </row>
    <row r="18033" spans="2:3">
      <c r="B18033" s="12"/>
      <c r="C18033" s="12"/>
    </row>
    <row r="18034" spans="2:3">
      <c r="B18034" s="12"/>
      <c r="C18034" s="12"/>
    </row>
    <row r="18035" spans="2:3">
      <c r="B18035" s="12"/>
      <c r="C18035" s="12"/>
    </row>
    <row r="18036" spans="2:3">
      <c r="B18036" s="12"/>
      <c r="C18036" s="12"/>
    </row>
    <row r="18037" spans="2:3">
      <c r="B18037" s="12"/>
      <c r="C18037" s="12"/>
    </row>
    <row r="18038" spans="2:3">
      <c r="B18038" s="12"/>
      <c r="C18038" s="12"/>
    </row>
    <row r="18039" spans="2:3">
      <c r="B18039" s="12"/>
      <c r="C18039" s="12"/>
    </row>
    <row r="18040" spans="2:3">
      <c r="B18040" s="12"/>
      <c r="C18040" s="12"/>
    </row>
    <row r="18041" spans="2:3">
      <c r="B18041" s="12"/>
      <c r="C18041" s="12"/>
    </row>
    <row r="18042" spans="2:3">
      <c r="B18042" s="12"/>
      <c r="C18042" s="12"/>
    </row>
    <row r="18043" spans="2:3">
      <c r="B18043" s="12"/>
      <c r="C18043" s="12"/>
    </row>
    <row r="18044" spans="2:3">
      <c r="B18044" s="12"/>
      <c r="C18044" s="12"/>
    </row>
    <row r="18045" spans="2:3">
      <c r="B18045" s="12"/>
      <c r="C18045" s="12"/>
    </row>
    <row r="18046" spans="2:3">
      <c r="B18046" s="12"/>
      <c r="C18046" s="12"/>
    </row>
    <row r="18047" spans="2:3">
      <c r="B18047" s="12"/>
      <c r="C18047" s="12"/>
    </row>
    <row r="18048" spans="2:3">
      <c r="B18048" s="12"/>
      <c r="C18048" s="12"/>
    </row>
    <row r="18049" spans="2:3">
      <c r="B18049" s="12"/>
      <c r="C18049" s="12"/>
    </row>
    <row r="18050" spans="2:3">
      <c r="B18050" s="12"/>
      <c r="C18050" s="12"/>
    </row>
    <row r="18051" spans="2:3">
      <c r="B18051" s="12"/>
      <c r="C18051" s="12"/>
    </row>
    <row r="18052" spans="2:3">
      <c r="B18052" s="12"/>
      <c r="C18052" s="12"/>
    </row>
    <row r="18053" spans="2:3">
      <c r="B18053" s="12"/>
      <c r="C18053" s="12"/>
    </row>
    <row r="18054" spans="2:3">
      <c r="B18054" s="12"/>
      <c r="C18054" s="12"/>
    </row>
    <row r="18055" spans="2:3">
      <c r="B18055" s="12"/>
      <c r="C18055" s="12"/>
    </row>
    <row r="18056" spans="2:3">
      <c r="B18056" s="12"/>
      <c r="C18056" s="12"/>
    </row>
    <row r="18057" spans="2:3">
      <c r="B18057" s="12"/>
      <c r="C18057" s="12"/>
    </row>
    <row r="18058" spans="2:3">
      <c r="B18058" s="12"/>
      <c r="C18058" s="12"/>
    </row>
    <row r="18059" spans="2:3">
      <c r="B18059" s="12"/>
      <c r="C18059" s="12"/>
    </row>
    <row r="18060" spans="2:3">
      <c r="B18060" s="12"/>
      <c r="C18060" s="12"/>
    </row>
    <row r="18061" spans="2:3">
      <c r="B18061" s="12"/>
      <c r="C18061" s="12"/>
    </row>
    <row r="18062" spans="2:3">
      <c r="B18062" s="12"/>
      <c r="C18062" s="12"/>
    </row>
    <row r="18063" spans="2:3">
      <c r="B18063" s="12"/>
      <c r="C18063" s="12"/>
    </row>
    <row r="18064" spans="2:3">
      <c r="B18064" s="12"/>
      <c r="C18064" s="12"/>
    </row>
    <row r="18065" spans="2:3">
      <c r="B18065" s="12"/>
      <c r="C18065" s="12"/>
    </row>
    <row r="18066" spans="2:3">
      <c r="B18066" s="12"/>
      <c r="C18066" s="12"/>
    </row>
    <row r="18067" spans="2:3">
      <c r="B18067" s="12"/>
      <c r="C18067" s="12"/>
    </row>
    <row r="18068" spans="2:3">
      <c r="B18068" s="12"/>
      <c r="C18068" s="12"/>
    </row>
    <row r="18069" spans="2:3">
      <c r="B18069" s="12"/>
      <c r="C18069" s="12"/>
    </row>
    <row r="18070" spans="2:3">
      <c r="B18070" s="12"/>
      <c r="C18070" s="12"/>
    </row>
    <row r="18071" spans="2:3">
      <c r="B18071" s="12"/>
      <c r="C18071" s="12"/>
    </row>
    <row r="18072" spans="2:3">
      <c r="B18072" s="12"/>
      <c r="C18072" s="12"/>
    </row>
    <row r="18073" spans="2:3">
      <c r="B18073" s="12"/>
      <c r="C18073" s="12"/>
    </row>
    <row r="18074" spans="2:3">
      <c r="B18074" s="12"/>
      <c r="C18074" s="12"/>
    </row>
    <row r="18075" spans="2:3">
      <c r="B18075" s="12"/>
      <c r="C18075" s="12"/>
    </row>
    <row r="18076" spans="2:3">
      <c r="B18076" s="12"/>
      <c r="C18076" s="12"/>
    </row>
    <row r="18077" spans="2:3">
      <c r="B18077" s="12"/>
      <c r="C18077" s="12"/>
    </row>
    <row r="18078" spans="2:3">
      <c r="B18078" s="12"/>
      <c r="C18078" s="12"/>
    </row>
    <row r="18079" spans="2:3">
      <c r="B18079" s="12"/>
      <c r="C18079" s="12"/>
    </row>
    <row r="18080" spans="2:3">
      <c r="B18080" s="12"/>
      <c r="C18080" s="12"/>
    </row>
    <row r="18081" spans="2:3">
      <c r="B18081" s="12"/>
      <c r="C18081" s="12"/>
    </row>
    <row r="18082" spans="2:3">
      <c r="B18082" s="12"/>
      <c r="C18082" s="12"/>
    </row>
    <row r="18083" spans="2:3">
      <c r="B18083" s="12"/>
      <c r="C18083" s="12"/>
    </row>
    <row r="18084" spans="2:3">
      <c r="B18084" s="12"/>
      <c r="C18084" s="12"/>
    </row>
    <row r="18085" spans="2:3">
      <c r="B18085" s="12"/>
      <c r="C18085" s="12"/>
    </row>
    <row r="18086" spans="2:3">
      <c r="B18086" s="12"/>
      <c r="C18086" s="12"/>
    </row>
    <row r="18087" spans="2:3">
      <c r="B18087" s="12"/>
      <c r="C18087" s="12"/>
    </row>
    <row r="18088" spans="2:3">
      <c r="B18088" s="12"/>
      <c r="C18088" s="12"/>
    </row>
    <row r="18089" spans="2:3">
      <c r="B18089" s="12"/>
      <c r="C18089" s="12"/>
    </row>
    <row r="18090" spans="2:3">
      <c r="B18090" s="12"/>
      <c r="C18090" s="12"/>
    </row>
    <row r="18091" spans="2:3">
      <c r="B18091" s="12"/>
      <c r="C18091" s="12"/>
    </row>
    <row r="18092" spans="2:3">
      <c r="B18092" s="12"/>
      <c r="C18092" s="12"/>
    </row>
    <row r="18093" spans="2:3">
      <c r="B18093" s="12"/>
      <c r="C18093" s="12"/>
    </row>
    <row r="18094" spans="2:3">
      <c r="B18094" s="12"/>
      <c r="C18094" s="12"/>
    </row>
    <row r="18095" spans="2:3">
      <c r="B18095" s="12"/>
      <c r="C18095" s="12"/>
    </row>
    <row r="18096" spans="2:3">
      <c r="B18096" s="12"/>
      <c r="C18096" s="12"/>
    </row>
    <row r="18097" spans="2:3">
      <c r="B18097" s="12"/>
      <c r="C18097" s="12"/>
    </row>
    <row r="18098" spans="2:3">
      <c r="B18098" s="12"/>
      <c r="C18098" s="12"/>
    </row>
    <row r="18099" spans="2:3">
      <c r="B18099" s="12"/>
      <c r="C18099" s="12"/>
    </row>
    <row r="18100" spans="2:3">
      <c r="B18100" s="12"/>
      <c r="C18100" s="12"/>
    </row>
    <row r="18101" spans="2:3">
      <c r="B18101" s="12"/>
      <c r="C18101" s="12"/>
    </row>
    <row r="18102" spans="2:3">
      <c r="B18102" s="12"/>
      <c r="C18102" s="12"/>
    </row>
    <row r="18103" spans="2:3">
      <c r="B18103" s="12"/>
      <c r="C18103" s="12"/>
    </row>
    <row r="18104" spans="2:3">
      <c r="B18104" s="12"/>
      <c r="C18104" s="12"/>
    </row>
    <row r="18105" spans="2:3">
      <c r="B18105" s="12"/>
      <c r="C18105" s="12"/>
    </row>
    <row r="18106" spans="2:3">
      <c r="B18106" s="12"/>
      <c r="C18106" s="12"/>
    </row>
    <row r="18107" spans="2:3">
      <c r="B18107" s="12"/>
      <c r="C18107" s="12"/>
    </row>
    <row r="18108" spans="2:3">
      <c r="B18108" s="12"/>
      <c r="C18108" s="12"/>
    </row>
    <row r="18109" spans="2:3">
      <c r="B18109" s="12"/>
      <c r="C18109" s="12"/>
    </row>
    <row r="18110" spans="2:3">
      <c r="B18110" s="12"/>
      <c r="C18110" s="12"/>
    </row>
    <row r="18111" spans="2:3">
      <c r="B18111" s="12"/>
      <c r="C18111" s="12"/>
    </row>
    <row r="18112" spans="2:3">
      <c r="B18112" s="12"/>
      <c r="C18112" s="12"/>
    </row>
    <row r="18113" spans="2:3">
      <c r="B18113" s="12"/>
      <c r="C18113" s="12"/>
    </row>
    <row r="18114" spans="2:3">
      <c r="B18114" s="12"/>
      <c r="C18114" s="12"/>
    </row>
    <row r="18115" spans="2:3">
      <c r="B18115" s="12"/>
      <c r="C18115" s="12"/>
    </row>
    <row r="18116" spans="2:3">
      <c r="B18116" s="12"/>
      <c r="C18116" s="12"/>
    </row>
    <row r="18117" spans="2:3">
      <c r="B18117" s="12"/>
      <c r="C18117" s="12"/>
    </row>
    <row r="18118" spans="2:3">
      <c r="B18118" s="12"/>
      <c r="C18118" s="12"/>
    </row>
    <row r="18119" spans="2:3">
      <c r="B18119" s="12"/>
      <c r="C18119" s="12"/>
    </row>
    <row r="18120" spans="2:3">
      <c r="B18120" s="12"/>
      <c r="C18120" s="12"/>
    </row>
    <row r="18121" spans="2:3">
      <c r="B18121" s="12"/>
      <c r="C18121" s="12"/>
    </row>
    <row r="18122" spans="2:3">
      <c r="B18122" s="12"/>
      <c r="C18122" s="12"/>
    </row>
    <row r="18123" spans="2:3">
      <c r="B18123" s="12"/>
      <c r="C18123" s="12"/>
    </row>
    <row r="18124" spans="2:3">
      <c r="B18124" s="12"/>
      <c r="C18124" s="12"/>
    </row>
    <row r="18125" spans="2:3">
      <c r="B18125" s="12"/>
      <c r="C18125" s="12"/>
    </row>
    <row r="18126" spans="2:3">
      <c r="B18126" s="12"/>
      <c r="C18126" s="12"/>
    </row>
    <row r="18127" spans="2:3">
      <c r="B18127" s="12"/>
      <c r="C18127" s="12"/>
    </row>
    <row r="18128" spans="2:3">
      <c r="B18128" s="12"/>
      <c r="C18128" s="12"/>
    </row>
    <row r="18129" spans="2:3">
      <c r="B18129" s="12"/>
      <c r="C18129" s="12"/>
    </row>
    <row r="18130" spans="2:3">
      <c r="B18130" s="12"/>
      <c r="C18130" s="12"/>
    </row>
    <row r="18131" spans="2:3">
      <c r="B18131" s="12"/>
      <c r="C18131" s="12"/>
    </row>
    <row r="18132" spans="2:3">
      <c r="B18132" s="12"/>
      <c r="C18132" s="12"/>
    </row>
    <row r="18133" spans="2:3">
      <c r="B18133" s="12"/>
      <c r="C18133" s="12"/>
    </row>
    <row r="18134" spans="2:3">
      <c r="B18134" s="12"/>
      <c r="C18134" s="12"/>
    </row>
    <row r="18135" spans="2:3">
      <c r="B18135" s="12"/>
      <c r="C18135" s="12"/>
    </row>
    <row r="18136" spans="2:3">
      <c r="B18136" s="12"/>
      <c r="C18136" s="12"/>
    </row>
    <row r="18137" spans="2:3">
      <c r="B18137" s="12"/>
      <c r="C18137" s="12"/>
    </row>
    <row r="18138" spans="2:3">
      <c r="B18138" s="12"/>
      <c r="C18138" s="12"/>
    </row>
    <row r="18139" spans="2:3">
      <c r="B18139" s="12"/>
      <c r="C18139" s="12"/>
    </row>
    <row r="18140" spans="2:3">
      <c r="B18140" s="12"/>
      <c r="C18140" s="12"/>
    </row>
    <row r="18141" spans="2:3">
      <c r="B18141" s="12"/>
      <c r="C18141" s="12"/>
    </row>
    <row r="18142" spans="2:3">
      <c r="B18142" s="12"/>
      <c r="C18142" s="12"/>
    </row>
    <row r="18143" spans="2:3">
      <c r="B18143" s="12"/>
      <c r="C18143" s="12"/>
    </row>
    <row r="18144" spans="2:3">
      <c r="B18144" s="12"/>
      <c r="C18144" s="12"/>
    </row>
    <row r="18145" spans="2:3">
      <c r="B18145" s="12"/>
      <c r="C18145" s="12"/>
    </row>
    <row r="18146" spans="2:3">
      <c r="B18146" s="12"/>
      <c r="C18146" s="12"/>
    </row>
    <row r="18147" spans="2:3">
      <c r="B18147" s="12"/>
      <c r="C18147" s="12"/>
    </row>
    <row r="18148" spans="2:3">
      <c r="B18148" s="12"/>
      <c r="C18148" s="12"/>
    </row>
    <row r="18149" spans="2:3">
      <c r="B18149" s="12"/>
      <c r="C18149" s="12"/>
    </row>
    <row r="18150" spans="2:3">
      <c r="B18150" s="12"/>
      <c r="C18150" s="12"/>
    </row>
    <row r="18151" spans="2:3">
      <c r="B18151" s="12"/>
      <c r="C18151" s="12"/>
    </row>
    <row r="18152" spans="2:3">
      <c r="B18152" s="12"/>
      <c r="C18152" s="12"/>
    </row>
    <row r="18153" spans="2:3">
      <c r="B18153" s="12"/>
      <c r="C18153" s="12"/>
    </row>
    <row r="18154" spans="2:3">
      <c r="B18154" s="12"/>
      <c r="C18154" s="12"/>
    </row>
    <row r="18155" spans="2:3">
      <c r="B18155" s="12"/>
      <c r="C18155" s="12"/>
    </row>
    <row r="18156" spans="2:3">
      <c r="B18156" s="12"/>
      <c r="C18156" s="12"/>
    </row>
    <row r="18157" spans="2:3">
      <c r="B18157" s="12"/>
      <c r="C18157" s="12"/>
    </row>
    <row r="18158" spans="2:3">
      <c r="B18158" s="12"/>
      <c r="C18158" s="12"/>
    </row>
    <row r="18159" spans="2:3">
      <c r="B18159" s="12"/>
      <c r="C18159" s="12"/>
    </row>
    <row r="18160" spans="2:3">
      <c r="B18160" s="12"/>
      <c r="C18160" s="12"/>
    </row>
    <row r="18161" spans="2:3">
      <c r="B18161" s="12"/>
      <c r="C18161" s="12"/>
    </row>
    <row r="18162" spans="2:3">
      <c r="B18162" s="12"/>
      <c r="C18162" s="12"/>
    </row>
    <row r="18163" spans="2:3">
      <c r="B18163" s="12"/>
      <c r="C18163" s="12"/>
    </row>
    <row r="18164" spans="2:3">
      <c r="B18164" s="12"/>
      <c r="C18164" s="12"/>
    </row>
    <row r="18165" spans="2:3">
      <c r="B18165" s="12"/>
      <c r="C18165" s="12"/>
    </row>
    <row r="18166" spans="2:3">
      <c r="B18166" s="12"/>
      <c r="C18166" s="12"/>
    </row>
    <row r="18167" spans="2:3">
      <c r="B18167" s="12"/>
      <c r="C18167" s="12"/>
    </row>
    <row r="18168" spans="2:3">
      <c r="B18168" s="12"/>
      <c r="C18168" s="12"/>
    </row>
    <row r="18169" spans="2:3">
      <c r="B18169" s="12"/>
      <c r="C18169" s="12"/>
    </row>
    <row r="18170" spans="2:3">
      <c r="B18170" s="12"/>
      <c r="C18170" s="12"/>
    </row>
    <row r="18171" spans="2:3">
      <c r="B18171" s="12"/>
      <c r="C18171" s="12"/>
    </row>
    <row r="18172" spans="2:3">
      <c r="B18172" s="12"/>
      <c r="C18172" s="12"/>
    </row>
    <row r="18173" spans="2:3">
      <c r="B18173" s="12"/>
      <c r="C18173" s="12"/>
    </row>
    <row r="18174" spans="2:3">
      <c r="B18174" s="12"/>
      <c r="C18174" s="12"/>
    </row>
    <row r="18175" spans="2:3">
      <c r="B18175" s="12"/>
      <c r="C18175" s="12"/>
    </row>
    <row r="18176" spans="2:3">
      <c r="B18176" s="12"/>
      <c r="C18176" s="12"/>
    </row>
    <row r="18177" spans="2:3">
      <c r="B18177" s="12"/>
      <c r="C18177" s="12"/>
    </row>
    <row r="18178" spans="2:3">
      <c r="B18178" s="12"/>
      <c r="C18178" s="12"/>
    </row>
    <row r="18179" spans="2:3">
      <c r="B18179" s="12"/>
      <c r="C18179" s="12"/>
    </row>
    <row r="18180" spans="2:3">
      <c r="B18180" s="12"/>
      <c r="C18180" s="12"/>
    </row>
    <row r="18181" spans="2:3">
      <c r="B18181" s="12"/>
      <c r="C18181" s="12"/>
    </row>
    <row r="18182" spans="2:3">
      <c r="B18182" s="12"/>
      <c r="C18182" s="12"/>
    </row>
    <row r="18183" spans="2:3">
      <c r="B18183" s="12"/>
      <c r="C18183" s="12"/>
    </row>
    <row r="18184" spans="2:3">
      <c r="B18184" s="12"/>
      <c r="C18184" s="12"/>
    </row>
    <row r="18185" spans="2:3">
      <c r="B18185" s="12"/>
      <c r="C18185" s="12"/>
    </row>
    <row r="18186" spans="2:3">
      <c r="B18186" s="12"/>
      <c r="C18186" s="12"/>
    </row>
    <row r="18187" spans="2:3">
      <c r="B18187" s="12"/>
      <c r="C18187" s="12"/>
    </row>
    <row r="18188" spans="2:3">
      <c r="B18188" s="12"/>
      <c r="C18188" s="12"/>
    </row>
    <row r="18189" spans="2:3">
      <c r="B18189" s="12"/>
      <c r="C18189" s="12"/>
    </row>
    <row r="18190" spans="2:3">
      <c r="B18190" s="12"/>
      <c r="C18190" s="12"/>
    </row>
    <row r="18191" spans="2:3">
      <c r="B18191" s="12"/>
      <c r="C18191" s="12"/>
    </row>
    <row r="18192" spans="2:3">
      <c r="B18192" s="12"/>
      <c r="C18192" s="12"/>
    </row>
    <row r="18193" spans="2:3">
      <c r="B18193" s="12"/>
      <c r="C18193" s="12"/>
    </row>
    <row r="18194" spans="2:3">
      <c r="B18194" s="12"/>
      <c r="C18194" s="12"/>
    </row>
    <row r="18195" spans="2:3">
      <c r="B18195" s="12"/>
      <c r="C18195" s="12"/>
    </row>
    <row r="18196" spans="2:3">
      <c r="B18196" s="12"/>
      <c r="C18196" s="12"/>
    </row>
    <row r="18197" spans="2:3">
      <c r="B18197" s="12"/>
      <c r="C18197" s="12"/>
    </row>
    <row r="18198" spans="2:3">
      <c r="B18198" s="12"/>
      <c r="C18198" s="12"/>
    </row>
    <row r="18199" spans="2:3">
      <c r="B18199" s="12"/>
      <c r="C18199" s="12"/>
    </row>
    <row r="18200" spans="2:3">
      <c r="B18200" s="12"/>
      <c r="C18200" s="12"/>
    </row>
    <row r="18201" spans="2:3">
      <c r="B18201" s="12"/>
      <c r="C18201" s="12"/>
    </row>
    <row r="18202" spans="2:3">
      <c r="B18202" s="12"/>
      <c r="C18202" s="12"/>
    </row>
    <row r="18203" spans="2:3">
      <c r="B18203" s="12"/>
      <c r="C18203" s="12"/>
    </row>
    <row r="18204" spans="2:3">
      <c r="B18204" s="12"/>
      <c r="C18204" s="12"/>
    </row>
    <row r="18205" spans="2:3">
      <c r="B18205" s="12"/>
      <c r="C18205" s="12"/>
    </row>
    <row r="18206" spans="2:3">
      <c r="B18206" s="12"/>
      <c r="C18206" s="12"/>
    </row>
    <row r="18207" spans="2:3">
      <c r="B18207" s="12"/>
      <c r="C18207" s="12"/>
    </row>
    <row r="18208" spans="2:3">
      <c r="B18208" s="12"/>
      <c r="C18208" s="12"/>
    </row>
    <row r="18209" spans="2:3">
      <c r="B18209" s="12"/>
      <c r="C18209" s="12"/>
    </row>
    <row r="18210" spans="2:3">
      <c r="B18210" s="12"/>
      <c r="C18210" s="12"/>
    </row>
    <row r="18211" spans="2:3">
      <c r="B18211" s="12"/>
      <c r="C18211" s="12"/>
    </row>
    <row r="18212" spans="2:3">
      <c r="B18212" s="12"/>
      <c r="C18212" s="12"/>
    </row>
    <row r="18213" spans="2:3">
      <c r="B18213" s="12"/>
      <c r="C18213" s="12"/>
    </row>
    <row r="18214" spans="2:3">
      <c r="B18214" s="12"/>
      <c r="C18214" s="12"/>
    </row>
    <row r="18215" spans="2:3">
      <c r="B18215" s="12"/>
      <c r="C18215" s="12"/>
    </row>
    <row r="18216" spans="2:3">
      <c r="B18216" s="12"/>
      <c r="C18216" s="12"/>
    </row>
    <row r="18217" spans="2:3">
      <c r="B18217" s="12"/>
      <c r="C18217" s="12"/>
    </row>
    <row r="18218" spans="2:3">
      <c r="B18218" s="12"/>
      <c r="C18218" s="12"/>
    </row>
    <row r="18219" spans="2:3">
      <c r="B18219" s="12"/>
      <c r="C18219" s="12"/>
    </row>
    <row r="18220" spans="2:3">
      <c r="B18220" s="12"/>
      <c r="C18220" s="12"/>
    </row>
    <row r="18221" spans="2:3">
      <c r="B18221" s="12"/>
      <c r="C18221" s="12"/>
    </row>
    <row r="18222" spans="2:3">
      <c r="B18222" s="12"/>
      <c r="C18222" s="12"/>
    </row>
    <row r="18223" spans="2:3">
      <c r="B18223" s="12"/>
      <c r="C18223" s="12"/>
    </row>
    <row r="18224" spans="2:3">
      <c r="B18224" s="12"/>
      <c r="C18224" s="12"/>
    </row>
    <row r="18225" spans="2:3">
      <c r="B18225" s="12"/>
      <c r="C18225" s="12"/>
    </row>
    <row r="18226" spans="2:3">
      <c r="B18226" s="12"/>
      <c r="C18226" s="12"/>
    </row>
    <row r="18227" spans="2:3">
      <c r="B18227" s="12"/>
      <c r="C18227" s="12"/>
    </row>
    <row r="18228" spans="2:3">
      <c r="B18228" s="12"/>
      <c r="C18228" s="12"/>
    </row>
    <row r="18229" spans="2:3">
      <c r="B18229" s="12"/>
      <c r="C18229" s="12"/>
    </row>
    <row r="18230" spans="2:3">
      <c r="B18230" s="12"/>
      <c r="C18230" s="12"/>
    </row>
    <row r="18231" spans="2:3">
      <c r="B18231" s="12"/>
      <c r="C18231" s="12"/>
    </row>
    <row r="18232" spans="2:3">
      <c r="B18232" s="12"/>
      <c r="C18232" s="12"/>
    </row>
    <row r="18233" spans="2:3">
      <c r="B18233" s="12"/>
      <c r="C18233" s="12"/>
    </row>
    <row r="18234" spans="2:3">
      <c r="B18234" s="12"/>
      <c r="C18234" s="12"/>
    </row>
    <row r="18235" spans="2:3">
      <c r="B18235" s="12"/>
      <c r="C18235" s="12"/>
    </row>
    <row r="18236" spans="2:3">
      <c r="B18236" s="12"/>
      <c r="C18236" s="12"/>
    </row>
    <row r="18237" spans="2:3">
      <c r="B18237" s="12"/>
      <c r="C18237" s="12"/>
    </row>
    <row r="18238" spans="2:3">
      <c r="B18238" s="12"/>
      <c r="C18238" s="12"/>
    </row>
    <row r="18239" spans="2:3">
      <c r="B18239" s="12"/>
      <c r="C18239" s="12"/>
    </row>
    <row r="18240" spans="2:3">
      <c r="B18240" s="12"/>
      <c r="C18240" s="12"/>
    </row>
    <row r="18241" spans="2:3">
      <c r="B18241" s="12"/>
      <c r="C18241" s="12"/>
    </row>
    <row r="18242" spans="2:3">
      <c r="B18242" s="12"/>
      <c r="C18242" s="12"/>
    </row>
    <row r="18243" spans="2:3">
      <c r="B18243" s="12"/>
      <c r="C18243" s="12"/>
    </row>
    <row r="18244" spans="2:3">
      <c r="B18244" s="12"/>
      <c r="C18244" s="12"/>
    </row>
    <row r="18245" spans="2:3">
      <c r="B18245" s="12"/>
      <c r="C18245" s="12"/>
    </row>
    <row r="18246" spans="2:3">
      <c r="B18246" s="12"/>
      <c r="C18246" s="12"/>
    </row>
    <row r="18247" spans="2:3">
      <c r="B18247" s="12"/>
      <c r="C18247" s="12"/>
    </row>
    <row r="18248" spans="2:3">
      <c r="B18248" s="12"/>
      <c r="C18248" s="12"/>
    </row>
    <row r="18249" spans="2:3">
      <c r="B18249" s="12"/>
      <c r="C18249" s="12"/>
    </row>
    <row r="18250" spans="2:3">
      <c r="B18250" s="12"/>
      <c r="C18250" s="12"/>
    </row>
    <row r="18251" spans="2:3">
      <c r="B18251" s="12"/>
      <c r="C18251" s="12"/>
    </row>
    <row r="18252" spans="2:3">
      <c r="B18252" s="12"/>
      <c r="C18252" s="12"/>
    </row>
    <row r="18253" spans="2:3">
      <c r="B18253" s="12"/>
      <c r="C18253" s="12"/>
    </row>
    <row r="18254" spans="2:3">
      <c r="B18254" s="12"/>
      <c r="C18254" s="12"/>
    </row>
    <row r="18255" spans="2:3">
      <c r="B18255" s="12"/>
      <c r="C18255" s="12"/>
    </row>
    <row r="18256" spans="2:3">
      <c r="B18256" s="12"/>
      <c r="C18256" s="12"/>
    </row>
    <row r="18257" spans="2:3">
      <c r="B18257" s="12"/>
      <c r="C18257" s="12"/>
    </row>
    <row r="18258" spans="2:3">
      <c r="B18258" s="12"/>
      <c r="C18258" s="12"/>
    </row>
    <row r="18259" spans="2:3">
      <c r="B18259" s="12"/>
      <c r="C18259" s="12"/>
    </row>
    <row r="18260" spans="2:3">
      <c r="B18260" s="12"/>
      <c r="C18260" s="12"/>
    </row>
    <row r="18261" spans="2:3">
      <c r="B18261" s="12"/>
      <c r="C18261" s="12"/>
    </row>
    <row r="18262" spans="2:3">
      <c r="B18262" s="12"/>
      <c r="C18262" s="12"/>
    </row>
    <row r="18263" spans="2:3">
      <c r="B18263" s="12"/>
      <c r="C18263" s="12"/>
    </row>
    <row r="18264" spans="2:3">
      <c r="B18264" s="12"/>
      <c r="C18264" s="12"/>
    </row>
    <row r="18265" spans="2:3">
      <c r="B18265" s="12"/>
      <c r="C18265" s="12"/>
    </row>
    <row r="18266" spans="2:3">
      <c r="B18266" s="12"/>
      <c r="C18266" s="12"/>
    </row>
    <row r="18267" spans="2:3">
      <c r="B18267" s="12"/>
      <c r="C18267" s="12"/>
    </row>
    <row r="18268" spans="2:3">
      <c r="B18268" s="12"/>
      <c r="C18268" s="12"/>
    </row>
    <row r="18269" spans="2:3">
      <c r="B18269" s="12"/>
      <c r="C18269" s="12"/>
    </row>
    <row r="18270" spans="2:3">
      <c r="B18270" s="12"/>
      <c r="C18270" s="12"/>
    </row>
    <row r="18271" spans="2:3">
      <c r="B18271" s="12"/>
      <c r="C18271" s="12"/>
    </row>
    <row r="18272" spans="2:3">
      <c r="B18272" s="12"/>
      <c r="C18272" s="12"/>
    </row>
    <row r="18273" spans="2:3">
      <c r="B18273" s="12"/>
      <c r="C18273" s="12"/>
    </row>
    <row r="18274" spans="2:3">
      <c r="B18274" s="12"/>
      <c r="C18274" s="12"/>
    </row>
    <row r="18275" spans="2:3">
      <c r="B18275" s="12"/>
      <c r="C18275" s="12"/>
    </row>
    <row r="18276" spans="2:3">
      <c r="B18276" s="12"/>
      <c r="C18276" s="12"/>
    </row>
    <row r="18277" spans="2:3">
      <c r="B18277" s="12"/>
      <c r="C18277" s="12"/>
    </row>
    <row r="18278" spans="2:3">
      <c r="B18278" s="12"/>
      <c r="C18278" s="12"/>
    </row>
    <row r="18279" spans="2:3">
      <c r="B18279" s="12"/>
      <c r="C18279" s="12"/>
    </row>
    <row r="18280" spans="2:3">
      <c r="B18280" s="12"/>
      <c r="C18280" s="12"/>
    </row>
    <row r="18281" spans="2:3">
      <c r="B18281" s="12"/>
      <c r="C18281" s="12"/>
    </row>
    <row r="18282" spans="2:3">
      <c r="B18282" s="12"/>
      <c r="C18282" s="12"/>
    </row>
    <row r="18283" spans="2:3">
      <c r="B18283" s="12"/>
      <c r="C18283" s="12"/>
    </row>
    <row r="18284" spans="2:3">
      <c r="B18284" s="12"/>
      <c r="C18284" s="12"/>
    </row>
    <row r="18285" spans="2:3">
      <c r="B18285" s="12"/>
      <c r="C18285" s="12"/>
    </row>
    <row r="18286" spans="2:3">
      <c r="B18286" s="12"/>
      <c r="C18286" s="12"/>
    </row>
    <row r="18287" spans="2:3">
      <c r="B18287" s="12"/>
      <c r="C18287" s="12"/>
    </row>
    <row r="18288" spans="2:3">
      <c r="B18288" s="12"/>
      <c r="C18288" s="12"/>
    </row>
    <row r="18289" spans="2:3">
      <c r="B18289" s="12"/>
      <c r="C18289" s="12"/>
    </row>
    <row r="18290" spans="2:3">
      <c r="B18290" s="12"/>
      <c r="C18290" s="12"/>
    </row>
    <row r="18291" spans="2:3">
      <c r="B18291" s="12"/>
      <c r="C18291" s="12"/>
    </row>
    <row r="18292" spans="2:3">
      <c r="B18292" s="12"/>
      <c r="C18292" s="12"/>
    </row>
    <row r="18293" spans="2:3">
      <c r="B18293" s="12"/>
      <c r="C18293" s="12"/>
    </row>
    <row r="18294" spans="2:3">
      <c r="B18294" s="12"/>
      <c r="C18294" s="12"/>
    </row>
    <row r="18295" spans="2:3">
      <c r="B18295" s="12"/>
      <c r="C18295" s="12"/>
    </row>
    <row r="18296" spans="2:3">
      <c r="B18296" s="12"/>
      <c r="C18296" s="12"/>
    </row>
    <row r="18297" spans="2:3">
      <c r="B18297" s="12"/>
      <c r="C18297" s="12"/>
    </row>
    <row r="18298" spans="2:3">
      <c r="B18298" s="12"/>
      <c r="C18298" s="12"/>
    </row>
    <row r="18299" spans="2:3">
      <c r="B18299" s="12"/>
      <c r="C18299" s="12"/>
    </row>
    <row r="18300" spans="2:3">
      <c r="B18300" s="12"/>
      <c r="C18300" s="12"/>
    </row>
    <row r="18301" spans="2:3">
      <c r="B18301" s="12"/>
      <c r="C18301" s="12"/>
    </row>
    <row r="18302" spans="2:3">
      <c r="B18302" s="12"/>
      <c r="C18302" s="12"/>
    </row>
    <row r="18303" spans="2:3">
      <c r="B18303" s="12"/>
      <c r="C18303" s="12"/>
    </row>
    <row r="18304" spans="2:3">
      <c r="B18304" s="12"/>
      <c r="C18304" s="12"/>
    </row>
    <row r="18305" spans="2:3">
      <c r="B18305" s="12"/>
      <c r="C18305" s="12"/>
    </row>
    <row r="18306" spans="2:3">
      <c r="B18306" s="12"/>
      <c r="C18306" s="12"/>
    </row>
    <row r="18307" spans="2:3">
      <c r="B18307" s="12"/>
      <c r="C18307" s="12"/>
    </row>
    <row r="18308" spans="2:3">
      <c r="B18308" s="12"/>
      <c r="C18308" s="12"/>
    </row>
    <row r="18309" spans="2:3">
      <c r="B18309" s="12"/>
      <c r="C18309" s="12"/>
    </row>
    <row r="18310" spans="2:3">
      <c r="B18310" s="12"/>
      <c r="C18310" s="12"/>
    </row>
    <row r="18311" spans="2:3">
      <c r="B18311" s="12"/>
      <c r="C18311" s="12"/>
    </row>
    <row r="18312" spans="2:3">
      <c r="B18312" s="12"/>
      <c r="C18312" s="12"/>
    </row>
    <row r="18313" spans="2:3">
      <c r="B18313" s="12"/>
      <c r="C18313" s="12"/>
    </row>
    <row r="18314" spans="2:3">
      <c r="B18314" s="12"/>
      <c r="C18314" s="12"/>
    </row>
    <row r="18315" spans="2:3">
      <c r="B18315" s="12"/>
      <c r="C18315" s="12"/>
    </row>
    <row r="18316" spans="2:3">
      <c r="B18316" s="12"/>
      <c r="C18316" s="12"/>
    </row>
    <row r="18317" spans="2:3">
      <c r="B18317" s="12"/>
      <c r="C18317" s="12"/>
    </row>
    <row r="18318" spans="2:3">
      <c r="B18318" s="12"/>
      <c r="C18318" s="12"/>
    </row>
    <row r="18319" spans="2:3">
      <c r="B18319" s="12"/>
      <c r="C18319" s="12"/>
    </row>
    <row r="18320" spans="2:3">
      <c r="B18320" s="12"/>
      <c r="C18320" s="12"/>
    </row>
    <row r="18321" spans="2:3">
      <c r="B18321" s="12"/>
      <c r="C18321" s="12"/>
    </row>
    <row r="18322" spans="2:3">
      <c r="B18322" s="12"/>
      <c r="C18322" s="12"/>
    </row>
    <row r="18323" spans="2:3">
      <c r="B18323" s="12"/>
      <c r="C18323" s="12"/>
    </row>
    <row r="18324" spans="2:3">
      <c r="B18324" s="12"/>
      <c r="C18324" s="12"/>
    </row>
    <row r="18325" spans="2:3">
      <c r="B18325" s="12"/>
      <c r="C18325" s="12"/>
    </row>
    <row r="18326" spans="2:3">
      <c r="B18326" s="12"/>
      <c r="C18326" s="12"/>
    </row>
    <row r="18327" spans="2:3">
      <c r="B18327" s="12"/>
      <c r="C18327" s="12"/>
    </row>
    <row r="18328" spans="2:3">
      <c r="B18328" s="12"/>
      <c r="C18328" s="12"/>
    </row>
    <row r="18329" spans="2:3">
      <c r="B18329" s="12"/>
      <c r="C18329" s="12"/>
    </row>
    <row r="18330" spans="2:3">
      <c r="B18330" s="12"/>
      <c r="C18330" s="12"/>
    </row>
    <row r="18331" spans="2:3">
      <c r="B18331" s="12"/>
      <c r="C18331" s="12"/>
    </row>
    <row r="18332" spans="2:3">
      <c r="B18332" s="12"/>
      <c r="C18332" s="12"/>
    </row>
    <row r="18333" spans="2:3">
      <c r="B18333" s="12"/>
      <c r="C18333" s="12"/>
    </row>
    <row r="18334" spans="2:3">
      <c r="B18334" s="12"/>
      <c r="C18334" s="12"/>
    </row>
    <row r="18335" spans="2:3">
      <c r="B18335" s="12"/>
      <c r="C18335" s="12"/>
    </row>
    <row r="18336" spans="2:3">
      <c r="B18336" s="12"/>
      <c r="C18336" s="12"/>
    </row>
    <row r="18337" spans="2:3">
      <c r="B18337" s="12"/>
      <c r="C18337" s="12"/>
    </row>
    <row r="18338" spans="2:3">
      <c r="B18338" s="12"/>
      <c r="C18338" s="12"/>
    </row>
    <row r="18339" spans="2:3">
      <c r="B18339" s="12"/>
      <c r="C18339" s="12"/>
    </row>
    <row r="18340" spans="2:3">
      <c r="B18340" s="12"/>
      <c r="C18340" s="12"/>
    </row>
    <row r="18341" spans="2:3">
      <c r="B18341" s="12"/>
      <c r="C18341" s="12"/>
    </row>
    <row r="18342" spans="2:3">
      <c r="B18342" s="12"/>
      <c r="C18342" s="12"/>
    </row>
    <row r="18343" spans="2:3">
      <c r="B18343" s="12"/>
      <c r="C18343" s="12"/>
    </row>
    <row r="18344" spans="2:3">
      <c r="B18344" s="12"/>
      <c r="C18344" s="12"/>
    </row>
    <row r="18345" spans="2:3">
      <c r="B18345" s="12"/>
      <c r="C18345" s="12"/>
    </row>
    <row r="18346" spans="2:3">
      <c r="B18346" s="12"/>
      <c r="C18346" s="12"/>
    </row>
    <row r="18347" spans="2:3">
      <c r="B18347" s="12"/>
      <c r="C18347" s="12"/>
    </row>
    <row r="18348" spans="2:3">
      <c r="B18348" s="12"/>
      <c r="C18348" s="12"/>
    </row>
    <row r="18349" spans="2:3">
      <c r="B18349" s="12"/>
      <c r="C18349" s="12"/>
    </row>
    <row r="18350" spans="2:3">
      <c r="B18350" s="12"/>
      <c r="C18350" s="12"/>
    </row>
    <row r="18351" spans="2:3">
      <c r="B18351" s="12"/>
      <c r="C18351" s="12"/>
    </row>
    <row r="18352" spans="2:3">
      <c r="B18352" s="12"/>
      <c r="C18352" s="12"/>
    </row>
    <row r="18353" spans="2:3">
      <c r="B18353" s="12"/>
      <c r="C18353" s="12"/>
    </row>
    <row r="18354" spans="2:3">
      <c r="B18354" s="12"/>
      <c r="C18354" s="12"/>
    </row>
    <row r="18355" spans="2:3">
      <c r="B18355" s="12"/>
      <c r="C18355" s="12"/>
    </row>
    <row r="18356" spans="2:3">
      <c r="B18356" s="12"/>
      <c r="C18356" s="12"/>
    </row>
    <row r="18357" spans="2:3">
      <c r="B18357" s="12"/>
      <c r="C18357" s="12"/>
    </row>
    <row r="18358" spans="2:3">
      <c r="B18358" s="12"/>
      <c r="C18358" s="12"/>
    </row>
    <row r="18359" spans="2:3">
      <c r="B18359" s="12"/>
      <c r="C18359" s="12"/>
    </row>
    <row r="18360" spans="2:3">
      <c r="B18360" s="12"/>
      <c r="C18360" s="12"/>
    </row>
    <row r="18361" spans="2:3">
      <c r="B18361" s="12"/>
      <c r="C18361" s="12"/>
    </row>
    <row r="18362" spans="2:3">
      <c r="B18362" s="12"/>
      <c r="C18362" s="12"/>
    </row>
    <row r="18363" spans="2:3">
      <c r="B18363" s="12"/>
      <c r="C18363" s="12"/>
    </row>
    <row r="18364" spans="2:3">
      <c r="B18364" s="12"/>
      <c r="C18364" s="12"/>
    </row>
    <row r="18365" spans="2:3">
      <c r="B18365" s="12"/>
      <c r="C18365" s="12"/>
    </row>
    <row r="18366" spans="2:3">
      <c r="B18366" s="12"/>
      <c r="C18366" s="12"/>
    </row>
    <row r="18367" spans="2:3">
      <c r="B18367" s="12"/>
      <c r="C18367" s="12"/>
    </row>
    <row r="18368" spans="2:3">
      <c r="B18368" s="12"/>
      <c r="C18368" s="12"/>
    </row>
    <row r="18369" spans="2:3">
      <c r="B18369" s="12"/>
      <c r="C18369" s="12"/>
    </row>
    <row r="18370" spans="2:3">
      <c r="B18370" s="12"/>
      <c r="C18370" s="12"/>
    </row>
    <row r="18371" spans="2:3">
      <c r="B18371" s="12"/>
      <c r="C18371" s="12"/>
    </row>
    <row r="18372" spans="2:3">
      <c r="B18372" s="12"/>
      <c r="C18372" s="12"/>
    </row>
    <row r="18373" spans="2:3">
      <c r="B18373" s="12"/>
      <c r="C18373" s="12"/>
    </row>
    <row r="18374" spans="2:3">
      <c r="B18374" s="12"/>
      <c r="C18374" s="12"/>
    </row>
    <row r="18375" spans="2:3">
      <c r="B18375" s="12"/>
      <c r="C18375" s="12"/>
    </row>
    <row r="18376" spans="2:3">
      <c r="B18376" s="12"/>
      <c r="C18376" s="12"/>
    </row>
    <row r="18377" spans="2:3">
      <c r="B18377" s="12"/>
      <c r="C18377" s="12"/>
    </row>
    <row r="18378" spans="2:3">
      <c r="B18378" s="12"/>
      <c r="C18378" s="12"/>
    </row>
    <row r="18379" spans="2:3">
      <c r="B18379" s="12"/>
      <c r="C18379" s="12"/>
    </row>
    <row r="18380" spans="2:3">
      <c r="B18380" s="12"/>
      <c r="C18380" s="12"/>
    </row>
    <row r="18381" spans="2:3">
      <c r="B18381" s="12"/>
      <c r="C18381" s="12"/>
    </row>
    <row r="18382" spans="2:3">
      <c r="B18382" s="12"/>
      <c r="C18382" s="12"/>
    </row>
    <row r="18383" spans="2:3">
      <c r="B18383" s="12"/>
      <c r="C18383" s="12"/>
    </row>
    <row r="18384" spans="2:3">
      <c r="B18384" s="12"/>
      <c r="C18384" s="12"/>
    </row>
    <row r="18385" spans="2:3">
      <c r="B18385" s="12"/>
      <c r="C18385" s="12"/>
    </row>
    <row r="18386" spans="2:3">
      <c r="B18386" s="12"/>
      <c r="C18386" s="12"/>
    </row>
    <row r="18387" spans="2:3">
      <c r="B18387" s="12"/>
      <c r="C18387" s="12"/>
    </row>
    <row r="18388" spans="2:3">
      <c r="B18388" s="12"/>
      <c r="C18388" s="12"/>
    </row>
    <row r="18389" spans="2:3">
      <c r="B18389" s="12"/>
      <c r="C18389" s="12"/>
    </row>
    <row r="18390" spans="2:3">
      <c r="B18390" s="12"/>
      <c r="C18390" s="12"/>
    </row>
    <row r="18391" spans="2:3">
      <c r="B18391" s="12"/>
      <c r="C18391" s="12"/>
    </row>
    <row r="18392" spans="2:3">
      <c r="B18392" s="12"/>
      <c r="C18392" s="12"/>
    </row>
    <row r="18393" spans="2:3">
      <c r="B18393" s="12"/>
      <c r="C18393" s="12"/>
    </row>
    <row r="18394" spans="2:3">
      <c r="B18394" s="12"/>
      <c r="C18394" s="12"/>
    </row>
    <row r="18395" spans="2:3">
      <c r="B18395" s="12"/>
      <c r="C18395" s="12"/>
    </row>
    <row r="18396" spans="2:3">
      <c r="B18396" s="12"/>
      <c r="C18396" s="12"/>
    </row>
    <row r="18397" spans="2:3">
      <c r="B18397" s="12"/>
      <c r="C18397" s="12"/>
    </row>
    <row r="18398" spans="2:3">
      <c r="B18398" s="12"/>
      <c r="C18398" s="12"/>
    </row>
    <row r="18399" spans="2:3">
      <c r="B18399" s="12"/>
      <c r="C18399" s="12"/>
    </row>
    <row r="18400" spans="2:3">
      <c r="B18400" s="12"/>
      <c r="C18400" s="12"/>
    </row>
    <row r="18401" spans="2:3">
      <c r="B18401" s="12"/>
      <c r="C18401" s="12"/>
    </row>
    <row r="18402" spans="2:3">
      <c r="B18402" s="12"/>
      <c r="C18402" s="12"/>
    </row>
    <row r="18403" spans="2:3">
      <c r="B18403" s="12"/>
      <c r="C18403" s="12"/>
    </row>
    <row r="18404" spans="2:3">
      <c r="B18404" s="12"/>
      <c r="C18404" s="12"/>
    </row>
    <row r="18405" spans="2:3">
      <c r="B18405" s="12"/>
      <c r="C18405" s="12"/>
    </row>
    <row r="18406" spans="2:3">
      <c r="B18406" s="12"/>
      <c r="C18406" s="12"/>
    </row>
    <row r="18407" spans="2:3">
      <c r="B18407" s="12"/>
      <c r="C18407" s="12"/>
    </row>
    <row r="18408" spans="2:3">
      <c r="B18408" s="12"/>
      <c r="C18408" s="12"/>
    </row>
    <row r="18409" spans="2:3">
      <c r="B18409" s="12"/>
      <c r="C18409" s="12"/>
    </row>
    <row r="18410" spans="2:3">
      <c r="B18410" s="12"/>
      <c r="C18410" s="12"/>
    </row>
    <row r="18411" spans="2:3">
      <c r="B18411" s="12"/>
      <c r="C18411" s="12"/>
    </row>
    <row r="18412" spans="2:3">
      <c r="B18412" s="12"/>
      <c r="C18412" s="12"/>
    </row>
    <row r="18413" spans="2:3">
      <c r="B18413" s="12"/>
      <c r="C18413" s="12"/>
    </row>
    <row r="18414" spans="2:3">
      <c r="B18414" s="12"/>
      <c r="C18414" s="12"/>
    </row>
    <row r="18415" spans="2:3">
      <c r="B18415" s="12"/>
      <c r="C18415" s="12"/>
    </row>
    <row r="18416" spans="2:3">
      <c r="B18416" s="12"/>
      <c r="C18416" s="12"/>
    </row>
    <row r="18417" spans="2:3">
      <c r="B18417" s="12"/>
      <c r="C18417" s="12"/>
    </row>
    <row r="18418" spans="2:3">
      <c r="B18418" s="12"/>
      <c r="C18418" s="12"/>
    </row>
    <row r="18419" spans="2:3">
      <c r="B18419" s="12"/>
      <c r="C18419" s="12"/>
    </row>
    <row r="18420" spans="2:3">
      <c r="B18420" s="12"/>
      <c r="C18420" s="12"/>
    </row>
    <row r="18421" spans="2:3">
      <c r="B18421" s="12"/>
      <c r="C18421" s="12"/>
    </row>
    <row r="18422" spans="2:3">
      <c r="B18422" s="12"/>
      <c r="C18422" s="12"/>
    </row>
    <row r="18423" spans="2:3">
      <c r="B18423" s="12"/>
      <c r="C18423" s="12"/>
    </row>
    <row r="18424" spans="2:3">
      <c r="B18424" s="12"/>
      <c r="C18424" s="12"/>
    </row>
    <row r="18425" spans="2:3">
      <c r="B18425" s="12"/>
      <c r="C18425" s="12"/>
    </row>
    <row r="18426" spans="2:3">
      <c r="B18426" s="12"/>
      <c r="C18426" s="12"/>
    </row>
    <row r="18427" spans="2:3">
      <c r="B18427" s="12"/>
      <c r="C18427" s="12"/>
    </row>
    <row r="18428" spans="2:3">
      <c r="B18428" s="12"/>
      <c r="C18428" s="12"/>
    </row>
    <row r="18429" spans="2:3">
      <c r="B18429" s="12"/>
      <c r="C18429" s="12"/>
    </row>
    <row r="18430" spans="2:3">
      <c r="B18430" s="12"/>
      <c r="C18430" s="12"/>
    </row>
    <row r="18431" spans="2:3">
      <c r="B18431" s="12"/>
      <c r="C18431" s="12"/>
    </row>
    <row r="18432" spans="2:3">
      <c r="B18432" s="12"/>
      <c r="C18432" s="12"/>
    </row>
    <row r="18433" spans="2:3">
      <c r="B18433" s="12"/>
      <c r="C18433" s="12"/>
    </row>
    <row r="18434" spans="2:3">
      <c r="B18434" s="12"/>
      <c r="C18434" s="12"/>
    </row>
    <row r="18435" spans="2:3">
      <c r="B18435" s="12"/>
      <c r="C18435" s="12"/>
    </row>
    <row r="18436" spans="2:3">
      <c r="B18436" s="12"/>
      <c r="C18436" s="12"/>
    </row>
    <row r="18437" spans="2:3">
      <c r="B18437" s="12"/>
      <c r="C18437" s="12"/>
    </row>
    <row r="18438" spans="2:3">
      <c r="B18438" s="12"/>
      <c r="C18438" s="12"/>
    </row>
    <row r="18439" spans="2:3">
      <c r="B18439" s="12"/>
      <c r="C18439" s="12"/>
    </row>
    <row r="18440" spans="2:3">
      <c r="B18440" s="12"/>
      <c r="C18440" s="12"/>
    </row>
    <row r="18441" spans="2:3">
      <c r="B18441" s="12"/>
      <c r="C18441" s="12"/>
    </row>
    <row r="18442" spans="2:3">
      <c r="B18442" s="12"/>
      <c r="C18442" s="12"/>
    </row>
    <row r="18443" spans="2:3">
      <c r="B18443" s="12"/>
      <c r="C18443" s="12"/>
    </row>
    <row r="18444" spans="2:3">
      <c r="B18444" s="12"/>
      <c r="C18444" s="12"/>
    </row>
    <row r="18445" spans="2:3">
      <c r="B18445" s="12"/>
      <c r="C18445" s="12"/>
    </row>
    <row r="18446" spans="2:3">
      <c r="B18446" s="12"/>
      <c r="C18446" s="12"/>
    </row>
    <row r="18447" spans="2:3">
      <c r="B18447" s="12"/>
      <c r="C18447" s="12"/>
    </row>
    <row r="18448" spans="2:3">
      <c r="B18448" s="12"/>
      <c r="C18448" s="12"/>
    </row>
    <row r="18449" spans="2:3">
      <c r="B18449" s="12"/>
      <c r="C18449" s="12"/>
    </row>
    <row r="18450" spans="2:3">
      <c r="B18450" s="12"/>
      <c r="C18450" s="12"/>
    </row>
    <row r="18451" spans="2:3">
      <c r="B18451" s="12"/>
      <c r="C18451" s="12"/>
    </row>
    <row r="18452" spans="2:3">
      <c r="B18452" s="12"/>
      <c r="C18452" s="12"/>
    </row>
    <row r="18453" spans="2:3">
      <c r="B18453" s="12"/>
      <c r="C18453" s="12"/>
    </row>
    <row r="18454" spans="2:3">
      <c r="B18454" s="12"/>
      <c r="C18454" s="12"/>
    </row>
    <row r="18455" spans="2:3">
      <c r="B18455" s="12"/>
      <c r="C18455" s="12"/>
    </row>
    <row r="18456" spans="2:3">
      <c r="B18456" s="12"/>
      <c r="C18456" s="12"/>
    </row>
    <row r="18457" spans="2:3">
      <c r="B18457" s="12"/>
      <c r="C18457" s="12"/>
    </row>
    <row r="18458" spans="2:3">
      <c r="B18458" s="12"/>
      <c r="C18458" s="12"/>
    </row>
    <row r="18459" spans="2:3">
      <c r="B18459" s="12"/>
      <c r="C18459" s="12"/>
    </row>
    <row r="18460" spans="2:3">
      <c r="B18460" s="12"/>
      <c r="C18460" s="12"/>
    </row>
    <row r="18461" spans="2:3">
      <c r="B18461" s="12"/>
      <c r="C18461" s="12"/>
    </row>
    <row r="18462" spans="2:3">
      <c r="B18462" s="12"/>
      <c r="C18462" s="12"/>
    </row>
    <row r="18463" spans="2:3">
      <c r="B18463" s="12"/>
      <c r="C18463" s="12"/>
    </row>
    <row r="18464" spans="2:3">
      <c r="B18464" s="12"/>
      <c r="C18464" s="12"/>
    </row>
    <row r="18465" spans="2:3">
      <c r="B18465" s="12"/>
      <c r="C18465" s="12"/>
    </row>
    <row r="18466" spans="2:3">
      <c r="B18466" s="12"/>
      <c r="C18466" s="12"/>
    </row>
    <row r="18467" spans="2:3">
      <c r="B18467" s="12"/>
      <c r="C18467" s="12"/>
    </row>
    <row r="18468" spans="2:3">
      <c r="B18468" s="12"/>
      <c r="C18468" s="12"/>
    </row>
    <row r="18469" spans="2:3">
      <c r="B18469" s="12"/>
      <c r="C18469" s="12"/>
    </row>
    <row r="18470" spans="2:3">
      <c r="B18470" s="12"/>
      <c r="C18470" s="12"/>
    </row>
    <row r="18471" spans="2:3">
      <c r="B18471" s="12"/>
      <c r="C18471" s="12"/>
    </row>
    <row r="18472" spans="2:3">
      <c r="B18472" s="12"/>
      <c r="C18472" s="12"/>
    </row>
    <row r="18473" spans="2:3">
      <c r="B18473" s="12"/>
      <c r="C18473" s="12"/>
    </row>
    <row r="18474" spans="2:3">
      <c r="B18474" s="12"/>
      <c r="C18474" s="12"/>
    </row>
    <row r="18475" spans="2:3">
      <c r="B18475" s="12"/>
      <c r="C18475" s="12"/>
    </row>
    <row r="18476" spans="2:3">
      <c r="B18476" s="12"/>
      <c r="C18476" s="12"/>
    </row>
    <row r="18477" spans="2:3">
      <c r="B18477" s="12"/>
      <c r="C18477" s="12"/>
    </row>
    <row r="18478" spans="2:3">
      <c r="B18478" s="12"/>
      <c r="C18478" s="12"/>
    </row>
    <row r="18479" spans="2:3">
      <c r="B18479" s="12"/>
      <c r="C18479" s="12"/>
    </row>
    <row r="18480" spans="2:3">
      <c r="B18480" s="12"/>
      <c r="C18480" s="12"/>
    </row>
    <row r="18481" spans="2:3">
      <c r="B18481" s="12"/>
      <c r="C18481" s="12"/>
    </row>
    <row r="18482" spans="2:3">
      <c r="B18482" s="12"/>
      <c r="C18482" s="12"/>
    </row>
    <row r="18483" spans="2:3">
      <c r="B18483" s="12"/>
      <c r="C18483" s="12"/>
    </row>
    <row r="18484" spans="2:3">
      <c r="B18484" s="12"/>
      <c r="C18484" s="12"/>
    </row>
    <row r="18485" spans="2:3">
      <c r="B18485" s="12"/>
      <c r="C18485" s="12"/>
    </row>
    <row r="18486" spans="2:3">
      <c r="B18486" s="12"/>
      <c r="C18486" s="12"/>
    </row>
    <row r="18487" spans="2:3">
      <c r="B18487" s="12"/>
      <c r="C18487" s="12"/>
    </row>
    <row r="18488" spans="2:3">
      <c r="B18488" s="12"/>
      <c r="C18488" s="12"/>
    </row>
    <row r="18489" spans="2:3">
      <c r="B18489" s="12"/>
      <c r="C18489" s="12"/>
    </row>
    <row r="18490" spans="2:3">
      <c r="B18490" s="12"/>
      <c r="C18490" s="12"/>
    </row>
    <row r="18491" spans="2:3">
      <c r="B18491" s="12"/>
      <c r="C18491" s="12"/>
    </row>
    <row r="18492" spans="2:3">
      <c r="B18492" s="12"/>
      <c r="C18492" s="12"/>
    </row>
    <row r="18493" spans="2:3">
      <c r="B18493" s="12"/>
      <c r="C18493" s="12"/>
    </row>
    <row r="18494" spans="2:3">
      <c r="B18494" s="12"/>
      <c r="C18494" s="12"/>
    </row>
    <row r="18495" spans="2:3">
      <c r="B18495" s="12"/>
      <c r="C18495" s="12"/>
    </row>
    <row r="18496" spans="2:3">
      <c r="B18496" s="12"/>
      <c r="C18496" s="12"/>
    </row>
    <row r="18497" spans="2:3">
      <c r="B18497" s="12"/>
      <c r="C18497" s="12"/>
    </row>
    <row r="18498" spans="2:3">
      <c r="B18498" s="12"/>
      <c r="C18498" s="12"/>
    </row>
    <row r="18499" spans="2:3">
      <c r="B18499" s="12"/>
      <c r="C18499" s="12"/>
    </row>
    <row r="18500" spans="2:3">
      <c r="B18500" s="12"/>
      <c r="C18500" s="12"/>
    </row>
    <row r="18501" spans="2:3">
      <c r="B18501" s="12"/>
      <c r="C18501" s="12"/>
    </row>
    <row r="18502" spans="2:3">
      <c r="B18502" s="12"/>
      <c r="C18502" s="12"/>
    </row>
    <row r="18503" spans="2:3">
      <c r="B18503" s="12"/>
      <c r="C18503" s="12"/>
    </row>
    <row r="18504" spans="2:3">
      <c r="B18504" s="12"/>
      <c r="C18504" s="12"/>
    </row>
    <row r="18505" spans="2:3">
      <c r="B18505" s="12"/>
      <c r="C18505" s="12"/>
    </row>
    <row r="18506" spans="2:3">
      <c r="B18506" s="12"/>
      <c r="C18506" s="12"/>
    </row>
    <row r="18507" spans="2:3">
      <c r="B18507" s="12"/>
      <c r="C18507" s="12"/>
    </row>
    <row r="18508" spans="2:3">
      <c r="B18508" s="12"/>
      <c r="C18508" s="12"/>
    </row>
    <row r="18509" spans="2:3">
      <c r="B18509" s="12"/>
      <c r="C18509" s="12"/>
    </row>
    <row r="18510" spans="2:3">
      <c r="B18510" s="12"/>
      <c r="C18510" s="12"/>
    </row>
    <row r="18511" spans="2:3">
      <c r="B18511" s="12"/>
      <c r="C18511" s="12"/>
    </row>
    <row r="18512" spans="2:3">
      <c r="B18512" s="12"/>
      <c r="C18512" s="12"/>
    </row>
    <row r="18513" spans="2:3">
      <c r="B18513" s="12"/>
      <c r="C18513" s="12"/>
    </row>
    <row r="18514" spans="2:3">
      <c r="B18514" s="12"/>
      <c r="C18514" s="12"/>
    </row>
    <row r="18515" spans="2:3">
      <c r="B18515" s="12"/>
      <c r="C18515" s="12"/>
    </row>
    <row r="18516" spans="2:3">
      <c r="B18516" s="12"/>
      <c r="C18516" s="12"/>
    </row>
    <row r="18517" spans="2:3">
      <c r="B18517" s="12"/>
      <c r="C18517" s="12"/>
    </row>
    <row r="18518" spans="2:3">
      <c r="B18518" s="12"/>
      <c r="C18518" s="12"/>
    </row>
    <row r="18519" spans="2:3">
      <c r="B18519" s="12"/>
      <c r="C18519" s="12"/>
    </row>
    <row r="18520" spans="2:3">
      <c r="B18520" s="12"/>
      <c r="C18520" s="12"/>
    </row>
    <row r="18521" spans="2:3">
      <c r="B18521" s="12"/>
      <c r="C18521" s="12"/>
    </row>
    <row r="18522" spans="2:3">
      <c r="B18522" s="12"/>
      <c r="C18522" s="12"/>
    </row>
    <row r="18523" spans="2:3">
      <c r="B18523" s="12"/>
      <c r="C18523" s="12"/>
    </row>
    <row r="18524" spans="2:3">
      <c r="B18524" s="12"/>
      <c r="C18524" s="12"/>
    </row>
    <row r="18525" spans="2:3">
      <c r="B18525" s="12"/>
      <c r="C18525" s="12"/>
    </row>
    <row r="18526" spans="2:3">
      <c r="B18526" s="12"/>
      <c r="C18526" s="12"/>
    </row>
    <row r="18527" spans="2:3">
      <c r="B18527" s="12"/>
      <c r="C18527" s="12"/>
    </row>
    <row r="18528" spans="2:3">
      <c r="B18528" s="12"/>
      <c r="C18528" s="12"/>
    </row>
    <row r="18529" spans="2:3">
      <c r="B18529" s="12"/>
      <c r="C18529" s="12"/>
    </row>
    <row r="18530" spans="2:3">
      <c r="B18530" s="12"/>
      <c r="C18530" s="12"/>
    </row>
    <row r="18531" spans="2:3">
      <c r="B18531" s="12"/>
      <c r="C18531" s="12"/>
    </row>
    <row r="18532" spans="2:3">
      <c r="B18532" s="12"/>
      <c r="C18532" s="12"/>
    </row>
    <row r="18533" spans="2:3">
      <c r="B18533" s="12"/>
      <c r="C18533" s="12"/>
    </row>
    <row r="18534" spans="2:3">
      <c r="B18534" s="12"/>
      <c r="C18534" s="12"/>
    </row>
    <row r="18535" spans="2:3">
      <c r="B18535" s="12"/>
      <c r="C18535" s="12"/>
    </row>
    <row r="18536" spans="2:3">
      <c r="B18536" s="12"/>
      <c r="C18536" s="12"/>
    </row>
    <row r="18537" spans="2:3">
      <c r="B18537" s="12"/>
      <c r="C18537" s="12"/>
    </row>
    <row r="18538" spans="2:3">
      <c r="B18538" s="12"/>
      <c r="C18538" s="12"/>
    </row>
    <row r="18539" spans="2:3">
      <c r="B18539" s="12"/>
      <c r="C18539" s="12"/>
    </row>
    <row r="18540" spans="2:3">
      <c r="B18540" s="12"/>
      <c r="C18540" s="12"/>
    </row>
    <row r="18541" spans="2:3">
      <c r="B18541" s="12"/>
      <c r="C18541" s="12"/>
    </row>
    <row r="18542" spans="2:3">
      <c r="B18542" s="12"/>
      <c r="C18542" s="12"/>
    </row>
    <row r="18543" spans="2:3">
      <c r="B18543" s="12"/>
      <c r="C18543" s="12"/>
    </row>
    <row r="18544" spans="2:3">
      <c r="B18544" s="12"/>
      <c r="C18544" s="12"/>
    </row>
    <row r="18545" spans="2:3">
      <c r="B18545" s="12"/>
      <c r="C18545" s="12"/>
    </row>
    <row r="18546" spans="2:3">
      <c r="B18546" s="12"/>
      <c r="C18546" s="12"/>
    </row>
    <row r="18547" spans="2:3">
      <c r="B18547" s="12"/>
      <c r="C18547" s="12"/>
    </row>
    <row r="18548" spans="2:3">
      <c r="B18548" s="12"/>
      <c r="C18548" s="12"/>
    </row>
    <row r="18549" spans="2:3">
      <c r="B18549" s="12"/>
      <c r="C18549" s="12"/>
    </row>
    <row r="18550" spans="2:3">
      <c r="B18550" s="12"/>
      <c r="C18550" s="12"/>
    </row>
    <row r="18551" spans="2:3">
      <c r="B18551" s="12"/>
      <c r="C18551" s="12"/>
    </row>
    <row r="18552" spans="2:3">
      <c r="B18552" s="12"/>
      <c r="C18552" s="12"/>
    </row>
    <row r="18553" spans="2:3">
      <c r="B18553" s="12"/>
      <c r="C18553" s="12"/>
    </row>
    <row r="18554" spans="2:3">
      <c r="B18554" s="12"/>
      <c r="C18554" s="12"/>
    </row>
    <row r="18555" spans="2:3">
      <c r="B18555" s="12"/>
      <c r="C18555" s="12"/>
    </row>
    <row r="18556" spans="2:3">
      <c r="B18556" s="12"/>
      <c r="C18556" s="12"/>
    </row>
    <row r="18557" spans="2:3">
      <c r="B18557" s="12"/>
      <c r="C18557" s="12"/>
    </row>
    <row r="18558" spans="2:3">
      <c r="B18558" s="12"/>
      <c r="C18558" s="12"/>
    </row>
    <row r="18559" spans="2:3">
      <c r="B18559" s="12"/>
      <c r="C18559" s="12"/>
    </row>
    <row r="18560" spans="2:3">
      <c r="B18560" s="12"/>
      <c r="C18560" s="12"/>
    </row>
    <row r="18561" spans="2:3">
      <c r="B18561" s="12"/>
      <c r="C18561" s="12"/>
    </row>
    <row r="18562" spans="2:3">
      <c r="B18562" s="12"/>
      <c r="C18562" s="12"/>
    </row>
    <row r="18563" spans="2:3">
      <c r="B18563" s="12"/>
      <c r="C18563" s="12"/>
    </row>
    <row r="18564" spans="2:3">
      <c r="B18564" s="12"/>
      <c r="C18564" s="12"/>
    </row>
    <row r="18565" spans="2:3">
      <c r="B18565" s="12"/>
      <c r="C18565" s="12"/>
    </row>
    <row r="18566" spans="2:3">
      <c r="B18566" s="12"/>
      <c r="C18566" s="12"/>
    </row>
    <row r="18567" spans="2:3">
      <c r="B18567" s="12"/>
      <c r="C18567" s="12"/>
    </row>
    <row r="18568" spans="2:3">
      <c r="B18568" s="12"/>
      <c r="C18568" s="12"/>
    </row>
    <row r="18569" spans="2:3">
      <c r="B18569" s="12"/>
      <c r="C18569" s="12"/>
    </row>
    <row r="18570" spans="2:3">
      <c r="B18570" s="12"/>
      <c r="C18570" s="12"/>
    </row>
    <row r="18571" spans="2:3">
      <c r="B18571" s="12"/>
      <c r="C18571" s="12"/>
    </row>
    <row r="18572" spans="2:3">
      <c r="B18572" s="12"/>
      <c r="C18572" s="12"/>
    </row>
    <row r="18573" spans="2:3">
      <c r="B18573" s="12"/>
      <c r="C18573" s="12"/>
    </row>
    <row r="18574" spans="2:3">
      <c r="B18574" s="12"/>
      <c r="C18574" s="12"/>
    </row>
    <row r="18575" spans="2:3">
      <c r="B18575" s="12"/>
      <c r="C18575" s="12"/>
    </row>
    <row r="18576" spans="2:3">
      <c r="B18576" s="12"/>
      <c r="C18576" s="12"/>
    </row>
    <row r="18577" spans="2:3">
      <c r="B18577" s="12"/>
      <c r="C18577" s="12"/>
    </row>
    <row r="18578" spans="2:3">
      <c r="B18578" s="12"/>
      <c r="C18578" s="12"/>
    </row>
    <row r="18579" spans="2:3">
      <c r="B18579" s="12"/>
      <c r="C18579" s="12"/>
    </row>
    <row r="18580" spans="2:3">
      <c r="B18580" s="12"/>
      <c r="C18580" s="12"/>
    </row>
    <row r="18581" spans="2:3">
      <c r="B18581" s="12"/>
      <c r="C18581" s="12"/>
    </row>
    <row r="18582" spans="2:3">
      <c r="B18582" s="12"/>
      <c r="C18582" s="12"/>
    </row>
    <row r="18583" spans="2:3">
      <c r="B18583" s="12"/>
      <c r="C18583" s="12"/>
    </row>
    <row r="18584" spans="2:3">
      <c r="B18584" s="12"/>
      <c r="C18584" s="12"/>
    </row>
    <row r="18585" spans="2:3">
      <c r="B18585" s="12"/>
      <c r="C18585" s="12"/>
    </row>
    <row r="18586" spans="2:3">
      <c r="B18586" s="12"/>
      <c r="C18586" s="12"/>
    </row>
    <row r="18587" spans="2:3">
      <c r="B18587" s="12"/>
      <c r="C18587" s="12"/>
    </row>
    <row r="18588" spans="2:3">
      <c r="B18588" s="12"/>
      <c r="C18588" s="12"/>
    </row>
    <row r="18589" spans="2:3">
      <c r="B18589" s="12"/>
      <c r="C18589" s="12"/>
    </row>
    <row r="18590" spans="2:3">
      <c r="B18590" s="12"/>
      <c r="C18590" s="12"/>
    </row>
    <row r="18591" spans="2:3">
      <c r="B18591" s="12"/>
      <c r="C18591" s="12"/>
    </row>
    <row r="18592" spans="2:3">
      <c r="B18592" s="12"/>
      <c r="C18592" s="12"/>
    </row>
    <row r="18593" spans="2:3">
      <c r="B18593" s="12"/>
      <c r="C18593" s="12"/>
    </row>
    <row r="18594" spans="2:3">
      <c r="B18594" s="12"/>
      <c r="C18594" s="12"/>
    </row>
    <row r="18595" spans="2:3">
      <c r="B18595" s="12"/>
      <c r="C18595" s="12"/>
    </row>
    <row r="18596" spans="2:3">
      <c r="B18596" s="12"/>
      <c r="C18596" s="12"/>
    </row>
    <row r="18597" spans="2:3">
      <c r="B18597" s="12"/>
      <c r="C18597" s="12"/>
    </row>
    <row r="18598" spans="2:3">
      <c r="B18598" s="12"/>
      <c r="C18598" s="12"/>
    </row>
    <row r="18599" spans="2:3">
      <c r="B18599" s="12"/>
      <c r="C18599" s="12"/>
    </row>
    <row r="18600" spans="2:3">
      <c r="B18600" s="12"/>
      <c r="C18600" s="12"/>
    </row>
    <row r="18601" spans="2:3">
      <c r="B18601" s="12"/>
      <c r="C18601" s="12"/>
    </row>
    <row r="18602" spans="2:3">
      <c r="B18602" s="12"/>
      <c r="C18602" s="12"/>
    </row>
    <row r="18603" spans="2:3">
      <c r="B18603" s="12"/>
      <c r="C18603" s="12"/>
    </row>
    <row r="18604" spans="2:3">
      <c r="B18604" s="12"/>
      <c r="C18604" s="12"/>
    </row>
    <row r="18605" spans="2:3">
      <c r="B18605" s="12"/>
      <c r="C18605" s="12"/>
    </row>
    <row r="18606" spans="2:3">
      <c r="B18606" s="12"/>
      <c r="C18606" s="12"/>
    </row>
    <row r="18607" spans="2:3">
      <c r="B18607" s="12"/>
      <c r="C18607" s="12"/>
    </row>
    <row r="18608" spans="2:3">
      <c r="B18608" s="12"/>
      <c r="C18608" s="12"/>
    </row>
    <row r="18609" spans="2:3">
      <c r="B18609" s="12"/>
      <c r="C18609" s="12"/>
    </row>
    <row r="18610" spans="2:3">
      <c r="B18610" s="12"/>
      <c r="C18610" s="12"/>
    </row>
    <row r="18611" spans="2:3">
      <c r="B18611" s="12"/>
      <c r="C18611" s="12"/>
    </row>
    <row r="18612" spans="2:3">
      <c r="B18612" s="12"/>
      <c r="C18612" s="12"/>
    </row>
    <row r="18613" spans="2:3">
      <c r="B18613" s="12"/>
      <c r="C18613" s="12"/>
    </row>
    <row r="18614" spans="2:3">
      <c r="B18614" s="12"/>
      <c r="C18614" s="12"/>
    </row>
    <row r="18615" spans="2:3">
      <c r="B18615" s="12"/>
      <c r="C18615" s="12"/>
    </row>
    <row r="18616" spans="2:3">
      <c r="B18616" s="12"/>
      <c r="C18616" s="12"/>
    </row>
    <row r="18617" spans="2:3">
      <c r="B18617" s="12"/>
      <c r="C18617" s="12"/>
    </row>
    <row r="18618" spans="2:3">
      <c r="B18618" s="12"/>
      <c r="C18618" s="12"/>
    </row>
    <row r="18619" spans="2:3">
      <c r="B18619" s="12"/>
      <c r="C18619" s="12"/>
    </row>
    <row r="18620" spans="2:3">
      <c r="B18620" s="12"/>
      <c r="C18620" s="12"/>
    </row>
    <row r="18621" spans="2:3">
      <c r="B18621" s="12"/>
      <c r="C18621" s="12"/>
    </row>
    <row r="18622" spans="2:3">
      <c r="B18622" s="12"/>
      <c r="C18622" s="12"/>
    </row>
    <row r="18623" spans="2:3">
      <c r="B18623" s="12"/>
      <c r="C18623" s="12"/>
    </row>
    <row r="18624" spans="2:3">
      <c r="B18624" s="12"/>
      <c r="C18624" s="12"/>
    </row>
    <row r="18625" spans="2:3">
      <c r="B18625" s="12"/>
      <c r="C18625" s="12"/>
    </row>
    <row r="18626" spans="2:3">
      <c r="B18626" s="12"/>
      <c r="C18626" s="12"/>
    </row>
    <row r="18627" spans="2:3">
      <c r="B18627" s="12"/>
      <c r="C18627" s="12"/>
    </row>
    <row r="18628" spans="2:3">
      <c r="B18628" s="12"/>
      <c r="C18628" s="12"/>
    </row>
    <row r="18629" spans="2:3">
      <c r="B18629" s="12"/>
      <c r="C18629" s="12"/>
    </row>
    <row r="18630" spans="2:3">
      <c r="B18630" s="12"/>
      <c r="C18630" s="12"/>
    </row>
    <row r="18631" spans="2:3">
      <c r="B18631" s="12"/>
      <c r="C18631" s="12"/>
    </row>
    <row r="18632" spans="2:3">
      <c r="B18632" s="12"/>
      <c r="C18632" s="12"/>
    </row>
    <row r="18633" spans="2:3">
      <c r="B18633" s="12"/>
      <c r="C18633" s="12"/>
    </row>
    <row r="18634" spans="2:3">
      <c r="B18634" s="12"/>
      <c r="C18634" s="12"/>
    </row>
    <row r="18635" spans="2:3">
      <c r="B18635" s="12"/>
      <c r="C18635" s="12"/>
    </row>
    <row r="18636" spans="2:3">
      <c r="B18636" s="12"/>
      <c r="C18636" s="12"/>
    </row>
    <row r="18637" spans="2:3">
      <c r="B18637" s="12"/>
      <c r="C18637" s="12"/>
    </row>
    <row r="18638" spans="2:3">
      <c r="B18638" s="12"/>
      <c r="C18638" s="12"/>
    </row>
    <row r="18639" spans="2:3">
      <c r="B18639" s="12"/>
      <c r="C18639" s="12"/>
    </row>
    <row r="18640" spans="2:3">
      <c r="B18640" s="12"/>
      <c r="C18640" s="12"/>
    </row>
    <row r="18641" spans="2:3">
      <c r="B18641" s="12"/>
      <c r="C18641" s="12"/>
    </row>
    <row r="18642" spans="2:3">
      <c r="B18642" s="12"/>
      <c r="C18642" s="12"/>
    </row>
    <row r="18643" spans="2:3">
      <c r="B18643" s="12"/>
      <c r="C18643" s="12"/>
    </row>
    <row r="18644" spans="2:3">
      <c r="B18644" s="12"/>
      <c r="C18644" s="12"/>
    </row>
    <row r="18645" spans="2:3">
      <c r="B18645" s="12"/>
      <c r="C18645" s="12"/>
    </row>
    <row r="18646" spans="2:3">
      <c r="B18646" s="12"/>
      <c r="C18646" s="12"/>
    </row>
    <row r="18647" spans="2:3">
      <c r="B18647" s="12"/>
      <c r="C18647" s="12"/>
    </row>
    <row r="18648" spans="2:3">
      <c r="B18648" s="12"/>
      <c r="C18648" s="12"/>
    </row>
    <row r="18649" spans="2:3">
      <c r="B18649" s="12"/>
      <c r="C18649" s="12"/>
    </row>
    <row r="18650" spans="2:3">
      <c r="B18650" s="12"/>
      <c r="C18650" s="12"/>
    </row>
    <row r="18651" spans="2:3">
      <c r="B18651" s="12"/>
      <c r="C18651" s="12"/>
    </row>
    <row r="18652" spans="2:3">
      <c r="B18652" s="12"/>
      <c r="C18652" s="12"/>
    </row>
    <row r="18653" spans="2:3">
      <c r="B18653" s="12"/>
      <c r="C18653" s="12"/>
    </row>
    <row r="18654" spans="2:3">
      <c r="B18654" s="12"/>
      <c r="C18654" s="12"/>
    </row>
    <row r="18655" spans="2:3">
      <c r="B18655" s="12"/>
      <c r="C18655" s="12"/>
    </row>
    <row r="18656" spans="2:3">
      <c r="B18656" s="12"/>
      <c r="C18656" s="12"/>
    </row>
    <row r="18657" spans="2:3">
      <c r="B18657" s="12"/>
      <c r="C18657" s="12"/>
    </row>
    <row r="18658" spans="2:3">
      <c r="B18658" s="12"/>
      <c r="C18658" s="12"/>
    </row>
    <row r="18659" spans="2:3">
      <c r="B18659" s="12"/>
      <c r="C18659" s="12"/>
    </row>
    <row r="18660" spans="2:3">
      <c r="B18660" s="12"/>
      <c r="C18660" s="12"/>
    </row>
    <row r="18661" spans="2:3">
      <c r="B18661" s="12"/>
      <c r="C18661" s="12"/>
    </row>
    <row r="18662" spans="2:3">
      <c r="B18662" s="12"/>
      <c r="C18662" s="12"/>
    </row>
    <row r="18663" spans="2:3">
      <c r="B18663" s="12"/>
      <c r="C18663" s="12"/>
    </row>
    <row r="18664" spans="2:3">
      <c r="B18664" s="12"/>
      <c r="C18664" s="12"/>
    </row>
    <row r="18665" spans="2:3">
      <c r="B18665" s="12"/>
      <c r="C18665" s="12"/>
    </row>
    <row r="18666" spans="2:3">
      <c r="B18666" s="12"/>
      <c r="C18666" s="12"/>
    </row>
    <row r="18667" spans="2:3">
      <c r="B18667" s="12"/>
      <c r="C18667" s="12"/>
    </row>
    <row r="18668" spans="2:3">
      <c r="B18668" s="12"/>
      <c r="C18668" s="12"/>
    </row>
    <row r="18669" spans="2:3">
      <c r="B18669" s="12"/>
      <c r="C18669" s="12"/>
    </row>
    <row r="18670" spans="2:3">
      <c r="B18670" s="12"/>
      <c r="C18670" s="12"/>
    </row>
    <row r="18671" spans="2:3">
      <c r="B18671" s="12"/>
      <c r="C18671" s="12"/>
    </row>
    <row r="18672" spans="2:3">
      <c r="B18672" s="12"/>
      <c r="C18672" s="12"/>
    </row>
    <row r="18673" spans="2:3">
      <c r="B18673" s="12"/>
      <c r="C18673" s="12"/>
    </row>
    <row r="18674" spans="2:3">
      <c r="B18674" s="12"/>
      <c r="C18674" s="12"/>
    </row>
    <row r="18675" spans="2:3">
      <c r="B18675" s="12"/>
      <c r="C18675" s="12"/>
    </row>
    <row r="18676" spans="2:3">
      <c r="B18676" s="12"/>
      <c r="C18676" s="12"/>
    </row>
    <row r="18677" spans="2:3">
      <c r="B18677" s="12"/>
      <c r="C18677" s="12"/>
    </row>
    <row r="18678" spans="2:3">
      <c r="B18678" s="12"/>
      <c r="C18678" s="12"/>
    </row>
    <row r="18679" spans="2:3">
      <c r="B18679" s="12"/>
      <c r="C18679" s="12"/>
    </row>
    <row r="18680" spans="2:3">
      <c r="B18680" s="12"/>
      <c r="C18680" s="12"/>
    </row>
    <row r="18681" spans="2:3">
      <c r="B18681" s="12"/>
      <c r="C18681" s="12"/>
    </row>
    <row r="18682" spans="2:3">
      <c r="B18682" s="12"/>
      <c r="C18682" s="12"/>
    </row>
    <row r="18683" spans="2:3">
      <c r="B18683" s="12"/>
      <c r="C18683" s="12"/>
    </row>
    <row r="18684" spans="2:3">
      <c r="B18684" s="12"/>
      <c r="C18684" s="12"/>
    </row>
    <row r="18685" spans="2:3">
      <c r="B18685" s="12"/>
      <c r="C18685" s="12"/>
    </row>
    <row r="18686" spans="2:3">
      <c r="B18686" s="12"/>
      <c r="C18686" s="12"/>
    </row>
    <row r="18687" spans="2:3">
      <c r="B18687" s="12"/>
      <c r="C18687" s="12"/>
    </row>
    <row r="18688" spans="2:3">
      <c r="B18688" s="12"/>
      <c r="C18688" s="12"/>
    </row>
    <row r="18689" spans="2:3">
      <c r="B18689" s="12"/>
      <c r="C18689" s="12"/>
    </row>
    <row r="18690" spans="2:3">
      <c r="B18690" s="12"/>
      <c r="C18690" s="12"/>
    </row>
    <row r="18691" spans="2:3">
      <c r="B18691" s="12"/>
      <c r="C18691" s="12"/>
    </row>
    <row r="18692" spans="2:3">
      <c r="B18692" s="12"/>
      <c r="C18692" s="12"/>
    </row>
    <row r="18693" spans="2:3">
      <c r="B18693" s="12"/>
      <c r="C18693" s="12"/>
    </row>
    <row r="18694" spans="2:3">
      <c r="B18694" s="12"/>
      <c r="C18694" s="12"/>
    </row>
    <row r="18695" spans="2:3">
      <c r="B18695" s="12"/>
      <c r="C18695" s="12"/>
    </row>
    <row r="18696" spans="2:3">
      <c r="B18696" s="12"/>
      <c r="C18696" s="12"/>
    </row>
    <row r="18697" spans="2:3">
      <c r="B18697" s="12"/>
      <c r="C18697" s="12"/>
    </row>
    <row r="18698" spans="2:3">
      <c r="B18698" s="12"/>
      <c r="C18698" s="12"/>
    </row>
    <row r="18699" spans="2:3">
      <c r="B18699" s="12"/>
      <c r="C18699" s="12"/>
    </row>
    <row r="18700" spans="2:3">
      <c r="B18700" s="12"/>
      <c r="C18700" s="12"/>
    </row>
    <row r="18701" spans="2:3">
      <c r="B18701" s="12"/>
      <c r="C18701" s="12"/>
    </row>
    <row r="18702" spans="2:3">
      <c r="B18702" s="12"/>
      <c r="C18702" s="12"/>
    </row>
    <row r="18703" spans="2:3">
      <c r="B18703" s="12"/>
      <c r="C18703" s="12"/>
    </row>
    <row r="18704" spans="2:3">
      <c r="B18704" s="12"/>
      <c r="C18704" s="12"/>
    </row>
    <row r="18705" spans="2:3">
      <c r="B18705" s="12"/>
      <c r="C18705" s="12"/>
    </row>
    <row r="18706" spans="2:3">
      <c r="B18706" s="12"/>
      <c r="C18706" s="12"/>
    </row>
    <row r="18707" spans="2:3">
      <c r="B18707" s="12"/>
      <c r="C18707" s="12"/>
    </row>
    <row r="18708" spans="2:3">
      <c r="B18708" s="12"/>
      <c r="C18708" s="12"/>
    </row>
    <row r="18709" spans="2:3">
      <c r="B18709" s="12"/>
      <c r="C18709" s="12"/>
    </row>
    <row r="18710" spans="2:3">
      <c r="B18710" s="12"/>
      <c r="C18710" s="12"/>
    </row>
    <row r="18711" spans="2:3">
      <c r="B18711" s="12"/>
      <c r="C18711" s="12"/>
    </row>
    <row r="18712" spans="2:3">
      <c r="B18712" s="12"/>
      <c r="C18712" s="12"/>
    </row>
    <row r="18713" spans="2:3">
      <c r="B18713" s="12"/>
      <c r="C18713" s="12"/>
    </row>
    <row r="18714" spans="2:3">
      <c r="B18714" s="12"/>
      <c r="C18714" s="12"/>
    </row>
    <row r="18715" spans="2:3">
      <c r="B18715" s="12"/>
      <c r="C18715" s="12"/>
    </row>
    <row r="18716" spans="2:3">
      <c r="B18716" s="12"/>
      <c r="C18716" s="12"/>
    </row>
    <row r="18717" spans="2:3">
      <c r="B18717" s="12"/>
      <c r="C18717" s="12"/>
    </row>
    <row r="18718" spans="2:3">
      <c r="B18718" s="12"/>
      <c r="C18718" s="12"/>
    </row>
    <row r="18719" spans="2:3">
      <c r="B18719" s="12"/>
      <c r="C18719" s="12"/>
    </row>
    <row r="18720" spans="2:3">
      <c r="B18720" s="12"/>
      <c r="C18720" s="12"/>
    </row>
    <row r="18721" spans="2:3">
      <c r="B18721" s="12"/>
      <c r="C18721" s="12"/>
    </row>
    <row r="18722" spans="2:3">
      <c r="B18722" s="12"/>
      <c r="C18722" s="12"/>
    </row>
    <row r="18723" spans="2:3">
      <c r="B18723" s="12"/>
      <c r="C18723" s="12"/>
    </row>
    <row r="18724" spans="2:3">
      <c r="B18724" s="12"/>
      <c r="C18724" s="12"/>
    </row>
    <row r="18725" spans="2:3">
      <c r="B18725" s="12"/>
      <c r="C18725" s="12"/>
    </row>
    <row r="18726" spans="2:3">
      <c r="B18726" s="12"/>
      <c r="C18726" s="12"/>
    </row>
    <row r="18727" spans="2:3">
      <c r="B18727" s="12"/>
      <c r="C18727" s="12"/>
    </row>
    <row r="18728" spans="2:3">
      <c r="B18728" s="12"/>
      <c r="C18728" s="12"/>
    </row>
    <row r="18729" spans="2:3">
      <c r="B18729" s="12"/>
      <c r="C18729" s="12"/>
    </row>
    <row r="18730" spans="2:3">
      <c r="B18730" s="12"/>
      <c r="C18730" s="12"/>
    </row>
    <row r="18731" spans="2:3">
      <c r="B18731" s="12"/>
      <c r="C18731" s="12"/>
    </row>
    <row r="18732" spans="2:3">
      <c r="B18732" s="12"/>
      <c r="C18732" s="12"/>
    </row>
    <row r="18733" spans="2:3">
      <c r="B18733" s="12"/>
      <c r="C18733" s="12"/>
    </row>
    <row r="18734" spans="2:3">
      <c r="B18734" s="12"/>
      <c r="C18734" s="12"/>
    </row>
    <row r="18735" spans="2:3">
      <c r="B18735" s="12"/>
      <c r="C18735" s="12"/>
    </row>
    <row r="18736" spans="2:3">
      <c r="B18736" s="12"/>
      <c r="C18736" s="12"/>
    </row>
    <row r="18737" spans="2:3">
      <c r="B18737" s="12"/>
      <c r="C18737" s="12"/>
    </row>
    <row r="18738" spans="2:3">
      <c r="B18738" s="12"/>
      <c r="C18738" s="12"/>
    </row>
    <row r="18739" spans="2:3">
      <c r="B18739" s="12"/>
      <c r="C18739" s="12"/>
    </row>
    <row r="18740" spans="2:3">
      <c r="B18740" s="12"/>
      <c r="C18740" s="12"/>
    </row>
    <row r="18741" spans="2:3">
      <c r="B18741" s="12"/>
      <c r="C18741" s="12"/>
    </row>
    <row r="18742" spans="2:3">
      <c r="B18742" s="12"/>
      <c r="C18742" s="12"/>
    </row>
    <row r="18743" spans="2:3">
      <c r="B18743" s="12"/>
      <c r="C18743" s="12"/>
    </row>
    <row r="18744" spans="2:3">
      <c r="B18744" s="12"/>
      <c r="C18744" s="12"/>
    </row>
    <row r="18745" spans="2:3">
      <c r="B18745" s="12"/>
      <c r="C18745" s="12"/>
    </row>
    <row r="18746" spans="2:3">
      <c r="B18746" s="12"/>
      <c r="C18746" s="12"/>
    </row>
    <row r="18747" spans="2:3">
      <c r="B18747" s="12"/>
      <c r="C18747" s="12"/>
    </row>
    <row r="18748" spans="2:3">
      <c r="B18748" s="12"/>
      <c r="C18748" s="12"/>
    </row>
    <row r="18749" spans="2:3">
      <c r="B18749" s="12"/>
      <c r="C18749" s="12"/>
    </row>
    <row r="18750" spans="2:3">
      <c r="B18750" s="12"/>
      <c r="C18750" s="12"/>
    </row>
    <row r="18751" spans="2:3">
      <c r="B18751" s="12"/>
      <c r="C18751" s="12"/>
    </row>
    <row r="18752" spans="2:3">
      <c r="B18752" s="12"/>
      <c r="C18752" s="12"/>
    </row>
    <row r="18753" spans="2:3">
      <c r="B18753" s="12"/>
      <c r="C18753" s="12"/>
    </row>
    <row r="18754" spans="2:3">
      <c r="B18754" s="12"/>
      <c r="C18754" s="12"/>
    </row>
    <row r="18755" spans="2:3">
      <c r="B18755" s="12"/>
      <c r="C18755" s="12"/>
    </row>
    <row r="18756" spans="2:3">
      <c r="B18756" s="12"/>
      <c r="C18756" s="12"/>
    </row>
    <row r="18757" spans="2:3">
      <c r="B18757" s="12"/>
      <c r="C18757" s="12"/>
    </row>
    <row r="18758" spans="2:3">
      <c r="B18758" s="12"/>
      <c r="C18758" s="12"/>
    </row>
    <row r="18759" spans="2:3">
      <c r="B18759" s="12"/>
      <c r="C18759" s="12"/>
    </row>
    <row r="18760" spans="2:3">
      <c r="B18760" s="12"/>
      <c r="C18760" s="12"/>
    </row>
    <row r="18761" spans="2:3">
      <c r="B18761" s="12"/>
      <c r="C18761" s="12"/>
    </row>
    <row r="18762" spans="2:3">
      <c r="B18762" s="12"/>
      <c r="C18762" s="12"/>
    </row>
    <row r="18763" spans="2:3">
      <c r="B18763" s="12"/>
      <c r="C18763" s="12"/>
    </row>
    <row r="18764" spans="2:3">
      <c r="B18764" s="12"/>
      <c r="C18764" s="12"/>
    </row>
    <row r="18765" spans="2:3">
      <c r="B18765" s="12"/>
      <c r="C18765" s="12"/>
    </row>
    <row r="18766" spans="2:3">
      <c r="B18766" s="12"/>
      <c r="C18766" s="12"/>
    </row>
    <row r="18767" spans="2:3">
      <c r="B18767" s="12"/>
      <c r="C18767" s="12"/>
    </row>
    <row r="18768" spans="2:3">
      <c r="B18768" s="12"/>
      <c r="C18768" s="12"/>
    </row>
    <row r="18769" spans="2:3">
      <c r="B18769" s="12"/>
      <c r="C18769" s="12"/>
    </row>
    <row r="18770" spans="2:3">
      <c r="B18770" s="12"/>
      <c r="C18770" s="12"/>
    </row>
    <row r="18771" spans="2:3">
      <c r="B18771" s="12"/>
      <c r="C18771" s="12"/>
    </row>
    <row r="18772" spans="2:3">
      <c r="B18772" s="12"/>
      <c r="C18772" s="12"/>
    </row>
    <row r="18773" spans="2:3">
      <c r="B18773" s="12"/>
      <c r="C18773" s="12"/>
    </row>
    <row r="18774" spans="2:3">
      <c r="B18774" s="12"/>
      <c r="C18774" s="12"/>
    </row>
    <row r="18775" spans="2:3">
      <c r="B18775" s="12"/>
      <c r="C18775" s="12"/>
    </row>
    <row r="18776" spans="2:3">
      <c r="B18776" s="12"/>
      <c r="C18776" s="12"/>
    </row>
    <row r="18777" spans="2:3">
      <c r="B18777" s="12"/>
      <c r="C18777" s="12"/>
    </row>
    <row r="18778" spans="2:3">
      <c r="B18778" s="12"/>
      <c r="C18778" s="12"/>
    </row>
    <row r="18779" spans="2:3">
      <c r="B18779" s="12"/>
      <c r="C18779" s="12"/>
    </row>
    <row r="18780" spans="2:3">
      <c r="B18780" s="12"/>
      <c r="C18780" s="12"/>
    </row>
    <row r="18781" spans="2:3">
      <c r="B18781" s="12"/>
      <c r="C18781" s="12"/>
    </row>
    <row r="18782" spans="2:3">
      <c r="B18782" s="12"/>
      <c r="C18782" s="12"/>
    </row>
    <row r="18783" spans="2:3">
      <c r="B18783" s="12"/>
      <c r="C18783" s="12"/>
    </row>
    <row r="18784" spans="2:3">
      <c r="B18784" s="12"/>
      <c r="C18784" s="12"/>
    </row>
    <row r="18785" spans="2:3">
      <c r="B18785" s="12"/>
      <c r="C18785" s="12"/>
    </row>
    <row r="18786" spans="2:3">
      <c r="B18786" s="12"/>
      <c r="C18786" s="12"/>
    </row>
    <row r="18787" spans="2:3">
      <c r="B18787" s="12"/>
      <c r="C18787" s="12"/>
    </row>
    <row r="18788" spans="2:3">
      <c r="B18788" s="12"/>
      <c r="C18788" s="12"/>
    </row>
    <row r="18789" spans="2:3">
      <c r="B18789" s="12"/>
      <c r="C18789" s="12"/>
    </row>
    <row r="18790" spans="2:3">
      <c r="B18790" s="12"/>
      <c r="C18790" s="12"/>
    </row>
    <row r="18791" spans="2:3">
      <c r="B18791" s="12"/>
      <c r="C18791" s="12"/>
    </row>
    <row r="18792" spans="2:3">
      <c r="B18792" s="12"/>
      <c r="C18792" s="12"/>
    </row>
    <row r="18793" spans="2:3">
      <c r="B18793" s="12"/>
      <c r="C18793" s="12"/>
    </row>
    <row r="18794" spans="2:3">
      <c r="B18794" s="12"/>
      <c r="C18794" s="12"/>
    </row>
    <row r="18795" spans="2:3">
      <c r="B18795" s="12"/>
      <c r="C18795" s="12"/>
    </row>
    <row r="18796" spans="2:3">
      <c r="B18796" s="12"/>
      <c r="C18796" s="12"/>
    </row>
    <row r="18797" spans="2:3">
      <c r="B18797" s="12"/>
      <c r="C18797" s="12"/>
    </row>
    <row r="18798" spans="2:3">
      <c r="B18798" s="12"/>
      <c r="C18798" s="12"/>
    </row>
    <row r="18799" spans="2:3">
      <c r="B18799" s="12"/>
      <c r="C18799" s="12"/>
    </row>
    <row r="18800" spans="2:3">
      <c r="B18800" s="12"/>
      <c r="C18800" s="12"/>
    </row>
    <row r="18801" spans="2:3">
      <c r="B18801" s="12"/>
      <c r="C18801" s="12"/>
    </row>
    <row r="18802" spans="2:3">
      <c r="B18802" s="12"/>
      <c r="C18802" s="12"/>
    </row>
    <row r="18803" spans="2:3">
      <c r="B18803" s="12"/>
      <c r="C18803" s="12"/>
    </row>
    <row r="18804" spans="2:3">
      <c r="B18804" s="12"/>
      <c r="C18804" s="12"/>
    </row>
    <row r="18805" spans="2:3">
      <c r="B18805" s="12"/>
      <c r="C18805" s="12"/>
    </row>
    <row r="18806" spans="2:3">
      <c r="B18806" s="12"/>
      <c r="C18806" s="12"/>
    </row>
    <row r="18807" spans="2:3">
      <c r="B18807" s="12"/>
      <c r="C18807" s="12"/>
    </row>
    <row r="18808" spans="2:3">
      <c r="B18808" s="12"/>
      <c r="C18808" s="12"/>
    </row>
    <row r="18809" spans="2:3">
      <c r="B18809" s="12"/>
      <c r="C18809" s="12"/>
    </row>
    <row r="18810" spans="2:3">
      <c r="B18810" s="12"/>
      <c r="C18810" s="12"/>
    </row>
    <row r="18811" spans="2:3">
      <c r="B18811" s="12"/>
      <c r="C18811" s="12"/>
    </row>
    <row r="18812" spans="2:3">
      <c r="B18812" s="12"/>
      <c r="C18812" s="12"/>
    </row>
    <row r="18813" spans="2:3">
      <c r="B18813" s="12"/>
      <c r="C18813" s="12"/>
    </row>
    <row r="18814" spans="2:3">
      <c r="B18814" s="12"/>
      <c r="C18814" s="12"/>
    </row>
    <row r="18815" spans="2:3">
      <c r="B18815" s="12"/>
      <c r="C18815" s="12"/>
    </row>
    <row r="18816" spans="2:3">
      <c r="B18816" s="12"/>
      <c r="C18816" s="12"/>
    </row>
    <row r="18817" spans="2:3">
      <c r="B18817" s="12"/>
      <c r="C18817" s="12"/>
    </row>
    <row r="18818" spans="2:3">
      <c r="B18818" s="12"/>
      <c r="C18818" s="12"/>
    </row>
    <row r="18819" spans="2:3">
      <c r="B18819" s="12"/>
      <c r="C18819" s="12"/>
    </row>
    <row r="18820" spans="2:3">
      <c r="B18820" s="12"/>
      <c r="C18820" s="12"/>
    </row>
    <row r="18821" spans="2:3">
      <c r="B18821" s="12"/>
      <c r="C18821" s="12"/>
    </row>
    <row r="18822" spans="2:3">
      <c r="B18822" s="12"/>
      <c r="C18822" s="12"/>
    </row>
    <row r="18823" spans="2:3">
      <c r="B18823" s="12"/>
      <c r="C18823" s="12"/>
    </row>
    <row r="18824" spans="2:3">
      <c r="B18824" s="12"/>
      <c r="C18824" s="12"/>
    </row>
    <row r="18825" spans="2:3">
      <c r="B18825" s="12"/>
      <c r="C18825" s="12"/>
    </row>
    <row r="18826" spans="2:3">
      <c r="B18826" s="12"/>
      <c r="C18826" s="12"/>
    </row>
    <row r="18827" spans="2:3">
      <c r="B18827" s="12"/>
      <c r="C18827" s="12"/>
    </row>
    <row r="18828" spans="2:3">
      <c r="B18828" s="12"/>
      <c r="C18828" s="12"/>
    </row>
    <row r="18829" spans="2:3">
      <c r="B18829" s="12"/>
      <c r="C18829" s="12"/>
    </row>
    <row r="18830" spans="2:3">
      <c r="B18830" s="12"/>
      <c r="C18830" s="12"/>
    </row>
    <row r="18831" spans="2:3">
      <c r="B18831" s="12"/>
      <c r="C18831" s="12"/>
    </row>
    <row r="18832" spans="2:3">
      <c r="B18832" s="12"/>
      <c r="C18832" s="12"/>
    </row>
    <row r="18833" spans="2:3">
      <c r="B18833" s="12"/>
      <c r="C18833" s="12"/>
    </row>
    <row r="18834" spans="2:3">
      <c r="B18834" s="12"/>
      <c r="C18834" s="12"/>
    </row>
    <row r="18835" spans="2:3">
      <c r="B18835" s="12"/>
      <c r="C18835" s="12"/>
    </row>
    <row r="18836" spans="2:3">
      <c r="B18836" s="12"/>
      <c r="C18836" s="12"/>
    </row>
    <row r="18837" spans="2:3">
      <c r="B18837" s="12"/>
      <c r="C18837" s="12"/>
    </row>
    <row r="18838" spans="2:3">
      <c r="B18838" s="12"/>
      <c r="C18838" s="12"/>
    </row>
    <row r="18839" spans="2:3">
      <c r="B18839" s="12"/>
      <c r="C18839" s="12"/>
    </row>
    <row r="18840" spans="2:3">
      <c r="B18840" s="12"/>
      <c r="C18840" s="12"/>
    </row>
    <row r="18841" spans="2:3">
      <c r="B18841" s="12"/>
      <c r="C18841" s="12"/>
    </row>
    <row r="18842" spans="2:3">
      <c r="B18842" s="12"/>
      <c r="C18842" s="12"/>
    </row>
    <row r="18843" spans="2:3">
      <c r="B18843" s="12"/>
      <c r="C18843" s="12"/>
    </row>
    <row r="18844" spans="2:3">
      <c r="B18844" s="12"/>
      <c r="C18844" s="12"/>
    </row>
    <row r="18845" spans="2:3">
      <c r="B18845" s="12"/>
      <c r="C18845" s="12"/>
    </row>
    <row r="18846" spans="2:3">
      <c r="B18846" s="12"/>
      <c r="C18846" s="12"/>
    </row>
    <row r="18847" spans="2:3">
      <c r="B18847" s="12"/>
      <c r="C18847" s="12"/>
    </row>
    <row r="18848" spans="2:3">
      <c r="B18848" s="12"/>
      <c r="C18848" s="12"/>
    </row>
    <row r="18849" spans="2:3">
      <c r="B18849" s="12"/>
      <c r="C18849" s="12"/>
    </row>
    <row r="18850" spans="2:3">
      <c r="B18850" s="12"/>
      <c r="C18850" s="12"/>
    </row>
    <row r="18851" spans="2:3">
      <c r="B18851" s="12"/>
      <c r="C18851" s="12"/>
    </row>
    <row r="18852" spans="2:3">
      <c r="B18852" s="12"/>
      <c r="C18852" s="12"/>
    </row>
    <row r="18853" spans="2:3">
      <c r="B18853" s="12"/>
      <c r="C18853" s="12"/>
    </row>
    <row r="18854" spans="2:3">
      <c r="B18854" s="12"/>
      <c r="C18854" s="12"/>
    </row>
    <row r="18855" spans="2:3">
      <c r="B18855" s="12"/>
      <c r="C18855" s="12"/>
    </row>
    <row r="18856" spans="2:3">
      <c r="B18856" s="12"/>
      <c r="C18856" s="12"/>
    </row>
    <row r="18857" spans="2:3">
      <c r="B18857" s="12"/>
      <c r="C18857" s="12"/>
    </row>
    <row r="18858" spans="2:3">
      <c r="B18858" s="12"/>
      <c r="C18858" s="12"/>
    </row>
    <row r="18859" spans="2:3">
      <c r="B18859" s="12"/>
      <c r="C18859" s="12"/>
    </row>
    <row r="18860" spans="2:3">
      <c r="B18860" s="12"/>
      <c r="C18860" s="12"/>
    </row>
    <row r="18861" spans="2:3">
      <c r="B18861" s="12"/>
      <c r="C18861" s="12"/>
    </row>
    <row r="18862" spans="2:3">
      <c r="B18862" s="12"/>
      <c r="C18862" s="12"/>
    </row>
    <row r="18863" spans="2:3">
      <c r="B18863" s="12"/>
      <c r="C18863" s="12"/>
    </row>
    <row r="18864" spans="2:3">
      <c r="B18864" s="12"/>
      <c r="C18864" s="12"/>
    </row>
    <row r="18865" spans="2:3">
      <c r="B18865" s="12"/>
      <c r="C18865" s="12"/>
    </row>
    <row r="18866" spans="2:3">
      <c r="B18866" s="12"/>
      <c r="C18866" s="12"/>
    </row>
    <row r="18867" spans="2:3">
      <c r="B18867" s="12"/>
      <c r="C18867" s="12"/>
    </row>
    <row r="18868" spans="2:3">
      <c r="B18868" s="12"/>
      <c r="C18868" s="12"/>
    </row>
    <row r="18869" spans="2:3">
      <c r="B18869" s="12"/>
      <c r="C18869" s="12"/>
    </row>
    <row r="18870" spans="2:3">
      <c r="B18870" s="12"/>
      <c r="C18870" s="12"/>
    </row>
    <row r="18871" spans="2:3">
      <c r="B18871" s="12"/>
      <c r="C18871" s="12"/>
    </row>
    <row r="18872" spans="2:3">
      <c r="B18872" s="12"/>
      <c r="C18872" s="12"/>
    </row>
    <row r="18873" spans="2:3">
      <c r="B18873" s="12"/>
      <c r="C18873" s="12"/>
    </row>
    <row r="18874" spans="2:3">
      <c r="B18874" s="12"/>
      <c r="C18874" s="12"/>
    </row>
    <row r="18875" spans="2:3">
      <c r="B18875" s="12"/>
      <c r="C18875" s="12"/>
    </row>
    <row r="18876" spans="2:3">
      <c r="B18876" s="12"/>
      <c r="C18876" s="12"/>
    </row>
    <row r="18877" spans="2:3">
      <c r="B18877" s="12"/>
      <c r="C18877" s="12"/>
    </row>
    <row r="18878" spans="2:3">
      <c r="B18878" s="12"/>
      <c r="C18878" s="12"/>
    </row>
    <row r="18879" spans="2:3">
      <c r="B18879" s="12"/>
      <c r="C18879" s="12"/>
    </row>
    <row r="18880" spans="2:3">
      <c r="B18880" s="12"/>
      <c r="C18880" s="12"/>
    </row>
    <row r="18881" spans="2:3">
      <c r="B18881" s="12"/>
      <c r="C18881" s="12"/>
    </row>
    <row r="18882" spans="2:3">
      <c r="B18882" s="12"/>
      <c r="C18882" s="12"/>
    </row>
    <row r="18883" spans="2:3">
      <c r="B18883" s="12"/>
      <c r="C18883" s="12"/>
    </row>
    <row r="18884" spans="2:3">
      <c r="B18884" s="12"/>
      <c r="C18884" s="12"/>
    </row>
    <row r="18885" spans="2:3">
      <c r="B18885" s="12"/>
      <c r="C18885" s="12"/>
    </row>
    <row r="18886" spans="2:3">
      <c r="B18886" s="12"/>
      <c r="C18886" s="12"/>
    </row>
    <row r="18887" spans="2:3">
      <c r="B18887" s="12"/>
      <c r="C18887" s="12"/>
    </row>
    <row r="18888" spans="2:3">
      <c r="B18888" s="12"/>
      <c r="C18888" s="12"/>
    </row>
    <row r="18889" spans="2:3">
      <c r="B18889" s="12"/>
      <c r="C18889" s="12"/>
    </row>
    <row r="18890" spans="2:3">
      <c r="B18890" s="12"/>
      <c r="C18890" s="12"/>
    </row>
    <row r="18891" spans="2:3">
      <c r="B18891" s="12"/>
      <c r="C18891" s="12"/>
    </row>
    <row r="18892" spans="2:3">
      <c r="B18892" s="12"/>
      <c r="C18892" s="12"/>
    </row>
    <row r="18893" spans="2:3">
      <c r="B18893" s="12"/>
      <c r="C18893" s="12"/>
    </row>
    <row r="18894" spans="2:3">
      <c r="B18894" s="12"/>
      <c r="C18894" s="12"/>
    </row>
    <row r="18895" spans="2:3">
      <c r="B18895" s="12"/>
      <c r="C18895" s="12"/>
    </row>
    <row r="18896" spans="2:3">
      <c r="B18896" s="12"/>
      <c r="C18896" s="12"/>
    </row>
    <row r="18897" spans="2:3">
      <c r="B18897" s="12"/>
      <c r="C18897" s="12"/>
    </row>
    <row r="18898" spans="2:3">
      <c r="B18898" s="12"/>
      <c r="C18898" s="12"/>
    </row>
    <row r="18899" spans="2:3">
      <c r="B18899" s="12"/>
      <c r="C18899" s="12"/>
    </row>
    <row r="18900" spans="2:3">
      <c r="B18900" s="12"/>
      <c r="C18900" s="12"/>
    </row>
    <row r="18901" spans="2:3">
      <c r="B18901" s="12"/>
      <c r="C18901" s="12"/>
    </row>
    <row r="18902" spans="2:3">
      <c r="B18902" s="12"/>
      <c r="C18902" s="12"/>
    </row>
    <row r="18903" spans="2:3">
      <c r="B18903" s="12"/>
      <c r="C18903" s="12"/>
    </row>
    <row r="18904" spans="2:3">
      <c r="B18904" s="12"/>
      <c r="C18904" s="12"/>
    </row>
    <row r="18905" spans="2:3">
      <c r="B18905" s="12"/>
      <c r="C18905" s="12"/>
    </row>
    <row r="18906" spans="2:3">
      <c r="B18906" s="12"/>
      <c r="C18906" s="12"/>
    </row>
    <row r="18907" spans="2:3">
      <c r="B18907" s="12"/>
      <c r="C18907" s="12"/>
    </row>
    <row r="18908" spans="2:3">
      <c r="B18908" s="12"/>
      <c r="C18908" s="12"/>
    </row>
    <row r="18909" spans="2:3">
      <c r="B18909" s="12"/>
      <c r="C18909" s="12"/>
    </row>
    <row r="18910" spans="2:3">
      <c r="B18910" s="12"/>
      <c r="C18910" s="12"/>
    </row>
    <row r="18911" spans="2:3">
      <c r="B18911" s="12"/>
      <c r="C18911" s="12"/>
    </row>
    <row r="18912" spans="2:3">
      <c r="B18912" s="12"/>
      <c r="C18912" s="12"/>
    </row>
    <row r="18913" spans="2:3">
      <c r="B18913" s="12"/>
      <c r="C18913" s="12"/>
    </row>
    <row r="18914" spans="2:3">
      <c r="B18914" s="12"/>
      <c r="C18914" s="12"/>
    </row>
    <row r="18915" spans="2:3">
      <c r="B18915" s="12"/>
      <c r="C18915" s="12"/>
    </row>
    <row r="18916" spans="2:3">
      <c r="B18916" s="12"/>
      <c r="C18916" s="12"/>
    </row>
    <row r="18917" spans="2:3">
      <c r="B18917" s="12"/>
      <c r="C18917" s="12"/>
    </row>
    <row r="18918" spans="2:3">
      <c r="B18918" s="12"/>
      <c r="C18918" s="12"/>
    </row>
    <row r="18919" spans="2:3">
      <c r="B18919" s="12"/>
      <c r="C18919" s="12"/>
    </row>
    <row r="18920" spans="2:3">
      <c r="B18920" s="12"/>
      <c r="C18920" s="12"/>
    </row>
    <row r="18921" spans="2:3">
      <c r="B18921" s="12"/>
      <c r="C18921" s="12"/>
    </row>
    <row r="18922" spans="2:3">
      <c r="B18922" s="12"/>
      <c r="C18922" s="12"/>
    </row>
    <row r="18923" spans="2:3">
      <c r="B18923" s="12"/>
      <c r="C18923" s="12"/>
    </row>
    <row r="18924" spans="2:3">
      <c r="B18924" s="12"/>
      <c r="C18924" s="12"/>
    </row>
    <row r="18925" spans="2:3">
      <c r="B18925" s="12"/>
      <c r="C18925" s="12"/>
    </row>
    <row r="18926" spans="2:3">
      <c r="B18926" s="12"/>
      <c r="C18926" s="12"/>
    </row>
    <row r="18927" spans="2:3">
      <c r="B18927" s="12"/>
      <c r="C18927" s="12"/>
    </row>
    <row r="18928" spans="2:3">
      <c r="B18928" s="12"/>
      <c r="C18928" s="12"/>
    </row>
    <row r="18929" spans="2:3">
      <c r="B18929" s="12"/>
      <c r="C18929" s="12"/>
    </row>
    <row r="18930" spans="2:3">
      <c r="B18930" s="12"/>
      <c r="C18930" s="12"/>
    </row>
    <row r="18931" spans="2:3">
      <c r="B18931" s="12"/>
      <c r="C18931" s="12"/>
    </row>
    <row r="18932" spans="2:3">
      <c r="B18932" s="12"/>
      <c r="C18932" s="12"/>
    </row>
    <row r="18933" spans="2:3">
      <c r="B18933" s="12"/>
      <c r="C18933" s="12"/>
    </row>
    <row r="18934" spans="2:3">
      <c r="B18934" s="12"/>
      <c r="C18934" s="12"/>
    </row>
    <row r="18935" spans="2:3">
      <c r="B18935" s="12"/>
      <c r="C18935" s="12"/>
    </row>
    <row r="18936" spans="2:3">
      <c r="B18936" s="12"/>
      <c r="C18936" s="12"/>
    </row>
    <row r="18937" spans="2:3">
      <c r="B18937" s="12"/>
      <c r="C18937" s="12"/>
    </row>
    <row r="18938" spans="2:3">
      <c r="B18938" s="12"/>
      <c r="C18938" s="12"/>
    </row>
    <row r="18939" spans="2:3">
      <c r="B18939" s="12"/>
      <c r="C18939" s="12"/>
    </row>
    <row r="18940" spans="2:3">
      <c r="B18940" s="12"/>
      <c r="C18940" s="12"/>
    </row>
    <row r="18941" spans="2:3">
      <c r="B18941" s="12"/>
      <c r="C18941" s="12"/>
    </row>
    <row r="18942" spans="2:3">
      <c r="B18942" s="12"/>
      <c r="C18942" s="12"/>
    </row>
    <row r="18943" spans="2:3">
      <c r="B18943" s="12"/>
      <c r="C18943" s="12"/>
    </row>
    <row r="18944" spans="2:3">
      <c r="B18944" s="12"/>
      <c r="C18944" s="12"/>
    </row>
    <row r="18945" spans="2:3">
      <c r="B18945" s="12"/>
      <c r="C18945" s="12"/>
    </row>
    <row r="18946" spans="2:3">
      <c r="B18946" s="12"/>
      <c r="C18946" s="12"/>
    </row>
    <row r="18947" spans="2:3">
      <c r="B18947" s="12"/>
      <c r="C18947" s="12"/>
    </row>
    <row r="18948" spans="2:3">
      <c r="B18948" s="12"/>
      <c r="C18948" s="12"/>
    </row>
    <row r="18949" spans="2:3">
      <c r="B18949" s="12"/>
      <c r="C18949" s="12"/>
    </row>
    <row r="18950" spans="2:3">
      <c r="B18950" s="12"/>
      <c r="C18950" s="12"/>
    </row>
    <row r="18951" spans="2:3">
      <c r="B18951" s="12"/>
      <c r="C18951" s="12"/>
    </row>
    <row r="18952" spans="2:3">
      <c r="B18952" s="12"/>
      <c r="C18952" s="12"/>
    </row>
    <row r="18953" spans="2:3">
      <c r="B18953" s="12"/>
      <c r="C18953" s="12"/>
    </row>
    <row r="18954" spans="2:3">
      <c r="B18954" s="12"/>
      <c r="C18954" s="12"/>
    </row>
    <row r="18955" spans="2:3">
      <c r="B18955" s="12"/>
      <c r="C18955" s="12"/>
    </row>
    <row r="18956" spans="2:3">
      <c r="B18956" s="12"/>
      <c r="C18956" s="12"/>
    </row>
    <row r="18957" spans="2:3">
      <c r="B18957" s="12"/>
      <c r="C18957" s="12"/>
    </row>
    <row r="18958" spans="2:3">
      <c r="B18958" s="12"/>
      <c r="C18958" s="12"/>
    </row>
    <row r="18959" spans="2:3">
      <c r="B18959" s="12"/>
      <c r="C18959" s="12"/>
    </row>
    <row r="18960" spans="2:3">
      <c r="B18960" s="12"/>
      <c r="C18960" s="12"/>
    </row>
    <row r="18961" spans="2:3">
      <c r="B18961" s="12"/>
      <c r="C18961" s="12"/>
    </row>
    <row r="18962" spans="2:3">
      <c r="B18962" s="12"/>
      <c r="C18962" s="12"/>
    </row>
    <row r="18963" spans="2:3">
      <c r="B18963" s="12"/>
      <c r="C18963" s="12"/>
    </row>
    <row r="18964" spans="2:3">
      <c r="B18964" s="12"/>
      <c r="C18964" s="12"/>
    </row>
    <row r="18965" spans="2:3">
      <c r="B18965" s="12"/>
      <c r="C18965" s="12"/>
    </row>
    <row r="18966" spans="2:3">
      <c r="B18966" s="12"/>
      <c r="C18966" s="12"/>
    </row>
    <row r="18967" spans="2:3">
      <c r="B18967" s="12"/>
      <c r="C18967" s="12"/>
    </row>
    <row r="18968" spans="2:3">
      <c r="B18968" s="12"/>
      <c r="C18968" s="12"/>
    </row>
    <row r="18969" spans="2:3">
      <c r="B18969" s="12"/>
      <c r="C18969" s="12"/>
    </row>
    <row r="18970" spans="2:3">
      <c r="B18970" s="12"/>
      <c r="C18970" s="12"/>
    </row>
    <row r="18971" spans="2:3">
      <c r="B18971" s="12"/>
      <c r="C18971" s="12"/>
    </row>
    <row r="18972" spans="2:3">
      <c r="B18972" s="12"/>
      <c r="C18972" s="12"/>
    </row>
    <row r="18973" spans="2:3">
      <c r="B18973" s="12"/>
      <c r="C18973" s="12"/>
    </row>
    <row r="18974" spans="2:3">
      <c r="B18974" s="12"/>
      <c r="C18974" s="12"/>
    </row>
    <row r="18975" spans="2:3">
      <c r="B18975" s="12"/>
      <c r="C18975" s="12"/>
    </row>
    <row r="18976" spans="2:3">
      <c r="B18976" s="12"/>
      <c r="C18976" s="12"/>
    </row>
    <row r="18977" spans="2:3">
      <c r="B18977" s="12"/>
      <c r="C18977" s="12"/>
    </row>
    <row r="18978" spans="2:3">
      <c r="B18978" s="12"/>
      <c r="C18978" s="12"/>
    </row>
    <row r="18979" spans="2:3">
      <c r="B18979" s="12"/>
      <c r="C18979" s="12"/>
    </row>
    <row r="18980" spans="2:3">
      <c r="B18980" s="12"/>
      <c r="C18980" s="12"/>
    </row>
    <row r="18981" spans="2:3">
      <c r="B18981" s="12"/>
      <c r="C18981" s="12"/>
    </row>
    <row r="18982" spans="2:3">
      <c r="B18982" s="12"/>
      <c r="C18982" s="12"/>
    </row>
    <row r="18983" spans="2:3">
      <c r="B18983" s="12"/>
      <c r="C18983" s="12"/>
    </row>
    <row r="18984" spans="2:3">
      <c r="B18984" s="12"/>
      <c r="C18984" s="12"/>
    </row>
    <row r="18985" spans="2:3">
      <c r="B18985" s="12"/>
      <c r="C18985" s="12"/>
    </row>
    <row r="18986" spans="2:3">
      <c r="B18986" s="12"/>
      <c r="C18986" s="12"/>
    </row>
    <row r="18987" spans="2:3">
      <c r="B18987" s="12"/>
      <c r="C18987" s="12"/>
    </row>
    <row r="18988" spans="2:3">
      <c r="B18988" s="12"/>
      <c r="C18988" s="12"/>
    </row>
    <row r="18989" spans="2:3">
      <c r="B18989" s="12"/>
      <c r="C18989" s="12"/>
    </row>
    <row r="18990" spans="2:3">
      <c r="B18990" s="12"/>
      <c r="C18990" s="12"/>
    </row>
    <row r="18991" spans="2:3">
      <c r="B18991" s="12"/>
      <c r="C18991" s="12"/>
    </row>
    <row r="18992" spans="2:3">
      <c r="B18992" s="12"/>
      <c r="C18992" s="12"/>
    </row>
    <row r="18993" spans="2:3">
      <c r="B18993" s="12"/>
      <c r="C18993" s="12"/>
    </row>
    <row r="18994" spans="2:3">
      <c r="B18994" s="12"/>
      <c r="C18994" s="12"/>
    </row>
    <row r="18995" spans="2:3">
      <c r="B18995" s="12"/>
      <c r="C18995" s="12"/>
    </row>
    <row r="18996" spans="2:3">
      <c r="B18996" s="12"/>
      <c r="C18996" s="12"/>
    </row>
    <row r="18997" spans="2:3">
      <c r="B18997" s="12"/>
      <c r="C18997" s="12"/>
    </row>
    <row r="18998" spans="2:3">
      <c r="B18998" s="12"/>
      <c r="C18998" s="12"/>
    </row>
    <row r="18999" spans="2:3">
      <c r="B18999" s="12"/>
      <c r="C18999" s="12"/>
    </row>
    <row r="19000" spans="2:3">
      <c r="B19000" s="12"/>
      <c r="C19000" s="12"/>
    </row>
    <row r="19001" spans="2:3">
      <c r="B19001" s="12"/>
      <c r="C19001" s="12"/>
    </row>
    <row r="19002" spans="2:3">
      <c r="B19002" s="12"/>
      <c r="C19002" s="12"/>
    </row>
    <row r="19003" spans="2:3">
      <c r="B19003" s="12"/>
      <c r="C19003" s="12"/>
    </row>
    <row r="19004" spans="2:3">
      <c r="B19004" s="12"/>
      <c r="C19004" s="12"/>
    </row>
    <row r="19005" spans="2:3">
      <c r="B19005" s="12"/>
      <c r="C19005" s="12"/>
    </row>
    <row r="19006" spans="2:3">
      <c r="B19006" s="12"/>
      <c r="C19006" s="12"/>
    </row>
    <row r="19007" spans="2:3">
      <c r="B19007" s="12"/>
      <c r="C19007" s="12"/>
    </row>
    <row r="19008" spans="2:3">
      <c r="B19008" s="12"/>
      <c r="C19008" s="12"/>
    </row>
    <row r="19009" spans="2:3">
      <c r="B19009" s="12"/>
      <c r="C19009" s="12"/>
    </row>
    <row r="19010" spans="2:3">
      <c r="B19010" s="12"/>
      <c r="C19010" s="12"/>
    </row>
    <row r="19011" spans="2:3">
      <c r="B19011" s="12"/>
      <c r="C19011" s="12"/>
    </row>
    <row r="19012" spans="2:3">
      <c r="B19012" s="12"/>
      <c r="C19012" s="12"/>
    </row>
    <row r="19013" spans="2:3">
      <c r="B19013" s="12"/>
      <c r="C19013" s="12"/>
    </row>
    <row r="19014" spans="2:3">
      <c r="B19014" s="12"/>
      <c r="C19014" s="12"/>
    </row>
    <row r="19015" spans="2:3">
      <c r="B19015" s="12"/>
      <c r="C19015" s="12"/>
    </row>
    <row r="19016" spans="2:3">
      <c r="B19016" s="12"/>
      <c r="C19016" s="12"/>
    </row>
    <row r="19017" spans="2:3">
      <c r="B19017" s="12"/>
      <c r="C19017" s="12"/>
    </row>
    <row r="19018" spans="2:3">
      <c r="B19018" s="12"/>
      <c r="C19018" s="12"/>
    </row>
    <row r="19019" spans="2:3">
      <c r="B19019" s="12"/>
      <c r="C19019" s="12"/>
    </row>
    <row r="19020" spans="2:3">
      <c r="B19020" s="12"/>
      <c r="C19020" s="12"/>
    </row>
    <row r="19021" spans="2:3">
      <c r="B19021" s="12"/>
      <c r="C19021" s="12"/>
    </row>
    <row r="19022" spans="2:3">
      <c r="B19022" s="12"/>
      <c r="C19022" s="12"/>
    </row>
    <row r="19023" spans="2:3">
      <c r="B19023" s="12"/>
      <c r="C19023" s="12"/>
    </row>
    <row r="19024" spans="2:3">
      <c r="B19024" s="12"/>
      <c r="C19024" s="12"/>
    </row>
    <row r="19025" spans="2:3">
      <c r="B19025" s="12"/>
      <c r="C19025" s="12"/>
    </row>
    <row r="19026" spans="2:3">
      <c r="B19026" s="12"/>
      <c r="C19026" s="12"/>
    </row>
    <row r="19027" spans="2:3">
      <c r="B19027" s="12"/>
      <c r="C19027" s="12"/>
    </row>
    <row r="19028" spans="2:3">
      <c r="B19028" s="12"/>
      <c r="C19028" s="12"/>
    </row>
    <row r="19029" spans="2:3">
      <c r="B19029" s="12"/>
      <c r="C19029" s="12"/>
    </row>
    <row r="19030" spans="2:3">
      <c r="B19030" s="12"/>
      <c r="C19030" s="12"/>
    </row>
    <row r="19031" spans="2:3">
      <c r="B19031" s="12"/>
      <c r="C19031" s="12"/>
    </row>
    <row r="19032" spans="2:3">
      <c r="B19032" s="12"/>
      <c r="C19032" s="12"/>
    </row>
    <row r="19033" spans="2:3">
      <c r="B19033" s="12"/>
      <c r="C19033" s="12"/>
    </row>
    <row r="19034" spans="2:3">
      <c r="B19034" s="12"/>
      <c r="C19034" s="12"/>
    </row>
    <row r="19035" spans="2:3">
      <c r="B19035" s="12"/>
      <c r="C19035" s="12"/>
    </row>
    <row r="19036" spans="2:3">
      <c r="B19036" s="12"/>
      <c r="C19036" s="12"/>
    </row>
    <row r="19037" spans="2:3">
      <c r="B19037" s="12"/>
      <c r="C19037" s="12"/>
    </row>
    <row r="19038" spans="2:3">
      <c r="B19038" s="12"/>
      <c r="C19038" s="12"/>
    </row>
    <row r="19039" spans="2:3">
      <c r="B19039" s="12"/>
      <c r="C19039" s="12"/>
    </row>
    <row r="19040" spans="2:3">
      <c r="B19040" s="12"/>
      <c r="C19040" s="12"/>
    </row>
    <row r="19041" spans="2:3">
      <c r="B19041" s="12"/>
      <c r="C19041" s="12"/>
    </row>
    <row r="19042" spans="2:3">
      <c r="B19042" s="12"/>
      <c r="C19042" s="12"/>
    </row>
    <row r="19043" spans="2:3">
      <c r="B19043" s="12"/>
      <c r="C19043" s="12"/>
    </row>
    <row r="19044" spans="2:3">
      <c r="B19044" s="12"/>
      <c r="C19044" s="12"/>
    </row>
    <row r="19045" spans="2:3">
      <c r="B19045" s="12"/>
      <c r="C19045" s="12"/>
    </row>
    <row r="19046" spans="2:3">
      <c r="B19046" s="12"/>
      <c r="C19046" s="12"/>
    </row>
    <row r="19047" spans="2:3">
      <c r="B19047" s="12"/>
      <c r="C19047" s="12"/>
    </row>
    <row r="19048" spans="2:3">
      <c r="B19048" s="12"/>
      <c r="C19048" s="12"/>
    </row>
    <row r="19049" spans="2:3">
      <c r="B19049" s="12"/>
      <c r="C19049" s="12"/>
    </row>
    <row r="19050" spans="2:3">
      <c r="B19050" s="12"/>
      <c r="C19050" s="12"/>
    </row>
    <row r="19051" spans="2:3">
      <c r="B19051" s="12"/>
      <c r="C19051" s="12"/>
    </row>
    <row r="19052" spans="2:3">
      <c r="B19052" s="12"/>
      <c r="C19052" s="12"/>
    </row>
    <row r="19053" spans="2:3">
      <c r="B19053" s="12"/>
      <c r="C19053" s="12"/>
    </row>
    <row r="19054" spans="2:3">
      <c r="B19054" s="12"/>
      <c r="C19054" s="12"/>
    </row>
    <row r="19055" spans="2:3">
      <c r="B19055" s="12"/>
      <c r="C19055" s="12"/>
    </row>
    <row r="19056" spans="2:3">
      <c r="B19056" s="12"/>
      <c r="C19056" s="12"/>
    </row>
    <row r="19057" spans="2:3">
      <c r="B19057" s="12"/>
      <c r="C19057" s="12"/>
    </row>
    <row r="19058" spans="2:3">
      <c r="B19058" s="12"/>
      <c r="C19058" s="12"/>
    </row>
    <row r="19059" spans="2:3">
      <c r="B19059" s="12"/>
      <c r="C19059" s="12"/>
    </row>
    <row r="19060" spans="2:3">
      <c r="B19060" s="12"/>
      <c r="C19060" s="12"/>
    </row>
    <row r="19061" spans="2:3">
      <c r="B19061" s="12"/>
      <c r="C19061" s="12"/>
    </row>
    <row r="19062" spans="2:3">
      <c r="B19062" s="12"/>
      <c r="C19062" s="12"/>
    </row>
    <row r="19063" spans="2:3">
      <c r="B19063" s="12"/>
      <c r="C19063" s="12"/>
    </row>
    <row r="19064" spans="2:3">
      <c r="B19064" s="12"/>
      <c r="C19064" s="12"/>
    </row>
    <row r="19065" spans="2:3">
      <c r="B19065" s="12"/>
      <c r="C19065" s="12"/>
    </row>
    <row r="19066" spans="2:3">
      <c r="B19066" s="12"/>
      <c r="C19066" s="12"/>
    </row>
    <row r="19067" spans="2:3">
      <c r="B19067" s="12"/>
      <c r="C19067" s="12"/>
    </row>
    <row r="19068" spans="2:3">
      <c r="B19068" s="12"/>
      <c r="C19068" s="12"/>
    </row>
    <row r="19069" spans="2:3">
      <c r="B19069" s="12"/>
      <c r="C19069" s="12"/>
    </row>
    <row r="19070" spans="2:3">
      <c r="B19070" s="12"/>
      <c r="C19070" s="12"/>
    </row>
    <row r="19071" spans="2:3">
      <c r="B19071" s="12"/>
      <c r="C19071" s="12"/>
    </row>
    <row r="19072" spans="2:3">
      <c r="B19072" s="12"/>
      <c r="C19072" s="12"/>
    </row>
    <row r="19073" spans="2:3">
      <c r="B19073" s="12"/>
      <c r="C19073" s="12"/>
    </row>
    <row r="19074" spans="2:3">
      <c r="B19074" s="12"/>
      <c r="C19074" s="12"/>
    </row>
    <row r="19075" spans="2:3">
      <c r="B19075" s="12"/>
      <c r="C19075" s="12"/>
    </row>
    <row r="19076" spans="2:3">
      <c r="B19076" s="12"/>
      <c r="C19076" s="12"/>
    </row>
    <row r="19077" spans="2:3">
      <c r="B19077" s="12"/>
      <c r="C19077" s="12"/>
    </row>
    <row r="19078" spans="2:3">
      <c r="B19078" s="12"/>
      <c r="C19078" s="12"/>
    </row>
    <row r="19079" spans="2:3">
      <c r="B19079" s="12"/>
      <c r="C19079" s="12"/>
    </row>
    <row r="19080" spans="2:3">
      <c r="B19080" s="12"/>
      <c r="C19080" s="12"/>
    </row>
    <row r="19081" spans="2:3">
      <c r="B19081" s="12"/>
      <c r="C19081" s="12"/>
    </row>
    <row r="19082" spans="2:3">
      <c r="B19082" s="12"/>
      <c r="C19082" s="12"/>
    </row>
    <row r="19083" spans="2:3">
      <c r="B19083" s="12"/>
      <c r="C19083" s="12"/>
    </row>
    <row r="19084" spans="2:3">
      <c r="B19084" s="12"/>
      <c r="C19084" s="12"/>
    </row>
    <row r="19085" spans="2:3">
      <c r="B19085" s="12"/>
      <c r="C19085" s="12"/>
    </row>
    <row r="19086" spans="2:3">
      <c r="B19086" s="12"/>
      <c r="C19086" s="12"/>
    </row>
    <row r="19087" spans="2:3">
      <c r="B19087" s="12"/>
      <c r="C19087" s="12"/>
    </row>
    <row r="19088" spans="2:3">
      <c r="B19088" s="12"/>
      <c r="C19088" s="12"/>
    </row>
    <row r="19089" spans="2:3">
      <c r="B19089" s="12"/>
      <c r="C19089" s="12"/>
    </row>
    <row r="19090" spans="2:3">
      <c r="B19090" s="12"/>
      <c r="C19090" s="12"/>
    </row>
    <row r="19091" spans="2:3">
      <c r="B19091" s="12"/>
      <c r="C19091" s="12"/>
    </row>
    <row r="19092" spans="2:3">
      <c r="B19092" s="12"/>
      <c r="C19092" s="12"/>
    </row>
    <row r="19093" spans="2:3">
      <c r="B19093" s="12"/>
      <c r="C19093" s="12"/>
    </row>
    <row r="19094" spans="2:3">
      <c r="B19094" s="12"/>
      <c r="C19094" s="12"/>
    </row>
    <row r="19095" spans="2:3">
      <c r="B19095" s="12"/>
      <c r="C19095" s="12"/>
    </row>
    <row r="19096" spans="2:3">
      <c r="B19096" s="12"/>
      <c r="C19096" s="12"/>
    </row>
    <row r="19097" spans="2:3">
      <c r="B19097" s="12"/>
      <c r="C19097" s="12"/>
    </row>
    <row r="19098" spans="2:3">
      <c r="B19098" s="12"/>
      <c r="C19098" s="12"/>
    </row>
    <row r="19099" spans="2:3">
      <c r="B19099" s="12"/>
      <c r="C19099" s="12"/>
    </row>
    <row r="19100" spans="2:3">
      <c r="B19100" s="12"/>
      <c r="C19100" s="12"/>
    </row>
    <row r="19101" spans="2:3">
      <c r="B19101" s="12"/>
      <c r="C19101" s="12"/>
    </row>
    <row r="19102" spans="2:3">
      <c r="B19102" s="12"/>
      <c r="C19102" s="12"/>
    </row>
    <row r="19103" spans="2:3">
      <c r="B19103" s="12"/>
      <c r="C19103" s="12"/>
    </row>
    <row r="19104" spans="2:3">
      <c r="B19104" s="12"/>
      <c r="C19104" s="12"/>
    </row>
    <row r="19105" spans="2:3">
      <c r="B19105" s="12"/>
      <c r="C19105" s="12"/>
    </row>
    <row r="19106" spans="2:3">
      <c r="B19106" s="12"/>
      <c r="C19106" s="12"/>
    </row>
    <row r="19107" spans="2:3">
      <c r="B19107" s="12"/>
      <c r="C19107" s="12"/>
    </row>
    <row r="19108" spans="2:3">
      <c r="B19108" s="12"/>
      <c r="C19108" s="12"/>
    </row>
    <row r="19109" spans="2:3">
      <c r="B19109" s="12"/>
      <c r="C19109" s="12"/>
    </row>
    <row r="19110" spans="2:3">
      <c r="B19110" s="12"/>
      <c r="C19110" s="12"/>
    </row>
    <row r="19111" spans="2:3">
      <c r="B19111" s="12"/>
      <c r="C19111" s="12"/>
    </row>
    <row r="19112" spans="2:3">
      <c r="B19112" s="12"/>
      <c r="C19112" s="12"/>
    </row>
    <row r="19113" spans="2:3">
      <c r="B19113" s="12"/>
      <c r="C19113" s="12"/>
    </row>
    <row r="19114" spans="2:3">
      <c r="B19114" s="12"/>
      <c r="C19114" s="12"/>
    </row>
    <row r="19115" spans="2:3">
      <c r="B19115" s="12"/>
      <c r="C19115" s="12"/>
    </row>
    <row r="19116" spans="2:3">
      <c r="B19116" s="12"/>
      <c r="C19116" s="12"/>
    </row>
    <row r="19117" spans="2:3">
      <c r="B19117" s="12"/>
      <c r="C19117" s="12"/>
    </row>
    <row r="19118" spans="2:3">
      <c r="B19118" s="12"/>
      <c r="C19118" s="12"/>
    </row>
    <row r="19119" spans="2:3">
      <c r="B19119" s="12"/>
      <c r="C19119" s="12"/>
    </row>
    <row r="19120" spans="2:3">
      <c r="B19120" s="12"/>
      <c r="C19120" s="12"/>
    </row>
    <row r="19121" spans="2:3">
      <c r="B19121" s="12"/>
      <c r="C19121" s="12"/>
    </row>
    <row r="19122" spans="2:3">
      <c r="B19122" s="12"/>
      <c r="C19122" s="12"/>
    </row>
    <row r="19123" spans="2:3">
      <c r="B19123" s="12"/>
      <c r="C19123" s="12"/>
    </row>
    <row r="19124" spans="2:3">
      <c r="B19124" s="12"/>
      <c r="C19124" s="12"/>
    </row>
    <row r="19125" spans="2:3">
      <c r="B19125" s="12"/>
      <c r="C19125" s="12"/>
    </row>
    <row r="19126" spans="2:3">
      <c r="B19126" s="12"/>
      <c r="C19126" s="12"/>
    </row>
    <row r="19127" spans="2:3">
      <c r="B19127" s="12"/>
      <c r="C19127" s="12"/>
    </row>
    <row r="19128" spans="2:3">
      <c r="B19128" s="12"/>
      <c r="C19128" s="12"/>
    </row>
    <row r="19129" spans="2:3">
      <c r="B19129" s="12"/>
      <c r="C19129" s="12"/>
    </row>
    <row r="19130" spans="2:3">
      <c r="B19130" s="12"/>
      <c r="C19130" s="12"/>
    </row>
    <row r="19131" spans="2:3">
      <c r="B19131" s="12"/>
      <c r="C19131" s="12"/>
    </row>
    <row r="19132" spans="2:3">
      <c r="B19132" s="12"/>
      <c r="C19132" s="12"/>
    </row>
    <row r="19133" spans="2:3">
      <c r="B19133" s="12"/>
      <c r="C19133" s="12"/>
    </row>
    <row r="19134" spans="2:3">
      <c r="B19134" s="12"/>
      <c r="C19134" s="12"/>
    </row>
    <row r="19135" spans="2:3">
      <c r="B19135" s="12"/>
      <c r="C19135" s="12"/>
    </row>
    <row r="19136" spans="2:3">
      <c r="B19136" s="12"/>
      <c r="C19136" s="12"/>
    </row>
    <row r="19137" spans="2:3">
      <c r="B19137" s="12"/>
      <c r="C19137" s="12"/>
    </row>
    <row r="19138" spans="2:3">
      <c r="B19138" s="12"/>
      <c r="C19138" s="12"/>
    </row>
    <row r="19139" spans="2:3">
      <c r="B19139" s="12"/>
      <c r="C19139" s="12"/>
    </row>
    <row r="19140" spans="2:3">
      <c r="B19140" s="12"/>
      <c r="C19140" s="12"/>
    </row>
    <row r="19141" spans="2:3">
      <c r="B19141" s="12"/>
      <c r="C19141" s="12"/>
    </row>
    <row r="19142" spans="2:3">
      <c r="B19142" s="12"/>
      <c r="C19142" s="12"/>
    </row>
    <row r="19143" spans="2:3">
      <c r="B19143" s="12"/>
      <c r="C19143" s="12"/>
    </row>
    <row r="19144" spans="2:3">
      <c r="B19144" s="12"/>
      <c r="C19144" s="12"/>
    </row>
    <row r="19145" spans="2:3">
      <c r="B19145" s="12"/>
      <c r="C19145" s="12"/>
    </row>
    <row r="19146" spans="2:3">
      <c r="B19146" s="12"/>
      <c r="C19146" s="12"/>
    </row>
    <row r="19147" spans="2:3">
      <c r="B19147" s="12"/>
      <c r="C19147" s="12"/>
    </row>
    <row r="19148" spans="2:3">
      <c r="B19148" s="12"/>
      <c r="C19148" s="12"/>
    </row>
    <row r="19149" spans="2:3">
      <c r="B19149" s="12"/>
      <c r="C19149" s="12"/>
    </row>
    <row r="19150" spans="2:3">
      <c r="B19150" s="12"/>
      <c r="C19150" s="12"/>
    </row>
    <row r="19151" spans="2:3">
      <c r="B19151" s="12"/>
      <c r="C19151" s="12"/>
    </row>
    <row r="19152" spans="2:3">
      <c r="B19152" s="12"/>
      <c r="C19152" s="12"/>
    </row>
    <row r="19153" spans="2:3">
      <c r="B19153" s="12"/>
      <c r="C19153" s="12"/>
    </row>
    <row r="19154" spans="2:3">
      <c r="B19154" s="12"/>
      <c r="C19154" s="12"/>
    </row>
    <row r="19155" spans="2:3">
      <c r="B19155" s="12"/>
      <c r="C19155" s="12"/>
    </row>
    <row r="19156" spans="2:3">
      <c r="B19156" s="12"/>
      <c r="C19156" s="12"/>
    </row>
    <row r="19157" spans="2:3">
      <c r="B19157" s="12"/>
      <c r="C19157" s="12"/>
    </row>
    <row r="19158" spans="2:3">
      <c r="B19158" s="12"/>
      <c r="C19158" s="12"/>
    </row>
    <row r="19159" spans="2:3">
      <c r="B19159" s="12"/>
      <c r="C19159" s="12"/>
    </row>
    <row r="19160" spans="2:3">
      <c r="B19160" s="12"/>
      <c r="C19160" s="12"/>
    </row>
    <row r="19161" spans="2:3">
      <c r="B19161" s="12"/>
      <c r="C19161" s="12"/>
    </row>
    <row r="19162" spans="2:3">
      <c r="B19162" s="12"/>
      <c r="C19162" s="12"/>
    </row>
    <row r="19163" spans="2:3">
      <c r="B19163" s="12"/>
      <c r="C19163" s="12"/>
    </row>
    <row r="19164" spans="2:3">
      <c r="B19164" s="12"/>
      <c r="C19164" s="12"/>
    </row>
    <row r="19165" spans="2:3">
      <c r="B19165" s="12"/>
      <c r="C19165" s="12"/>
    </row>
    <row r="19166" spans="2:3">
      <c r="B19166" s="12"/>
      <c r="C19166" s="12"/>
    </row>
    <row r="19167" spans="2:3">
      <c r="B19167" s="12"/>
      <c r="C19167" s="12"/>
    </row>
    <row r="19168" spans="2:3">
      <c r="B19168" s="12"/>
      <c r="C19168" s="12"/>
    </row>
    <row r="19169" spans="2:3">
      <c r="B19169" s="12"/>
      <c r="C19169" s="12"/>
    </row>
    <row r="19170" spans="2:3">
      <c r="B19170" s="12"/>
      <c r="C19170" s="12"/>
    </row>
    <row r="19171" spans="2:3">
      <c r="B19171" s="12"/>
      <c r="C19171" s="12"/>
    </row>
    <row r="19172" spans="2:3">
      <c r="B19172" s="12"/>
      <c r="C19172" s="12"/>
    </row>
    <row r="19173" spans="2:3">
      <c r="B19173" s="12"/>
      <c r="C19173" s="12"/>
    </row>
    <row r="19174" spans="2:3">
      <c r="B19174" s="12"/>
      <c r="C19174" s="12"/>
    </row>
    <row r="19175" spans="2:3">
      <c r="B19175" s="12"/>
      <c r="C19175" s="12"/>
    </row>
    <row r="19176" spans="2:3">
      <c r="B19176" s="12"/>
      <c r="C19176" s="12"/>
    </row>
    <row r="19177" spans="2:3">
      <c r="B19177" s="12"/>
      <c r="C19177" s="12"/>
    </row>
    <row r="19178" spans="2:3">
      <c r="B19178" s="12"/>
      <c r="C19178" s="12"/>
    </row>
    <row r="19179" spans="2:3">
      <c r="B19179" s="12"/>
      <c r="C19179" s="12"/>
    </row>
    <row r="19180" spans="2:3">
      <c r="B19180" s="12"/>
      <c r="C19180" s="12"/>
    </row>
    <row r="19181" spans="2:3">
      <c r="B19181" s="12"/>
      <c r="C19181" s="12"/>
    </row>
    <row r="19182" spans="2:3">
      <c r="B19182" s="12"/>
      <c r="C19182" s="12"/>
    </row>
    <row r="19183" spans="2:3">
      <c r="B19183" s="12"/>
      <c r="C19183" s="12"/>
    </row>
    <row r="19184" spans="2:3">
      <c r="B19184" s="12"/>
      <c r="C19184" s="12"/>
    </row>
    <row r="19185" spans="2:3">
      <c r="B19185" s="12"/>
      <c r="C19185" s="12"/>
    </row>
    <row r="19186" spans="2:3">
      <c r="B19186" s="12"/>
      <c r="C19186" s="12"/>
    </row>
    <row r="19187" spans="2:3">
      <c r="B19187" s="12"/>
      <c r="C19187" s="12"/>
    </row>
    <row r="19188" spans="2:3">
      <c r="B19188" s="12"/>
      <c r="C19188" s="12"/>
    </row>
    <row r="19189" spans="2:3">
      <c r="B19189" s="12"/>
      <c r="C19189" s="12"/>
    </row>
    <row r="19190" spans="2:3">
      <c r="B19190" s="12"/>
      <c r="C19190" s="12"/>
    </row>
    <row r="19191" spans="2:3">
      <c r="B19191" s="12"/>
      <c r="C19191" s="12"/>
    </row>
    <row r="19192" spans="2:3">
      <c r="B19192" s="12"/>
      <c r="C19192" s="12"/>
    </row>
    <row r="19193" spans="2:3">
      <c r="B19193" s="12"/>
      <c r="C19193" s="12"/>
    </row>
    <row r="19194" spans="2:3">
      <c r="B19194" s="12"/>
      <c r="C19194" s="12"/>
    </row>
    <row r="19195" spans="2:3">
      <c r="B19195" s="12"/>
      <c r="C19195" s="12"/>
    </row>
    <row r="19196" spans="2:3">
      <c r="B19196" s="12"/>
      <c r="C19196" s="12"/>
    </row>
    <row r="19197" spans="2:3">
      <c r="B19197" s="12"/>
      <c r="C19197" s="12"/>
    </row>
    <row r="19198" spans="2:3">
      <c r="B19198" s="12"/>
      <c r="C19198" s="12"/>
    </row>
    <row r="19199" spans="2:3">
      <c r="B19199" s="12"/>
      <c r="C19199" s="12"/>
    </row>
    <row r="19200" spans="2:3">
      <c r="B19200" s="12"/>
      <c r="C19200" s="12"/>
    </row>
    <row r="19201" spans="2:3">
      <c r="B19201" s="12"/>
      <c r="C19201" s="12"/>
    </row>
    <row r="19202" spans="2:3">
      <c r="B19202" s="12"/>
      <c r="C19202" s="12"/>
    </row>
    <row r="19203" spans="2:3">
      <c r="B19203" s="12"/>
      <c r="C19203" s="12"/>
    </row>
    <row r="19204" spans="2:3">
      <c r="B19204" s="12"/>
      <c r="C19204" s="12"/>
    </row>
    <row r="19205" spans="2:3">
      <c r="B19205" s="12"/>
      <c r="C19205" s="12"/>
    </row>
    <row r="19206" spans="2:3">
      <c r="B19206" s="12"/>
      <c r="C19206" s="12"/>
    </row>
    <row r="19207" spans="2:3">
      <c r="B19207" s="12"/>
      <c r="C19207" s="12"/>
    </row>
    <row r="19208" spans="2:3">
      <c r="B19208" s="12"/>
      <c r="C19208" s="12"/>
    </row>
    <row r="19209" spans="2:3">
      <c r="B19209" s="12"/>
      <c r="C19209" s="12"/>
    </row>
    <row r="19210" spans="2:3">
      <c r="B19210" s="12"/>
      <c r="C19210" s="12"/>
    </row>
    <row r="19211" spans="2:3">
      <c r="B19211" s="12"/>
      <c r="C19211" s="12"/>
    </row>
    <row r="19212" spans="2:3">
      <c r="B19212" s="12"/>
      <c r="C19212" s="12"/>
    </row>
    <row r="19213" spans="2:3">
      <c r="B19213" s="12"/>
      <c r="C19213" s="12"/>
    </row>
    <row r="19214" spans="2:3">
      <c r="B19214" s="12"/>
      <c r="C19214" s="12"/>
    </row>
    <row r="19215" spans="2:3">
      <c r="B19215" s="12"/>
      <c r="C19215" s="12"/>
    </row>
    <row r="19216" spans="2:3">
      <c r="B19216" s="12"/>
      <c r="C19216" s="12"/>
    </row>
    <row r="19217" spans="2:3">
      <c r="B19217" s="12"/>
      <c r="C19217" s="12"/>
    </row>
    <row r="19218" spans="2:3">
      <c r="B19218" s="12"/>
      <c r="C19218" s="12"/>
    </row>
    <row r="19219" spans="2:3">
      <c r="B19219" s="12"/>
      <c r="C19219" s="12"/>
    </row>
    <row r="19220" spans="2:3">
      <c r="B19220" s="12"/>
      <c r="C19220" s="12"/>
    </row>
    <row r="19221" spans="2:3">
      <c r="B19221" s="12"/>
      <c r="C19221" s="12"/>
    </row>
    <row r="19222" spans="2:3">
      <c r="B19222" s="12"/>
      <c r="C19222" s="12"/>
    </row>
    <row r="19223" spans="2:3">
      <c r="B19223" s="12"/>
      <c r="C19223" s="12"/>
    </row>
    <row r="19224" spans="2:3">
      <c r="B19224" s="12"/>
      <c r="C19224" s="12"/>
    </row>
    <row r="19225" spans="2:3">
      <c r="B19225" s="12"/>
      <c r="C19225" s="12"/>
    </row>
    <row r="19226" spans="2:3">
      <c r="B19226" s="12"/>
      <c r="C19226" s="12"/>
    </row>
    <row r="19227" spans="2:3">
      <c r="B19227" s="12"/>
      <c r="C19227" s="12"/>
    </row>
    <row r="19228" spans="2:3">
      <c r="B19228" s="12"/>
      <c r="C19228" s="12"/>
    </row>
    <row r="19229" spans="2:3">
      <c r="B19229" s="12"/>
      <c r="C19229" s="12"/>
    </row>
    <row r="19230" spans="2:3">
      <c r="B19230" s="12"/>
      <c r="C19230" s="12"/>
    </row>
    <row r="19231" spans="2:3">
      <c r="B19231" s="12"/>
      <c r="C19231" s="12"/>
    </row>
    <row r="19232" spans="2:3">
      <c r="B19232" s="12"/>
      <c r="C19232" s="12"/>
    </row>
    <row r="19233" spans="2:3">
      <c r="B19233" s="12"/>
      <c r="C19233" s="12"/>
    </row>
    <row r="19234" spans="2:3">
      <c r="B19234" s="12"/>
      <c r="C19234" s="12"/>
    </row>
    <row r="19235" spans="2:3">
      <c r="B19235" s="12"/>
      <c r="C19235" s="12"/>
    </row>
    <row r="19236" spans="2:3">
      <c r="B19236" s="12"/>
      <c r="C19236" s="12"/>
    </row>
    <row r="19237" spans="2:3">
      <c r="B19237" s="12"/>
      <c r="C19237" s="12"/>
    </row>
    <row r="19238" spans="2:3">
      <c r="B19238" s="12"/>
      <c r="C19238" s="12"/>
    </row>
    <row r="19239" spans="2:3">
      <c r="B19239" s="12"/>
      <c r="C19239" s="12"/>
    </row>
    <row r="19240" spans="2:3">
      <c r="B19240" s="12"/>
      <c r="C19240" s="12"/>
    </row>
    <row r="19241" spans="2:3">
      <c r="B19241" s="12"/>
      <c r="C19241" s="12"/>
    </row>
    <row r="19242" spans="2:3">
      <c r="B19242" s="12"/>
      <c r="C19242" s="12"/>
    </row>
    <row r="19243" spans="2:3">
      <c r="B19243" s="12"/>
      <c r="C19243" s="12"/>
    </row>
    <row r="19244" spans="2:3">
      <c r="B19244" s="12"/>
      <c r="C19244" s="12"/>
    </row>
    <row r="19245" spans="2:3">
      <c r="B19245" s="12"/>
      <c r="C19245" s="12"/>
    </row>
    <row r="19246" spans="2:3">
      <c r="B19246" s="12"/>
      <c r="C19246" s="12"/>
    </row>
    <row r="19247" spans="2:3">
      <c r="B19247" s="12"/>
      <c r="C19247" s="12"/>
    </row>
    <row r="19248" spans="2:3">
      <c r="B19248" s="12"/>
      <c r="C19248" s="12"/>
    </row>
    <row r="19249" spans="2:3">
      <c r="B19249" s="12"/>
      <c r="C19249" s="12"/>
    </row>
    <row r="19250" spans="2:3">
      <c r="B19250" s="12"/>
      <c r="C19250" s="12"/>
    </row>
    <row r="19251" spans="2:3">
      <c r="B19251" s="12"/>
      <c r="C19251" s="12"/>
    </row>
    <row r="19252" spans="2:3">
      <c r="B19252" s="12"/>
      <c r="C19252" s="12"/>
    </row>
    <row r="19253" spans="2:3">
      <c r="B19253" s="12"/>
      <c r="C19253" s="12"/>
    </row>
    <row r="19254" spans="2:3">
      <c r="B19254" s="12"/>
      <c r="C19254" s="12"/>
    </row>
    <row r="19255" spans="2:3">
      <c r="B19255" s="12"/>
      <c r="C19255" s="12"/>
    </row>
    <row r="19256" spans="2:3">
      <c r="B19256" s="12"/>
      <c r="C19256" s="12"/>
    </row>
    <row r="19257" spans="2:3">
      <c r="B19257" s="12"/>
      <c r="C19257" s="12"/>
    </row>
    <row r="19258" spans="2:3">
      <c r="B19258" s="12"/>
      <c r="C19258" s="12"/>
    </row>
    <row r="19259" spans="2:3">
      <c r="B19259" s="12"/>
      <c r="C19259" s="12"/>
    </row>
    <row r="19260" spans="2:3">
      <c r="B19260" s="12"/>
      <c r="C19260" s="12"/>
    </row>
    <row r="19261" spans="2:3">
      <c r="B19261" s="12"/>
      <c r="C19261" s="12"/>
    </row>
    <row r="19262" spans="2:3">
      <c r="B19262" s="12"/>
      <c r="C19262" s="12"/>
    </row>
    <row r="19263" spans="2:3">
      <c r="B19263" s="12"/>
      <c r="C19263" s="12"/>
    </row>
    <row r="19264" spans="2:3">
      <c r="B19264" s="12"/>
      <c r="C19264" s="12"/>
    </row>
    <row r="19265" spans="2:3">
      <c r="B19265" s="12"/>
      <c r="C19265" s="12"/>
    </row>
    <row r="19266" spans="2:3">
      <c r="B19266" s="12"/>
      <c r="C19266" s="12"/>
    </row>
    <row r="19267" spans="2:3">
      <c r="B19267" s="12"/>
      <c r="C19267" s="12"/>
    </row>
    <row r="19268" spans="2:3">
      <c r="B19268" s="12"/>
      <c r="C19268" s="12"/>
    </row>
    <row r="19269" spans="2:3">
      <c r="B19269" s="12"/>
      <c r="C19269" s="12"/>
    </row>
    <row r="19270" spans="2:3">
      <c r="B19270" s="12"/>
      <c r="C19270" s="12"/>
    </row>
    <row r="19271" spans="2:3">
      <c r="B19271" s="12"/>
      <c r="C19271" s="12"/>
    </row>
    <row r="19272" spans="2:3">
      <c r="B19272" s="12"/>
      <c r="C19272" s="12"/>
    </row>
    <row r="19273" spans="2:3">
      <c r="B19273" s="12"/>
      <c r="C19273" s="12"/>
    </row>
    <row r="19274" spans="2:3">
      <c r="B19274" s="12"/>
      <c r="C19274" s="12"/>
    </row>
    <row r="19275" spans="2:3">
      <c r="B19275" s="12"/>
      <c r="C19275" s="12"/>
    </row>
    <row r="19276" spans="2:3">
      <c r="B19276" s="12"/>
      <c r="C19276" s="12"/>
    </row>
    <row r="19277" spans="2:3">
      <c r="B19277" s="12"/>
      <c r="C19277" s="12"/>
    </row>
    <row r="19278" spans="2:3">
      <c r="B19278" s="12"/>
      <c r="C19278" s="12"/>
    </row>
    <row r="19279" spans="2:3">
      <c r="B19279" s="12"/>
      <c r="C19279" s="12"/>
    </row>
    <row r="19280" spans="2:3">
      <c r="B19280" s="12"/>
      <c r="C19280" s="12"/>
    </row>
    <row r="19281" spans="2:3">
      <c r="B19281" s="12"/>
      <c r="C19281" s="12"/>
    </row>
    <row r="19282" spans="2:3">
      <c r="B19282" s="12"/>
      <c r="C19282" s="12"/>
    </row>
    <row r="19283" spans="2:3">
      <c r="B19283" s="12"/>
      <c r="C19283" s="12"/>
    </row>
    <row r="19284" spans="2:3">
      <c r="B19284" s="12"/>
      <c r="C19284" s="12"/>
    </row>
    <row r="19285" spans="2:3">
      <c r="B19285" s="12"/>
      <c r="C19285" s="12"/>
    </row>
    <row r="19286" spans="2:3">
      <c r="B19286" s="12"/>
      <c r="C19286" s="12"/>
    </row>
    <row r="19287" spans="2:3">
      <c r="B19287" s="12"/>
      <c r="C19287" s="12"/>
    </row>
    <row r="19288" spans="2:3">
      <c r="B19288" s="12"/>
      <c r="C19288" s="12"/>
    </row>
    <row r="19289" spans="2:3">
      <c r="B19289" s="12"/>
      <c r="C19289" s="12"/>
    </row>
    <row r="19290" spans="2:3">
      <c r="B19290" s="12"/>
      <c r="C19290" s="12"/>
    </row>
    <row r="19291" spans="2:3">
      <c r="B19291" s="12"/>
      <c r="C19291" s="12"/>
    </row>
    <row r="19292" spans="2:3">
      <c r="B19292" s="12"/>
      <c r="C19292" s="12"/>
    </row>
    <row r="19293" spans="2:3">
      <c r="B19293" s="12"/>
      <c r="C19293" s="12"/>
    </row>
    <row r="19294" spans="2:3">
      <c r="B19294" s="12"/>
      <c r="C19294" s="12"/>
    </row>
    <row r="19295" spans="2:3">
      <c r="B19295" s="12"/>
      <c r="C19295" s="12"/>
    </row>
    <row r="19296" spans="2:3">
      <c r="B19296" s="12"/>
      <c r="C19296" s="12"/>
    </row>
    <row r="19297" spans="2:3">
      <c r="B19297" s="12"/>
      <c r="C19297" s="12"/>
    </row>
    <row r="19298" spans="2:3">
      <c r="B19298" s="12"/>
      <c r="C19298" s="12"/>
    </row>
    <row r="19299" spans="2:3">
      <c r="B19299" s="12"/>
      <c r="C19299" s="12"/>
    </row>
    <row r="19300" spans="2:3">
      <c r="B19300" s="12"/>
      <c r="C19300" s="12"/>
    </row>
    <row r="19301" spans="2:3">
      <c r="B19301" s="12"/>
      <c r="C19301" s="12"/>
    </row>
    <row r="19302" spans="2:3">
      <c r="B19302" s="12"/>
      <c r="C19302" s="12"/>
    </row>
    <row r="19303" spans="2:3">
      <c r="B19303" s="12"/>
      <c r="C19303" s="12"/>
    </row>
    <row r="19304" spans="2:3">
      <c r="B19304" s="12"/>
      <c r="C19304" s="12"/>
    </row>
    <row r="19305" spans="2:3">
      <c r="B19305" s="12"/>
      <c r="C19305" s="12"/>
    </row>
    <row r="19306" spans="2:3">
      <c r="B19306" s="12"/>
      <c r="C19306" s="12"/>
    </row>
    <row r="19307" spans="2:3">
      <c r="B19307" s="12"/>
      <c r="C19307" s="12"/>
    </row>
    <row r="19308" spans="2:3">
      <c r="B19308" s="12"/>
      <c r="C19308" s="12"/>
    </row>
    <row r="19309" spans="2:3">
      <c r="B19309" s="12"/>
      <c r="C19309" s="12"/>
    </row>
    <row r="19310" spans="2:3">
      <c r="B19310" s="12"/>
      <c r="C19310" s="12"/>
    </row>
    <row r="19311" spans="2:3">
      <c r="B19311" s="12"/>
      <c r="C19311" s="12"/>
    </row>
    <row r="19312" spans="2:3">
      <c r="B19312" s="12"/>
      <c r="C19312" s="12"/>
    </row>
    <row r="19313" spans="2:3">
      <c r="B19313" s="12"/>
      <c r="C19313" s="12"/>
    </row>
    <row r="19314" spans="2:3">
      <c r="B19314" s="12"/>
      <c r="C19314" s="12"/>
    </row>
    <row r="19315" spans="2:3">
      <c r="B19315" s="12"/>
      <c r="C19315" s="12"/>
    </row>
    <row r="19316" spans="2:3">
      <c r="B19316" s="12"/>
      <c r="C19316" s="12"/>
    </row>
    <row r="19317" spans="2:3">
      <c r="B19317" s="12"/>
      <c r="C19317" s="12"/>
    </row>
    <row r="19318" spans="2:3">
      <c r="B19318" s="12"/>
      <c r="C19318" s="12"/>
    </row>
    <row r="19319" spans="2:3">
      <c r="B19319" s="12"/>
      <c r="C19319" s="12"/>
    </row>
    <row r="19320" spans="2:3">
      <c r="B19320" s="12"/>
      <c r="C19320" s="12"/>
    </row>
    <row r="19321" spans="2:3">
      <c r="B19321" s="12"/>
      <c r="C19321" s="12"/>
    </row>
    <row r="19322" spans="2:3">
      <c r="B19322" s="12"/>
      <c r="C19322" s="12"/>
    </row>
    <row r="19323" spans="2:3">
      <c r="B19323" s="12"/>
      <c r="C19323" s="12"/>
    </row>
    <row r="19324" spans="2:3">
      <c r="B19324" s="12"/>
      <c r="C19324" s="12"/>
    </row>
    <row r="19325" spans="2:3">
      <c r="B19325" s="12"/>
      <c r="C19325" s="12"/>
    </row>
    <row r="19326" spans="2:3">
      <c r="B19326" s="12"/>
      <c r="C19326" s="12"/>
    </row>
    <row r="19327" spans="2:3">
      <c r="B19327" s="12"/>
      <c r="C19327" s="12"/>
    </row>
    <row r="19328" spans="2:3">
      <c r="B19328" s="12"/>
      <c r="C19328" s="12"/>
    </row>
    <row r="19329" spans="2:3">
      <c r="B19329" s="12"/>
      <c r="C19329" s="12"/>
    </row>
    <row r="19330" spans="2:3">
      <c r="B19330" s="12"/>
      <c r="C19330" s="12"/>
    </row>
    <row r="19331" spans="2:3">
      <c r="B19331" s="12"/>
      <c r="C19331" s="12"/>
    </row>
    <row r="19332" spans="2:3">
      <c r="B19332" s="12"/>
      <c r="C19332" s="12"/>
    </row>
    <row r="19333" spans="2:3">
      <c r="B19333" s="12"/>
      <c r="C19333" s="12"/>
    </row>
    <row r="19334" spans="2:3">
      <c r="B19334" s="12"/>
      <c r="C19334" s="12"/>
    </row>
    <row r="19335" spans="2:3">
      <c r="B19335" s="12"/>
      <c r="C19335" s="12"/>
    </row>
    <row r="19336" spans="2:3">
      <c r="B19336" s="12"/>
      <c r="C19336" s="12"/>
    </row>
    <row r="19337" spans="2:3">
      <c r="B19337" s="12"/>
      <c r="C19337" s="12"/>
    </row>
    <row r="19338" spans="2:3">
      <c r="B19338" s="12"/>
      <c r="C19338" s="12"/>
    </row>
    <row r="19339" spans="2:3">
      <c r="B19339" s="12"/>
      <c r="C19339" s="12"/>
    </row>
    <row r="19340" spans="2:3">
      <c r="B19340" s="12"/>
      <c r="C19340" s="12"/>
    </row>
    <row r="19341" spans="2:3">
      <c r="B19341" s="12"/>
      <c r="C19341" s="12"/>
    </row>
    <row r="19342" spans="2:3">
      <c r="B19342" s="12"/>
      <c r="C19342" s="12"/>
    </row>
    <row r="19343" spans="2:3">
      <c r="B19343" s="12"/>
      <c r="C19343" s="12"/>
    </row>
    <row r="19344" spans="2:3">
      <c r="B19344" s="12"/>
      <c r="C19344" s="12"/>
    </row>
    <row r="19345" spans="2:3">
      <c r="B19345" s="12"/>
      <c r="C19345" s="12"/>
    </row>
    <row r="19346" spans="2:3">
      <c r="B19346" s="12"/>
      <c r="C19346" s="12"/>
    </row>
    <row r="19347" spans="2:3">
      <c r="B19347" s="12"/>
      <c r="C19347" s="12"/>
    </row>
    <row r="19348" spans="2:3">
      <c r="B19348" s="12"/>
      <c r="C19348" s="12"/>
    </row>
    <row r="19349" spans="2:3">
      <c r="B19349" s="12"/>
      <c r="C19349" s="12"/>
    </row>
    <row r="19350" spans="2:3">
      <c r="B19350" s="12"/>
      <c r="C19350" s="12"/>
    </row>
    <row r="19351" spans="2:3">
      <c r="B19351" s="12"/>
      <c r="C19351" s="12"/>
    </row>
    <row r="19352" spans="2:3">
      <c r="B19352" s="12"/>
      <c r="C19352" s="12"/>
    </row>
    <row r="19353" spans="2:3">
      <c r="B19353" s="12"/>
      <c r="C19353" s="12"/>
    </row>
    <row r="19354" spans="2:3">
      <c r="B19354" s="12"/>
      <c r="C19354" s="12"/>
    </row>
    <row r="19355" spans="2:3">
      <c r="B19355" s="12"/>
      <c r="C19355" s="12"/>
    </row>
    <row r="19356" spans="2:3">
      <c r="B19356" s="12"/>
      <c r="C19356" s="12"/>
    </row>
    <row r="19357" spans="2:3">
      <c r="B19357" s="12"/>
      <c r="C19357" s="12"/>
    </row>
    <row r="19358" spans="2:3">
      <c r="B19358" s="12"/>
      <c r="C19358" s="12"/>
    </row>
    <row r="19359" spans="2:3">
      <c r="B19359" s="12"/>
      <c r="C19359" s="12"/>
    </row>
    <row r="19360" spans="2:3">
      <c r="B19360" s="12"/>
      <c r="C19360" s="12"/>
    </row>
    <row r="19361" spans="2:3">
      <c r="B19361" s="12"/>
      <c r="C19361" s="12"/>
    </row>
    <row r="19362" spans="2:3">
      <c r="B19362" s="12"/>
      <c r="C19362" s="12"/>
    </row>
    <row r="19363" spans="2:3">
      <c r="B19363" s="12"/>
      <c r="C19363" s="12"/>
    </row>
    <row r="19364" spans="2:3">
      <c r="B19364" s="12"/>
      <c r="C19364" s="12"/>
    </row>
    <row r="19365" spans="2:3">
      <c r="B19365" s="12"/>
      <c r="C19365" s="12"/>
    </row>
    <row r="19366" spans="2:3">
      <c r="B19366" s="12"/>
      <c r="C19366" s="12"/>
    </row>
    <row r="19367" spans="2:3">
      <c r="B19367" s="12"/>
      <c r="C19367" s="12"/>
    </row>
    <row r="19368" spans="2:3">
      <c r="B19368" s="12"/>
      <c r="C19368" s="12"/>
    </row>
    <row r="19369" spans="2:3">
      <c r="B19369" s="12"/>
      <c r="C19369" s="12"/>
    </row>
    <row r="19370" spans="2:3">
      <c r="B19370" s="12"/>
      <c r="C19370" s="12"/>
    </row>
    <row r="19371" spans="2:3">
      <c r="B19371" s="12"/>
      <c r="C19371" s="12"/>
    </row>
    <row r="19372" spans="2:3">
      <c r="B19372" s="12"/>
      <c r="C19372" s="12"/>
    </row>
    <row r="19373" spans="2:3">
      <c r="B19373" s="12"/>
      <c r="C19373" s="12"/>
    </row>
    <row r="19374" spans="2:3">
      <c r="B19374" s="12"/>
      <c r="C19374" s="12"/>
    </row>
    <row r="19375" spans="2:3">
      <c r="B19375" s="12"/>
      <c r="C19375" s="12"/>
    </row>
    <row r="19376" spans="2:3">
      <c r="B19376" s="12"/>
      <c r="C19376" s="12"/>
    </row>
    <row r="19377" spans="2:3">
      <c r="B19377" s="12"/>
      <c r="C19377" s="12"/>
    </row>
    <row r="19378" spans="2:3">
      <c r="B19378" s="12"/>
      <c r="C19378" s="12"/>
    </row>
    <row r="19379" spans="2:3">
      <c r="B19379" s="12"/>
      <c r="C19379" s="12"/>
    </row>
    <row r="19380" spans="2:3">
      <c r="B19380" s="12"/>
      <c r="C19380" s="12"/>
    </row>
    <row r="19381" spans="2:3">
      <c r="B19381" s="12"/>
      <c r="C19381" s="12"/>
    </row>
    <row r="19382" spans="2:3">
      <c r="B19382" s="12"/>
      <c r="C19382" s="12"/>
    </row>
    <row r="19383" spans="2:3">
      <c r="B19383" s="12"/>
      <c r="C19383" s="12"/>
    </row>
    <row r="19384" spans="2:3">
      <c r="B19384" s="12"/>
      <c r="C19384" s="12"/>
    </row>
    <row r="19385" spans="2:3">
      <c r="B19385" s="12"/>
      <c r="C19385" s="12"/>
    </row>
    <row r="19386" spans="2:3">
      <c r="B19386" s="12"/>
      <c r="C19386" s="12"/>
    </row>
    <row r="19387" spans="2:3">
      <c r="B19387" s="12"/>
      <c r="C19387" s="12"/>
    </row>
    <row r="19388" spans="2:3">
      <c r="B19388" s="12"/>
      <c r="C19388" s="12"/>
    </row>
    <row r="19389" spans="2:3">
      <c r="B19389" s="12"/>
      <c r="C19389" s="12"/>
    </row>
    <row r="19390" spans="2:3">
      <c r="B19390" s="12"/>
      <c r="C19390" s="12"/>
    </row>
    <row r="19391" spans="2:3">
      <c r="B19391" s="12"/>
      <c r="C19391" s="12"/>
    </row>
    <row r="19392" spans="2:3">
      <c r="B19392" s="12"/>
      <c r="C19392" s="12"/>
    </row>
    <row r="19393" spans="2:3">
      <c r="B19393" s="12"/>
      <c r="C19393" s="12"/>
    </row>
    <row r="19394" spans="2:3">
      <c r="B19394" s="12"/>
      <c r="C19394" s="12"/>
    </row>
    <row r="19395" spans="2:3">
      <c r="B19395" s="12"/>
      <c r="C19395" s="12"/>
    </row>
    <row r="19396" spans="2:3">
      <c r="B19396" s="12"/>
      <c r="C19396" s="12"/>
    </row>
    <row r="19397" spans="2:3">
      <c r="B19397" s="12"/>
      <c r="C19397" s="12"/>
    </row>
    <row r="19398" spans="2:3">
      <c r="B19398" s="12"/>
      <c r="C19398" s="12"/>
    </row>
    <row r="19399" spans="2:3">
      <c r="B19399" s="12"/>
      <c r="C19399" s="12"/>
    </row>
    <row r="19400" spans="2:3">
      <c r="B19400" s="12"/>
      <c r="C19400" s="12"/>
    </row>
    <row r="19401" spans="2:3">
      <c r="B19401" s="12"/>
      <c r="C19401" s="12"/>
    </row>
    <row r="19402" spans="2:3">
      <c r="B19402" s="12"/>
      <c r="C19402" s="12"/>
    </row>
    <row r="19403" spans="2:3">
      <c r="B19403" s="12"/>
      <c r="C19403" s="12"/>
    </row>
    <row r="19404" spans="2:3">
      <c r="B19404" s="12"/>
      <c r="C19404" s="12"/>
    </row>
    <row r="19405" spans="2:3">
      <c r="B19405" s="12"/>
      <c r="C19405" s="12"/>
    </row>
    <row r="19406" spans="2:3">
      <c r="B19406" s="12"/>
      <c r="C19406" s="12"/>
    </row>
    <row r="19407" spans="2:3">
      <c r="B19407" s="12"/>
      <c r="C19407" s="12"/>
    </row>
    <row r="19408" spans="2:3">
      <c r="B19408" s="12"/>
      <c r="C19408" s="12"/>
    </row>
    <row r="19409" spans="2:3">
      <c r="B19409" s="12"/>
      <c r="C19409" s="12"/>
    </row>
    <row r="19410" spans="2:3">
      <c r="B19410" s="12"/>
      <c r="C19410" s="12"/>
    </row>
    <row r="19411" spans="2:3">
      <c r="B19411" s="12"/>
      <c r="C19411" s="12"/>
    </row>
    <row r="19412" spans="2:3">
      <c r="B19412" s="12"/>
      <c r="C19412" s="12"/>
    </row>
    <row r="19413" spans="2:3">
      <c r="B19413" s="12"/>
      <c r="C19413" s="12"/>
    </row>
    <row r="19414" spans="2:3">
      <c r="B19414" s="12"/>
      <c r="C19414" s="12"/>
    </row>
    <row r="19415" spans="2:3">
      <c r="B19415" s="12"/>
      <c r="C19415" s="12"/>
    </row>
    <row r="19416" spans="2:3">
      <c r="B19416" s="12"/>
      <c r="C19416" s="12"/>
    </row>
    <row r="19417" spans="2:3">
      <c r="B19417" s="12"/>
      <c r="C19417" s="12"/>
    </row>
    <row r="19418" spans="2:3">
      <c r="B19418" s="12"/>
      <c r="C19418" s="12"/>
    </row>
    <row r="19419" spans="2:3">
      <c r="B19419" s="12"/>
      <c r="C19419" s="12"/>
    </row>
    <row r="19420" spans="2:3">
      <c r="B19420" s="12"/>
      <c r="C19420" s="12"/>
    </row>
    <row r="19421" spans="2:3">
      <c r="B19421" s="12"/>
      <c r="C19421" s="12"/>
    </row>
    <row r="19422" spans="2:3">
      <c r="B19422" s="12"/>
      <c r="C19422" s="12"/>
    </row>
    <row r="19423" spans="2:3">
      <c r="B19423" s="12"/>
      <c r="C19423" s="12"/>
    </row>
    <row r="19424" spans="2:3">
      <c r="B19424" s="12"/>
      <c r="C19424" s="12"/>
    </row>
    <row r="19425" spans="2:3">
      <c r="B19425" s="12"/>
      <c r="C19425" s="12"/>
    </row>
    <row r="19426" spans="2:3">
      <c r="B19426" s="12"/>
      <c r="C19426" s="12"/>
    </row>
    <row r="19427" spans="2:3">
      <c r="B19427" s="12"/>
      <c r="C19427" s="12"/>
    </row>
    <row r="19428" spans="2:3">
      <c r="B19428" s="12"/>
      <c r="C19428" s="12"/>
    </row>
    <row r="19429" spans="2:3">
      <c r="B19429" s="12"/>
      <c r="C19429" s="12"/>
    </row>
    <row r="19430" spans="2:3">
      <c r="B19430" s="12"/>
      <c r="C19430" s="12"/>
    </row>
    <row r="19431" spans="2:3">
      <c r="B19431" s="12"/>
      <c r="C19431" s="12"/>
    </row>
    <row r="19432" spans="2:3">
      <c r="B19432" s="12"/>
      <c r="C19432" s="12"/>
    </row>
    <row r="19433" spans="2:3">
      <c r="B19433" s="12"/>
      <c r="C19433" s="12"/>
    </row>
    <row r="19434" spans="2:3">
      <c r="B19434" s="12"/>
      <c r="C19434" s="12"/>
    </row>
    <row r="19435" spans="2:3">
      <c r="B19435" s="12"/>
      <c r="C19435" s="12"/>
    </row>
    <row r="19436" spans="2:3">
      <c r="B19436" s="12"/>
      <c r="C19436" s="12"/>
    </row>
    <row r="19437" spans="2:3">
      <c r="B19437" s="12"/>
      <c r="C19437" s="12"/>
    </row>
    <row r="19438" spans="2:3">
      <c r="B19438" s="12"/>
      <c r="C19438" s="12"/>
    </row>
    <row r="19439" spans="2:3">
      <c r="B19439" s="12"/>
      <c r="C19439" s="12"/>
    </row>
    <row r="19440" spans="2:3">
      <c r="B19440" s="12"/>
      <c r="C19440" s="12"/>
    </row>
    <row r="19441" spans="2:3">
      <c r="B19441" s="12"/>
      <c r="C19441" s="12"/>
    </row>
    <row r="19442" spans="2:3">
      <c r="B19442" s="12"/>
      <c r="C19442" s="12"/>
    </row>
    <row r="19443" spans="2:3">
      <c r="B19443" s="12"/>
      <c r="C19443" s="12"/>
    </row>
    <row r="19444" spans="2:3">
      <c r="B19444" s="12"/>
      <c r="C19444" s="12"/>
    </row>
    <row r="19445" spans="2:3">
      <c r="B19445" s="12"/>
      <c r="C19445" s="12"/>
    </row>
    <row r="19446" spans="2:3">
      <c r="B19446" s="12"/>
      <c r="C19446" s="12"/>
    </row>
    <row r="19447" spans="2:3">
      <c r="B19447" s="12"/>
      <c r="C19447" s="12"/>
    </row>
    <row r="19448" spans="2:3">
      <c r="B19448" s="12"/>
      <c r="C19448" s="12"/>
    </row>
    <row r="19449" spans="2:3">
      <c r="B19449" s="12"/>
      <c r="C19449" s="12"/>
    </row>
    <row r="19450" spans="2:3">
      <c r="B19450" s="12"/>
      <c r="C19450" s="12"/>
    </row>
    <row r="19451" spans="2:3">
      <c r="B19451" s="12"/>
      <c r="C19451" s="12"/>
    </row>
    <row r="19452" spans="2:3">
      <c r="B19452" s="12"/>
      <c r="C19452" s="12"/>
    </row>
    <row r="19453" spans="2:3">
      <c r="B19453" s="12"/>
      <c r="C19453" s="12"/>
    </row>
    <row r="19454" spans="2:3">
      <c r="B19454" s="12"/>
      <c r="C19454" s="12"/>
    </row>
    <row r="19455" spans="2:3">
      <c r="B19455" s="12"/>
      <c r="C19455" s="12"/>
    </row>
    <row r="19456" spans="2:3">
      <c r="B19456" s="12"/>
      <c r="C19456" s="12"/>
    </row>
    <row r="19457" spans="2:3">
      <c r="B19457" s="12"/>
      <c r="C19457" s="12"/>
    </row>
    <row r="19458" spans="2:3">
      <c r="B19458" s="12"/>
      <c r="C19458" s="12"/>
    </row>
    <row r="19459" spans="2:3">
      <c r="B19459" s="12"/>
      <c r="C19459" s="12"/>
    </row>
    <row r="19460" spans="2:3">
      <c r="B19460" s="12"/>
      <c r="C19460" s="12"/>
    </row>
    <row r="19461" spans="2:3">
      <c r="B19461" s="12"/>
      <c r="C19461" s="12"/>
    </row>
    <row r="19462" spans="2:3">
      <c r="B19462" s="12"/>
      <c r="C19462" s="12"/>
    </row>
    <row r="19463" spans="2:3">
      <c r="B19463" s="12"/>
      <c r="C19463" s="12"/>
    </row>
    <row r="19464" spans="2:3">
      <c r="B19464" s="12"/>
      <c r="C19464" s="12"/>
    </row>
    <row r="19465" spans="2:3">
      <c r="B19465" s="12"/>
      <c r="C19465" s="12"/>
    </row>
    <row r="19466" spans="2:3">
      <c r="B19466" s="12"/>
      <c r="C19466" s="12"/>
    </row>
    <row r="19467" spans="2:3">
      <c r="B19467" s="12"/>
      <c r="C19467" s="12"/>
    </row>
    <row r="19468" spans="2:3">
      <c r="B19468" s="12"/>
      <c r="C19468" s="12"/>
    </row>
    <row r="19469" spans="2:3">
      <c r="B19469" s="12"/>
      <c r="C19469" s="12"/>
    </row>
    <row r="19470" spans="2:3">
      <c r="B19470" s="12"/>
      <c r="C19470" s="12"/>
    </row>
    <row r="19471" spans="2:3">
      <c r="B19471" s="12"/>
      <c r="C19471" s="12"/>
    </row>
    <row r="19472" spans="2:3">
      <c r="B19472" s="12"/>
      <c r="C19472" s="12"/>
    </row>
    <row r="19473" spans="2:3">
      <c r="B19473" s="12"/>
      <c r="C19473" s="12"/>
    </row>
    <row r="19474" spans="2:3">
      <c r="B19474" s="12"/>
      <c r="C19474" s="12"/>
    </row>
    <row r="19475" spans="2:3">
      <c r="B19475" s="12"/>
      <c r="C19475" s="12"/>
    </row>
    <row r="19476" spans="2:3">
      <c r="B19476" s="12"/>
      <c r="C19476" s="12"/>
    </row>
    <row r="19477" spans="2:3">
      <c r="B19477" s="12"/>
      <c r="C19477" s="12"/>
    </row>
    <row r="19478" spans="2:3">
      <c r="B19478" s="12"/>
      <c r="C19478" s="12"/>
    </row>
    <row r="19479" spans="2:3">
      <c r="B19479" s="12"/>
      <c r="C19479" s="12"/>
    </row>
    <row r="19480" spans="2:3">
      <c r="B19480" s="12"/>
      <c r="C19480" s="12"/>
    </row>
    <row r="19481" spans="2:3">
      <c r="B19481" s="12"/>
      <c r="C19481" s="12"/>
    </row>
    <row r="19482" spans="2:3">
      <c r="B19482" s="12"/>
      <c r="C19482" s="12"/>
    </row>
    <row r="19483" spans="2:3">
      <c r="B19483" s="12"/>
      <c r="C19483" s="12"/>
    </row>
    <row r="19484" spans="2:3">
      <c r="B19484" s="12"/>
      <c r="C19484" s="12"/>
    </row>
    <row r="19485" spans="2:3">
      <c r="B19485" s="12"/>
      <c r="C19485" s="12"/>
    </row>
    <row r="19486" spans="2:3">
      <c r="B19486" s="12"/>
      <c r="C19486" s="12"/>
    </row>
    <row r="19487" spans="2:3">
      <c r="B19487" s="12"/>
      <c r="C19487" s="12"/>
    </row>
    <row r="19488" spans="2:3">
      <c r="B19488" s="12"/>
      <c r="C19488" s="12"/>
    </row>
    <row r="19489" spans="2:3">
      <c r="B19489" s="12"/>
      <c r="C19489" s="12"/>
    </row>
    <row r="19490" spans="2:3">
      <c r="B19490" s="12"/>
      <c r="C19490" s="12"/>
    </row>
    <row r="19491" spans="2:3">
      <c r="B19491" s="12"/>
      <c r="C19491" s="12"/>
    </row>
    <row r="19492" spans="2:3">
      <c r="B19492" s="12"/>
      <c r="C19492" s="12"/>
    </row>
    <row r="19493" spans="2:3">
      <c r="B19493" s="12"/>
      <c r="C19493" s="12"/>
    </row>
    <row r="19494" spans="2:3">
      <c r="B19494" s="12"/>
      <c r="C19494" s="12"/>
    </row>
    <row r="19495" spans="2:3">
      <c r="B19495" s="12"/>
      <c r="C19495" s="12"/>
    </row>
    <row r="19496" spans="2:3">
      <c r="B19496" s="12"/>
      <c r="C19496" s="12"/>
    </row>
    <row r="19497" spans="2:3">
      <c r="B19497" s="12"/>
      <c r="C19497" s="12"/>
    </row>
    <row r="19498" spans="2:3">
      <c r="B19498" s="12"/>
      <c r="C19498" s="12"/>
    </row>
    <row r="19499" spans="2:3">
      <c r="B19499" s="12"/>
      <c r="C19499" s="12"/>
    </row>
    <row r="19500" spans="2:3">
      <c r="B19500" s="12"/>
      <c r="C19500" s="12"/>
    </row>
    <row r="19501" spans="2:3">
      <c r="B19501" s="12"/>
      <c r="C19501" s="12"/>
    </row>
    <row r="19502" spans="2:3">
      <c r="B19502" s="12"/>
      <c r="C19502" s="12"/>
    </row>
    <row r="19503" spans="2:3">
      <c r="B19503" s="12"/>
      <c r="C19503" s="12"/>
    </row>
    <row r="19504" spans="2:3">
      <c r="B19504" s="12"/>
      <c r="C19504" s="12"/>
    </row>
    <row r="19505" spans="2:3">
      <c r="B19505" s="12"/>
      <c r="C19505" s="12"/>
    </row>
    <row r="19506" spans="2:3">
      <c r="B19506" s="12"/>
      <c r="C19506" s="12"/>
    </row>
    <row r="19507" spans="2:3">
      <c r="B19507" s="12"/>
      <c r="C19507" s="12"/>
    </row>
    <row r="19508" spans="2:3">
      <c r="B19508" s="12"/>
      <c r="C19508" s="12"/>
    </row>
    <row r="19509" spans="2:3">
      <c r="B19509" s="12"/>
      <c r="C19509" s="12"/>
    </row>
    <row r="19510" spans="2:3">
      <c r="B19510" s="12"/>
      <c r="C19510" s="12"/>
    </row>
    <row r="19511" spans="2:3">
      <c r="B19511" s="12"/>
      <c r="C19511" s="12"/>
    </row>
    <row r="19512" spans="2:3">
      <c r="B19512" s="12"/>
      <c r="C19512" s="12"/>
    </row>
    <row r="19513" spans="2:3">
      <c r="B19513" s="12"/>
      <c r="C19513" s="12"/>
    </row>
    <row r="19514" spans="2:3">
      <c r="B19514" s="12"/>
      <c r="C19514" s="12"/>
    </row>
    <row r="19515" spans="2:3">
      <c r="B19515" s="12"/>
      <c r="C19515" s="12"/>
    </row>
    <row r="19516" spans="2:3">
      <c r="B19516" s="12"/>
      <c r="C19516" s="12"/>
    </row>
    <row r="19517" spans="2:3">
      <c r="B19517" s="12"/>
      <c r="C19517" s="12"/>
    </row>
    <row r="19518" spans="2:3">
      <c r="B19518" s="12"/>
      <c r="C19518" s="12"/>
    </row>
    <row r="19519" spans="2:3">
      <c r="B19519" s="12"/>
      <c r="C19519" s="12"/>
    </row>
    <row r="19520" spans="2:3">
      <c r="B19520" s="12"/>
      <c r="C19520" s="12"/>
    </row>
    <row r="19521" spans="2:3">
      <c r="B19521" s="12"/>
      <c r="C19521" s="12"/>
    </row>
    <row r="19522" spans="2:3">
      <c r="B19522" s="12"/>
      <c r="C19522" s="12"/>
    </row>
    <row r="19523" spans="2:3">
      <c r="B19523" s="12"/>
      <c r="C19523" s="12"/>
    </row>
    <row r="19524" spans="2:3">
      <c r="B19524" s="12"/>
      <c r="C19524" s="12"/>
    </row>
    <row r="19525" spans="2:3">
      <c r="B19525" s="12"/>
      <c r="C19525" s="12"/>
    </row>
    <row r="19526" spans="2:3">
      <c r="B19526" s="12"/>
      <c r="C19526" s="12"/>
    </row>
    <row r="19527" spans="2:3">
      <c r="B19527" s="12"/>
      <c r="C19527" s="12"/>
    </row>
    <row r="19528" spans="2:3">
      <c r="B19528" s="12"/>
      <c r="C19528" s="12"/>
    </row>
    <row r="19529" spans="2:3">
      <c r="B19529" s="12"/>
      <c r="C19529" s="12"/>
    </row>
    <row r="19530" spans="2:3">
      <c r="B19530" s="12"/>
      <c r="C19530" s="12"/>
    </row>
    <row r="19531" spans="2:3">
      <c r="B19531" s="12"/>
      <c r="C19531" s="12"/>
    </row>
    <row r="19532" spans="2:3">
      <c r="B19532" s="12"/>
      <c r="C19532" s="12"/>
    </row>
    <row r="19533" spans="2:3">
      <c r="B19533" s="12"/>
      <c r="C19533" s="12"/>
    </row>
    <row r="19534" spans="2:3">
      <c r="B19534" s="12"/>
      <c r="C19534" s="12"/>
    </row>
    <row r="19535" spans="2:3">
      <c r="B19535" s="12"/>
      <c r="C19535" s="12"/>
    </row>
    <row r="19536" spans="2:3">
      <c r="B19536" s="12"/>
      <c r="C19536" s="12"/>
    </row>
    <row r="19537" spans="2:3">
      <c r="B19537" s="12"/>
      <c r="C19537" s="12"/>
    </row>
    <row r="19538" spans="2:3">
      <c r="B19538" s="12"/>
      <c r="C19538" s="12"/>
    </row>
    <row r="19539" spans="2:3">
      <c r="B19539" s="12"/>
      <c r="C19539" s="12"/>
    </row>
    <row r="19540" spans="2:3">
      <c r="B19540" s="12"/>
      <c r="C19540" s="12"/>
    </row>
    <row r="19541" spans="2:3">
      <c r="B19541" s="12"/>
      <c r="C19541" s="12"/>
    </row>
    <row r="19542" spans="2:3">
      <c r="B19542" s="12"/>
      <c r="C19542" s="12"/>
    </row>
    <row r="19543" spans="2:3">
      <c r="B19543" s="12"/>
      <c r="C19543" s="12"/>
    </row>
    <row r="19544" spans="2:3">
      <c r="B19544" s="12"/>
      <c r="C19544" s="12"/>
    </row>
    <row r="19545" spans="2:3">
      <c r="B19545" s="12"/>
      <c r="C19545" s="12"/>
    </row>
    <row r="19546" spans="2:3">
      <c r="B19546" s="12"/>
      <c r="C19546" s="12"/>
    </row>
    <row r="19547" spans="2:3">
      <c r="B19547" s="12"/>
      <c r="C19547" s="12"/>
    </row>
    <row r="19548" spans="2:3">
      <c r="B19548" s="12"/>
      <c r="C19548" s="12"/>
    </row>
    <row r="19549" spans="2:3">
      <c r="B19549" s="12"/>
      <c r="C19549" s="12"/>
    </row>
    <row r="19550" spans="2:3">
      <c r="B19550" s="12"/>
      <c r="C19550" s="12"/>
    </row>
    <row r="19551" spans="2:3">
      <c r="B19551" s="12"/>
      <c r="C19551" s="12"/>
    </row>
    <row r="19552" spans="2:3">
      <c r="B19552" s="12"/>
      <c r="C19552" s="12"/>
    </row>
    <row r="19553" spans="2:3">
      <c r="B19553" s="12"/>
      <c r="C19553" s="12"/>
    </row>
    <row r="19554" spans="2:3">
      <c r="B19554" s="12"/>
      <c r="C19554" s="12"/>
    </row>
    <row r="19555" spans="2:3">
      <c r="B19555" s="12"/>
      <c r="C19555" s="12"/>
    </row>
    <row r="19556" spans="2:3">
      <c r="B19556" s="12"/>
      <c r="C19556" s="12"/>
    </row>
    <row r="19557" spans="2:3">
      <c r="B19557" s="12"/>
      <c r="C19557" s="12"/>
    </row>
    <row r="19558" spans="2:3">
      <c r="B19558" s="12"/>
      <c r="C19558" s="12"/>
    </row>
    <row r="19559" spans="2:3">
      <c r="B19559" s="12"/>
      <c r="C19559" s="12"/>
    </row>
    <row r="19560" spans="2:3">
      <c r="B19560" s="12"/>
      <c r="C19560" s="12"/>
    </row>
    <row r="19561" spans="2:3">
      <c r="B19561" s="12"/>
      <c r="C19561" s="12"/>
    </row>
    <row r="19562" spans="2:3">
      <c r="B19562" s="12"/>
      <c r="C19562" s="12"/>
    </row>
    <row r="19563" spans="2:3">
      <c r="B19563" s="12"/>
      <c r="C19563" s="12"/>
    </row>
    <row r="19564" spans="2:3">
      <c r="B19564" s="12"/>
      <c r="C19564" s="12"/>
    </row>
    <row r="19565" spans="2:3">
      <c r="B19565" s="12"/>
      <c r="C19565" s="12"/>
    </row>
    <row r="19566" spans="2:3">
      <c r="B19566" s="12"/>
      <c r="C19566" s="12"/>
    </row>
    <row r="19567" spans="2:3">
      <c r="B19567" s="12"/>
      <c r="C19567" s="12"/>
    </row>
    <row r="19568" spans="2:3">
      <c r="B19568" s="12"/>
      <c r="C19568" s="12"/>
    </row>
    <row r="19569" spans="2:3">
      <c r="B19569" s="12"/>
      <c r="C19569" s="12"/>
    </row>
    <row r="19570" spans="2:3">
      <c r="B19570" s="12"/>
      <c r="C19570" s="12"/>
    </row>
    <row r="19571" spans="2:3">
      <c r="B19571" s="12"/>
      <c r="C19571" s="12"/>
    </row>
    <row r="19572" spans="2:3">
      <c r="B19572" s="12"/>
      <c r="C19572" s="12"/>
    </row>
    <row r="19573" spans="2:3">
      <c r="B19573" s="12"/>
      <c r="C19573" s="12"/>
    </row>
    <row r="19574" spans="2:3">
      <c r="B19574" s="12"/>
      <c r="C19574" s="12"/>
    </row>
    <row r="19575" spans="2:3">
      <c r="B19575" s="12"/>
      <c r="C19575" s="12"/>
    </row>
    <row r="19576" spans="2:3">
      <c r="B19576" s="12"/>
      <c r="C19576" s="12"/>
    </row>
    <row r="19577" spans="2:3">
      <c r="B19577" s="12"/>
      <c r="C19577" s="12"/>
    </row>
    <row r="19578" spans="2:3">
      <c r="B19578" s="12"/>
      <c r="C19578" s="12"/>
    </row>
    <row r="19579" spans="2:3">
      <c r="B19579" s="12"/>
      <c r="C19579" s="12"/>
    </row>
    <row r="19580" spans="2:3">
      <c r="B19580" s="12"/>
      <c r="C19580" s="12"/>
    </row>
    <row r="19581" spans="2:3">
      <c r="B19581" s="12"/>
      <c r="C19581" s="12"/>
    </row>
    <row r="19582" spans="2:3">
      <c r="B19582" s="12"/>
      <c r="C19582" s="12"/>
    </row>
    <row r="19583" spans="2:3">
      <c r="B19583" s="12"/>
      <c r="C19583" s="12"/>
    </row>
    <row r="19584" spans="2:3">
      <c r="B19584" s="12"/>
      <c r="C19584" s="12"/>
    </row>
    <row r="19585" spans="2:3">
      <c r="B19585" s="12"/>
      <c r="C19585" s="12"/>
    </row>
    <row r="19586" spans="2:3">
      <c r="B19586" s="12"/>
      <c r="C19586" s="12"/>
    </row>
    <row r="19587" spans="2:3">
      <c r="B19587" s="12"/>
      <c r="C19587" s="12"/>
    </row>
    <row r="19588" spans="2:3">
      <c r="B19588" s="12"/>
      <c r="C19588" s="12"/>
    </row>
    <row r="19589" spans="2:3">
      <c r="B19589" s="12"/>
      <c r="C19589" s="12"/>
    </row>
    <row r="19590" spans="2:3">
      <c r="B19590" s="12"/>
      <c r="C19590" s="12"/>
    </row>
    <row r="19591" spans="2:3">
      <c r="B19591" s="12"/>
      <c r="C19591" s="12"/>
    </row>
    <row r="19592" spans="2:3">
      <c r="B19592" s="12"/>
      <c r="C19592" s="12"/>
    </row>
    <row r="19593" spans="2:3">
      <c r="B19593" s="12"/>
      <c r="C19593" s="12"/>
    </row>
    <row r="19594" spans="2:3">
      <c r="B19594" s="12"/>
      <c r="C19594" s="12"/>
    </row>
    <row r="19595" spans="2:3">
      <c r="B19595" s="12"/>
      <c r="C19595" s="12"/>
    </row>
    <row r="19596" spans="2:3">
      <c r="B19596" s="12"/>
      <c r="C19596" s="12"/>
    </row>
    <row r="19597" spans="2:3">
      <c r="B19597" s="12"/>
      <c r="C19597" s="12"/>
    </row>
    <row r="19598" spans="2:3">
      <c r="B19598" s="12"/>
      <c r="C19598" s="12"/>
    </row>
    <row r="19599" spans="2:3">
      <c r="B19599" s="12"/>
      <c r="C19599" s="12"/>
    </row>
    <row r="19600" spans="2:3">
      <c r="B19600" s="12"/>
      <c r="C19600" s="12"/>
    </row>
    <row r="19601" spans="2:3">
      <c r="B19601" s="12"/>
      <c r="C19601" s="12"/>
    </row>
    <row r="19602" spans="2:3">
      <c r="B19602" s="12"/>
      <c r="C19602" s="12"/>
    </row>
    <row r="19603" spans="2:3">
      <c r="B19603" s="12"/>
      <c r="C19603" s="12"/>
    </row>
    <row r="19604" spans="2:3">
      <c r="B19604" s="12"/>
      <c r="C19604" s="12"/>
    </row>
    <row r="19605" spans="2:3">
      <c r="B19605" s="12"/>
      <c r="C19605" s="12"/>
    </row>
    <row r="19606" spans="2:3">
      <c r="B19606" s="12"/>
      <c r="C19606" s="12"/>
    </row>
    <row r="19607" spans="2:3">
      <c r="B19607" s="12"/>
      <c r="C19607" s="12"/>
    </row>
    <row r="19608" spans="2:3">
      <c r="B19608" s="12"/>
      <c r="C19608" s="12"/>
    </row>
    <row r="19609" spans="2:3">
      <c r="B19609" s="12"/>
      <c r="C19609" s="12"/>
    </row>
    <row r="19610" spans="2:3">
      <c r="B19610" s="12"/>
      <c r="C19610" s="12"/>
    </row>
    <row r="19611" spans="2:3">
      <c r="B19611" s="12"/>
      <c r="C19611" s="12"/>
    </row>
    <row r="19612" spans="2:3">
      <c r="B19612" s="12"/>
      <c r="C19612" s="12"/>
    </row>
    <row r="19613" spans="2:3">
      <c r="B19613" s="12"/>
      <c r="C19613" s="12"/>
    </row>
    <row r="19614" spans="2:3">
      <c r="B19614" s="12"/>
      <c r="C19614" s="12"/>
    </row>
    <row r="19615" spans="2:3">
      <c r="B19615" s="12"/>
      <c r="C19615" s="12"/>
    </row>
    <row r="19616" spans="2:3">
      <c r="B19616" s="12"/>
      <c r="C19616" s="12"/>
    </row>
    <row r="19617" spans="2:3">
      <c r="B19617" s="12"/>
      <c r="C19617" s="12"/>
    </row>
    <row r="19618" spans="2:3">
      <c r="B19618" s="12"/>
      <c r="C19618" s="12"/>
    </row>
    <row r="19619" spans="2:3">
      <c r="B19619" s="12"/>
      <c r="C19619" s="12"/>
    </row>
    <row r="19620" spans="2:3">
      <c r="B19620" s="12"/>
      <c r="C19620" s="12"/>
    </row>
    <row r="19621" spans="2:3">
      <c r="B19621" s="12"/>
      <c r="C19621" s="12"/>
    </row>
    <row r="19622" spans="2:3">
      <c r="B19622" s="12"/>
      <c r="C19622" s="12"/>
    </row>
    <row r="19623" spans="2:3">
      <c r="B19623" s="12"/>
      <c r="C19623" s="12"/>
    </row>
    <row r="19624" spans="2:3">
      <c r="B19624" s="12"/>
      <c r="C19624" s="12"/>
    </row>
    <row r="19625" spans="2:3">
      <c r="B19625" s="12"/>
      <c r="C19625" s="12"/>
    </row>
    <row r="19626" spans="2:3">
      <c r="B19626" s="12"/>
      <c r="C19626" s="12"/>
    </row>
    <row r="19627" spans="2:3">
      <c r="B19627" s="12"/>
      <c r="C19627" s="12"/>
    </row>
    <row r="19628" spans="2:3">
      <c r="B19628" s="12"/>
      <c r="C19628" s="12"/>
    </row>
    <row r="19629" spans="2:3">
      <c r="B19629" s="12"/>
      <c r="C19629" s="12"/>
    </row>
    <row r="19630" spans="2:3">
      <c r="B19630" s="12"/>
      <c r="C19630" s="12"/>
    </row>
    <row r="19631" spans="2:3">
      <c r="B19631" s="12"/>
      <c r="C19631" s="12"/>
    </row>
    <row r="19632" spans="2:3">
      <c r="B19632" s="12"/>
      <c r="C19632" s="12"/>
    </row>
    <row r="19633" spans="2:3">
      <c r="B19633" s="12"/>
      <c r="C19633" s="12"/>
    </row>
    <row r="19634" spans="2:3">
      <c r="B19634" s="12"/>
      <c r="C19634" s="12"/>
    </row>
    <row r="19635" spans="2:3">
      <c r="B19635" s="12"/>
      <c r="C19635" s="12"/>
    </row>
    <row r="19636" spans="2:3">
      <c r="B19636" s="12"/>
      <c r="C19636" s="12"/>
    </row>
    <row r="19637" spans="2:3">
      <c r="B19637" s="12"/>
      <c r="C19637" s="12"/>
    </row>
    <row r="19638" spans="2:3">
      <c r="B19638" s="12"/>
      <c r="C19638" s="12"/>
    </row>
    <row r="19639" spans="2:3">
      <c r="B19639" s="12"/>
      <c r="C19639" s="12"/>
    </row>
    <row r="19640" spans="2:3">
      <c r="B19640" s="12"/>
      <c r="C19640" s="12"/>
    </row>
    <row r="19641" spans="2:3">
      <c r="B19641" s="12"/>
      <c r="C19641" s="12"/>
    </row>
    <row r="19642" spans="2:3">
      <c r="B19642" s="12"/>
      <c r="C19642" s="12"/>
    </row>
    <row r="19643" spans="2:3">
      <c r="B19643" s="12"/>
      <c r="C19643" s="12"/>
    </row>
    <row r="19644" spans="2:3">
      <c r="B19644" s="12"/>
      <c r="C19644" s="12"/>
    </row>
    <row r="19645" spans="2:3">
      <c r="B19645" s="12"/>
      <c r="C19645" s="12"/>
    </row>
    <row r="19646" spans="2:3">
      <c r="B19646" s="12"/>
      <c r="C19646" s="12"/>
    </row>
    <row r="19647" spans="2:3">
      <c r="B19647" s="12"/>
      <c r="C19647" s="12"/>
    </row>
    <row r="19648" spans="2:3">
      <c r="B19648" s="12"/>
      <c r="C19648" s="12"/>
    </row>
    <row r="19649" spans="2:3">
      <c r="B19649" s="12"/>
      <c r="C19649" s="12"/>
    </row>
    <row r="19650" spans="2:3">
      <c r="B19650" s="12"/>
      <c r="C19650" s="12"/>
    </row>
    <row r="19651" spans="2:3">
      <c r="B19651" s="12"/>
      <c r="C19651" s="12"/>
    </row>
    <row r="19652" spans="2:3">
      <c r="B19652" s="12"/>
      <c r="C19652" s="12"/>
    </row>
    <row r="19653" spans="2:3">
      <c r="B19653" s="12"/>
      <c r="C19653" s="12"/>
    </row>
    <row r="19654" spans="2:3">
      <c r="B19654" s="12"/>
      <c r="C19654" s="12"/>
    </row>
    <row r="19655" spans="2:3">
      <c r="B19655" s="12"/>
      <c r="C19655" s="12"/>
    </row>
    <row r="19656" spans="2:3">
      <c r="B19656" s="12"/>
      <c r="C19656" s="12"/>
    </row>
    <row r="19657" spans="2:3">
      <c r="B19657" s="12"/>
      <c r="C19657" s="12"/>
    </row>
    <row r="19658" spans="2:3">
      <c r="B19658" s="12"/>
      <c r="C19658" s="12"/>
    </row>
    <row r="19659" spans="2:3">
      <c r="B19659" s="12"/>
      <c r="C19659" s="12"/>
    </row>
    <row r="19660" spans="2:3">
      <c r="B19660" s="12"/>
      <c r="C19660" s="12"/>
    </row>
    <row r="19661" spans="2:3">
      <c r="B19661" s="12"/>
      <c r="C19661" s="12"/>
    </row>
    <row r="19662" spans="2:3">
      <c r="B19662" s="12"/>
      <c r="C19662" s="12"/>
    </row>
    <row r="19663" spans="2:3">
      <c r="B19663" s="12"/>
      <c r="C19663" s="12"/>
    </row>
    <row r="19664" spans="2:3">
      <c r="B19664" s="12"/>
      <c r="C19664" s="12"/>
    </row>
    <row r="19665" spans="2:3">
      <c r="B19665" s="12"/>
      <c r="C19665" s="12"/>
    </row>
    <row r="19666" spans="2:3">
      <c r="B19666" s="12"/>
      <c r="C19666" s="12"/>
    </row>
    <row r="19667" spans="2:3">
      <c r="B19667" s="12"/>
      <c r="C19667" s="12"/>
    </row>
    <row r="19668" spans="2:3">
      <c r="B19668" s="12"/>
      <c r="C19668" s="12"/>
    </row>
    <row r="19669" spans="2:3">
      <c r="B19669" s="12"/>
      <c r="C19669" s="12"/>
    </row>
    <row r="19670" spans="2:3">
      <c r="B19670" s="12"/>
      <c r="C19670" s="12"/>
    </row>
    <row r="19671" spans="2:3">
      <c r="B19671" s="12"/>
      <c r="C19671" s="12"/>
    </row>
    <row r="19672" spans="2:3">
      <c r="B19672" s="12"/>
      <c r="C19672" s="12"/>
    </row>
    <row r="19673" spans="2:3">
      <c r="B19673" s="12"/>
      <c r="C19673" s="12"/>
    </row>
    <row r="19674" spans="2:3">
      <c r="B19674" s="12"/>
      <c r="C19674" s="12"/>
    </row>
    <row r="19675" spans="2:3">
      <c r="B19675" s="12"/>
      <c r="C19675" s="12"/>
    </row>
    <row r="19676" spans="2:3">
      <c r="B19676" s="12"/>
      <c r="C19676" s="12"/>
    </row>
    <row r="19677" spans="2:3">
      <c r="B19677" s="12"/>
      <c r="C19677" s="12"/>
    </row>
    <row r="19678" spans="2:3">
      <c r="B19678" s="12"/>
      <c r="C19678" s="12"/>
    </row>
    <row r="19679" spans="2:3">
      <c r="B19679" s="12"/>
      <c r="C19679" s="12"/>
    </row>
    <row r="19680" spans="2:3">
      <c r="B19680" s="12"/>
      <c r="C19680" s="12"/>
    </row>
    <row r="19681" spans="2:3">
      <c r="B19681" s="12"/>
      <c r="C19681" s="12"/>
    </row>
    <row r="19682" spans="2:3">
      <c r="B19682" s="12"/>
      <c r="C19682" s="12"/>
    </row>
    <row r="19683" spans="2:3">
      <c r="B19683" s="12"/>
      <c r="C19683" s="12"/>
    </row>
    <row r="19684" spans="2:3">
      <c r="B19684" s="12"/>
      <c r="C19684" s="12"/>
    </row>
    <row r="19685" spans="2:3">
      <c r="B19685" s="12"/>
      <c r="C19685" s="12"/>
    </row>
    <row r="19686" spans="2:3">
      <c r="B19686" s="12"/>
      <c r="C19686" s="12"/>
    </row>
    <row r="19687" spans="2:3">
      <c r="B19687" s="12"/>
      <c r="C19687" s="12"/>
    </row>
    <row r="19688" spans="2:3">
      <c r="B19688" s="12"/>
      <c r="C19688" s="12"/>
    </row>
    <row r="19689" spans="2:3">
      <c r="B19689" s="12"/>
      <c r="C19689" s="12"/>
    </row>
    <row r="19690" spans="2:3">
      <c r="B19690" s="12"/>
      <c r="C19690" s="12"/>
    </row>
    <row r="19691" spans="2:3">
      <c r="B19691" s="12"/>
      <c r="C19691" s="12"/>
    </row>
    <row r="19692" spans="2:3">
      <c r="B19692" s="12"/>
      <c r="C19692" s="12"/>
    </row>
    <row r="19693" spans="2:3">
      <c r="B19693" s="12"/>
      <c r="C19693" s="12"/>
    </row>
    <row r="19694" spans="2:3">
      <c r="B19694" s="12"/>
      <c r="C19694" s="12"/>
    </row>
    <row r="19695" spans="2:3">
      <c r="B19695" s="12"/>
      <c r="C19695" s="12"/>
    </row>
    <row r="19696" spans="2:3">
      <c r="B19696" s="12"/>
      <c r="C19696" s="12"/>
    </row>
    <row r="19697" spans="2:3">
      <c r="B19697" s="12"/>
      <c r="C19697" s="12"/>
    </row>
    <row r="19698" spans="2:3">
      <c r="B19698" s="12"/>
      <c r="C19698" s="12"/>
    </row>
    <row r="19699" spans="2:3">
      <c r="B19699" s="12"/>
      <c r="C19699" s="12"/>
    </row>
    <row r="19700" spans="2:3">
      <c r="B19700" s="12"/>
      <c r="C19700" s="12"/>
    </row>
    <row r="19701" spans="2:3">
      <c r="B19701" s="12"/>
      <c r="C19701" s="12"/>
    </row>
    <row r="19702" spans="2:3">
      <c r="B19702" s="12"/>
      <c r="C19702" s="12"/>
    </row>
    <row r="19703" spans="2:3">
      <c r="B19703" s="12"/>
      <c r="C19703" s="12"/>
    </row>
    <row r="19704" spans="2:3">
      <c r="B19704" s="12"/>
      <c r="C19704" s="12"/>
    </row>
    <row r="19705" spans="2:3">
      <c r="B19705" s="12"/>
      <c r="C19705" s="12"/>
    </row>
    <row r="19706" spans="2:3">
      <c r="B19706" s="12"/>
      <c r="C19706" s="12"/>
    </row>
    <row r="19707" spans="2:3">
      <c r="B19707" s="12"/>
      <c r="C19707" s="12"/>
    </row>
    <row r="19708" spans="2:3">
      <c r="B19708" s="12"/>
      <c r="C19708" s="12"/>
    </row>
    <row r="19709" spans="2:3">
      <c r="B19709" s="12"/>
      <c r="C19709" s="12"/>
    </row>
    <row r="19710" spans="2:3">
      <c r="B19710" s="12"/>
      <c r="C19710" s="12"/>
    </row>
    <row r="19711" spans="2:3">
      <c r="B19711" s="12"/>
      <c r="C19711" s="12"/>
    </row>
    <row r="19712" spans="2:3">
      <c r="B19712" s="12"/>
      <c r="C19712" s="12"/>
    </row>
    <row r="19713" spans="2:3">
      <c r="B19713" s="12"/>
      <c r="C19713" s="12"/>
    </row>
    <row r="19714" spans="2:3">
      <c r="B19714" s="12"/>
      <c r="C19714" s="12"/>
    </row>
    <row r="19715" spans="2:3">
      <c r="B19715" s="12"/>
      <c r="C19715" s="12"/>
    </row>
    <row r="19716" spans="2:3">
      <c r="B19716" s="12"/>
      <c r="C19716" s="12"/>
    </row>
    <row r="19717" spans="2:3">
      <c r="B19717" s="12"/>
      <c r="C19717" s="12"/>
    </row>
    <row r="19718" spans="2:3">
      <c r="B19718" s="12"/>
      <c r="C19718" s="12"/>
    </row>
    <row r="19719" spans="2:3">
      <c r="B19719" s="12"/>
      <c r="C19719" s="12"/>
    </row>
    <row r="19720" spans="2:3">
      <c r="B19720" s="12"/>
      <c r="C19720" s="12"/>
    </row>
    <row r="19721" spans="2:3">
      <c r="B19721" s="12"/>
      <c r="C19721" s="12"/>
    </row>
    <row r="19722" spans="2:3">
      <c r="B19722" s="12"/>
      <c r="C19722" s="12"/>
    </row>
    <row r="19723" spans="2:3">
      <c r="B19723" s="12"/>
      <c r="C19723" s="12"/>
    </row>
    <row r="19724" spans="2:3">
      <c r="B19724" s="12"/>
      <c r="C19724" s="12"/>
    </row>
    <row r="19725" spans="2:3">
      <c r="B19725" s="12"/>
      <c r="C19725" s="12"/>
    </row>
    <row r="19726" spans="2:3">
      <c r="B19726" s="12"/>
      <c r="C19726" s="12"/>
    </row>
    <row r="19727" spans="2:3">
      <c r="B19727" s="12"/>
      <c r="C19727" s="12"/>
    </row>
    <row r="19728" spans="2:3">
      <c r="B19728" s="12"/>
      <c r="C19728" s="12"/>
    </row>
    <row r="19729" spans="2:3">
      <c r="B19729" s="12"/>
      <c r="C19729" s="12"/>
    </row>
    <row r="19730" spans="2:3">
      <c r="B19730" s="12"/>
      <c r="C19730" s="12"/>
    </row>
    <row r="19731" spans="2:3">
      <c r="B19731" s="12"/>
      <c r="C19731" s="12"/>
    </row>
    <row r="19732" spans="2:3">
      <c r="B19732" s="12"/>
      <c r="C19732" s="12"/>
    </row>
    <row r="19733" spans="2:3">
      <c r="B19733" s="12"/>
      <c r="C19733" s="12"/>
    </row>
    <row r="19734" spans="2:3">
      <c r="B19734" s="12"/>
      <c r="C19734" s="12"/>
    </row>
    <row r="19735" spans="2:3">
      <c r="B19735" s="12"/>
      <c r="C19735" s="12"/>
    </row>
    <row r="19736" spans="2:3">
      <c r="B19736" s="12"/>
      <c r="C19736" s="12"/>
    </row>
    <row r="19737" spans="2:3">
      <c r="B19737" s="12"/>
      <c r="C19737" s="12"/>
    </row>
    <row r="19738" spans="2:3">
      <c r="B19738" s="12"/>
      <c r="C19738" s="12"/>
    </row>
    <row r="19739" spans="2:3">
      <c r="B19739" s="12"/>
      <c r="C19739" s="12"/>
    </row>
    <row r="19740" spans="2:3">
      <c r="B19740" s="12"/>
      <c r="C19740" s="12"/>
    </row>
    <row r="19741" spans="2:3">
      <c r="B19741" s="12"/>
      <c r="C19741" s="12"/>
    </row>
    <row r="19742" spans="2:3">
      <c r="B19742" s="12"/>
      <c r="C19742" s="12"/>
    </row>
    <row r="19743" spans="2:3">
      <c r="B19743" s="12"/>
      <c r="C19743" s="12"/>
    </row>
    <row r="19744" spans="2:3">
      <c r="B19744" s="12"/>
      <c r="C19744" s="12"/>
    </row>
    <row r="19745" spans="2:3">
      <c r="B19745" s="12"/>
      <c r="C19745" s="12"/>
    </row>
    <row r="19746" spans="2:3">
      <c r="B19746" s="12"/>
      <c r="C19746" s="12"/>
    </row>
    <row r="19747" spans="2:3">
      <c r="B19747" s="12"/>
      <c r="C19747" s="12"/>
    </row>
    <row r="19748" spans="2:3">
      <c r="B19748" s="12"/>
      <c r="C19748" s="12"/>
    </row>
    <row r="19749" spans="2:3">
      <c r="B19749" s="12"/>
      <c r="C19749" s="12"/>
    </row>
    <row r="19750" spans="2:3">
      <c r="B19750" s="12"/>
      <c r="C19750" s="12"/>
    </row>
    <row r="19751" spans="2:3">
      <c r="B19751" s="12"/>
      <c r="C19751" s="12"/>
    </row>
    <row r="19752" spans="2:3">
      <c r="B19752" s="12"/>
      <c r="C19752" s="12"/>
    </row>
    <row r="19753" spans="2:3">
      <c r="B19753" s="12"/>
      <c r="C19753" s="12"/>
    </row>
    <row r="19754" spans="2:3">
      <c r="B19754" s="12"/>
      <c r="C19754" s="12"/>
    </row>
    <row r="19755" spans="2:3">
      <c r="B19755" s="12"/>
      <c r="C19755" s="12"/>
    </row>
    <row r="19756" spans="2:3">
      <c r="B19756" s="12"/>
      <c r="C19756" s="12"/>
    </row>
    <row r="19757" spans="2:3">
      <c r="B19757" s="12"/>
      <c r="C19757" s="12"/>
    </row>
    <row r="19758" spans="2:3">
      <c r="B19758" s="12"/>
      <c r="C19758" s="12"/>
    </row>
    <row r="19759" spans="2:3">
      <c r="B19759" s="12"/>
      <c r="C19759" s="12"/>
    </row>
    <row r="19760" spans="2:3">
      <c r="B19760" s="12"/>
      <c r="C19760" s="12"/>
    </row>
    <row r="19761" spans="2:3">
      <c r="B19761" s="12"/>
      <c r="C19761" s="12"/>
    </row>
    <row r="19762" spans="2:3">
      <c r="B19762" s="12"/>
      <c r="C19762" s="12"/>
    </row>
    <row r="19763" spans="2:3">
      <c r="B19763" s="12"/>
      <c r="C19763" s="12"/>
    </row>
    <row r="19764" spans="2:3">
      <c r="B19764" s="12"/>
      <c r="C19764" s="12"/>
    </row>
    <row r="19765" spans="2:3">
      <c r="B19765" s="12"/>
      <c r="C19765" s="12"/>
    </row>
    <row r="19766" spans="2:3">
      <c r="B19766" s="12"/>
      <c r="C19766" s="12"/>
    </row>
    <row r="19767" spans="2:3">
      <c r="B19767" s="12"/>
      <c r="C19767" s="12"/>
    </row>
    <row r="19768" spans="2:3">
      <c r="B19768" s="12"/>
      <c r="C19768" s="12"/>
    </row>
    <row r="19769" spans="2:3">
      <c r="B19769" s="12"/>
      <c r="C19769" s="12"/>
    </row>
    <row r="19770" spans="2:3">
      <c r="B19770" s="12"/>
      <c r="C19770" s="12"/>
    </row>
    <row r="19771" spans="2:3">
      <c r="B19771" s="12"/>
      <c r="C19771" s="12"/>
    </row>
    <row r="19772" spans="2:3">
      <c r="B19772" s="12"/>
      <c r="C19772" s="12"/>
    </row>
    <row r="19773" spans="2:3">
      <c r="B19773" s="12"/>
      <c r="C19773" s="12"/>
    </row>
    <row r="19774" spans="2:3">
      <c r="B19774" s="12"/>
      <c r="C19774" s="12"/>
    </row>
    <row r="19775" spans="2:3">
      <c r="B19775" s="12"/>
      <c r="C19775" s="12"/>
    </row>
    <row r="19776" spans="2:3">
      <c r="B19776" s="12"/>
      <c r="C19776" s="12"/>
    </row>
    <row r="19777" spans="2:3">
      <c r="B19777" s="12"/>
      <c r="C19777" s="12"/>
    </row>
    <row r="19778" spans="2:3">
      <c r="B19778" s="12"/>
      <c r="C19778" s="12"/>
    </row>
    <row r="19779" spans="2:3">
      <c r="B19779" s="12"/>
      <c r="C19779" s="12"/>
    </row>
    <row r="19780" spans="2:3">
      <c r="B19780" s="12"/>
      <c r="C19780" s="12"/>
    </row>
    <row r="19781" spans="2:3">
      <c r="B19781" s="12"/>
      <c r="C19781" s="12"/>
    </row>
    <row r="19782" spans="2:3">
      <c r="B19782" s="12"/>
      <c r="C19782" s="12"/>
    </row>
    <row r="19783" spans="2:3">
      <c r="B19783" s="12"/>
      <c r="C19783" s="12"/>
    </row>
    <row r="19784" spans="2:3">
      <c r="B19784" s="12"/>
      <c r="C19784" s="12"/>
    </row>
    <row r="19785" spans="2:3">
      <c r="B19785" s="12"/>
      <c r="C19785" s="12"/>
    </row>
    <row r="19786" spans="2:3">
      <c r="B19786" s="12"/>
      <c r="C19786" s="12"/>
    </row>
    <row r="19787" spans="2:3">
      <c r="B19787" s="12"/>
      <c r="C19787" s="12"/>
    </row>
    <row r="19788" spans="2:3">
      <c r="B19788" s="12"/>
      <c r="C19788" s="12"/>
    </row>
    <row r="19789" spans="2:3">
      <c r="B19789" s="12"/>
      <c r="C19789" s="12"/>
    </row>
    <row r="19790" spans="2:3">
      <c r="B19790" s="12"/>
      <c r="C19790" s="12"/>
    </row>
    <row r="19791" spans="2:3">
      <c r="B19791" s="12"/>
      <c r="C19791" s="12"/>
    </row>
    <row r="19792" spans="2:3">
      <c r="B19792" s="12"/>
      <c r="C19792" s="12"/>
    </row>
    <row r="19793" spans="2:3">
      <c r="B19793" s="12"/>
      <c r="C19793" s="12"/>
    </row>
    <row r="19794" spans="2:3">
      <c r="B19794" s="12"/>
      <c r="C19794" s="12"/>
    </row>
    <row r="19795" spans="2:3">
      <c r="B19795" s="12"/>
      <c r="C19795" s="12"/>
    </row>
    <row r="19796" spans="2:3">
      <c r="B19796" s="12"/>
      <c r="C19796" s="12"/>
    </row>
    <row r="19797" spans="2:3">
      <c r="B19797" s="12"/>
      <c r="C19797" s="12"/>
    </row>
    <row r="19798" spans="2:3">
      <c r="B19798" s="12"/>
      <c r="C19798" s="12"/>
    </row>
    <row r="19799" spans="2:3">
      <c r="B19799" s="12"/>
      <c r="C19799" s="12"/>
    </row>
    <row r="19800" spans="2:3">
      <c r="B19800" s="12"/>
      <c r="C19800" s="12"/>
    </row>
    <row r="19801" spans="2:3">
      <c r="B19801" s="12"/>
      <c r="C19801" s="12"/>
    </row>
    <row r="19802" spans="2:3">
      <c r="B19802" s="12"/>
      <c r="C19802" s="12"/>
    </row>
    <row r="19803" spans="2:3">
      <c r="B19803" s="12"/>
      <c r="C19803" s="12"/>
    </row>
    <row r="19804" spans="2:3">
      <c r="B19804" s="12"/>
      <c r="C19804" s="12"/>
    </row>
    <row r="19805" spans="2:3">
      <c r="B19805" s="12"/>
      <c r="C19805" s="12"/>
    </row>
    <row r="19806" spans="2:3">
      <c r="B19806" s="12"/>
      <c r="C19806" s="12"/>
    </row>
    <row r="19807" spans="2:3">
      <c r="B19807" s="12"/>
      <c r="C19807" s="12"/>
    </row>
    <row r="19808" spans="2:3">
      <c r="B19808" s="12"/>
      <c r="C19808" s="12"/>
    </row>
    <row r="19809" spans="2:3">
      <c r="B19809" s="12"/>
      <c r="C19809" s="12"/>
    </row>
    <row r="19810" spans="2:3">
      <c r="B19810" s="12"/>
      <c r="C19810" s="12"/>
    </row>
    <row r="19811" spans="2:3">
      <c r="B19811" s="12"/>
      <c r="C19811" s="12"/>
    </row>
    <row r="19812" spans="2:3">
      <c r="B19812" s="12"/>
      <c r="C19812" s="12"/>
    </row>
    <row r="19813" spans="2:3">
      <c r="B19813" s="12"/>
      <c r="C19813" s="12"/>
    </row>
    <row r="19814" spans="2:3">
      <c r="B19814" s="12"/>
      <c r="C19814" s="12"/>
    </row>
    <row r="19815" spans="2:3">
      <c r="B19815" s="12"/>
      <c r="C19815" s="12"/>
    </row>
    <row r="19816" spans="2:3">
      <c r="B19816" s="12"/>
      <c r="C19816" s="12"/>
    </row>
    <row r="19817" spans="2:3">
      <c r="B19817" s="12"/>
      <c r="C19817" s="12"/>
    </row>
    <row r="19818" spans="2:3">
      <c r="B19818" s="12"/>
      <c r="C19818" s="12"/>
    </row>
    <row r="19819" spans="2:3">
      <c r="B19819" s="12"/>
      <c r="C19819" s="12"/>
    </row>
    <row r="19820" spans="2:3">
      <c r="B19820" s="12"/>
      <c r="C19820" s="12"/>
    </row>
    <row r="19821" spans="2:3">
      <c r="B19821" s="12"/>
      <c r="C19821" s="12"/>
    </row>
    <row r="19822" spans="2:3">
      <c r="B19822" s="12"/>
      <c r="C19822" s="12"/>
    </row>
    <row r="19823" spans="2:3">
      <c r="B19823" s="12"/>
      <c r="C19823" s="12"/>
    </row>
    <row r="19824" spans="2:3">
      <c r="B19824" s="12"/>
      <c r="C19824" s="12"/>
    </row>
    <row r="19825" spans="2:3">
      <c r="B19825" s="12"/>
      <c r="C19825" s="12"/>
    </row>
    <row r="19826" spans="2:3">
      <c r="B19826" s="12"/>
      <c r="C19826" s="12"/>
    </row>
    <row r="19827" spans="2:3">
      <c r="B19827" s="12"/>
      <c r="C19827" s="12"/>
    </row>
    <row r="19828" spans="2:3">
      <c r="B19828" s="12"/>
      <c r="C19828" s="12"/>
    </row>
    <row r="19829" spans="2:3">
      <c r="B19829" s="12"/>
      <c r="C19829" s="12"/>
    </row>
    <row r="19830" spans="2:3">
      <c r="B19830" s="12"/>
      <c r="C19830" s="12"/>
    </row>
    <row r="19831" spans="2:3">
      <c r="B19831" s="12"/>
      <c r="C19831" s="12"/>
    </row>
    <row r="19832" spans="2:3">
      <c r="B19832" s="12"/>
      <c r="C19832" s="12"/>
    </row>
    <row r="19833" spans="2:3">
      <c r="B19833" s="12"/>
      <c r="C19833" s="12"/>
    </row>
    <row r="19834" spans="2:3">
      <c r="B19834" s="12"/>
      <c r="C19834" s="12"/>
    </row>
    <row r="19835" spans="2:3">
      <c r="B19835" s="12"/>
      <c r="C19835" s="12"/>
    </row>
    <row r="19836" spans="2:3">
      <c r="B19836" s="12"/>
      <c r="C19836" s="12"/>
    </row>
    <row r="19837" spans="2:3">
      <c r="B19837" s="12"/>
      <c r="C19837" s="12"/>
    </row>
    <row r="19838" spans="2:3">
      <c r="B19838" s="12"/>
      <c r="C19838" s="12"/>
    </row>
    <row r="19839" spans="2:3">
      <c r="B19839" s="12"/>
      <c r="C19839" s="12"/>
    </row>
    <row r="19840" spans="2:3">
      <c r="B19840" s="12"/>
      <c r="C19840" s="12"/>
    </row>
    <row r="19841" spans="2:3">
      <c r="B19841" s="12"/>
      <c r="C19841" s="12"/>
    </row>
    <row r="19842" spans="2:3">
      <c r="B19842" s="12"/>
      <c r="C19842" s="12"/>
    </row>
    <row r="19843" spans="2:3">
      <c r="B19843" s="12"/>
      <c r="C19843" s="12"/>
    </row>
    <row r="19844" spans="2:3">
      <c r="B19844" s="12"/>
      <c r="C19844" s="12"/>
    </row>
    <row r="19845" spans="2:3">
      <c r="B19845" s="12"/>
      <c r="C19845" s="12"/>
    </row>
    <row r="19846" spans="2:3">
      <c r="B19846" s="12"/>
      <c r="C19846" s="12"/>
    </row>
    <row r="19847" spans="2:3">
      <c r="B19847" s="12"/>
      <c r="C19847" s="12"/>
    </row>
    <row r="19848" spans="2:3">
      <c r="B19848" s="12"/>
      <c r="C19848" s="12"/>
    </row>
    <row r="19849" spans="2:3">
      <c r="B19849" s="12"/>
      <c r="C19849" s="12"/>
    </row>
    <row r="19850" spans="2:3">
      <c r="B19850" s="12"/>
      <c r="C19850" s="12"/>
    </row>
    <row r="19851" spans="2:3">
      <c r="B19851" s="12"/>
      <c r="C19851" s="12"/>
    </row>
    <row r="19852" spans="2:3">
      <c r="B19852" s="12"/>
      <c r="C19852" s="12"/>
    </row>
    <row r="19853" spans="2:3">
      <c r="B19853" s="12"/>
      <c r="C19853" s="12"/>
    </row>
    <row r="19854" spans="2:3">
      <c r="B19854" s="12"/>
      <c r="C19854" s="12"/>
    </row>
    <row r="19855" spans="2:3">
      <c r="B19855" s="12"/>
      <c r="C19855" s="12"/>
    </row>
    <row r="19856" spans="2:3">
      <c r="B19856" s="12"/>
      <c r="C19856" s="12"/>
    </row>
    <row r="19857" spans="2:3">
      <c r="B19857" s="12"/>
      <c r="C19857" s="12"/>
    </row>
    <row r="19858" spans="2:3">
      <c r="B19858" s="12"/>
      <c r="C19858" s="12"/>
    </row>
    <row r="19859" spans="2:3">
      <c r="B19859" s="12"/>
      <c r="C19859" s="12"/>
    </row>
    <row r="19860" spans="2:3">
      <c r="B19860" s="12"/>
      <c r="C19860" s="12"/>
    </row>
    <row r="19861" spans="2:3">
      <c r="B19861" s="12"/>
      <c r="C19861" s="12"/>
    </row>
    <row r="19862" spans="2:3">
      <c r="B19862" s="12"/>
      <c r="C19862" s="12"/>
    </row>
    <row r="19863" spans="2:3">
      <c r="B19863" s="12"/>
      <c r="C19863" s="12"/>
    </row>
    <row r="19864" spans="2:3">
      <c r="B19864" s="12"/>
      <c r="C19864" s="12"/>
    </row>
    <row r="19865" spans="2:3">
      <c r="B19865" s="12"/>
      <c r="C19865" s="12"/>
    </row>
    <row r="19866" spans="2:3">
      <c r="B19866" s="12"/>
      <c r="C19866" s="12"/>
    </row>
    <row r="19867" spans="2:3">
      <c r="B19867" s="12"/>
      <c r="C19867" s="12"/>
    </row>
    <row r="19868" spans="2:3">
      <c r="B19868" s="12"/>
      <c r="C19868" s="12"/>
    </row>
    <row r="19869" spans="2:3">
      <c r="B19869" s="12"/>
      <c r="C19869" s="12"/>
    </row>
    <row r="19870" spans="2:3">
      <c r="B19870" s="12"/>
      <c r="C19870" s="12"/>
    </row>
    <row r="19871" spans="2:3">
      <c r="B19871" s="12"/>
      <c r="C19871" s="12"/>
    </row>
    <row r="19872" spans="2:3">
      <c r="B19872" s="12"/>
      <c r="C19872" s="12"/>
    </row>
    <row r="19873" spans="2:3">
      <c r="B19873" s="12"/>
      <c r="C19873" s="12"/>
    </row>
    <row r="19874" spans="2:3">
      <c r="B19874" s="12"/>
      <c r="C19874" s="12"/>
    </row>
    <row r="19875" spans="2:3">
      <c r="B19875" s="12"/>
      <c r="C19875" s="12"/>
    </row>
    <row r="19876" spans="2:3">
      <c r="B19876" s="12"/>
      <c r="C19876" s="12"/>
    </row>
    <row r="19877" spans="2:3">
      <c r="B19877" s="12"/>
      <c r="C19877" s="12"/>
    </row>
    <row r="19878" spans="2:3">
      <c r="B19878" s="12"/>
      <c r="C19878" s="12"/>
    </row>
    <row r="19879" spans="2:3">
      <c r="B19879" s="12"/>
      <c r="C19879" s="12"/>
    </row>
    <row r="19880" spans="2:3">
      <c r="B19880" s="12"/>
      <c r="C19880" s="12"/>
    </row>
    <row r="19881" spans="2:3">
      <c r="B19881" s="12"/>
      <c r="C19881" s="12"/>
    </row>
    <row r="19882" spans="2:3">
      <c r="B19882" s="12"/>
      <c r="C19882" s="12"/>
    </row>
    <row r="19883" spans="2:3">
      <c r="B19883" s="12"/>
      <c r="C19883" s="12"/>
    </row>
    <row r="19884" spans="2:3">
      <c r="B19884" s="12"/>
      <c r="C19884" s="12"/>
    </row>
    <row r="19885" spans="2:3">
      <c r="B19885" s="12"/>
      <c r="C19885" s="12"/>
    </row>
    <row r="19886" spans="2:3">
      <c r="B19886" s="12"/>
      <c r="C19886" s="12"/>
    </row>
    <row r="19887" spans="2:3">
      <c r="B19887" s="12"/>
      <c r="C19887" s="12"/>
    </row>
    <row r="19888" spans="2:3">
      <c r="B19888" s="12"/>
      <c r="C19888" s="12"/>
    </row>
    <row r="19889" spans="2:3">
      <c r="B19889" s="12"/>
      <c r="C19889" s="12"/>
    </row>
    <row r="19890" spans="2:3">
      <c r="B19890" s="12"/>
      <c r="C19890" s="12"/>
    </row>
    <row r="19891" spans="2:3">
      <c r="B19891" s="12"/>
      <c r="C19891" s="12"/>
    </row>
    <row r="19892" spans="2:3">
      <c r="B19892" s="12"/>
      <c r="C19892" s="12"/>
    </row>
    <row r="19893" spans="2:3">
      <c r="B19893" s="12"/>
      <c r="C19893" s="12"/>
    </row>
    <row r="19894" spans="2:3">
      <c r="B19894" s="12"/>
      <c r="C19894" s="12"/>
    </row>
    <row r="19895" spans="2:3">
      <c r="B19895" s="12"/>
      <c r="C19895" s="12"/>
    </row>
    <row r="19896" spans="2:3">
      <c r="B19896" s="12"/>
      <c r="C19896" s="12"/>
    </row>
    <row r="19897" spans="2:3">
      <c r="B19897" s="12"/>
      <c r="C19897" s="12"/>
    </row>
    <row r="19898" spans="2:3">
      <c r="B19898" s="12"/>
      <c r="C19898" s="12"/>
    </row>
    <row r="19899" spans="2:3">
      <c r="B19899" s="12"/>
      <c r="C19899" s="12"/>
    </row>
    <row r="19900" spans="2:3">
      <c r="B19900" s="12"/>
      <c r="C19900" s="12"/>
    </row>
    <row r="19901" spans="2:3">
      <c r="B19901" s="12"/>
      <c r="C19901" s="12"/>
    </row>
    <row r="19902" spans="2:3">
      <c r="B19902" s="12"/>
      <c r="C19902" s="12"/>
    </row>
    <row r="19903" spans="2:3">
      <c r="B19903" s="12"/>
      <c r="C19903" s="12"/>
    </row>
    <row r="19904" spans="2:3">
      <c r="B19904" s="12"/>
      <c r="C19904" s="12"/>
    </row>
    <row r="19905" spans="2:3">
      <c r="B19905" s="12"/>
      <c r="C19905" s="12"/>
    </row>
    <row r="19906" spans="2:3">
      <c r="B19906" s="12"/>
      <c r="C19906" s="12"/>
    </row>
    <row r="19907" spans="2:3">
      <c r="B19907" s="12"/>
      <c r="C19907" s="12"/>
    </row>
    <row r="19908" spans="2:3">
      <c r="B19908" s="12"/>
      <c r="C19908" s="12"/>
    </row>
    <row r="19909" spans="2:3">
      <c r="B19909" s="12"/>
      <c r="C19909" s="12"/>
    </row>
    <row r="19910" spans="2:3">
      <c r="B19910" s="12"/>
      <c r="C19910" s="12"/>
    </row>
    <row r="19911" spans="2:3">
      <c r="B19911" s="12"/>
      <c r="C19911" s="12"/>
    </row>
    <row r="19912" spans="2:3">
      <c r="B19912" s="12"/>
      <c r="C19912" s="12"/>
    </row>
    <row r="19913" spans="2:3">
      <c r="B19913" s="12"/>
      <c r="C19913" s="12"/>
    </row>
    <row r="19914" spans="2:3">
      <c r="B19914" s="12"/>
      <c r="C19914" s="12"/>
    </row>
    <row r="19915" spans="2:3">
      <c r="B19915" s="12"/>
      <c r="C19915" s="12"/>
    </row>
    <row r="19916" spans="2:3">
      <c r="B19916" s="12"/>
      <c r="C19916" s="12"/>
    </row>
    <row r="19917" spans="2:3">
      <c r="B19917" s="12"/>
      <c r="C19917" s="12"/>
    </row>
    <row r="19918" spans="2:3">
      <c r="B19918" s="12"/>
      <c r="C19918" s="12"/>
    </row>
    <row r="19919" spans="2:3">
      <c r="B19919" s="12"/>
      <c r="C19919" s="12"/>
    </row>
    <row r="19920" spans="2:3">
      <c r="B19920" s="12"/>
      <c r="C19920" s="12"/>
    </row>
    <row r="19921" spans="2:3">
      <c r="B19921" s="12"/>
      <c r="C19921" s="12"/>
    </row>
    <row r="19922" spans="2:3">
      <c r="B19922" s="12"/>
      <c r="C19922" s="12"/>
    </row>
    <row r="19923" spans="2:3">
      <c r="B19923" s="12"/>
      <c r="C19923" s="12"/>
    </row>
    <row r="19924" spans="2:3">
      <c r="B19924" s="12"/>
      <c r="C19924" s="12"/>
    </row>
    <row r="19925" spans="2:3">
      <c r="B19925" s="12"/>
      <c r="C19925" s="12"/>
    </row>
    <row r="19926" spans="2:3">
      <c r="B19926" s="12"/>
      <c r="C19926" s="12"/>
    </row>
    <row r="19927" spans="2:3">
      <c r="B19927" s="12"/>
      <c r="C19927" s="12"/>
    </row>
    <row r="19928" spans="2:3">
      <c r="B19928" s="12"/>
      <c r="C19928" s="12"/>
    </row>
    <row r="19929" spans="2:3">
      <c r="B19929" s="12"/>
      <c r="C19929" s="12"/>
    </row>
    <row r="19930" spans="2:3">
      <c r="B19930" s="12"/>
      <c r="C19930" s="12"/>
    </row>
    <row r="19931" spans="2:3">
      <c r="B19931" s="12"/>
      <c r="C19931" s="12"/>
    </row>
    <row r="19932" spans="2:3">
      <c r="B19932" s="12"/>
      <c r="C19932" s="12"/>
    </row>
    <row r="19933" spans="2:3">
      <c r="B19933" s="12"/>
      <c r="C19933" s="12"/>
    </row>
    <row r="19934" spans="2:3">
      <c r="B19934" s="12"/>
      <c r="C19934" s="12"/>
    </row>
    <row r="19935" spans="2:3">
      <c r="B19935" s="12"/>
      <c r="C19935" s="12"/>
    </row>
    <row r="19936" spans="2:3">
      <c r="B19936" s="12"/>
      <c r="C19936" s="12"/>
    </row>
    <row r="19937" spans="2:3">
      <c r="B19937" s="12"/>
      <c r="C19937" s="12"/>
    </row>
    <row r="19938" spans="2:3">
      <c r="B19938" s="12"/>
      <c r="C19938" s="12"/>
    </row>
    <row r="19939" spans="2:3">
      <c r="B19939" s="12"/>
      <c r="C19939" s="12"/>
    </row>
    <row r="19940" spans="2:3">
      <c r="B19940" s="12"/>
      <c r="C19940" s="12"/>
    </row>
    <row r="19941" spans="2:3">
      <c r="B19941" s="12"/>
      <c r="C19941" s="12"/>
    </row>
    <row r="19942" spans="2:3">
      <c r="B19942" s="12"/>
      <c r="C19942" s="12"/>
    </row>
    <row r="19943" spans="2:3">
      <c r="B19943" s="12"/>
      <c r="C19943" s="12"/>
    </row>
    <row r="19944" spans="2:3">
      <c r="B19944" s="12"/>
      <c r="C19944" s="12"/>
    </row>
    <row r="19945" spans="2:3">
      <c r="B19945" s="12"/>
      <c r="C19945" s="12"/>
    </row>
    <row r="19946" spans="2:3">
      <c r="B19946" s="12"/>
      <c r="C19946" s="12"/>
    </row>
    <row r="19947" spans="2:3">
      <c r="B19947" s="12"/>
      <c r="C19947" s="12"/>
    </row>
    <row r="19948" spans="2:3">
      <c r="B19948" s="12"/>
      <c r="C19948" s="12"/>
    </row>
    <row r="19949" spans="2:3">
      <c r="B19949" s="12"/>
      <c r="C19949" s="12"/>
    </row>
    <row r="19950" spans="2:3">
      <c r="B19950" s="12"/>
      <c r="C19950" s="12"/>
    </row>
    <row r="19951" spans="2:3">
      <c r="B19951" s="12"/>
      <c r="C19951" s="12"/>
    </row>
    <row r="19952" spans="2:3">
      <c r="B19952" s="12"/>
      <c r="C19952" s="12"/>
    </row>
    <row r="19953" spans="2:3">
      <c r="B19953" s="12"/>
      <c r="C19953" s="12"/>
    </row>
    <row r="19954" spans="2:3">
      <c r="B19954" s="12"/>
      <c r="C19954" s="12"/>
    </row>
    <row r="19955" spans="2:3">
      <c r="B19955" s="12"/>
      <c r="C19955" s="12"/>
    </row>
    <row r="19956" spans="2:3">
      <c r="B19956" s="12"/>
      <c r="C19956" s="12"/>
    </row>
    <row r="19957" spans="2:3">
      <c r="B19957" s="12"/>
      <c r="C19957" s="12"/>
    </row>
    <row r="19958" spans="2:3">
      <c r="B19958" s="12"/>
      <c r="C19958" s="12"/>
    </row>
    <row r="19959" spans="2:3">
      <c r="B19959" s="12"/>
      <c r="C19959" s="12"/>
    </row>
    <row r="19960" spans="2:3">
      <c r="B19960" s="12"/>
      <c r="C19960" s="12"/>
    </row>
    <row r="19961" spans="2:3">
      <c r="B19961" s="12"/>
      <c r="C19961" s="12"/>
    </row>
    <row r="19962" spans="2:3">
      <c r="B19962" s="12"/>
      <c r="C19962" s="12"/>
    </row>
    <row r="19963" spans="2:3">
      <c r="B19963" s="12"/>
      <c r="C19963" s="12"/>
    </row>
    <row r="19964" spans="2:3">
      <c r="B19964" s="12"/>
      <c r="C19964" s="12"/>
    </row>
    <row r="19965" spans="2:3">
      <c r="B19965" s="12"/>
      <c r="C19965" s="12"/>
    </row>
    <row r="19966" spans="2:3">
      <c r="B19966" s="12"/>
      <c r="C19966" s="12"/>
    </row>
    <row r="19967" spans="2:3">
      <c r="B19967" s="12"/>
      <c r="C19967" s="12"/>
    </row>
    <row r="19968" spans="2:3">
      <c r="B19968" s="12"/>
      <c r="C19968" s="12"/>
    </row>
    <row r="19969" spans="2:3">
      <c r="B19969" s="12"/>
      <c r="C19969" s="12"/>
    </row>
    <row r="19970" spans="2:3">
      <c r="B19970" s="12"/>
      <c r="C19970" s="12"/>
    </row>
    <row r="19971" spans="2:3">
      <c r="B19971" s="12"/>
      <c r="C19971" s="12"/>
    </row>
    <row r="19972" spans="2:3">
      <c r="B19972" s="12"/>
      <c r="C19972" s="12"/>
    </row>
    <row r="19973" spans="2:3">
      <c r="B19973" s="12"/>
      <c r="C19973" s="12"/>
    </row>
    <row r="19974" spans="2:3">
      <c r="B19974" s="12"/>
      <c r="C19974" s="12"/>
    </row>
    <row r="19975" spans="2:3">
      <c r="B19975" s="12"/>
      <c r="C19975" s="12"/>
    </row>
    <row r="19976" spans="2:3">
      <c r="B19976" s="12"/>
      <c r="C19976" s="12"/>
    </row>
    <row r="19977" spans="2:3">
      <c r="B19977" s="12"/>
      <c r="C19977" s="12"/>
    </row>
    <row r="19978" spans="2:3">
      <c r="B19978" s="12"/>
      <c r="C19978" s="12"/>
    </row>
    <row r="19979" spans="2:3">
      <c r="B19979" s="12"/>
      <c r="C19979" s="12"/>
    </row>
    <row r="19980" spans="2:3">
      <c r="B19980" s="12"/>
      <c r="C19980" s="12"/>
    </row>
    <row r="19981" spans="2:3">
      <c r="B19981" s="12"/>
      <c r="C19981" s="12"/>
    </row>
    <row r="19982" spans="2:3">
      <c r="B19982" s="12"/>
      <c r="C19982" s="12"/>
    </row>
    <row r="19983" spans="2:3">
      <c r="B19983" s="12"/>
      <c r="C19983" s="12"/>
    </row>
    <row r="19984" spans="2:3">
      <c r="B19984" s="12"/>
      <c r="C19984" s="12"/>
    </row>
    <row r="19985" spans="2:3">
      <c r="B19985" s="12"/>
      <c r="C19985" s="12"/>
    </row>
    <row r="19986" spans="2:3">
      <c r="B19986" s="12"/>
      <c r="C19986" s="12"/>
    </row>
    <row r="19987" spans="2:3">
      <c r="B19987" s="12"/>
      <c r="C19987" s="12"/>
    </row>
    <row r="19988" spans="2:3">
      <c r="B19988" s="12"/>
      <c r="C19988" s="12"/>
    </row>
    <row r="19989" spans="2:3">
      <c r="B19989" s="12"/>
      <c r="C19989" s="12"/>
    </row>
    <row r="19990" spans="2:3">
      <c r="B19990" s="12"/>
      <c r="C19990" s="12"/>
    </row>
    <row r="19991" spans="2:3">
      <c r="B19991" s="12"/>
      <c r="C19991" s="12"/>
    </row>
    <row r="19992" spans="2:3">
      <c r="B19992" s="12"/>
      <c r="C19992" s="12"/>
    </row>
    <row r="19993" spans="2:3">
      <c r="B19993" s="12"/>
      <c r="C19993" s="12"/>
    </row>
    <row r="19994" spans="2:3">
      <c r="B19994" s="12"/>
      <c r="C19994" s="12"/>
    </row>
    <row r="19995" spans="2:3">
      <c r="B19995" s="12"/>
      <c r="C19995" s="12"/>
    </row>
    <row r="19996" spans="2:3">
      <c r="B19996" s="12"/>
      <c r="C19996" s="12"/>
    </row>
    <row r="19997" spans="2:3">
      <c r="B19997" s="12"/>
      <c r="C19997" s="12"/>
    </row>
    <row r="19998" spans="2:3">
      <c r="B19998" s="12"/>
      <c r="C19998" s="12"/>
    </row>
    <row r="19999" spans="2:3">
      <c r="B19999" s="12"/>
      <c r="C19999" s="12"/>
    </row>
    <row r="20000" spans="2:3">
      <c r="B20000" s="12"/>
      <c r="C20000" s="12"/>
    </row>
    <row r="20001" spans="2:3">
      <c r="B20001" s="12"/>
      <c r="C20001" s="12"/>
    </row>
    <row r="20002" spans="2:3">
      <c r="B20002" s="12"/>
      <c r="C20002" s="12"/>
    </row>
    <row r="20003" spans="2:3">
      <c r="B20003" s="12"/>
      <c r="C20003" s="12"/>
    </row>
  </sheetData>
  <phoneticPr fontId="3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Portfolio_sim">
                <anchor moveWithCells="1" sizeWithCells="1">
                  <from>
                    <xdr:col>7</xdr:col>
                    <xdr:colOff>292100</xdr:colOff>
                    <xdr:row>0</xdr:row>
                    <xdr:rowOff>114300</xdr:rowOff>
                  </from>
                  <to>
                    <xdr:col>9</xdr:col>
                    <xdr:colOff>158750</xdr:colOff>
                    <xdr:row>2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Graph_portfolio">
                <anchor moveWithCells="1" sizeWithCells="1">
                  <from>
                    <xdr:col>9</xdr:col>
                    <xdr:colOff>323850</xdr:colOff>
                    <xdr:row>0</xdr:row>
                    <xdr:rowOff>114300</xdr:rowOff>
                  </from>
                  <to>
                    <xdr:col>10</xdr:col>
                    <xdr:colOff>514350</xdr:colOff>
                    <xdr:row>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Inputs</vt:lpstr>
      <vt:lpstr>Historical_Data</vt:lpstr>
      <vt:lpstr>4-week TBill</vt:lpstr>
      <vt:lpstr>Stock simulation</vt:lpstr>
      <vt:lpstr>Portfolio parameter</vt:lpstr>
      <vt:lpstr>Portfolio simulation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Jinghan MENG</dc:creator>
  <cp:lastModifiedBy>Jinghan MENG</cp:lastModifiedBy>
  <dcterms:created xsi:type="dcterms:W3CDTF">2024-12-05T17:14:10Z</dcterms:created>
  <dcterms:modified xsi:type="dcterms:W3CDTF">2025-04-22T03:09:48Z</dcterms:modified>
</cp:coreProperties>
</file>