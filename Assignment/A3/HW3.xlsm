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2" codeName="{857A39E2-67AF-9BA6-E15C-A4B3A0C7559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adonng/Desktop/Fina3351/Assignment/A3/"/>
    </mc:Choice>
  </mc:AlternateContent>
  <xr:revisionPtr revIDLastSave="0" documentId="13_ncr:1_{1FA89DC6-FD14-E947-A0DB-90E3F9C66433}" xr6:coauthVersionLast="47" xr6:coauthVersionMax="47" xr10:uidLastSave="{00000000-0000-0000-0000-000000000000}"/>
  <bookViews>
    <workbookView xWindow="0" yWindow="720" windowWidth="29400" windowHeight="18400" activeTab="1" xr2:uid="{393F3304-BE81-4C12-A730-C5A3E105589E}"/>
  </bookViews>
  <sheets>
    <sheet name="Q1" sheetId="1" r:id="rId1"/>
    <sheet name="Q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2" i="2" l="1" a="1"/>
  <c r="B14" i="1" a="1"/>
  <c r="B12" i="1" a="1"/>
  <c r="B13" i="1" a="1"/>
  <c r="B11" i="1" a="1"/>
  <c r="B12" i="2" l="1"/>
  <c r="B11" i="1"/>
  <c r="B13" i="1"/>
  <c r="B12" i="1"/>
  <c r="B1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<sst xmlns="http://schemas.openxmlformats.org/spreadsheetml/2006/main" count="26" uniqueCount="17">
  <si>
    <t>Greeks (Using VBA functions)</t>
  </si>
  <si>
    <t>Gamma</t>
  </si>
  <si>
    <t>Vega</t>
  </si>
  <si>
    <t>Rho</t>
  </si>
  <si>
    <t>Stock price</t>
  </si>
  <si>
    <t>Time to maturity (years)</t>
  </si>
  <si>
    <t>Riskfree rate</t>
  </si>
  <si>
    <t>Dividend yield</t>
  </si>
  <si>
    <t>Volatility</t>
  </si>
  <si>
    <t>p</t>
  </si>
  <si>
    <t>Option type ("c" for call; "p" for put)</t>
  </si>
  <si>
    <t>Strike price</t>
  </si>
  <si>
    <t>Theta</t>
    <phoneticPr fontId="6" type="noConversion"/>
  </si>
  <si>
    <t xml:space="preserve">Number of steps </t>
  </si>
  <si>
    <r>
      <t xml:space="preserve">European option price (using </t>
    </r>
    <r>
      <rPr>
        <b/>
        <sz val="11"/>
        <rFont val="Courier New"/>
        <family val="3"/>
      </rPr>
      <t>Binomial_euro_new</t>
    </r>
    <r>
      <rPr>
        <b/>
        <sz val="11"/>
        <rFont val="Calibri"/>
        <family val="2"/>
      </rPr>
      <t xml:space="preserve"> function)</t>
    </r>
    <phoneticPr fontId="6" type="noConversion"/>
  </si>
  <si>
    <t>Price</t>
    <phoneticPr fontId="6" type="noConversion"/>
  </si>
  <si>
    <t>European Option Inputs (Annual Frequency)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</si>
</sst>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</font>
    <font>
      <sz val="11"/>
      <color theme="1"/>
      <name val="Calibri"/>
      <family val="2"/>
    </font>
    <font>
      <sz val="11"/>
      <name val="Calibri"/>
      <family val="2"/>
    </font>
    <font>
      <sz val="9"/>
      <name val="Calibri"/>
      <family val="3"/>
      <charset val="134"/>
      <scheme val="minor"/>
    </font>
    <font>
      <b/>
      <sz val="11"/>
      <name val="Courier New"/>
      <family val="3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2" fillId="0" borderId="0"/>
  </cellStyleXfs>
  <cellXfs count="13">
    <xf numFmtId="0" fontId="0" fillId="0" borderId="0" xfId="0"/>
    <xf numFmtId="0" fontId="3" fillId="0" borderId="0" xfId="3" applyFont="1" applyAlignment="1">
      <alignment horizontal="left"/>
    </xf>
    <xf numFmtId="0" fontId="4" fillId="0" borderId="0" xfId="0" applyFont="1"/>
    <xf numFmtId="0" fontId="5" fillId="0" borderId="0" xfId="0" applyFont="1" applyAlignment="1">
      <alignment horizontal="right"/>
    </xf>
    <xf numFmtId="0" fontId="5" fillId="0" borderId="0" xfId="0" applyFont="1"/>
    <xf numFmtId="0" fontId="5" fillId="0" borderId="0" xfId="1" applyNumberFormat="1" applyFont="1" applyFill="1" applyBorder="1" applyAlignment="1">
      <alignment horizontal="right"/>
    </xf>
    <xf numFmtId="0" fontId="5" fillId="0" borderId="0" xfId="0" applyFont="1" applyAlignment="1">
      <alignment horizontal="left"/>
    </xf>
    <xf numFmtId="0" fontId="5" fillId="0" borderId="0" xfId="1" applyNumberFormat="1" applyFont="1" applyFill="1" applyBorder="1"/>
    <xf numFmtId="0" fontId="5" fillId="0" borderId="0" xfId="4" applyFont="1"/>
    <xf numFmtId="9" fontId="5" fillId="0" borderId="0" xfId="2" applyFont="1" applyFill="1" applyBorder="1"/>
    <xf numFmtId="9" fontId="5" fillId="0" borderId="0" xfId="0" applyNumberFormat="1" applyFont="1"/>
    <xf numFmtId="0" fontId="3" fillId="0" borderId="0" xfId="4" applyFont="1"/>
    <xf numFmtId="0" fontId="4" fillId="2" borderId="0" xfId="0" applyFont="1" applyFill="1"/>
  </cellXfs>
  <cellStyles count="5">
    <cellStyle name="Comma" xfId="1" builtinId="3"/>
    <cellStyle name="Normal" xfId="0" builtinId="0"/>
    <cellStyle name="Normal 2 2" xfId="3" xr:uid="{95D6E070-73D1-4434-8C96-E82CD83921DF}"/>
    <cellStyle name="Normal 3 2" xfId="4" xr:uid="{CB9C305A-AB95-4396-8624-2FA11A236E44}"/>
    <cellStyle name="Per 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85578-673F-4B4D-B015-E0C0A4882383}">
  <sheetPr codeName="Sheet1"/>
  <dimension ref="A1:B14"/>
  <sheetViews>
    <sheetView workbookViewId="0">
      <selection activeCell="J18" sqref="J18"/>
    </sheetView>
  </sheetViews>
  <sheetFormatPr baseColWidth="10" defaultColWidth="8.83203125" defaultRowHeight="15" x14ac:dyDescent="0.2"/>
  <cols>
    <col min="1" max="1" width="30.83203125" style="2" bestFit="1" customWidth="1"/>
    <col min="2" max="16384" width="8.83203125" style="2"/>
  </cols>
  <sheetData>
    <row r="1" spans="1:2" x14ac:dyDescent="0.2">
      <c r="A1" s="1" t="s">
        <v>16</v>
      </c>
    </row>
    <row r="2" spans="1:2" x14ac:dyDescent="0.2">
      <c r="A2" s="2" t="s">
        <v>10</v>
      </c>
      <c r="B2" s="3" t="s">
        <v>9</v>
      </c>
    </row>
    <row r="3" spans="1:2" x14ac:dyDescent="0.2">
      <c r="A3" s="4" t="s">
        <v>4</v>
      </c>
      <c r="B3" s="5">
        <v>100</v>
      </c>
    </row>
    <row r="4" spans="1:2" x14ac:dyDescent="0.2">
      <c r="A4" s="6" t="s">
        <v>11</v>
      </c>
      <c r="B4" s="7">
        <v>100</v>
      </c>
    </row>
    <row r="5" spans="1:2" x14ac:dyDescent="0.2">
      <c r="A5" s="6" t="s">
        <v>5</v>
      </c>
      <c r="B5" s="4">
        <v>1</v>
      </c>
    </row>
    <row r="6" spans="1:2" x14ac:dyDescent="0.2">
      <c r="A6" s="8" t="s">
        <v>6</v>
      </c>
      <c r="B6" s="9">
        <v>0.03</v>
      </c>
    </row>
    <row r="7" spans="1:2" x14ac:dyDescent="0.2">
      <c r="A7" s="8" t="s">
        <v>7</v>
      </c>
      <c r="B7" s="10">
        <v>0.05</v>
      </c>
    </row>
    <row r="8" spans="1:2" x14ac:dyDescent="0.2">
      <c r="A8" s="8" t="s">
        <v>8</v>
      </c>
      <c r="B8" s="9">
        <v>0.25</v>
      </c>
    </row>
    <row r="10" spans="1:2" x14ac:dyDescent="0.2">
      <c r="A10" s="11" t="s">
        <v>0</v>
      </c>
    </row>
    <row r="11" spans="1:2" x14ac:dyDescent="0.2">
      <c r="A11" s="8" t="s">
        <v>1</v>
      </c>
      <c r="B11" s="12" cm="1">
        <f t="array" ref="B11">BSGamma(B2,B3,B4,B5,B6,B7,B8)</f>
        <v>1.5164064041576709E-2</v>
      </c>
    </row>
    <row r="12" spans="1:2" x14ac:dyDescent="0.2">
      <c r="A12" s="8" t="s">
        <v>2</v>
      </c>
      <c r="B12" s="12" cm="1">
        <f t="array" ref="B12">BSVega(B2,B3,B4,B5,B6,B7,B8)</f>
        <v>37.91016010394177</v>
      </c>
    </row>
    <row r="13" spans="1:2" x14ac:dyDescent="0.2">
      <c r="A13" s="8" t="s">
        <v>3</v>
      </c>
      <c r="B13" s="12" cm="1">
        <f t="array" ref="B13">BSRho(B2,B3,B4,B5,B6,B7,B8)</f>
        <v>-56.403646967083596</v>
      </c>
    </row>
    <row r="14" spans="1:2" x14ac:dyDescent="0.2">
      <c r="A14" s="8" t="s">
        <v>12</v>
      </c>
      <c r="B14" s="12" cm="1">
        <f t="array" ref="B14">BSTheta(B2,B3,B4,B5,B6,B7,B8)</f>
        <v>-5.3393787056174222</v>
      </c>
    </row>
  </sheetData>
  <phoneticPr fontId="6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94752B-3EB0-4913-9E91-B8D48E49EC34}">
  <sheetPr codeName="Sheet2"/>
  <dimension ref="A1:B12"/>
  <sheetViews>
    <sheetView tabSelected="1" workbookViewId="0">
      <selection activeCell="D10" sqref="D10"/>
    </sheetView>
  </sheetViews>
  <sheetFormatPr baseColWidth="10" defaultColWidth="8.83203125" defaultRowHeight="15" x14ac:dyDescent="0.2"/>
  <cols>
    <col min="1" max="1" width="32.83203125" bestFit="1" customWidth="1"/>
    <col min="2" max="2" width="9.83203125" customWidth="1"/>
  </cols>
  <sheetData>
    <row r="1" spans="1:2" x14ac:dyDescent="0.2">
      <c r="A1" s="1" t="s">
        <v>16</v>
      </c>
      <c r="B1" s="2"/>
    </row>
    <row r="2" spans="1:2" x14ac:dyDescent="0.2">
      <c r="A2" s="2" t="s">
        <v>10</v>
      </c>
      <c r="B2" s="3" t="s">
        <v>9</v>
      </c>
    </row>
    <row r="3" spans="1:2" x14ac:dyDescent="0.2">
      <c r="A3" s="4" t="s">
        <v>4</v>
      </c>
      <c r="B3" s="5">
        <v>100</v>
      </c>
    </row>
    <row r="4" spans="1:2" x14ac:dyDescent="0.2">
      <c r="A4" s="6" t="s">
        <v>11</v>
      </c>
      <c r="B4" s="7">
        <v>100</v>
      </c>
    </row>
    <row r="5" spans="1:2" x14ac:dyDescent="0.2">
      <c r="A5" s="6" t="s">
        <v>5</v>
      </c>
      <c r="B5" s="4">
        <v>1</v>
      </c>
    </row>
    <row r="6" spans="1:2" x14ac:dyDescent="0.2">
      <c r="A6" s="8" t="s">
        <v>6</v>
      </c>
      <c r="B6" s="9">
        <v>0.03</v>
      </c>
    </row>
    <row r="7" spans="1:2" x14ac:dyDescent="0.2">
      <c r="A7" s="8" t="s">
        <v>7</v>
      </c>
      <c r="B7" s="10">
        <v>0.05</v>
      </c>
    </row>
    <row r="8" spans="1:2" x14ac:dyDescent="0.2">
      <c r="A8" s="8" t="s">
        <v>8</v>
      </c>
      <c r="B8" s="9">
        <v>0.25</v>
      </c>
    </row>
    <row r="9" spans="1:2" x14ac:dyDescent="0.2">
      <c r="A9" s="8" t="s">
        <v>13</v>
      </c>
      <c r="B9" s="2">
        <v>100</v>
      </c>
    </row>
    <row r="11" spans="1:2" x14ac:dyDescent="0.2">
      <c r="A11" s="11" t="s">
        <v>14</v>
      </c>
      <c r="B11" s="2"/>
    </row>
    <row r="12" spans="1:2" x14ac:dyDescent="0.2">
      <c r="A12" s="8" t="s">
        <v>15</v>
      </c>
      <c r="B12" s="12" cm="1">
        <f t="array" ref="B12">Binomial_euro_new(B2,B3,B4,B5,B6,B7,B8,B9)</f>
        <v>10.525346369914965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Q1</vt:lpstr>
      <vt:lpstr>Q2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Jinghan Meng</dc:creator>
  <cp:lastModifiedBy>jadonng@connect.hku.hk</cp:lastModifiedBy>
  <dcterms:created xsi:type="dcterms:W3CDTF">2022-01-17T13:56:01Z</dcterms:created>
  <dcterms:modified xsi:type="dcterms:W3CDTF">2025-04-30T04:06:39Z</dcterms:modified>
</cp:coreProperties>
</file>