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Teaching\1.SpreadsheetModeling\2024Sprint_UG\Lecture\"/>
    </mc:Choice>
  </mc:AlternateContent>
  <xr:revisionPtr revIDLastSave="0" documentId="13_ncr:1_{5CE4E2F6-2F0C-434F-B246-E08CE0629FCA}" xr6:coauthVersionLast="47" xr6:coauthVersionMax="47" xr10:uidLastSave="{00000000-0000-0000-0000-000000000000}"/>
  <bookViews>
    <workbookView xWindow="1089" yWindow="1089" windowWidth="32306" windowHeight="12685" activeTab="1" xr2:uid="{00000000-000D-0000-FFFF-FFFF00000000}"/>
  </bookViews>
  <sheets>
    <sheet name="Sheet1" sheetId="7" r:id="rId1"/>
    <sheet name="Sheet2" sheetId="8" r:id="rId2"/>
    <sheet name="Sheet3" sheetId="6" r:id="rId3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 a="1"/>
  <c r="H4" i="8"/>
  <c r="I13" i="6"/>
  <c r="J5" i="6" a="1"/>
  <c r="J5" i="6"/>
  <c r="K5" i="6"/>
  <c r="L5" i="6"/>
  <c r="M5" i="6"/>
  <c r="N5" i="6"/>
  <c r="O5" i="6"/>
  <c r="J6" i="6"/>
  <c r="K6" i="6"/>
  <c r="L6" i="6"/>
  <c r="M6" i="6"/>
  <c r="N6" i="6"/>
  <c r="O6" i="6"/>
  <c r="J7" i="6"/>
  <c r="K7" i="6"/>
  <c r="L7" i="6"/>
  <c r="M7" i="6"/>
  <c r="N7" i="6"/>
  <c r="O7" i="6"/>
  <c r="J8" i="6"/>
  <c r="K8" i="6"/>
  <c r="L8" i="6"/>
  <c r="M8" i="6"/>
  <c r="N8" i="6"/>
  <c r="O8" i="6"/>
  <c r="J9" i="6"/>
  <c r="K9" i="6"/>
  <c r="L9" i="6"/>
  <c r="M9" i="6"/>
  <c r="N9" i="6"/>
  <c r="O9" i="6"/>
  <c r="J10" i="6"/>
  <c r="K10" i="6"/>
  <c r="L10" i="6"/>
  <c r="M10" i="6"/>
  <c r="N10" i="6"/>
  <c r="O1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<sst xmlns="http://schemas.openxmlformats.org/spreadsheetml/2006/main" count="38" uniqueCount="14">
  <si>
    <t>AAPL</t>
  </si>
  <si>
    <t>BAC</t>
  </si>
  <si>
    <t>GE</t>
  </si>
  <si>
    <t>K</t>
  </si>
  <si>
    <t>MCD</t>
  </si>
  <si>
    <t>PFE</t>
  </si>
  <si>
    <t>YearMonth</t>
  </si>
  <si>
    <t>Stock monthly (log) returns in 5 years</t>
  </si>
  <si>
    <t>Test: Correlation between AAPL and GE (using Correl function)</t>
  </si>
  <si>
    <r>
      <t xml:space="preserve">Correlation matrix of 6 stocks (using </t>
    </r>
    <r>
      <rPr>
        <b/>
        <sz val="11"/>
        <color theme="1"/>
        <rFont val="Courier New"/>
        <family val="3"/>
      </rPr>
      <t>CorrMat</t>
    </r>
    <r>
      <rPr>
        <b/>
        <sz val="11"/>
        <color theme="1"/>
        <rFont val="Calibri"/>
        <family val="2"/>
      </rPr>
      <t xml:space="preserve"> VBA function)</t>
    </r>
  </si>
  <si>
    <r>
      <t xml:space="preserve">Output of sub procedure </t>
    </r>
    <r>
      <rPr>
        <b/>
        <sz val="11"/>
        <color theme="1"/>
        <rFont val="Courier New"/>
        <family val="3"/>
      </rPr>
      <t>Test4</t>
    </r>
    <r>
      <rPr>
        <b/>
        <sz val="11"/>
        <color theme="1"/>
        <rFont val="Calibri"/>
        <family val="2"/>
      </rPr>
      <t>:</t>
    </r>
  </si>
  <si>
    <t>ABC</t>
  </si>
  <si>
    <t>=SumArray(H1:J2)</t>
  </si>
  <si>
    <t>&lt;-- Use VBA sub "MakeRange" to calculate SumArray(H1:J2)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</si>
</sst>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ourier New"/>
      <family val="3"/>
    </font>
    <font>
      <sz val="11"/>
      <color rgb="FFFF0000"/>
      <name val="Calibri"/>
      <family val="2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Font="1" applyFill="1"/>
    <xf numFmtId="0" fontId="4" fillId="0" borderId="0" xfId="0" applyFont="1"/>
    <xf numFmtId="0" fontId="6" fillId="0" borderId="0" xfId="0" quotePrefix="1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K6" sqref="K6"/>
    </sheetView>
  </sheetViews>
  <sheetFormatPr defaultColWidth="8.6640625" defaultRowHeight="15.05"/>
  <cols>
    <col min="1" max="16384" width="8.6640625" style="1"/>
  </cols>
  <sheetData/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F61D6-92F0-4BB5-95B0-7CB5FF8EBAEE}">
  <sheetPr codeName="Sheet2"/>
  <dimension ref="H1:J4"/>
  <sheetViews>
    <sheetView tabSelected="1" workbookViewId="0">
      <selection activeCell="U8" sqref="U8"/>
    </sheetView>
  </sheetViews>
  <sheetFormatPr defaultColWidth="8.88671875" defaultRowHeight="15.05"/>
  <cols>
    <col min="1" max="16384" width="8.88671875" style="1"/>
  </cols>
  <sheetData>
    <row r="1" spans="8:10">
      <c r="H1" s="1">
        <v>1</v>
      </c>
      <c r="I1" s="1">
        <v>2</v>
      </c>
      <c r="J1" s="1">
        <v>3</v>
      </c>
    </row>
    <row r="2" spans="8:10">
      <c r="H2" s="1">
        <v>5</v>
      </c>
      <c r="I2" s="1">
        <v>6</v>
      </c>
      <c r="J2" s="1" t="s">
        <v>11</v>
      </c>
    </row>
    <row r="3" spans="8:10">
      <c r="I3" s="7" t="s">
        <v>13</v>
      </c>
    </row>
    <row r="4" spans="8:10">
      <c r="H4" s="1" cm="1">
        <f t="array" ref="H4">SumArray(H1:J2)</f>
        <v>17</v>
      </c>
      <c r="I4" s="6" t="s">
        <v>12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62"/>
  <sheetViews>
    <sheetView workbookViewId="0">
      <selection activeCell="Q22" sqref="Q22"/>
    </sheetView>
  </sheetViews>
  <sheetFormatPr defaultColWidth="8.6640625" defaultRowHeight="15.05"/>
  <cols>
    <col min="1" max="1" width="11.6640625" style="1" customWidth="1"/>
    <col min="2" max="16384" width="8.6640625" style="1"/>
  </cols>
  <sheetData>
    <row r="1" spans="1:15" ht="18.2">
      <c r="A1" s="2" t="s">
        <v>7</v>
      </c>
      <c r="B1" s="3"/>
      <c r="C1" s="3"/>
      <c r="D1" s="3"/>
      <c r="E1" s="3"/>
      <c r="F1" s="3"/>
      <c r="G1" s="3"/>
    </row>
    <row r="2" spans="1:15">
      <c r="A2" s="1" t="s">
        <v>6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5" t="s">
        <v>9</v>
      </c>
    </row>
    <row r="3" spans="1:15">
      <c r="A3" s="1">
        <v>201301</v>
      </c>
      <c r="B3" s="1">
        <v>-0.15558962701487655</v>
      </c>
      <c r="C3" s="1">
        <v>-2.4285594809449987E-2</v>
      </c>
      <c r="D3" s="1">
        <v>6.8727931352661892E-2</v>
      </c>
      <c r="E3" s="1">
        <v>4.6357652222953155E-2</v>
      </c>
      <c r="F3" s="1">
        <v>7.7204672067496566E-2</v>
      </c>
      <c r="G3" s="1">
        <v>8.4083132723014042E-2</v>
      </c>
    </row>
    <row r="4" spans="1:15">
      <c r="A4" s="1">
        <v>201302</v>
      </c>
      <c r="B4" s="1">
        <v>-3.1421823430025482E-2</v>
      </c>
      <c r="C4" s="1">
        <v>-7.9823136525656434E-3</v>
      </c>
      <c r="D4" s="1">
        <v>4.1324330820717452E-2</v>
      </c>
      <c r="E4" s="1">
        <v>3.3616217974353789E-2</v>
      </c>
      <c r="F4" s="1">
        <v>6.3810507844053819E-3</v>
      </c>
      <c r="G4" s="1">
        <v>1.1995421791459772E-2</v>
      </c>
      <c r="J4" s="1" t="s">
        <v>0</v>
      </c>
      <c r="K4" s="1" t="s">
        <v>1</v>
      </c>
      <c r="L4" s="1" t="s">
        <v>2</v>
      </c>
      <c r="M4" s="1" t="s">
        <v>3</v>
      </c>
      <c r="N4" s="1" t="s">
        <v>4</v>
      </c>
      <c r="O4" s="1" t="s">
        <v>5</v>
      </c>
    </row>
    <row r="5" spans="1:15">
      <c r="A5" s="1">
        <v>201303</v>
      </c>
      <c r="B5" s="1">
        <v>8.6616611830005845E-3</v>
      </c>
      <c r="C5" s="1">
        <v>8.2105241456584099E-2</v>
      </c>
      <c r="D5" s="1">
        <v>3.833599819791692E-3</v>
      </c>
      <c r="E5" s="1">
        <v>7.0236728380355662E-2</v>
      </c>
      <c r="F5" s="1">
        <v>4.6794248242247476E-2</v>
      </c>
      <c r="G5" s="1">
        <v>5.3009187464781268E-2</v>
      </c>
      <c r="I5" s="1" t="s">
        <v>0</v>
      </c>
      <c r="J5" s="1">
        <f t="array" ref="J5:O10">CorrMat(B3:G62)</f>
        <v>0.99999999999999978</v>
      </c>
      <c r="K5" s="1">
        <v>0.13149350916127914</v>
      </c>
      <c r="L5" s="4">
        <v>0.16239648143857779</v>
      </c>
      <c r="M5" s="1">
        <v>1.7372768752860684E-2</v>
      </c>
      <c r="N5" s="1">
        <v>8.06737567041102E-2</v>
      </c>
      <c r="O5" s="1">
        <v>4.3647340950172558E-2</v>
      </c>
    </row>
    <row r="6" spans="1:15">
      <c r="A6" s="1">
        <v>201304</v>
      </c>
      <c r="B6" s="1">
        <v>2.7089500914930658E-4</v>
      </c>
      <c r="C6" s="1">
        <v>1.0616574870476958E-2</v>
      </c>
      <c r="D6" s="1">
        <v>-3.6560386215790552E-2</v>
      </c>
      <c r="E6" s="1">
        <v>9.4229873859785346E-3</v>
      </c>
      <c r="F6" s="1">
        <v>2.427876084165036E-2</v>
      </c>
      <c r="G6" s="1">
        <v>7.2500299185802265E-3</v>
      </c>
      <c r="I6" s="1" t="s">
        <v>1</v>
      </c>
      <c r="J6" s="1">
        <v>0.13149350916127914</v>
      </c>
      <c r="K6" s="1">
        <v>1.0000000000000002</v>
      </c>
      <c r="L6" s="1">
        <v>0.16760170442344621</v>
      </c>
      <c r="M6" s="1">
        <v>-0.19298744511907967</v>
      </c>
      <c r="N6" s="1">
        <v>0.10404820612546418</v>
      </c>
      <c r="O6" s="1">
        <v>0.29610569423492533</v>
      </c>
    </row>
    <row r="7" spans="1:15">
      <c r="A7" s="1">
        <v>201305</v>
      </c>
      <c r="B7" s="1">
        <v>1.5574273766546786E-2</v>
      </c>
      <c r="C7" s="1">
        <v>0.10405966166147075</v>
      </c>
      <c r="D7" s="1">
        <v>4.517350374877778E-2</v>
      </c>
      <c r="E7" s="1">
        <v>-4.7061845711598757E-2</v>
      </c>
      <c r="F7" s="1">
        <v>-5.6076161684032691E-2</v>
      </c>
      <c r="G7" s="1">
        <v>-6.5387231335621701E-2</v>
      </c>
      <c r="I7" s="1" t="s">
        <v>2</v>
      </c>
      <c r="J7" s="4">
        <v>0.16239648143857779</v>
      </c>
      <c r="K7" s="1">
        <v>0.16760170442344621</v>
      </c>
      <c r="L7" s="1">
        <v>1</v>
      </c>
      <c r="M7" s="1">
        <v>0.32580288085709019</v>
      </c>
      <c r="N7" s="1">
        <v>0.24924671506896323</v>
      </c>
      <c r="O7" s="1">
        <v>0.30798862089383966</v>
      </c>
    </row>
    <row r="8" spans="1:15">
      <c r="A8" s="1">
        <v>201306</v>
      </c>
      <c r="B8" s="1">
        <v>-0.11929824265785746</v>
      </c>
      <c r="C8" s="1">
        <v>-6.0349866930996636E-2</v>
      </c>
      <c r="D8" s="1">
        <v>-5.5900503628584465E-3</v>
      </c>
      <c r="E8" s="1">
        <v>4.1470907318119213E-2</v>
      </c>
      <c r="F8" s="1">
        <v>3.2656084355842926E-2</v>
      </c>
      <c r="G8" s="1">
        <v>3.6543866235176692E-2</v>
      </c>
      <c r="I8" s="1" t="s">
        <v>3</v>
      </c>
      <c r="J8" s="1">
        <v>1.7372768752860684E-2</v>
      </c>
      <c r="K8" s="1">
        <v>-0.19298744511907967</v>
      </c>
      <c r="L8" s="1">
        <v>0.32580288085709019</v>
      </c>
      <c r="M8" s="1">
        <v>1.0000000000000002</v>
      </c>
      <c r="N8" s="1">
        <v>0.3603259943829441</v>
      </c>
      <c r="O8" s="1">
        <v>0.31540221688148284</v>
      </c>
    </row>
    <row r="9" spans="1:15">
      <c r="A9" s="1">
        <v>201307</v>
      </c>
      <c r="B9" s="1">
        <v>0.13210207425431061</v>
      </c>
      <c r="C9" s="1">
        <v>0.12764864604151568</v>
      </c>
      <c r="D9" s="1">
        <v>5.75866904489995E-2</v>
      </c>
      <c r="E9" s="1">
        <v>3.0814018855572712E-2</v>
      </c>
      <c r="F9" s="1">
        <v>-9.3364122282015485E-3</v>
      </c>
      <c r="G9" s="1">
        <v>4.2633999771655426E-2</v>
      </c>
      <c r="I9" s="1" t="s">
        <v>4</v>
      </c>
      <c r="J9" s="1">
        <v>8.06737567041102E-2</v>
      </c>
      <c r="K9" s="1">
        <v>0.10404820612546418</v>
      </c>
      <c r="L9" s="1">
        <v>0.24924671506896323</v>
      </c>
      <c r="M9" s="1">
        <v>0.3603259943829441</v>
      </c>
      <c r="N9" s="1">
        <v>1</v>
      </c>
      <c r="O9" s="1">
        <v>0.36627387318553295</v>
      </c>
    </row>
    <row r="10" spans="1:15">
      <c r="A10" s="1">
        <v>201308</v>
      </c>
      <c r="B10" s="1">
        <v>7.3862010957941732E-2</v>
      </c>
      <c r="C10" s="1">
        <v>-3.3429406075503793E-2</v>
      </c>
      <c r="D10" s="1">
        <v>-5.1790267466689618E-2</v>
      </c>
      <c r="E10" s="1">
        <v>-8.7175887695364801E-2</v>
      </c>
      <c r="F10" s="1">
        <v>-3.8666165633560817E-2</v>
      </c>
      <c r="G10" s="1">
        <v>-2.7397040285852714E-2</v>
      </c>
      <c r="I10" s="1" t="s">
        <v>5</v>
      </c>
      <c r="J10" s="1">
        <v>4.3647340950172558E-2</v>
      </c>
      <c r="K10" s="1">
        <v>0.29610569423492533</v>
      </c>
      <c r="L10" s="1">
        <v>0.30798862089383966</v>
      </c>
      <c r="M10" s="1">
        <v>0.31540221688148284</v>
      </c>
      <c r="N10" s="1">
        <v>0.36627387318553295</v>
      </c>
      <c r="O10" s="1">
        <v>1.0000000000000002</v>
      </c>
    </row>
    <row r="11" spans="1:15">
      <c r="A11" s="1">
        <v>201309</v>
      </c>
      <c r="B11" s="1">
        <v>-1.5142672716868777E-2</v>
      </c>
      <c r="C11" s="1">
        <v>-2.2923717081852951E-2</v>
      </c>
      <c r="D11" s="1">
        <v>3.1896911225623929E-2</v>
      </c>
      <c r="E11" s="1">
        <v>-2.5598166121498081E-2</v>
      </c>
      <c r="F11" s="1">
        <v>2.7462380122017217E-2</v>
      </c>
      <c r="G11" s="1">
        <v>1.8265556438493692E-2</v>
      </c>
    </row>
    <row r="12" spans="1:15">
      <c r="A12" s="1">
        <v>201310</v>
      </c>
      <c r="B12" s="1">
        <v>9.2015361269485452E-2</v>
      </c>
      <c r="C12" s="1">
        <v>1.2945699517288497E-2</v>
      </c>
      <c r="D12" s="1">
        <v>9.7679143413806291E-2</v>
      </c>
      <c r="E12" s="1">
        <v>7.4144530563813815E-2</v>
      </c>
      <c r="F12" s="1">
        <v>3.2170127630729091E-3</v>
      </c>
      <c r="G12" s="1">
        <v>6.5994663997607547E-2</v>
      </c>
      <c r="I12" s="5" t="s">
        <v>8</v>
      </c>
    </row>
    <row r="13" spans="1:15">
      <c r="A13" s="1">
        <v>201311</v>
      </c>
      <c r="B13" s="1">
        <v>6.1886457385474623E-2</v>
      </c>
      <c r="C13" s="1">
        <v>0.12436295126176367</v>
      </c>
      <c r="D13" s="1">
        <v>1.9697702737478229E-2</v>
      </c>
      <c r="E13" s="1">
        <v>-4.2140560706033489E-2</v>
      </c>
      <c r="F13" s="1">
        <v>8.76784175171854E-3</v>
      </c>
      <c r="G13" s="1">
        <v>3.3325933168936735E-2</v>
      </c>
      <c r="I13" s="4">
        <f>CORREL(B3:B62,D3:D62)</f>
        <v>0.16239648143857779</v>
      </c>
    </row>
    <row r="14" spans="1:15">
      <c r="A14" s="1">
        <v>201312</v>
      </c>
      <c r="B14" s="1">
        <v>1.4684033963667254E-2</v>
      </c>
      <c r="C14" s="1">
        <v>-1.5929051186111376E-2</v>
      </c>
      <c r="D14" s="1">
        <v>5.0110971512103412E-2</v>
      </c>
      <c r="E14" s="1">
        <v>1.4546093948754234E-2</v>
      </c>
      <c r="F14" s="1">
        <v>4.7848710315593354E-3</v>
      </c>
      <c r="G14" s="1">
        <v>-2.7570434381472605E-2</v>
      </c>
    </row>
    <row r="15" spans="1:15">
      <c r="A15" s="1">
        <v>201401</v>
      </c>
      <c r="B15" s="1">
        <v>-0.11394947747108976</v>
      </c>
      <c r="C15" s="1">
        <v>7.3695919928913042E-2</v>
      </c>
      <c r="D15" s="1">
        <v>-0.10115413957437186</v>
      </c>
      <c r="E15" s="1">
        <v>-5.1922815116874035E-2</v>
      </c>
      <c r="F15" s="1">
        <v>-2.9918600742205953E-2</v>
      </c>
      <c r="G15" s="1">
        <v>-7.5376766224974382E-3</v>
      </c>
      <c r="I15" s="5" t="s">
        <v>10</v>
      </c>
    </row>
    <row r="16" spans="1:15">
      <c r="A16" s="1">
        <v>201402</v>
      </c>
      <c r="B16" s="1">
        <v>4.9950244724393182E-2</v>
      </c>
      <c r="C16" s="1">
        <v>-1.3221343683601025E-2</v>
      </c>
      <c r="D16" s="1">
        <v>1.3438779939060572E-2</v>
      </c>
      <c r="E16" s="1">
        <v>4.5680688667281782E-2</v>
      </c>
      <c r="F16" s="1">
        <v>1.0352751335604328E-2</v>
      </c>
      <c r="G16" s="1">
        <v>5.472502321231032E-2</v>
      </c>
      <c r="J16" s="1" t="s">
        <v>0</v>
      </c>
      <c r="K16" s="1" t="s">
        <v>1</v>
      </c>
      <c r="L16" s="1" t="s">
        <v>2</v>
      </c>
      <c r="M16" s="1" t="s">
        <v>3</v>
      </c>
      <c r="N16" s="1" t="s">
        <v>4</v>
      </c>
      <c r="O16" s="1" t="s">
        <v>5</v>
      </c>
    </row>
    <row r="17" spans="1:9">
      <c r="A17" s="1">
        <v>201403</v>
      </c>
      <c r="B17" s="1">
        <v>2.5724564559946685E-2</v>
      </c>
      <c r="C17" s="1">
        <v>3.9732621957452474E-2</v>
      </c>
      <c r="D17" s="1">
        <v>2.5054489584819577E-2</v>
      </c>
      <c r="E17" s="1">
        <v>3.2742127000646763E-2</v>
      </c>
      <c r="F17" s="1">
        <v>3.8302033771100925E-2</v>
      </c>
      <c r="G17" s="1">
        <v>8.6150991010519786E-3</v>
      </c>
      <c r="I17" s="1" t="s">
        <v>0</v>
      </c>
    </row>
    <row r="18" spans="1:9">
      <c r="A18" s="1">
        <v>201404</v>
      </c>
      <c r="B18" s="1">
        <v>9.4760932181781554E-2</v>
      </c>
      <c r="C18" s="1">
        <v>-0.12697140083988642</v>
      </c>
      <c r="D18" s="1">
        <v>3.7897808855653553E-2</v>
      </c>
      <c r="E18" s="1">
        <v>7.1241998076643581E-2</v>
      </c>
      <c r="F18" s="1">
        <v>3.3602391664620021E-2</v>
      </c>
      <c r="G18" s="1">
        <v>-2.6499700430042464E-2</v>
      </c>
      <c r="I18" s="1" t="s">
        <v>1</v>
      </c>
    </row>
    <row r="19" spans="1:9">
      <c r="A19" s="1">
        <v>201405</v>
      </c>
      <c r="B19" s="1">
        <v>7.019588945481299E-2</v>
      </c>
      <c r="C19" s="1">
        <v>0</v>
      </c>
      <c r="D19" s="1">
        <v>-3.725924126388979E-3</v>
      </c>
      <c r="E19" s="1">
        <v>3.1664586126872965E-2</v>
      </c>
      <c r="F19" s="1">
        <v>4.9293701329646E-4</v>
      </c>
      <c r="G19" s="1">
        <v>-5.419136347294843E-2</v>
      </c>
      <c r="I19" s="1" t="s">
        <v>2</v>
      </c>
    </row>
    <row r="20" spans="1:9">
      <c r="A20" s="1">
        <v>201406</v>
      </c>
      <c r="B20" s="1">
        <v>3.2855644582535599E-2</v>
      </c>
      <c r="C20" s="1">
        <v>1.5077389161042223E-2</v>
      </c>
      <c r="D20" s="1">
        <v>-1.9220738638873656E-2</v>
      </c>
      <c r="E20" s="1">
        <v>-4.1932064781704054E-2</v>
      </c>
      <c r="F20" s="1">
        <v>1.2020753383568889E-3</v>
      </c>
      <c r="G20" s="1">
        <v>1.055974523793243E-2</v>
      </c>
      <c r="I20" s="1" t="s">
        <v>3</v>
      </c>
    </row>
    <row r="21" spans="1:9">
      <c r="A21" s="1">
        <v>201407</v>
      </c>
      <c r="B21" s="1">
        <v>2.8326750364754561E-2</v>
      </c>
      <c r="C21" s="1">
        <v>-7.1950115816693866E-3</v>
      </c>
      <c r="D21" s="1">
        <v>-3.5735148143200418E-2</v>
      </c>
      <c r="E21" s="1">
        <v>-9.3591795412605983E-2</v>
      </c>
      <c r="F21" s="1">
        <v>-6.3308093336180579E-2</v>
      </c>
      <c r="G21" s="1">
        <v>-3.357630166154283E-2</v>
      </c>
      <c r="I21" s="1" t="s">
        <v>4</v>
      </c>
    </row>
    <row r="22" spans="1:9">
      <c r="A22" s="1">
        <v>201408</v>
      </c>
      <c r="B22" s="1">
        <v>6.9689929545084961E-2</v>
      </c>
      <c r="C22" s="1">
        <v>5.3618718812632547E-2</v>
      </c>
      <c r="D22" s="1">
        <v>3.2469292746907852E-2</v>
      </c>
      <c r="E22" s="1">
        <v>8.2418385083457196E-2</v>
      </c>
      <c r="F22" s="1">
        <v>-8.9232100623222246E-3</v>
      </c>
      <c r="G22" s="1">
        <v>3.2541021109877243E-2</v>
      </c>
      <c r="I22" s="1" t="s">
        <v>5</v>
      </c>
    </row>
    <row r="23" spans="1:9">
      <c r="A23" s="1">
        <v>201409</v>
      </c>
      <c r="B23" s="1">
        <v>-1.2259169894040496E-2</v>
      </c>
      <c r="C23" s="1">
        <v>5.7952254088044657E-2</v>
      </c>
      <c r="D23" s="1">
        <v>-1.3953527315368544E-2</v>
      </c>
      <c r="E23" s="1">
        <v>-4.5729399921009474E-2</v>
      </c>
      <c r="F23" s="1">
        <v>2.0158238243741168E-2</v>
      </c>
      <c r="G23" s="1">
        <v>6.1062089116216793E-3</v>
      </c>
    </row>
    <row r="24" spans="1:9">
      <c r="A24" s="1">
        <v>201410</v>
      </c>
      <c r="B24" s="1">
        <v>6.9489140118043566E-2</v>
      </c>
      <c r="C24" s="1">
        <v>9.5088339350321207E-3</v>
      </c>
      <c r="D24" s="1">
        <v>1.5798381202760448E-2</v>
      </c>
      <c r="E24" s="1">
        <v>3.7596372640245145E-2</v>
      </c>
      <c r="F24" s="1">
        <v>-1.1456715050321278E-2</v>
      </c>
      <c r="G24" s="1">
        <v>1.2768846432763308E-2</v>
      </c>
    </row>
    <row r="25" spans="1:9">
      <c r="A25" s="1">
        <v>201411</v>
      </c>
      <c r="B25" s="1">
        <v>9.6403737551735036E-2</v>
      </c>
      <c r="C25" s="1">
        <v>-7.0176484115520143E-3</v>
      </c>
      <c r="D25" s="1">
        <v>2.6005432824540785E-2</v>
      </c>
      <c r="E25" s="1">
        <v>3.5177615383061245E-2</v>
      </c>
      <c r="F25" s="1">
        <v>3.2331953549003423E-2</v>
      </c>
      <c r="G25" s="1">
        <v>3.9284865286823956E-2</v>
      </c>
    </row>
    <row r="26" spans="1:9">
      <c r="A26" s="1">
        <v>201412</v>
      </c>
      <c r="B26" s="1">
        <v>-7.0279372705631837E-2</v>
      </c>
      <c r="C26" s="1">
        <v>4.8677933020241641E-2</v>
      </c>
      <c r="D26" s="1">
        <v>-4.7149584898430442E-2</v>
      </c>
      <c r="E26" s="1">
        <v>-4.7512556580653394E-3</v>
      </c>
      <c r="F26" s="1">
        <v>-2.3850650154715346E-2</v>
      </c>
      <c r="G26" s="1">
        <v>8.6234005687737553E-3</v>
      </c>
    </row>
    <row r="27" spans="1:9">
      <c r="A27" s="1">
        <v>201501</v>
      </c>
      <c r="B27" s="1">
        <v>5.9611710206419019E-2</v>
      </c>
      <c r="C27" s="1">
        <v>-0.16332136118536766</v>
      </c>
      <c r="D27" s="1">
        <v>-4.6787047883733758E-2</v>
      </c>
      <c r="E27" s="1">
        <v>2.1372445397634652E-3</v>
      </c>
      <c r="F27" s="1">
        <v>-1.353821207707899E-2</v>
      </c>
      <c r="G27" s="1">
        <v>3.2051783624651217E-3</v>
      </c>
    </row>
    <row r="28" spans="1:9">
      <c r="A28" s="1">
        <v>201502</v>
      </c>
      <c r="B28" s="1">
        <v>9.2076947994597799E-2</v>
      </c>
      <c r="C28" s="1">
        <v>4.2642145528084374E-2</v>
      </c>
      <c r="D28" s="1">
        <v>8.4251816081442873E-2</v>
      </c>
      <c r="E28" s="1">
        <v>-1.6915571804436202E-2</v>
      </c>
      <c r="F28" s="1">
        <v>6.7549510941414884E-2</v>
      </c>
      <c r="G28" s="1">
        <v>9.370901643624549E-2</v>
      </c>
    </row>
    <row r="29" spans="1:9">
      <c r="A29" s="1">
        <v>201503</v>
      </c>
      <c r="B29" s="1">
        <v>-2.7935394211885563E-2</v>
      </c>
      <c r="C29" s="1">
        <v>-2.6924761107926066E-2</v>
      </c>
      <c r="D29" s="1">
        <v>-3.7314395685990251E-2</v>
      </c>
      <c r="E29" s="1">
        <v>2.254149656611347E-2</v>
      </c>
      <c r="F29" s="1">
        <v>-6.2196548127684227E-3</v>
      </c>
      <c r="G29" s="1">
        <v>2.2384637499489358E-2</v>
      </c>
    </row>
    <row r="30" spans="1:9">
      <c r="A30" s="1">
        <v>201504</v>
      </c>
      <c r="B30" s="1">
        <v>5.7696207407543837E-3</v>
      </c>
      <c r="C30" s="1">
        <v>3.7608152445276169E-2</v>
      </c>
      <c r="D30" s="1">
        <v>8.7548599161850399E-2</v>
      </c>
      <c r="E30" s="1">
        <v>-3.2942397878095393E-2</v>
      </c>
      <c r="F30" s="1">
        <v>-9.1758891461913659E-3</v>
      </c>
      <c r="G30" s="1">
        <v>-2.503042097133349E-2</v>
      </c>
    </row>
    <row r="31" spans="1:9">
      <c r="A31" s="1">
        <v>201505</v>
      </c>
      <c r="B31" s="1">
        <v>4.0172977102981983E-2</v>
      </c>
      <c r="C31" s="1">
        <v>3.5156449697110279E-2</v>
      </c>
      <c r="D31" s="1">
        <v>6.9917273286436181E-3</v>
      </c>
      <c r="E31" s="1">
        <v>-8.882041027690097E-3</v>
      </c>
      <c r="F31" s="1">
        <v>-6.4423481949671697E-3</v>
      </c>
      <c r="G31" s="1">
        <v>2.3879946308343853E-2</v>
      </c>
    </row>
    <row r="32" spans="1:9">
      <c r="A32" s="1">
        <v>201506</v>
      </c>
      <c r="B32" s="1">
        <v>-3.3769660092049403E-2</v>
      </c>
      <c r="C32" s="1">
        <v>3.1028664996007767E-2</v>
      </c>
      <c r="D32" s="1">
        <v>-2.6004605024912014E-2</v>
      </c>
      <c r="E32" s="1">
        <v>6.6626632633997734E-3</v>
      </c>
      <c r="F32" s="1">
        <v>-3.5253136897822759E-4</v>
      </c>
      <c r="G32" s="1">
        <v>-2.7498411320791255E-2</v>
      </c>
    </row>
    <row r="33" spans="1:7">
      <c r="A33" s="1">
        <v>201507</v>
      </c>
      <c r="B33" s="1">
        <v>-3.3480985456465384E-2</v>
      </c>
      <c r="C33" s="1">
        <v>5.2288444186736317E-2</v>
      </c>
      <c r="D33" s="1">
        <v>-9.3776063433524109E-3</v>
      </c>
      <c r="E33" s="1">
        <v>5.3865667707804668E-2</v>
      </c>
      <c r="F33" s="1">
        <v>4.9155798945501462E-2</v>
      </c>
      <c r="G33" s="1">
        <v>7.2743497719103281E-2</v>
      </c>
    </row>
    <row r="34" spans="1:7">
      <c r="A34" s="1">
        <v>201508</v>
      </c>
      <c r="B34" s="1">
        <v>-7.3005075312835538E-2</v>
      </c>
      <c r="C34" s="1">
        <v>-9.0066471631685546E-2</v>
      </c>
      <c r="D34" s="1">
        <v>-5.0285192506888579E-2</v>
      </c>
      <c r="E34" s="1">
        <v>1.6609441597204993E-3</v>
      </c>
      <c r="F34" s="1">
        <v>-4.9681874655663545E-2</v>
      </c>
      <c r="G34" s="1">
        <v>-0.11259715820638788</v>
      </c>
    </row>
    <row r="35" spans="1:7">
      <c r="A35" s="1">
        <v>201509</v>
      </c>
      <c r="B35" s="1">
        <v>-1.7541600991826146E-2</v>
      </c>
      <c r="C35" s="1">
        <v>-4.7628209709419368E-2</v>
      </c>
      <c r="D35" s="1">
        <v>1.5987430287042467E-2</v>
      </c>
      <c r="E35" s="1">
        <v>1.1516008872845436E-2</v>
      </c>
      <c r="F35" s="1">
        <v>4.5045240093870842E-2</v>
      </c>
      <c r="G35" s="1">
        <v>-1.7676661573608733E-2</v>
      </c>
    </row>
    <row r="36" spans="1:7">
      <c r="A36" s="1">
        <v>201510</v>
      </c>
      <c r="B36" s="1">
        <v>8.0112250828009476E-2</v>
      </c>
      <c r="C36" s="1">
        <v>7.7414260462866855E-2</v>
      </c>
      <c r="D36" s="1">
        <v>0.14580576771794668</v>
      </c>
      <c r="E36" s="1">
        <v>5.7942762923608858E-2</v>
      </c>
      <c r="F36" s="1">
        <v>0.13036730407171662</v>
      </c>
      <c r="G36" s="1">
        <v>7.3926224430160531E-2</v>
      </c>
    </row>
    <row r="37" spans="1:7">
      <c r="A37" s="1">
        <v>201511</v>
      </c>
      <c r="B37" s="1">
        <v>-1.009242032790204E-2</v>
      </c>
      <c r="C37" s="1">
        <v>3.800506683132561E-2</v>
      </c>
      <c r="D37" s="1">
        <v>3.4661788160694776E-2</v>
      </c>
      <c r="E37" s="1">
        <v>-2.5128706049978203E-2</v>
      </c>
      <c r="F37" s="1">
        <v>1.687242660282965E-2</v>
      </c>
      <c r="G37" s="1">
        <v>-3.1539054594696476E-2</v>
      </c>
    </row>
    <row r="38" spans="1:7">
      <c r="A38" s="1">
        <v>201512</v>
      </c>
      <c r="B38" s="1">
        <v>-0.11251896036252325</v>
      </c>
      <c r="C38" s="1">
        <v>-3.5029993783124727E-2</v>
      </c>
      <c r="D38" s="1">
        <v>3.961918274705873E-2</v>
      </c>
      <c r="E38" s="1">
        <v>5.6895401338585741E-2</v>
      </c>
      <c r="F38" s="1">
        <v>4.2079828220117001E-2</v>
      </c>
      <c r="G38" s="1">
        <v>-7.0264788495023461E-3</v>
      </c>
    </row>
    <row r="39" spans="1:7">
      <c r="A39" s="1">
        <v>201601</v>
      </c>
      <c r="B39" s="1">
        <v>-7.8223309636057545E-2</v>
      </c>
      <c r="C39" s="1">
        <v>-0.17134380083043363</v>
      </c>
      <c r="D39" s="1">
        <v>-6.0624280028320612E-2</v>
      </c>
      <c r="E39" s="1">
        <v>1.6059409628489708E-2</v>
      </c>
      <c r="F39" s="1">
        <v>4.6635595608715573E-2</v>
      </c>
      <c r="G39" s="1">
        <v>-5.7048939350612088E-2</v>
      </c>
    </row>
    <row r="40" spans="1:7">
      <c r="A40" s="1">
        <v>201602</v>
      </c>
      <c r="B40" s="1">
        <v>-6.700209921030942E-3</v>
      </c>
      <c r="C40" s="1">
        <v>-0.12168026411370199</v>
      </c>
      <c r="D40" s="1">
        <v>1.3736208110601107E-3</v>
      </c>
      <c r="E40" s="1">
        <v>7.8666391962553799E-3</v>
      </c>
      <c r="F40" s="1">
        <v>-5.4709468080205999E-2</v>
      </c>
      <c r="G40" s="1">
        <v>-2.7262480854908382E-2</v>
      </c>
    </row>
    <row r="41" spans="1:7">
      <c r="A41" s="1">
        <v>201603</v>
      </c>
      <c r="B41" s="1">
        <v>0.12515778676266304</v>
      </c>
      <c r="C41" s="1">
        <v>7.6842725066991066E-2</v>
      </c>
      <c r="D41" s="1">
        <v>9.5013401842087383E-2</v>
      </c>
      <c r="E41" s="1">
        <v>4.0305540199069338E-2</v>
      </c>
      <c r="F41" s="1">
        <v>7.748956124912236E-2</v>
      </c>
      <c r="G41" s="1">
        <v>8.9918966342742643E-3</v>
      </c>
    </row>
    <row r="42" spans="1:7">
      <c r="A42" s="1">
        <v>201604</v>
      </c>
      <c r="B42" s="1">
        <v>-0.15073132534207628</v>
      </c>
      <c r="C42" s="1">
        <v>7.790590148815342E-2</v>
      </c>
      <c r="D42" s="1">
        <v>-3.3261680277080131E-2</v>
      </c>
      <c r="E42" s="1">
        <v>3.3909206737917108E-3</v>
      </c>
      <c r="F42" s="1">
        <v>6.4242628751555956E-3</v>
      </c>
      <c r="G42" s="1">
        <v>9.8555951368465788E-2</v>
      </c>
    </row>
    <row r="43" spans="1:7">
      <c r="A43" s="1">
        <v>201605</v>
      </c>
      <c r="B43" s="1">
        <v>6.3244377485646985E-2</v>
      </c>
      <c r="C43" s="1">
        <v>1.5672964246933482E-2</v>
      </c>
      <c r="D43" s="1">
        <v>-1.7055063730501609E-2</v>
      </c>
      <c r="E43" s="1">
        <v>-3.2282172274538307E-2</v>
      </c>
      <c r="F43" s="1">
        <v>-3.5650691665471343E-2</v>
      </c>
      <c r="G43" s="1">
        <v>5.9058986327411273E-2</v>
      </c>
    </row>
    <row r="44" spans="1:7">
      <c r="A44" s="1">
        <v>201606</v>
      </c>
      <c r="B44" s="1">
        <v>-3.7526200690057201E-2</v>
      </c>
      <c r="C44" s="1">
        <v>-0.10844515926472591</v>
      </c>
      <c r="D44" s="1">
        <v>4.0517305565187116E-2</v>
      </c>
      <c r="E44" s="1">
        <v>0.10004905840824568</v>
      </c>
      <c r="F44" s="1">
        <v>-1.4191648158287856E-2</v>
      </c>
      <c r="G44" s="1">
        <v>2.3505805622902963E-2</v>
      </c>
    </row>
    <row r="45" spans="1:7">
      <c r="A45" s="1">
        <v>201607</v>
      </c>
      <c r="B45" s="1">
        <v>8.6234927001983486E-2</v>
      </c>
      <c r="C45" s="1">
        <v>9.1339123898327532E-2</v>
      </c>
      <c r="D45" s="1">
        <v>-3.311846009487304E-3</v>
      </c>
      <c r="E45" s="1">
        <v>1.2898769960539014E-2</v>
      </c>
      <c r="F45" s="1">
        <v>-1.5283261962802809E-2</v>
      </c>
      <c r="G45" s="1">
        <v>4.6610154733056401E-2</v>
      </c>
    </row>
    <row r="46" spans="1:7">
      <c r="A46" s="1">
        <v>201608</v>
      </c>
      <c r="B46" s="1">
        <v>1.797378171353169E-2</v>
      </c>
      <c r="C46" s="1">
        <v>0.10784195648849157</v>
      </c>
      <c r="D46" s="1">
        <v>3.2060794905155467E-3</v>
      </c>
      <c r="E46" s="1">
        <v>-6.0640991347034722E-3</v>
      </c>
      <c r="F46" s="1">
        <v>-1.7059065812568074E-2</v>
      </c>
      <c r="G46" s="1">
        <v>-5.832292976601474E-2</v>
      </c>
    </row>
    <row r="47" spans="1:7">
      <c r="A47" s="1">
        <v>201609</v>
      </c>
      <c r="B47" s="1">
        <v>6.8851060590887858E-2</v>
      </c>
      <c r="C47" s="1">
        <v>-2.618646066206114E-2</v>
      </c>
      <c r="D47" s="1">
        <v>-5.3249542950717675E-2</v>
      </c>
      <c r="E47" s="1">
        <v>-5.3109407239544153E-2</v>
      </c>
      <c r="F47" s="1">
        <v>5.1444469554103233E-3</v>
      </c>
      <c r="G47" s="1">
        <v>-1.8809655163366482E-2</v>
      </c>
    </row>
    <row r="48" spans="1:7">
      <c r="A48" s="1">
        <v>201610</v>
      </c>
      <c r="B48" s="1">
        <v>4.3247689679152893E-3</v>
      </c>
      <c r="C48" s="1">
        <v>5.2889441678937471E-2</v>
      </c>
      <c r="D48" s="1">
        <v>-9.9370840005257709E-3</v>
      </c>
      <c r="E48" s="1">
        <v>-3.0671056747272218E-2</v>
      </c>
      <c r="F48" s="1">
        <v>-2.4482812421004887E-2</v>
      </c>
      <c r="G48" s="1">
        <v>-6.5897488456845732E-2</v>
      </c>
    </row>
    <row r="49" spans="1:7">
      <c r="A49" s="1">
        <v>201611</v>
      </c>
      <c r="B49" s="1">
        <v>-2.6958358788238108E-2</v>
      </c>
      <c r="C49" s="1">
        <v>0.24686010808683798</v>
      </c>
      <c r="D49" s="1">
        <v>5.5476779864590403E-2</v>
      </c>
      <c r="E49" s="1">
        <v>-4.2553603394346801E-2</v>
      </c>
      <c r="F49" s="1">
        <v>5.7814801344033599E-2</v>
      </c>
      <c r="G49" s="1">
        <v>1.346935939766398E-2</v>
      </c>
    </row>
    <row r="50" spans="1:7">
      <c r="A50" s="1">
        <v>201612</v>
      </c>
      <c r="B50" s="1">
        <v>5.1961696305445726E-2</v>
      </c>
      <c r="C50" s="1">
        <v>4.9060381817347808E-2</v>
      </c>
      <c r="D50" s="1">
        <v>2.6941963344248965E-2</v>
      </c>
      <c r="E50" s="1">
        <v>3.0534602251903343E-2</v>
      </c>
      <c r="F50" s="1">
        <v>2.8079728469691055E-2</v>
      </c>
      <c r="G50" s="1">
        <v>2.044712948267266E-2</v>
      </c>
    </row>
    <row r="51" spans="1:7">
      <c r="A51" s="1">
        <v>201701</v>
      </c>
      <c r="B51" s="1">
        <v>4.6641562361281412E-2</v>
      </c>
      <c r="C51" s="1">
        <v>2.4140735214356095E-2</v>
      </c>
      <c r="D51" s="1">
        <v>-5.4512426636580083E-2</v>
      </c>
      <c r="E51" s="1">
        <v>-1.3659596382477856E-2</v>
      </c>
      <c r="F51" s="1">
        <v>6.9588481840764521E-3</v>
      </c>
      <c r="G51" s="1">
        <v>-2.3361785674554013E-2</v>
      </c>
    </row>
    <row r="52" spans="1:7">
      <c r="A52" s="1">
        <v>201702</v>
      </c>
      <c r="B52" s="1">
        <v>0.12122933045822523</v>
      </c>
      <c r="C52" s="1">
        <v>8.6274710793885337E-2</v>
      </c>
      <c r="D52" s="1">
        <v>3.6970134637703787E-3</v>
      </c>
      <c r="E52" s="1">
        <v>1.8531843810813617E-2</v>
      </c>
      <c r="F52" s="1">
        <v>4.0609994722968293E-2</v>
      </c>
      <c r="G52" s="1">
        <v>7.2620849151300251E-2</v>
      </c>
    </row>
    <row r="53" spans="1:7">
      <c r="A53" s="1">
        <v>201703</v>
      </c>
      <c r="B53" s="1">
        <v>5.1867519169287959E-2</v>
      </c>
      <c r="C53" s="1">
        <v>-4.5170078262066898E-2</v>
      </c>
      <c r="D53" s="1">
        <v>7.6086692948028663E-3</v>
      </c>
      <c r="E53" s="1">
        <v>-1.2972027567273531E-2</v>
      </c>
      <c r="F53" s="1">
        <v>2.2571247400588586E-2</v>
      </c>
      <c r="G53" s="1">
        <v>1.2770814291641357E-2</v>
      </c>
    </row>
    <row r="54" spans="1:7">
      <c r="A54" s="1">
        <v>201704</v>
      </c>
      <c r="B54" s="1">
        <v>-6.9499544355747781E-5</v>
      </c>
      <c r="C54" s="1">
        <v>-7.6105462423930494E-3</v>
      </c>
      <c r="D54" s="1">
        <v>-2.7557189998703775E-2</v>
      </c>
      <c r="E54" s="1">
        <v>-2.2422732722566244E-2</v>
      </c>
      <c r="F54" s="1">
        <v>7.6612359330665389E-2</v>
      </c>
      <c r="G54" s="1">
        <v>-8.5133438720320243E-3</v>
      </c>
    </row>
    <row r="55" spans="1:7">
      <c r="A55" s="1">
        <v>201705</v>
      </c>
      <c r="B55" s="1">
        <v>6.1488072447366135E-2</v>
      </c>
      <c r="C55" s="1">
        <v>-4.0661531605939993E-2</v>
      </c>
      <c r="D55" s="1">
        <v>-5.7138175005015224E-2</v>
      </c>
      <c r="E55" s="1">
        <v>8.4150131677983488E-3</v>
      </c>
      <c r="F55" s="1">
        <v>7.5408554335821179E-2</v>
      </c>
      <c r="G55" s="1">
        <v>-3.8159874685927436E-2</v>
      </c>
    </row>
    <row r="56" spans="1:7">
      <c r="A56" s="1">
        <v>201706</v>
      </c>
      <c r="B56" s="1">
        <v>-5.479672688136384E-2</v>
      </c>
      <c r="C56" s="1">
        <v>8.2600444759216601E-2</v>
      </c>
      <c r="D56" s="1">
        <v>-1.3605646755949321E-2</v>
      </c>
      <c r="E56" s="1">
        <v>-2.3157441541396456E-2</v>
      </c>
      <c r="F56" s="1">
        <v>1.4932424947231869E-2</v>
      </c>
      <c r="G56" s="1">
        <v>3.8016323975548771E-2</v>
      </c>
    </row>
    <row r="57" spans="1:7">
      <c r="A57" s="1">
        <v>201707</v>
      </c>
      <c r="B57" s="1">
        <v>3.2180499107415397E-2</v>
      </c>
      <c r="C57" s="1">
        <v>-5.7872307524362678E-3</v>
      </c>
      <c r="D57" s="1">
        <v>-4.4823991847646003E-2</v>
      </c>
      <c r="E57" s="1">
        <v>-2.1243429159931097E-2</v>
      </c>
      <c r="F57" s="1">
        <v>1.9093445604748575E-2</v>
      </c>
      <c r="G57" s="1">
        <v>-1.2884044452410398E-2</v>
      </c>
    </row>
    <row r="58" spans="1:7">
      <c r="A58" s="1">
        <v>201708</v>
      </c>
      <c r="B58" s="1">
        <v>9.7733959804912479E-2</v>
      </c>
      <c r="C58" s="1">
        <v>-9.5815683449401584E-3</v>
      </c>
      <c r="D58" s="1">
        <v>-4.227087433973848E-2</v>
      </c>
      <c r="E58" s="1">
        <v>-3.8068599031518623E-2</v>
      </c>
      <c r="F58" s="1">
        <v>3.0658739631597914E-2</v>
      </c>
      <c r="G58" s="1">
        <v>2.2660383251980765E-2</v>
      </c>
    </row>
    <row r="59" spans="1:7">
      <c r="A59" s="1">
        <v>201709</v>
      </c>
      <c r="B59" s="1">
        <v>-5.8215863798411725E-2</v>
      </c>
      <c r="C59" s="1">
        <v>6.4026299590261487E-2</v>
      </c>
      <c r="D59" s="1">
        <v>-1.5186210861434415E-2</v>
      </c>
      <c r="E59" s="1">
        <v>-4.0176562858306314E-2</v>
      </c>
      <c r="F59" s="1">
        <v>-1.486578770842718E-2</v>
      </c>
      <c r="G59" s="1">
        <v>6.0866614434046284E-2</v>
      </c>
    </row>
    <row r="60" spans="1:7">
      <c r="A60" s="1">
        <v>201710</v>
      </c>
      <c r="B60" s="1">
        <v>9.2403828782909078E-2</v>
      </c>
      <c r="C60" s="1">
        <v>7.779381850171703E-2</v>
      </c>
      <c r="D60" s="1">
        <v>-0.17188307754751878</v>
      </c>
      <c r="E60" s="1">
        <v>2.5619533017831098E-3</v>
      </c>
      <c r="F60" s="1">
        <v>6.3249426330293207E-2</v>
      </c>
      <c r="G60" s="1">
        <v>-1.8090133956734068E-2</v>
      </c>
    </row>
    <row r="61" spans="1:7">
      <c r="A61" s="1">
        <v>201711</v>
      </c>
      <c r="B61" s="1">
        <v>1.6486649349886376E-2</v>
      </c>
      <c r="C61" s="1">
        <v>2.8079497521180496E-2</v>
      </c>
      <c r="D61" s="1">
        <v>-9.7346211807237792E-2</v>
      </c>
      <c r="E61" s="1">
        <v>5.6429691244119097E-2</v>
      </c>
      <c r="F61" s="1">
        <v>2.9865421850360681E-2</v>
      </c>
      <c r="G61" s="1">
        <v>3.3654560116583583E-2</v>
      </c>
    </row>
    <row r="62" spans="1:7">
      <c r="A62" s="1">
        <v>201712</v>
      </c>
      <c r="B62" s="1">
        <v>-1.1774693315050945E-2</v>
      </c>
      <c r="C62" s="1">
        <v>5.1062785528496753E-2</v>
      </c>
      <c r="D62" s="1">
        <v>-4.7014846113989421E-2</v>
      </c>
      <c r="E62" s="1">
        <v>3.5254192215803483E-2</v>
      </c>
      <c r="F62" s="1">
        <v>6.8155607481414854E-3</v>
      </c>
      <c r="G62" s="1">
        <v>7.9923852766357901E-3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tmpuser</dc:creator>
  <cp:lastModifiedBy>Jinghan MENG</cp:lastModifiedBy>
  <dcterms:created xsi:type="dcterms:W3CDTF">2015-10-28T02:16:09Z</dcterms:created>
  <dcterms:modified xsi:type="dcterms:W3CDTF">2025-01-20T13:55:38Z</dcterms:modified>
</cp:coreProperties>
</file>