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2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donng/Desktop/Fina3351/Finals/Past Exam Sample Questions-20250429/"/>
    </mc:Choice>
  </mc:AlternateContent>
  <xr:revisionPtr revIDLastSave="0" documentId="13_ncr:1_{93B670B2-FFE5-7245-A8FD-72A0ACCCA59D}" xr6:coauthVersionLast="47" xr6:coauthVersionMax="47" xr10:uidLastSave="{00000000-0000-0000-0000-000000000000}"/>
  <bookViews>
    <workbookView xWindow="0" yWindow="740" windowWidth="29400" windowHeight="17220" xr2:uid="{00000000-000D-0000-FFFF-FFFF00000000}"/>
  </bookViews>
  <sheets>
    <sheet name="Q1" sheetId="1" r:id="rId1"/>
    <sheet name="Q2" sheetId="5" r:id="rId2"/>
    <sheet name="AMZN" sheetId="6" r:id="rId3"/>
    <sheet name="GM" sheetId="7" r:id="rId4"/>
    <sheet name="JPM" sheetId="8" r:id="rId5"/>
    <sheet name="FF5 Factors" sheetId="9" r:id="rId6"/>
  </sheets>
  <functionGroups builtInGroupCount="19"/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" i="1" l="1"/>
  <c r="T5" i="1"/>
  <c r="U5" i="1"/>
  <c r="S5" i="1"/>
  <c r="R5" i="1"/>
  <c r="Q5" i="1"/>
  <c r="P5" i="1"/>
  <c r="I5" i="1"/>
  <c r="J5" i="1"/>
  <c r="H5" i="1"/>
  <c r="I4" i="1"/>
  <c r="J4" i="1"/>
  <c r="H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4" i="1"/>
  <c r="J21" i="1"/>
  <c r="I21" i="1"/>
  <c r="H21" i="1"/>
  <c r="B12" i="5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4" i="1"/>
  <c r="M7" i="1" a="1"/>
  <c r="M11" i="1" a="1"/>
  <c r="M15" i="1" a="1"/>
  <c r="M8" i="1" a="1"/>
  <c r="M12" i="1" a="1"/>
  <c r="M16" i="1" a="1"/>
  <c r="M9" i="1" a="1"/>
  <c r="M13" i="1" a="1"/>
  <c r="M17" i="1" a="1"/>
  <c r="M10" i="1" a="1"/>
  <c r="M14" i="1" a="1"/>
  <c r="H15" i="1" a="1"/>
  <c r="H9" i="1" a="1"/>
  <c r="M6" i="1" a="1"/>
  <c r="Q6" i="1" l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R6" i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M6" i="1"/>
  <c r="P6" i="1" s="1"/>
  <c r="M14" i="1"/>
  <c r="M10" i="1"/>
  <c r="M17" i="1"/>
  <c r="M13" i="1"/>
  <c r="M9" i="1"/>
  <c r="M16" i="1"/>
  <c r="M12" i="1"/>
  <c r="M8" i="1"/>
  <c r="M15" i="1"/>
  <c r="M11" i="1"/>
  <c r="M7" i="1"/>
  <c r="H15" i="1"/>
  <c r="H9" i="1"/>
  <c r="V6" i="1" l="1"/>
  <c r="P7" i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S6" i="1" l="1"/>
  <c r="T6" i="1"/>
  <c r="U6" i="1"/>
  <c r="V7" i="1" l="1"/>
  <c r="S7" i="1" s="1"/>
  <c r="U7" i="1" l="1"/>
  <c r="T7" i="1"/>
  <c r="V8" i="1" l="1"/>
  <c r="U8" i="1" s="1"/>
  <c r="T8" i="1" l="1"/>
  <c r="S8" i="1"/>
  <c r="V9" i="1" l="1"/>
  <c r="U9" i="1" l="1"/>
  <c r="S9" i="1"/>
  <c r="T9" i="1"/>
  <c r="V10" i="1" l="1"/>
  <c r="S10" i="1" l="1"/>
  <c r="U10" i="1"/>
  <c r="T10" i="1"/>
  <c r="V11" i="1" s="1"/>
  <c r="S11" i="1" l="1"/>
  <c r="U11" i="1"/>
  <c r="T11" i="1"/>
  <c r="V12" i="1" l="1"/>
  <c r="T12" i="1" l="1"/>
  <c r="U12" i="1"/>
  <c r="S12" i="1"/>
  <c r="V13" i="1" s="1"/>
  <c r="S13" i="1" l="1"/>
  <c r="T13" i="1"/>
  <c r="U13" i="1"/>
  <c r="V14" i="1" l="1"/>
  <c r="U14" i="1" l="1"/>
  <c r="T14" i="1"/>
  <c r="S14" i="1"/>
  <c r="V15" i="1" s="1"/>
  <c r="S15" i="1" l="1"/>
  <c r="U15" i="1"/>
  <c r="T15" i="1"/>
  <c r="V16" i="1" l="1"/>
  <c r="S16" i="1" l="1"/>
  <c r="U16" i="1"/>
  <c r="T16" i="1"/>
  <c r="V17" i="1" l="1"/>
  <c r="M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<sst xmlns="http://schemas.openxmlformats.org/spreadsheetml/2006/main" count="108" uniqueCount="59">
  <si>
    <t>Date</t>
  </si>
  <si>
    <t>Open</t>
  </si>
  <si>
    <t>High</t>
  </si>
  <si>
    <t>Low</t>
  </si>
  <si>
    <t>Close</t>
  </si>
  <si>
    <t>Adj Close</t>
  </si>
  <si>
    <t>Volume</t>
  </si>
  <si>
    <t>Log Returns (Monthly)</t>
  </si>
  <si>
    <t>YearMonth</t>
  </si>
  <si>
    <t>AMZN</t>
  </si>
  <si>
    <t>GM</t>
  </si>
  <si>
    <t>JPM</t>
  </si>
  <si>
    <t>(2) Input Table:</t>
  </si>
  <si>
    <t>Expected return E(r)</t>
  </si>
  <si>
    <t>Variance-Covariance Matrix (Sample Estimation)</t>
  </si>
  <si>
    <t>Correlation Matrix (Sample Estimation)</t>
  </si>
  <si>
    <t>This file was created by CMPT_ME_BEME_OP_INV_RETS using the 202212 CRSP database.</t>
  </si>
  <si>
    <t>The 1-month TBill return is from Ibbotson and Associates Inc.</t>
  </si>
  <si>
    <t>Mkt-RF</t>
  </si>
  <si>
    <t>SMB</t>
  </si>
  <si>
    <t>HML</t>
  </si>
  <si>
    <t>RMW</t>
  </si>
  <si>
    <t>CMA</t>
  </si>
  <si>
    <t>RF</t>
  </si>
  <si>
    <t xml:space="preserve"> Annual Factors: January-December </t>
  </si>
  <si>
    <t>Link: http://mba.tuck.dartmouth.edu/pages/faculty/ken.french/ftp/F-F_Research_Data_5_Factors_2x3_CSV.zip</t>
  </si>
  <si>
    <t>Details: http://mba.tuck.dartmouth.edu/pages/faculty/ken.french/Data_Library/f-f_5_factors_2x3.html</t>
  </si>
  <si>
    <t>Initial investment (on 01/01/2023)</t>
  </si>
  <si>
    <t>Simulation #</t>
  </si>
  <si>
    <t>Standard deviation of returns σ</t>
  </si>
  <si>
    <t>Time</t>
  </si>
  <si>
    <t>Option Type ("c" for call; "p" for put)</t>
  </si>
  <si>
    <t xml:space="preserve">Current stock price </t>
  </si>
  <si>
    <t>Strike price</t>
  </si>
  <si>
    <t>p</t>
  </si>
  <si>
    <t>Time to maturity</t>
  </si>
  <si>
    <t>year</t>
  </si>
  <si>
    <t>Risk-free rate (annual)</t>
  </si>
  <si>
    <t>Dividend yield (annual)</t>
  </si>
  <si>
    <t>Volatility (annual)</t>
  </si>
  <si>
    <t>n</t>
  </si>
  <si>
    <t>time step (dt)</t>
  </si>
  <si>
    <t>Terminal payoffs of the Asian option</t>
  </si>
  <si>
    <t>Number of simulations (nsim)</t>
  </si>
  <si>
    <t>MCM value=</t>
  </si>
  <si>
    <t>&lt;- calculate Asian option price</t>
  </si>
  <si>
    <t>(2) Asian value based on simulation method:</t>
  </si>
  <si>
    <t>Information of the Asian option written on stock ABC</t>
  </si>
  <si>
    <t>year (which is 1 month)</t>
  </si>
  <si>
    <t>Proportion of wealth invested in each stock</t>
  </si>
  <si>
    <r>
      <t xml:space="preserve">(1) VBA sub procedure </t>
    </r>
    <r>
      <rPr>
        <b/>
        <sz val="11"/>
        <color rgb="FFFF0000"/>
        <rFont val="Courier New"/>
        <family val="3"/>
      </rPr>
      <t>MCMAsian</t>
    </r>
    <r>
      <rPr>
        <b/>
        <sz val="11"/>
        <color rgb="FFFF0000"/>
        <rFont val="Calibri"/>
        <family val="2"/>
      </rPr>
      <t xml:space="preserve"> generate results here:</t>
    </r>
  </si>
  <si>
    <t>(3) Time-series simulation of portfolio value month-by-month in 2023</t>
  </si>
  <si>
    <t>(4) Cross-sectional simulation of portfolio value at the end of 2023 for 20 times (Data Table function)</t>
  </si>
  <si>
    <t>Question 3: Monte Carlo Simulation in Asian Option Valuation</t>
  </si>
  <si>
    <t>Question 1: Portfolio Simulation</t>
  </si>
  <si>
    <t>(1) Correlated Errors</t>
  </si>
  <si>
    <t>(2) Stock Price</t>
  </si>
  <si>
    <t>(3) Number of shares Rebalanced</t>
  </si>
  <si>
    <t>(4) Portfolio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</si>
</sst>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4"/>
      <name val="Calibri"/>
      <family val="2"/>
    </font>
    <font>
      <b/>
      <sz val="11"/>
      <color rgb="FFFF0000"/>
      <name val="Calibri"/>
      <family val="2"/>
    </font>
    <font>
      <sz val="11"/>
      <color rgb="FF0070C0"/>
      <name val="Calibri"/>
      <family val="2"/>
    </font>
    <font>
      <b/>
      <sz val="11"/>
      <color rgb="FFFF0000"/>
      <name val="Courier New"/>
      <family val="3"/>
    </font>
    <font>
      <sz val="11"/>
      <color rgb="FF0000FF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9" fontId="11" fillId="0" borderId="0" applyFont="0" applyFill="0" applyBorder="0" applyAlignment="0" applyProtection="0"/>
    <xf numFmtId="0" fontId="1" fillId="0" borderId="0"/>
  </cellStyleXfs>
  <cellXfs count="32">
    <xf numFmtId="0" fontId="0" fillId="0" borderId="0" xfId="0"/>
    <xf numFmtId="0" fontId="6" fillId="0" borderId="0" xfId="1" applyFont="1"/>
    <xf numFmtId="0" fontId="3" fillId="0" borderId="0" xfId="0" applyFont="1"/>
    <xf numFmtId="0" fontId="7" fillId="0" borderId="0" xfId="0" applyFont="1"/>
    <xf numFmtId="0" fontId="5" fillId="0" borderId="0" xfId="0" applyFont="1"/>
    <xf numFmtId="0" fontId="8" fillId="0" borderId="0" xfId="0" applyFont="1"/>
    <xf numFmtId="0" fontId="5" fillId="0" borderId="0" xfId="0" applyFont="1" applyAlignment="1">
      <alignment horizontal="center" wrapText="1"/>
    </xf>
    <xf numFmtId="12" fontId="8" fillId="0" borderId="0" xfId="0" applyNumberFormat="1" applyFont="1"/>
    <xf numFmtId="0" fontId="5" fillId="0" borderId="0" xfId="0" applyFont="1" applyAlignment="1">
      <alignment horizontal="right"/>
    </xf>
    <xf numFmtId="14" fontId="3" fillId="0" borderId="0" xfId="0" applyNumberFormat="1" applyFont="1"/>
    <xf numFmtId="164" fontId="3" fillId="2" borderId="0" xfId="0" applyNumberFormat="1" applyFont="1" applyFill="1"/>
    <xf numFmtId="164" fontId="3" fillId="0" borderId="0" xfId="0" applyNumberFormat="1" applyFont="1"/>
    <xf numFmtId="164" fontId="5" fillId="0" borderId="0" xfId="0" applyNumberFormat="1" applyFont="1"/>
    <xf numFmtId="17" fontId="3" fillId="0" borderId="0" xfId="0" applyNumberFormat="1" applyFont="1"/>
    <xf numFmtId="0" fontId="10" fillId="0" borderId="0" xfId="0" applyFont="1"/>
    <xf numFmtId="0" fontId="2" fillId="0" borderId="0" xfId="0" applyFont="1" applyAlignment="1">
      <alignment horizontal="right"/>
    </xf>
    <xf numFmtId="0" fontId="2" fillId="0" borderId="0" xfId="0" applyFont="1"/>
    <xf numFmtId="0" fontId="8" fillId="0" borderId="0" xfId="0" applyFont="1" applyAlignment="1">
      <alignment horizontal="right"/>
    </xf>
    <xf numFmtId="9" fontId="8" fillId="0" borderId="0" xfId="2" applyFont="1"/>
    <xf numFmtId="9" fontId="8" fillId="0" borderId="0" xfId="0" applyNumberFormat="1" applyFont="1"/>
    <xf numFmtId="164" fontId="2" fillId="0" borderId="0" xfId="0" applyNumberFormat="1" applyFont="1"/>
    <xf numFmtId="165" fontId="2" fillId="0" borderId="0" xfId="0" applyNumberFormat="1" applyFont="1"/>
    <xf numFmtId="164" fontId="12" fillId="0" borderId="0" xfId="0" applyNumberFormat="1" applyFont="1"/>
    <xf numFmtId="0" fontId="5" fillId="0" borderId="0" xfId="0" applyFont="1" applyAlignment="1">
      <alignment horizontal="right" wrapText="1"/>
    </xf>
    <xf numFmtId="0" fontId="7" fillId="0" borderId="0" xfId="0" applyFont="1" applyAlignment="1">
      <alignment horizontal="left"/>
    </xf>
    <xf numFmtId="165" fontId="12" fillId="2" borderId="0" xfId="0" applyNumberFormat="1" applyFont="1" applyFill="1"/>
    <xf numFmtId="0" fontId="1" fillId="0" borderId="0" xfId="0" applyFont="1"/>
    <xf numFmtId="164" fontId="1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/>
    </xf>
    <xf numFmtId="2" fontId="3" fillId="0" borderId="0" xfId="0" applyNumberFormat="1" applyFont="1"/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</cellXfs>
  <cellStyles count="4">
    <cellStyle name="Normal" xfId="0" builtinId="0"/>
    <cellStyle name="Normal 2" xfId="3" xr:uid="{1B731957-9DBA-4FA2-986B-B9EB50A11A49}"/>
    <cellStyle name="Normal 2 2" xfId="1" xr:uid="{00000000-0005-0000-0000-000001000000}"/>
    <cellStyle name="Per cent" xfId="2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3"/>
  <sheetViews>
    <sheetView tabSelected="1" workbookViewId="0">
      <selection activeCell="P29" sqref="P29"/>
    </sheetView>
  </sheetViews>
  <sheetFormatPr baseColWidth="10" defaultColWidth="8.83203125" defaultRowHeight="15" x14ac:dyDescent="0.2"/>
  <cols>
    <col min="1" max="1" width="10.33203125" style="2" customWidth="1"/>
    <col min="2" max="2" width="11" style="2" bestFit="1" customWidth="1"/>
    <col min="3" max="6" width="8.83203125" style="2"/>
    <col min="7" max="7" width="29.5" style="2" customWidth="1"/>
    <col min="8" max="12" width="8.83203125" style="2"/>
    <col min="13" max="13" width="9.6640625" style="2" bestFit="1" customWidth="1"/>
    <col min="14" max="21" width="8.83203125" style="2"/>
    <col min="22" max="22" width="15.1640625" style="2" bestFit="1" customWidth="1"/>
    <col min="23" max="16384" width="8.83203125" style="2"/>
  </cols>
  <sheetData>
    <row r="1" spans="1:22" ht="19" x14ac:dyDescent="0.25">
      <c r="A1" s="1" t="s">
        <v>54</v>
      </c>
      <c r="B1" s="1"/>
    </row>
    <row r="2" spans="1:22" x14ac:dyDescent="0.2">
      <c r="A2" s="4" t="s">
        <v>0</v>
      </c>
      <c r="B2" s="4" t="s">
        <v>8</v>
      </c>
      <c r="C2" s="30" t="s">
        <v>7</v>
      </c>
      <c r="D2" s="30"/>
      <c r="E2" s="30"/>
      <c r="G2" s="3" t="s">
        <v>12</v>
      </c>
      <c r="L2" s="3" t="s">
        <v>51</v>
      </c>
    </row>
    <row r="3" spans="1:22" ht="16" x14ac:dyDescent="0.2">
      <c r="B3" s="4"/>
      <c r="C3" s="6" t="s">
        <v>9</v>
      </c>
      <c r="D3" s="6" t="s">
        <v>10</v>
      </c>
      <c r="E3" s="6" t="s">
        <v>11</v>
      </c>
      <c r="H3" s="6" t="s">
        <v>9</v>
      </c>
      <c r="I3" s="6" t="s">
        <v>10</v>
      </c>
      <c r="J3" s="6" t="s">
        <v>11</v>
      </c>
      <c r="M3" s="30" t="s">
        <v>55</v>
      </c>
      <c r="N3" s="30"/>
      <c r="O3" s="30"/>
      <c r="P3" s="31" t="s">
        <v>56</v>
      </c>
      <c r="Q3" s="31"/>
      <c r="R3" s="31"/>
      <c r="S3" s="31" t="s">
        <v>57</v>
      </c>
      <c r="T3" s="31"/>
      <c r="U3" s="31"/>
      <c r="V3" s="4" t="s">
        <v>58</v>
      </c>
    </row>
    <row r="4" spans="1:22" x14ac:dyDescent="0.2">
      <c r="A4" s="9">
        <v>41275</v>
      </c>
      <c r="B4" s="2">
        <f>YEAR(A4)*100+MONTH(A4)</f>
        <v>201301</v>
      </c>
      <c r="C4" s="10">
        <f>LOG(AMZN!F3/AMZN!F2,EXP(1))</f>
        <v>5.6679964008246771E-2</v>
      </c>
      <c r="D4" s="10">
        <f>LOG(GM!F3/GM!F2,EXP(1))</f>
        <v>-2.60031307472669E-2</v>
      </c>
      <c r="E4" s="10">
        <f>LOG(JPM!F3/JPM!F2,EXP(1))</f>
        <v>6.7703019737108905E-2</v>
      </c>
      <c r="G4" s="4" t="s">
        <v>13</v>
      </c>
      <c r="H4" s="10">
        <f>AVERAGE(C4:C123)</f>
        <v>1.5846784964362974E-2</v>
      </c>
      <c r="I4" s="10">
        <f t="shared" ref="I4:J4" si="0">AVERAGE(D4:D123)</f>
        <v>3.4516115779508342E-3</v>
      </c>
      <c r="J4" s="10">
        <f t="shared" si="0"/>
        <v>1.1604614516644598E-2</v>
      </c>
      <c r="L4" s="8" t="s">
        <v>30</v>
      </c>
      <c r="M4" s="28" t="s">
        <v>9</v>
      </c>
      <c r="N4" s="28" t="s">
        <v>10</v>
      </c>
      <c r="O4" s="28" t="s">
        <v>11</v>
      </c>
      <c r="P4" s="28" t="s">
        <v>9</v>
      </c>
      <c r="Q4" s="28" t="s">
        <v>10</v>
      </c>
      <c r="R4" s="28" t="s">
        <v>11</v>
      </c>
      <c r="S4" s="28" t="s">
        <v>9</v>
      </c>
      <c r="T4" s="28" t="s">
        <v>10</v>
      </c>
      <c r="U4" s="28" t="s">
        <v>11</v>
      </c>
    </row>
    <row r="5" spans="1:22" x14ac:dyDescent="0.2">
      <c r="A5" s="9">
        <v>41306</v>
      </c>
      <c r="B5" s="2">
        <f t="shared" ref="B5:B68" si="1">YEAR(A5)*100+MONTH(A5)</f>
        <v>201302</v>
      </c>
      <c r="C5" s="10">
        <f>LOG(AMZN!F4/AMZN!F3,EXP(1))</f>
        <v>-4.6435328921795955E-3</v>
      </c>
      <c r="D5" s="10">
        <f>LOG(GM!F4/GM!F3,EXP(1))</f>
        <v>-3.4036613226493068E-2</v>
      </c>
      <c r="E5" s="10">
        <f>LOG(JPM!F4/JPM!F3,EXP(1))</f>
        <v>4.5821916791465113E-2</v>
      </c>
      <c r="G5" s="4" t="s">
        <v>29</v>
      </c>
      <c r="H5" s="10">
        <f>_xlfn.STDEV.S(C4:C123)</f>
        <v>8.6793047967112624E-2</v>
      </c>
      <c r="I5" s="10">
        <f t="shared" ref="I5:J5" si="2">_xlfn.STDEV.S(D4:D123)</f>
        <v>9.1891439802659639E-2</v>
      </c>
      <c r="J5" s="10">
        <f t="shared" si="2"/>
        <v>6.9367546825456164E-2</v>
      </c>
      <c r="P5" s="2">
        <f>AMZN!F122</f>
        <v>84</v>
      </c>
      <c r="Q5" s="2">
        <f>GM!F122</f>
        <v>33.565353000000002</v>
      </c>
      <c r="R5" s="2">
        <f>JPM!F122</f>
        <v>133.11672999999999</v>
      </c>
      <c r="S5" s="29">
        <f>$H$19*H21/P5</f>
        <v>396.82539682539675</v>
      </c>
      <c r="T5" s="29">
        <f t="shared" ref="T5:U5" si="3">$H$19*I21/Q5</f>
        <v>993.08752490502116</v>
      </c>
      <c r="U5" s="29">
        <f t="shared" si="3"/>
        <v>250.40679209392636</v>
      </c>
      <c r="V5" s="2">
        <f>H19</f>
        <v>100000</v>
      </c>
    </row>
    <row r="6" spans="1:22" x14ac:dyDescent="0.2">
      <c r="A6" s="9">
        <v>41334</v>
      </c>
      <c r="B6" s="2">
        <f t="shared" si="1"/>
        <v>201303</v>
      </c>
      <c r="C6" s="10">
        <f>LOG(AMZN!F5/AMZN!F4,EXP(1))</f>
        <v>8.3654116599053557E-3</v>
      </c>
      <c r="D6" s="10">
        <f>LOG(GM!F5/GM!F4,EXP(1))</f>
        <v>2.4378295065563462E-2</v>
      </c>
      <c r="E6" s="10">
        <f>LOG(JPM!F5/JPM!F4,EXP(1))</f>
        <v>-3.0299314414123604E-2</v>
      </c>
      <c r="L6" s="13">
        <v>44927</v>
      </c>
      <c r="M6" s="27" cm="1">
        <f t="array" aca="1" ref="M6:O6" ca="1">simcorr($H$15:$J$17)</f>
        <v>0.11940327857439102</v>
      </c>
      <c r="N6" s="27">
        <f ca="1"/>
        <v>-0.88954762733475956</v>
      </c>
      <c r="O6" s="2">
        <f ca="1"/>
        <v>-0.51669473400191224</v>
      </c>
      <c r="P6" s="2">
        <f ca="1">P5*EXP(H$4*1 + M6*SQRT(1)*H$5)</f>
        <v>86.230759976638026</v>
      </c>
      <c r="Q6" s="2">
        <f t="shared" ref="Q6:R6" ca="1" si="4">Q5*EXP(I$4*1 + N6*SQRT(1)*I$5)</f>
        <v>31.03774900672148</v>
      </c>
      <c r="R6" s="2">
        <f t="shared" ca="1" si="4"/>
        <v>129.92913427084378</v>
      </c>
      <c r="S6" s="29">
        <f ca="1">$V6*H$21/P6</f>
        <v>377.19291284893455</v>
      </c>
      <c r="T6" s="29">
        <f t="shared" ref="T6:U6" ca="1" si="5">$V6*I$21/Q6</f>
        <v>1047.93783614017</v>
      </c>
      <c r="U6" s="29">
        <f t="shared" ca="1" si="5"/>
        <v>250.33362775252635</v>
      </c>
      <c r="V6" s="2">
        <f ca="1">SUMPRODUCT(S5:U5,P6:R6)</f>
        <v>97576.894598296261</v>
      </c>
    </row>
    <row r="7" spans="1:22" x14ac:dyDescent="0.2">
      <c r="A7" s="9">
        <v>41365</v>
      </c>
      <c r="B7" s="2">
        <f t="shared" si="1"/>
        <v>201304</v>
      </c>
      <c r="C7" s="10">
        <f>LOG(AMZN!F6/AMZN!F5,EXP(1))</f>
        <v>-4.8750763842404239E-2</v>
      </c>
      <c r="D7" s="10">
        <f>LOG(GM!F6/GM!F5,EXP(1))</f>
        <v>0.10305742355044341</v>
      </c>
      <c r="E7" s="10">
        <f>LOG(JPM!F6/JPM!F5,EXP(1))</f>
        <v>3.2137026165460707E-2</v>
      </c>
      <c r="G7" s="12" t="s">
        <v>14</v>
      </c>
      <c r="H7" s="11"/>
      <c r="I7" s="11"/>
      <c r="J7" s="11"/>
      <c r="L7" s="13">
        <v>44958</v>
      </c>
      <c r="M7" s="27" cm="1">
        <f t="array" ref="M7:O7">simcorr($H$15:$J$17)</f>
        <v>-0.32227186933352497</v>
      </c>
      <c r="N7" s="27">
        <v>-0.50107104920677981</v>
      </c>
      <c r="O7" s="2">
        <v>-1.463517389620097</v>
      </c>
      <c r="P7" s="2">
        <f t="shared" ref="P7:P17" ca="1" si="6">P6*EXP(H$4*1 + M7*SQRT(1)*H$5)</f>
        <v>85.191595571549385</v>
      </c>
      <c r="Q7" s="2">
        <f t="shared" ref="Q7:Q17" ca="1" si="7">Q6*EXP(I$4*1 + N7*SQRT(1)*I$5)</f>
        <v>29.743530465393423</v>
      </c>
      <c r="R7" s="2">
        <f t="shared" ref="R7:R17" ca="1" si="8">R6*EXP(J$4*1 + O7*SQRT(1)*J$5)</f>
        <v>118.75626320370121</v>
      </c>
      <c r="S7" s="29">
        <f t="shared" ref="S7:S16" ca="1" si="9">$V7*H$21/P7</f>
        <v>364.00978524122553</v>
      </c>
      <c r="T7" s="29">
        <f t="shared" ref="T7:T16" ca="1" si="10">$V7*I$21/Q7</f>
        <v>1042.5989760844905</v>
      </c>
      <c r="U7" s="29">
        <f t="shared" ref="U7:U16" ca="1" si="11">$V7*J$21/R7</f>
        <v>261.12790661966989</v>
      </c>
      <c r="V7" s="2">
        <f t="shared" ref="V7:V17" ca="1" si="12">SUMPRODUCT(S6:U6,P7:R7)</f>
        <v>93031.723225071095</v>
      </c>
    </row>
    <row r="8" spans="1:22" ht="16" x14ac:dyDescent="0.2">
      <c r="A8" s="9">
        <v>41395</v>
      </c>
      <c r="B8" s="2">
        <f t="shared" si="1"/>
        <v>201305</v>
      </c>
      <c r="C8" s="10">
        <f>LOG(AMZN!F7/AMZN!F6,EXP(1))</f>
        <v>5.8868642163257684E-2</v>
      </c>
      <c r="D8" s="10">
        <f>LOG(GM!F7/GM!F6,EXP(1))</f>
        <v>9.4307346831499994E-2</v>
      </c>
      <c r="E8" s="10">
        <f>LOG(JPM!F7/JPM!F6,EXP(1))</f>
        <v>0.11405948792505981</v>
      </c>
      <c r="H8" s="6" t="s">
        <v>9</v>
      </c>
      <c r="I8" s="6" t="s">
        <v>10</v>
      </c>
      <c r="J8" s="6" t="s">
        <v>11</v>
      </c>
      <c r="L8" s="13">
        <v>44986</v>
      </c>
      <c r="M8" s="27" cm="1">
        <f t="array" ref="M8:O8">simcorr($H$15:$J$17)</f>
        <v>0.15611321762514047</v>
      </c>
      <c r="N8" s="27">
        <v>0.39027255657189552</v>
      </c>
      <c r="O8" s="2">
        <v>-0.30834233816867912</v>
      </c>
      <c r="P8" s="2">
        <f t="shared" ca="1" si="6"/>
        <v>87.733087821612742</v>
      </c>
      <c r="Q8" s="2">
        <f t="shared" ca="1" si="7"/>
        <v>30.936167345859758</v>
      </c>
      <c r="R8" s="2">
        <f t="shared" ca="1" si="8"/>
        <v>117.59997786331225</v>
      </c>
      <c r="S8" s="29">
        <f t="shared" ca="1" si="9"/>
        <v>360.55706860255231</v>
      </c>
      <c r="T8" s="29">
        <f t="shared" ca="1" si="10"/>
        <v>1022.5179030990871</v>
      </c>
      <c r="U8" s="29">
        <f t="shared" ca="1" si="11"/>
        <v>268.98631733739018</v>
      </c>
      <c r="V8" s="2">
        <f t="shared" ca="1" si="12"/>
        <v>94898.354893232914</v>
      </c>
    </row>
    <row r="9" spans="1:22" ht="16" x14ac:dyDescent="0.2">
      <c r="A9" s="9">
        <v>41426</v>
      </c>
      <c r="B9" s="2">
        <f t="shared" si="1"/>
        <v>201306</v>
      </c>
      <c r="C9" s="10">
        <f>LOG(AMZN!F8/AMZN!F7,EXP(1))</f>
        <v>3.1050785810979229E-2</v>
      </c>
      <c r="D9" s="10">
        <f>LOG(GM!F8/GM!F7,EXP(1))</f>
        <v>-1.7262147409066692E-2</v>
      </c>
      <c r="E9" s="10">
        <f>LOG(JPM!F8/JPM!F7,EXP(1))</f>
        <v>-3.3528876258311878E-2</v>
      </c>
      <c r="G9" s="6" t="s">
        <v>9</v>
      </c>
      <c r="H9" s="10" cm="1">
        <f t="array" ref="H9:J11">VarCov(C4:E123)</f>
        <v>7.5330331754215121E-3</v>
      </c>
      <c r="I9" s="10">
        <v>2.3216826054975057E-3</v>
      </c>
      <c r="J9" s="10">
        <v>1.6545180039837276E-3</v>
      </c>
      <c r="L9" s="13">
        <v>45017</v>
      </c>
      <c r="M9" s="27" cm="1">
        <f t="array" ref="M9:O9">simcorr($H$15:$J$17)</f>
        <v>-1.7459021776302337</v>
      </c>
      <c r="N9" s="27">
        <v>-0.60805098168544935</v>
      </c>
      <c r="O9" s="2">
        <v>0.72480385276738746</v>
      </c>
      <c r="P9" s="2">
        <f t="shared" ca="1" si="6"/>
        <v>76.601275336436089</v>
      </c>
      <c r="Q9" s="2">
        <f t="shared" ca="1" si="7"/>
        <v>29.356174387674816</v>
      </c>
      <c r="R9" s="2">
        <f t="shared" ca="1" si="8"/>
        <v>125.1072446841201</v>
      </c>
      <c r="S9" s="29">
        <f t="shared" ca="1" si="9"/>
        <v>397.24526684133775</v>
      </c>
      <c r="T9" s="29">
        <f t="shared" ca="1" si="10"/>
        <v>1036.5619736264123</v>
      </c>
      <c r="U9" s="29">
        <f t="shared" ca="1" si="11"/>
        <v>243.2272738340609</v>
      </c>
      <c r="V9" s="2">
        <f t="shared" ca="1" si="12"/>
        <v>91288.482184228022</v>
      </c>
    </row>
    <row r="10" spans="1:22" ht="16" x14ac:dyDescent="0.2">
      <c r="A10" s="9">
        <v>41456</v>
      </c>
      <c r="B10" s="2">
        <f t="shared" si="1"/>
        <v>201307</v>
      </c>
      <c r="C10" s="10">
        <f>LOG(AMZN!F9/AMZN!F8,EXP(1))</f>
        <v>8.133551120215049E-2</v>
      </c>
      <c r="D10" s="10">
        <f>LOG(GM!F9/GM!F8,EXP(1))</f>
        <v>7.4043577086638113E-2</v>
      </c>
      <c r="E10" s="10">
        <f>LOG(JPM!F9/JPM!F8,EXP(1))</f>
        <v>5.4196647141363026E-2</v>
      </c>
      <c r="G10" s="6" t="s">
        <v>10</v>
      </c>
      <c r="H10" s="10">
        <v>2.3216826054975057E-3</v>
      </c>
      <c r="I10" s="10">
        <v>8.4440367090058144E-3</v>
      </c>
      <c r="J10" s="10">
        <v>4.1324639830322817E-3</v>
      </c>
      <c r="L10" s="13">
        <v>45047</v>
      </c>
      <c r="M10" s="27" cm="1">
        <f t="array" ref="M10:O10">simcorr($H$15:$J$17)</f>
        <v>-0.87924001996566736</v>
      </c>
      <c r="N10" s="27">
        <v>-0.2554022773460311</v>
      </c>
      <c r="O10" s="2">
        <v>-0.15218395521308986</v>
      </c>
      <c r="P10" s="2">
        <f t="shared" ca="1" si="6"/>
        <v>72.106817042325332</v>
      </c>
      <c r="Q10" s="2">
        <f t="shared" ca="1" si="7"/>
        <v>28.77437469971499</v>
      </c>
      <c r="R10" s="2">
        <f t="shared" ca="1" si="8"/>
        <v>125.23842415998509</v>
      </c>
      <c r="S10" s="29">
        <f t="shared" ca="1" si="9"/>
        <v>411.11191489317912</v>
      </c>
      <c r="T10" s="29">
        <f t="shared" ca="1" si="10"/>
        <v>1030.2212277584651</v>
      </c>
      <c r="U10" s="29">
        <f t="shared" ca="1" si="11"/>
        <v>236.70029250171635</v>
      </c>
      <c r="V10" s="2">
        <f t="shared" ca="1" si="12"/>
        <v>88931.914893367473</v>
      </c>
    </row>
    <row r="11" spans="1:22" ht="16" x14ac:dyDescent="0.2">
      <c r="A11" s="9">
        <v>41487</v>
      </c>
      <c r="B11" s="2">
        <f t="shared" si="1"/>
        <v>201308</v>
      </c>
      <c r="C11" s="10">
        <f>LOG(AMZN!F10/AMZN!F9,EXP(1))</f>
        <v>-6.955740236019721E-2</v>
      </c>
      <c r="D11" s="10">
        <f>LOG(GM!F10/GM!F9,EXP(1))</f>
        <v>-5.1190453337328204E-2</v>
      </c>
      <c r="E11" s="10">
        <f>LOG(JPM!F10/JPM!F9,EXP(1))</f>
        <v>-9.0685534147134067E-2</v>
      </c>
      <c r="G11" s="6" t="s">
        <v>11</v>
      </c>
      <c r="H11" s="10">
        <v>1.6545180039837276E-3</v>
      </c>
      <c r="I11" s="10">
        <v>4.1324639830322817E-3</v>
      </c>
      <c r="J11" s="10">
        <v>4.8118565525818559E-3</v>
      </c>
      <c r="L11" s="13">
        <v>45078</v>
      </c>
      <c r="M11" s="27" cm="1">
        <f t="array" ref="M11:O11">simcorr($H$15:$J$17)</f>
        <v>-1.5912691351742443</v>
      </c>
      <c r="N11" s="27">
        <v>0.35793032689916543</v>
      </c>
      <c r="O11" s="2">
        <v>-7.0088225841326651E-2</v>
      </c>
      <c r="P11" s="2">
        <f t="shared" ca="1" si="6"/>
        <v>63.808363827411974</v>
      </c>
      <c r="Q11" s="2">
        <f t="shared" ca="1" si="7"/>
        <v>29.839337351168094</v>
      </c>
      <c r="R11" s="2">
        <f t="shared" ca="1" si="8"/>
        <v>126.08573096256752</v>
      </c>
      <c r="S11" s="29">
        <f t="shared" ca="1" si="9"/>
        <v>453.53525040836405</v>
      </c>
      <c r="T11" s="29">
        <f t="shared" ca="1" si="10"/>
        <v>969.83863703261568</v>
      </c>
      <c r="U11" s="29">
        <f t="shared" ca="1" si="11"/>
        <v>229.52115235945953</v>
      </c>
      <c r="V11" s="2">
        <f t="shared" ca="1" si="12"/>
        <v>86818.026799839863</v>
      </c>
    </row>
    <row r="12" spans="1:22" x14ac:dyDescent="0.2">
      <c r="A12" s="9">
        <v>41518</v>
      </c>
      <c r="B12" s="2">
        <f t="shared" si="1"/>
        <v>201309</v>
      </c>
      <c r="C12" s="10">
        <f>LOG(AMZN!F11/AMZN!F10,EXP(1))</f>
        <v>0.10676887643091244</v>
      </c>
      <c r="D12" s="10">
        <f>LOG(GM!F11/GM!F10,EXP(1))</f>
        <v>5.3974339620913622E-2</v>
      </c>
      <c r="E12" s="10">
        <f>LOG(JPM!F11/JPM!F10,EXP(1))</f>
        <v>2.2697378487662043E-2</v>
      </c>
      <c r="L12" s="13">
        <v>45108</v>
      </c>
      <c r="M12" s="27" cm="1">
        <f t="array" ref="M12:O12">simcorr($H$15:$J$17)</f>
        <v>-0.71893984889074591</v>
      </c>
      <c r="N12" s="27">
        <v>1.0655408795036758</v>
      </c>
      <c r="O12" s="2">
        <v>0.81651808206908416</v>
      </c>
      <c r="P12" s="2">
        <f t="shared" ca="1" si="6"/>
        <v>60.906023654428822</v>
      </c>
      <c r="Q12" s="2">
        <f t="shared" ca="1" si="7"/>
        <v>33.022635993769022</v>
      </c>
      <c r="R12" s="2">
        <f t="shared" ca="1" si="8"/>
        <v>134.99078959037908</v>
      </c>
      <c r="S12" s="29">
        <f t="shared" ca="1" si="9"/>
        <v>496.02591620955906</v>
      </c>
      <c r="T12" s="29">
        <f t="shared" ca="1" si="10"/>
        <v>914.85628801921143</v>
      </c>
      <c r="U12" s="29">
        <f t="shared" ca="1" si="11"/>
        <v>223.80020353642183</v>
      </c>
      <c r="V12" s="2">
        <f t="shared" ca="1" si="12"/>
        <v>90632.898557607405</v>
      </c>
    </row>
    <row r="13" spans="1:22" x14ac:dyDescent="0.2">
      <c r="A13" s="9">
        <v>41548</v>
      </c>
      <c r="B13" s="2">
        <f t="shared" si="1"/>
        <v>201310</v>
      </c>
      <c r="C13" s="10">
        <f>LOG(AMZN!F12/AMZN!F11,EXP(1))</f>
        <v>0.15218391296859804</v>
      </c>
      <c r="D13" s="10">
        <f>LOG(GM!F12/GM!F11,EXP(1))</f>
        <v>2.6880333224544636E-2</v>
      </c>
      <c r="E13" s="10">
        <f>LOG(JPM!F12/JPM!F11,EXP(1))</f>
        <v>-2.9061186093315896E-3</v>
      </c>
      <c r="G13" s="12" t="s">
        <v>15</v>
      </c>
      <c r="L13" s="13">
        <v>45139</v>
      </c>
      <c r="M13" s="27" cm="1">
        <f t="array" ref="M13:O13">simcorr($H$15:$J$17)</f>
        <v>0.35075645293263458</v>
      </c>
      <c r="N13" s="27">
        <v>1.5946055431181627</v>
      </c>
      <c r="O13" s="2">
        <v>1.0272780063177871</v>
      </c>
      <c r="P13" s="2">
        <f t="shared" ca="1" si="6"/>
        <v>63.791636155442433</v>
      </c>
      <c r="Q13" s="2">
        <f t="shared" ca="1" si="7"/>
        <v>38.366146775593215</v>
      </c>
      <c r="R13" s="2">
        <f t="shared" ca="1" si="8"/>
        <v>146.65324468968819</v>
      </c>
      <c r="S13" s="29">
        <f t="shared" ca="1" si="9"/>
        <v>520.25023658509929</v>
      </c>
      <c r="T13" s="29">
        <f t="shared" ca="1" si="10"/>
        <v>865.02337584581051</v>
      </c>
      <c r="U13" s="29">
        <f t="shared" ca="1" si="11"/>
        <v>226.29989450450299</v>
      </c>
      <c r="V13" s="2">
        <f t="shared" ca="1" si="12"/>
        <v>99562.841406058506</v>
      </c>
    </row>
    <row r="14" spans="1:22" ht="16" x14ac:dyDescent="0.2">
      <c r="A14" s="9">
        <v>41579</v>
      </c>
      <c r="B14" s="2">
        <f t="shared" si="1"/>
        <v>201311</v>
      </c>
      <c r="C14" s="10">
        <f>LOG(AMZN!F13/AMZN!F12,EXP(1))</f>
        <v>7.8149695072275538E-2</v>
      </c>
      <c r="D14" s="10">
        <f>LOG(GM!F13/GM!F12,EXP(1))</f>
        <v>4.7048941273716526E-2</v>
      </c>
      <c r="E14" s="10">
        <f>LOG(JPM!F13/JPM!F12,EXP(1))</f>
        <v>0.11188541327956754</v>
      </c>
      <c r="H14" s="6" t="s">
        <v>9</v>
      </c>
      <c r="I14" s="6" t="s">
        <v>10</v>
      </c>
      <c r="J14" s="6" t="s">
        <v>11</v>
      </c>
      <c r="L14" s="13">
        <v>45170</v>
      </c>
      <c r="M14" s="27" cm="1">
        <f t="array" ref="M14:O14">simcorr($H$15:$J$17)</f>
        <v>-0.69132012784331731</v>
      </c>
      <c r="N14" s="27">
        <v>1.7867461292989191</v>
      </c>
      <c r="O14" s="2">
        <v>1.5042592348217283</v>
      </c>
      <c r="P14" s="2">
        <f t="shared" ca="1" si="6"/>
        <v>61.036197569770529</v>
      </c>
      <c r="Q14" s="2">
        <f t="shared" ca="1" si="7"/>
        <v>45.368306308736294</v>
      </c>
      <c r="R14" s="2">
        <f t="shared" ca="1" si="8"/>
        <v>164.68298256316191</v>
      </c>
      <c r="S14" s="29">
        <f t="shared" ca="1" si="9"/>
        <v>591.2692664189899</v>
      </c>
      <c r="T14" s="29">
        <f t="shared" ca="1" si="10"/>
        <v>795.46341264084958</v>
      </c>
      <c r="U14" s="29">
        <f t="shared" ca="1" si="11"/>
        <v>219.14120815878096</v>
      </c>
      <c r="V14" s="2">
        <f t="shared" ca="1" si="12"/>
        <v>108266.48328624829</v>
      </c>
    </row>
    <row r="15" spans="1:22" ht="16" x14ac:dyDescent="0.2">
      <c r="A15" s="9">
        <v>41609</v>
      </c>
      <c r="B15" s="2">
        <f t="shared" si="1"/>
        <v>201312</v>
      </c>
      <c r="C15" s="10">
        <f>LOG(AMZN!F14/AMZN!F13,EXP(1))</f>
        <v>1.304903580403389E-2</v>
      </c>
      <c r="D15" s="10">
        <f>LOG(GM!F14/GM!F13,EXP(1))</f>
        <v>5.3781796339623815E-2</v>
      </c>
      <c r="E15" s="10">
        <f>LOG(JPM!F14/JPM!F13,EXP(1))</f>
        <v>2.178154859058281E-2</v>
      </c>
      <c r="G15" s="6" t="s">
        <v>9</v>
      </c>
      <c r="H15" s="10" cm="1">
        <f t="array" ref="H15:J17">corrmat(C4:E123)</f>
        <v>1.0000000000000002</v>
      </c>
      <c r="I15" s="10">
        <v>0.29110043284834675</v>
      </c>
      <c r="J15" s="10">
        <v>0.27480853781176623</v>
      </c>
      <c r="L15" s="13">
        <v>45200</v>
      </c>
      <c r="M15" s="27" cm="1">
        <f t="array" ref="M15:O15">simcorr($H$15:$J$17)</f>
        <v>-2.2702856042116641</v>
      </c>
      <c r="N15" s="27">
        <v>0.47316037207185602</v>
      </c>
      <c r="O15" s="2">
        <v>1.146329782002574</v>
      </c>
      <c r="P15" s="2">
        <f t="shared" ca="1" si="6"/>
        <v>50.920666796286412</v>
      </c>
      <c r="Q15" s="2">
        <f t="shared" ca="1" si="7"/>
        <v>47.548239387812139</v>
      </c>
      <c r="R15" s="2">
        <f t="shared" ca="1" si="8"/>
        <v>180.39429939983839</v>
      </c>
      <c r="S15" s="29">
        <f t="shared" ca="1" si="9"/>
        <v>703.46378361495806</v>
      </c>
      <c r="T15" s="29">
        <f t="shared" ca="1" si="10"/>
        <v>753.35796634972837</v>
      </c>
      <c r="U15" s="29">
        <f t="shared" ca="1" si="11"/>
        <v>198.56971671436474</v>
      </c>
      <c r="V15" s="2">
        <f t="shared" ca="1" si="12"/>
        <v>107462.53478613663</v>
      </c>
    </row>
    <row r="16" spans="1:22" ht="16" x14ac:dyDescent="0.2">
      <c r="A16" s="9">
        <v>41640</v>
      </c>
      <c r="B16" s="2">
        <f t="shared" si="1"/>
        <v>201401</v>
      </c>
      <c r="C16" s="10">
        <f>LOG(AMZN!F15/AMZN!F14,EXP(1))</f>
        <v>-0.10597650699965773</v>
      </c>
      <c r="D16" s="10">
        <f>LOG(GM!F15/GM!F14,EXP(1))</f>
        <v>-0.12465768468522079</v>
      </c>
      <c r="E16" s="10">
        <f>LOG(JPM!F15/JPM!F14,EXP(1))</f>
        <v>-5.4827574149764545E-2</v>
      </c>
      <c r="G16" s="6" t="s">
        <v>10</v>
      </c>
      <c r="H16" s="10">
        <v>0.29110043284834675</v>
      </c>
      <c r="I16" s="10">
        <v>0.99999999999999978</v>
      </c>
      <c r="J16" s="10">
        <v>0.64830248274526137</v>
      </c>
      <c r="L16" s="13">
        <v>45231</v>
      </c>
      <c r="M16" s="27" cm="1">
        <f t="array" ref="M16:O16">simcorr($H$15:$J$17)</f>
        <v>0.58858765165423221</v>
      </c>
      <c r="N16" s="27">
        <v>0.3059015954005686</v>
      </c>
      <c r="O16" s="2">
        <v>0.5821587885717181</v>
      </c>
      <c r="P16" s="2">
        <f t="shared" ca="1" si="6"/>
        <v>54.445541841013792</v>
      </c>
      <c r="Q16" s="2">
        <f t="shared" ca="1" si="7"/>
        <v>49.07285896413979</v>
      </c>
      <c r="R16" s="2">
        <f t="shared" ca="1" si="8"/>
        <v>190.02061169706752</v>
      </c>
      <c r="S16" s="29">
        <f t="shared" ca="1" si="9"/>
        <v>691.83647433241231</v>
      </c>
      <c r="T16" s="29">
        <f t="shared" ca="1" si="10"/>
        <v>767.58135770998081</v>
      </c>
      <c r="U16" s="29">
        <f t="shared" ca="1" si="11"/>
        <v>198.22803102252155</v>
      </c>
      <c r="V16" s="2">
        <f t="shared" ca="1" si="12"/>
        <v>113002.23513121446</v>
      </c>
    </row>
    <row r="17" spans="1:22" ht="16" x14ac:dyDescent="0.2">
      <c r="A17" s="9">
        <v>41671</v>
      </c>
      <c r="B17" s="2">
        <f t="shared" si="1"/>
        <v>201402</v>
      </c>
      <c r="C17" s="10">
        <f>LOG(AMZN!F16/AMZN!F15,EXP(1))</f>
        <v>9.4619110719280381E-3</v>
      </c>
      <c r="D17" s="10">
        <f>LOG(GM!F16/GM!F15,EXP(1))</f>
        <v>3.320436533607367E-3</v>
      </c>
      <c r="E17" s="10">
        <f>LOG(JPM!F16/JPM!F15,EXP(1))</f>
        <v>3.2549919899233566E-2</v>
      </c>
      <c r="G17" s="6" t="s">
        <v>11</v>
      </c>
      <c r="H17" s="10">
        <v>0.27480853781176623</v>
      </c>
      <c r="I17" s="10">
        <v>0.64830248274526137</v>
      </c>
      <c r="J17" s="10">
        <v>0.99999999999999978</v>
      </c>
      <c r="L17" s="13">
        <v>45261</v>
      </c>
      <c r="M17" s="27" cm="1">
        <f t="array" ref="M17:O17">simcorr($H$15:$J$17)</f>
        <v>-0.97137077167733132</v>
      </c>
      <c r="N17" s="27">
        <v>-1.6170927082239195</v>
      </c>
      <c r="O17" s="2">
        <v>0.24661633824463536</v>
      </c>
      <c r="P17" s="2">
        <f t="shared" ca="1" si="6"/>
        <v>50.842851110470669</v>
      </c>
      <c r="Q17" s="2">
        <f t="shared" ca="1" si="7"/>
        <v>42.442946794588522</v>
      </c>
      <c r="R17" s="2">
        <f t="shared" ca="1" si="8"/>
        <v>195.55552096267868</v>
      </c>
      <c r="V17" s="2">
        <f t="shared" ca="1" si="12"/>
        <v>106517.93945909377</v>
      </c>
    </row>
    <row r="18" spans="1:22" x14ac:dyDescent="0.2">
      <c r="A18" s="9">
        <v>41699</v>
      </c>
      <c r="B18" s="2">
        <f t="shared" si="1"/>
        <v>201403</v>
      </c>
      <c r="C18" s="10">
        <f>LOG(AMZN!F17/AMZN!F16,EXP(1))</f>
        <v>-7.3708612739359011E-2</v>
      </c>
      <c r="D18" s="10">
        <f>LOG(GM!F17/GM!F16,EXP(1))</f>
        <v>-5.0421547448962586E-2</v>
      </c>
      <c r="E18" s="10">
        <f>LOG(JPM!F17/JPM!F16,EXP(1))</f>
        <v>6.6220079753573857E-2</v>
      </c>
      <c r="G18" s="4"/>
    </row>
    <row r="19" spans="1:22" x14ac:dyDescent="0.2">
      <c r="A19" s="9">
        <v>41730</v>
      </c>
      <c r="B19" s="2">
        <f t="shared" si="1"/>
        <v>201404</v>
      </c>
      <c r="C19" s="10">
        <f>LOG(AMZN!F18/AMZN!F17,EXP(1))</f>
        <v>-0.10075656245539268</v>
      </c>
      <c r="D19" s="10">
        <f>LOG(GM!F18/GM!F17,EXP(1))</f>
        <v>1.0581049683105052E-2</v>
      </c>
      <c r="E19" s="10">
        <f>LOG(JPM!F18/JPM!F17,EXP(1))</f>
        <v>-8.1113945796022061E-2</v>
      </c>
      <c r="G19" s="4" t="s">
        <v>27</v>
      </c>
      <c r="H19" s="5">
        <v>100000</v>
      </c>
      <c r="L19" s="3" t="s">
        <v>52</v>
      </c>
    </row>
    <row r="20" spans="1:22" ht="16" x14ac:dyDescent="0.2">
      <c r="A20" s="9">
        <v>41760</v>
      </c>
      <c r="B20" s="2">
        <f t="shared" si="1"/>
        <v>201405</v>
      </c>
      <c r="C20" s="10">
        <f>LOG(AMZN!F19/AMZN!F18,EXP(1))</f>
        <v>2.7309214800977481E-2</v>
      </c>
      <c r="D20" s="10">
        <f>LOG(GM!F19/GM!F18,EXP(1))</f>
        <v>2.8959479588879762E-3</v>
      </c>
      <c r="E20" s="10">
        <f>LOG(JPM!F19/JPM!F18,EXP(1))</f>
        <v>-1.0680991795827153E-3</v>
      </c>
      <c r="H20" s="6" t="s">
        <v>9</v>
      </c>
      <c r="I20" s="6" t="s">
        <v>10</v>
      </c>
      <c r="J20" s="6" t="s">
        <v>11</v>
      </c>
    </row>
    <row r="21" spans="1:22" x14ac:dyDescent="0.2">
      <c r="A21" s="9">
        <v>41791</v>
      </c>
      <c r="B21" s="2">
        <f t="shared" si="1"/>
        <v>201406</v>
      </c>
      <c r="C21" s="10">
        <f>LOG(AMZN!F20/AMZN!F19,EXP(1))</f>
        <v>3.8383573659120207E-2</v>
      </c>
      <c r="D21" s="10">
        <f>LOG(GM!F20/GM!F19,EXP(1))</f>
        <v>4.8542352518600944E-2</v>
      </c>
      <c r="E21" s="10">
        <f>LOG(JPM!F20/JPM!F19,EXP(1))</f>
        <v>3.6226484743275028E-2</v>
      </c>
      <c r="G21" s="4" t="s">
        <v>49</v>
      </c>
      <c r="H21" s="7">
        <f>1/3</f>
        <v>0.33333333333333331</v>
      </c>
      <c r="I21" s="7">
        <f t="shared" ref="I21:J21" si="13">1/3</f>
        <v>0.33333333333333331</v>
      </c>
      <c r="J21" s="7">
        <f t="shared" si="13"/>
        <v>0.33333333333333331</v>
      </c>
      <c r="L21" s="8" t="s">
        <v>28</v>
      </c>
      <c r="M21" s="11"/>
    </row>
    <row r="22" spans="1:22" x14ac:dyDescent="0.2">
      <c r="A22" s="9">
        <v>41821</v>
      </c>
      <c r="B22" s="2">
        <f t="shared" si="1"/>
        <v>201407</v>
      </c>
      <c r="C22" s="10">
        <f>LOG(AMZN!F21/AMZN!F20,EXP(1))</f>
        <v>-3.6976788888953949E-2</v>
      </c>
      <c r="D22" s="10">
        <f>LOG(GM!F21/GM!F20,EXP(1))</f>
        <v>-6.2459645690677822E-2</v>
      </c>
      <c r="E22" s="10">
        <f>LOG(JPM!F21/JPM!F20,EXP(1))</f>
        <v>8.673167086939704E-4</v>
      </c>
      <c r="L22" s="2">
        <v>1</v>
      </c>
      <c r="M22" s="29">
        <f ca="1">V17</f>
        <v>106517.93945909377</v>
      </c>
    </row>
    <row r="23" spans="1:22" x14ac:dyDescent="0.2">
      <c r="A23" s="9">
        <v>41852</v>
      </c>
      <c r="B23" s="2">
        <f t="shared" si="1"/>
        <v>201408</v>
      </c>
      <c r="C23" s="10">
        <f>LOG(AMZN!F22/AMZN!F21,EXP(1))</f>
        <v>7.9946853372001331E-2</v>
      </c>
      <c r="D23" s="10">
        <f>LOG(GM!F22/GM!F21,EXP(1))</f>
        <v>2.8565084038588234E-2</v>
      </c>
      <c r="E23" s="10">
        <f>LOG(JPM!F22/JPM!F21,EXP(1))</f>
        <v>3.73646967894148E-2</v>
      </c>
      <c r="L23" s="2">
        <v>2</v>
      </c>
      <c r="M23" s="2">
        <f t="dataTable" ref="M23:M41" dt2D="0" dtr="0" r1="A1" ca="1"/>
        <v>120613.59504941475</v>
      </c>
    </row>
    <row r="24" spans="1:22" x14ac:dyDescent="0.2">
      <c r="A24" s="9">
        <v>41883</v>
      </c>
      <c r="B24" s="2">
        <f t="shared" si="1"/>
        <v>201409</v>
      </c>
      <c r="C24" s="10">
        <f>LOG(AMZN!F23/AMZN!F22,EXP(1))</f>
        <v>-5.0201022104588849E-2</v>
      </c>
      <c r="D24" s="10">
        <f>LOG(GM!F23/GM!F22,EXP(1))</f>
        <v>-8.5758341279695907E-2</v>
      </c>
      <c r="E24" s="10">
        <f>LOG(JPM!F23/JPM!F22,EXP(1))</f>
        <v>1.3201289002767288E-2</v>
      </c>
      <c r="L24" s="2">
        <v>3</v>
      </c>
      <c r="M24" s="2">
        <v>109065.93531974964</v>
      </c>
    </row>
    <row r="25" spans="1:22" x14ac:dyDescent="0.2">
      <c r="A25" s="9">
        <v>41913</v>
      </c>
      <c r="B25" s="2">
        <f t="shared" si="1"/>
        <v>201410</v>
      </c>
      <c r="C25" s="10">
        <f>LOG(AMZN!F24/AMZN!F23,EXP(1))</f>
        <v>-5.4098235273100502E-2</v>
      </c>
      <c r="D25" s="10">
        <f>LOG(GM!F24/GM!F23,EXP(1))</f>
        <v>-8.3379604244338996E-3</v>
      </c>
      <c r="E25" s="10">
        <f>LOG(JPM!F24/JPM!F23,EXP(1))</f>
        <v>3.9759859267423352E-3</v>
      </c>
      <c r="L25" s="2">
        <v>4</v>
      </c>
      <c r="M25" s="2">
        <v>96480.513512863661</v>
      </c>
    </row>
    <row r="26" spans="1:22" x14ac:dyDescent="0.2">
      <c r="A26" s="9">
        <v>41944</v>
      </c>
      <c r="B26" s="2">
        <f t="shared" si="1"/>
        <v>201411</v>
      </c>
      <c r="C26" s="10">
        <f>LOG(AMZN!F25/AMZN!F24,EXP(1))</f>
        <v>0.10311870001059856</v>
      </c>
      <c r="D26" s="10">
        <f>LOG(GM!F25/GM!F24,EXP(1))</f>
        <v>6.2645922331500306E-2</v>
      </c>
      <c r="E26" s="10">
        <f>LOG(JPM!F25/JPM!F24,EXP(1))</f>
        <v>1.4096348989653495E-3</v>
      </c>
      <c r="L26" s="2">
        <v>5</v>
      </c>
      <c r="M26" s="2">
        <v>107977.55527091975</v>
      </c>
    </row>
    <row r="27" spans="1:22" x14ac:dyDescent="0.2">
      <c r="A27" s="9">
        <v>41974</v>
      </c>
      <c r="B27" s="2">
        <f t="shared" si="1"/>
        <v>201412</v>
      </c>
      <c r="C27" s="10">
        <f>LOG(AMZN!F26/AMZN!F25,EXP(1))</f>
        <v>-8.7236844293236401E-2</v>
      </c>
      <c r="D27" s="10">
        <f>LOG(GM!F26/GM!F25,EXP(1))</f>
        <v>4.3319853779994692E-2</v>
      </c>
      <c r="E27" s="10">
        <f>LOG(JPM!F26/JPM!F25,EXP(1))</f>
        <v>3.9438139581944476E-2</v>
      </c>
      <c r="L27" s="2">
        <v>6</v>
      </c>
      <c r="M27" s="2">
        <v>120014.21797929185</v>
      </c>
    </row>
    <row r="28" spans="1:22" x14ac:dyDescent="0.2">
      <c r="A28" s="9">
        <v>42005</v>
      </c>
      <c r="B28" s="2">
        <f t="shared" si="1"/>
        <v>201501</v>
      </c>
      <c r="C28" s="10">
        <f>LOG(AMZN!F27/AMZN!F26,EXP(1))</f>
        <v>0.13309227576605537</v>
      </c>
      <c r="D28" s="10">
        <f>LOG(GM!F27/GM!F26,EXP(1))</f>
        <v>-5.8967041492638712E-2</v>
      </c>
      <c r="E28" s="10">
        <f>LOG(JPM!F27/JPM!F26,EXP(1))</f>
        <v>-0.14044938402292292</v>
      </c>
      <c r="L28" s="2">
        <v>7</v>
      </c>
      <c r="M28" s="2">
        <v>113396.4106984158</v>
      </c>
    </row>
    <row r="29" spans="1:22" x14ac:dyDescent="0.2">
      <c r="A29" s="9">
        <v>42036</v>
      </c>
      <c r="B29" s="2">
        <f t="shared" si="1"/>
        <v>201502</v>
      </c>
      <c r="C29" s="10">
        <f>LOG(AMZN!F28/AMZN!F27,EXP(1))</f>
        <v>6.9799195499079342E-2</v>
      </c>
      <c r="D29" s="10">
        <f>LOG(GM!F28/GM!F27,EXP(1))</f>
        <v>0.13433607183675025</v>
      </c>
      <c r="E29" s="10">
        <f>LOG(JPM!F28/JPM!F27,EXP(1))</f>
        <v>0.12586952052288453</v>
      </c>
      <c r="L29" s="2">
        <v>8</v>
      </c>
      <c r="M29" s="2">
        <v>113188.86648928825</v>
      </c>
    </row>
    <row r="30" spans="1:22" x14ac:dyDescent="0.2">
      <c r="A30" s="9">
        <v>42064</v>
      </c>
      <c r="B30" s="2">
        <f t="shared" si="1"/>
        <v>201503</v>
      </c>
      <c r="C30" s="10">
        <f>LOG(AMZN!F29/AMZN!F28,EXP(1))</f>
        <v>-2.1429528772219708E-2</v>
      </c>
      <c r="D30" s="10">
        <f>LOG(GM!F29/GM!F28,EXP(1))</f>
        <v>5.0791776020535648E-3</v>
      </c>
      <c r="E30" s="10">
        <f>LOG(JPM!F29/JPM!F28,EXP(1))</f>
        <v>-1.1488587950627892E-2</v>
      </c>
      <c r="L30" s="2">
        <v>9</v>
      </c>
      <c r="M30" s="2">
        <v>119455.45666629745</v>
      </c>
    </row>
    <row r="31" spans="1:22" x14ac:dyDescent="0.2">
      <c r="A31" s="9">
        <v>42095</v>
      </c>
      <c r="B31" s="2">
        <f t="shared" si="1"/>
        <v>201504</v>
      </c>
      <c r="C31" s="10">
        <f>LOG(AMZN!F30/AMZN!F29,EXP(1))</f>
        <v>0.12532126314912564</v>
      </c>
      <c r="D31" s="10">
        <f>LOG(GM!F30/GM!F29,EXP(1))</f>
        <v>-5.9103102189146973E-2</v>
      </c>
      <c r="E31" s="10">
        <f>LOG(JPM!F30/JPM!F29,EXP(1))</f>
        <v>4.3288325576014509E-2</v>
      </c>
      <c r="L31" s="2">
        <v>10</v>
      </c>
      <c r="M31" s="2">
        <v>111203.3686182884</v>
      </c>
    </row>
    <row r="32" spans="1:22" x14ac:dyDescent="0.2">
      <c r="A32" s="9">
        <v>42125</v>
      </c>
      <c r="B32" s="2">
        <f t="shared" si="1"/>
        <v>201505</v>
      </c>
      <c r="C32" s="10">
        <f>LOG(AMZN!F31/AMZN!F30,EXP(1))</f>
        <v>1.7509007295816316E-2</v>
      </c>
      <c r="D32" s="10">
        <f>LOG(GM!F31/GM!F30,EXP(1))</f>
        <v>2.5624383190386804E-2</v>
      </c>
      <c r="E32" s="10">
        <f>LOG(JPM!F31/JPM!F30,EXP(1))</f>
        <v>4.5687369319561043E-2</v>
      </c>
      <c r="L32" s="2">
        <v>11</v>
      </c>
      <c r="M32" s="2">
        <v>103993.31633716215</v>
      </c>
    </row>
    <row r="33" spans="1:13" x14ac:dyDescent="0.2">
      <c r="A33" s="9">
        <v>42156</v>
      </c>
      <c r="B33" s="2">
        <f t="shared" si="1"/>
        <v>201506</v>
      </c>
      <c r="C33" s="10">
        <f>LOG(AMZN!F32/AMZN!F31,EXP(1))</f>
        <v>1.1258980075910722E-2</v>
      </c>
      <c r="D33" s="10">
        <f>LOG(GM!F32/GM!F31,EXP(1))</f>
        <v>-7.6227288619328454E-2</v>
      </c>
      <c r="E33" s="10">
        <f>LOG(JPM!F32/JPM!F31,EXP(1))</f>
        <v>2.9656126381538396E-2</v>
      </c>
      <c r="L33" s="2">
        <v>12</v>
      </c>
      <c r="M33" s="2">
        <v>120117.45673597549</v>
      </c>
    </row>
    <row r="34" spans="1:13" x14ac:dyDescent="0.2">
      <c r="A34" s="9">
        <v>42186</v>
      </c>
      <c r="B34" s="2">
        <f t="shared" si="1"/>
        <v>201507</v>
      </c>
      <c r="C34" s="10">
        <f>LOG(AMZN!F33/AMZN!F32,EXP(1))</f>
        <v>0.21116212409571802</v>
      </c>
      <c r="D34" s="10">
        <f>LOG(GM!F33/GM!F32,EXP(1))</f>
        <v>-4.5849912981904349E-2</v>
      </c>
      <c r="E34" s="10">
        <f>LOG(JPM!F33/JPM!F32,EXP(1))</f>
        <v>1.1299590709164496E-2</v>
      </c>
      <c r="L34" s="2">
        <v>13</v>
      </c>
      <c r="M34" s="2">
        <v>104599.57715761886</v>
      </c>
    </row>
    <row r="35" spans="1:13" x14ac:dyDescent="0.2">
      <c r="A35" s="9">
        <v>42217</v>
      </c>
      <c r="B35" s="2">
        <f t="shared" si="1"/>
        <v>201508</v>
      </c>
      <c r="C35" s="10">
        <f>LOG(AMZN!F34/AMZN!F33,EXP(1))</f>
        <v>-4.435257374724616E-2</v>
      </c>
      <c r="D35" s="10">
        <f>LOG(GM!F34/GM!F33,EXP(1))</f>
        <v>-6.7950328261838402E-2</v>
      </c>
      <c r="E35" s="10">
        <f>LOG(JPM!F34/JPM!F33,EXP(1))</f>
        <v>-6.0312670118893096E-2</v>
      </c>
      <c r="L35" s="2">
        <v>14</v>
      </c>
      <c r="M35" s="2">
        <v>112939.73848712609</v>
      </c>
    </row>
    <row r="36" spans="1:13" x14ac:dyDescent="0.2">
      <c r="A36" s="9">
        <v>42248</v>
      </c>
      <c r="B36" s="2">
        <f t="shared" si="1"/>
        <v>201509</v>
      </c>
      <c r="C36" s="10">
        <f>LOG(AMZN!F35/AMZN!F34,EXP(1))</f>
        <v>-1.9516780146180887E-3</v>
      </c>
      <c r="D36" s="10">
        <f>LOG(GM!F35/GM!F34,EXP(1))</f>
        <v>1.9509569267211382E-2</v>
      </c>
      <c r="E36" s="10">
        <f>LOG(JPM!F35/JPM!F34,EXP(1))</f>
        <v>-5.0062430659078262E-2</v>
      </c>
      <c r="L36" s="2">
        <v>15</v>
      </c>
      <c r="M36" s="2">
        <v>104196.71618717609</v>
      </c>
    </row>
    <row r="37" spans="1:13" x14ac:dyDescent="0.2">
      <c r="A37" s="9">
        <v>42278</v>
      </c>
      <c r="B37" s="2">
        <f t="shared" si="1"/>
        <v>201510</v>
      </c>
      <c r="C37" s="10">
        <f>LOG(AMZN!F36/AMZN!F35,EXP(1))</f>
        <v>0.20108085572337253</v>
      </c>
      <c r="D37" s="10">
        <f>LOG(GM!F36/GM!F35,EXP(1))</f>
        <v>0.16313755253756207</v>
      </c>
      <c r="E37" s="10">
        <f>LOG(JPM!F36/JPM!F35,EXP(1))</f>
        <v>5.2399998942889651E-2</v>
      </c>
      <c r="L37" s="2">
        <v>16</v>
      </c>
      <c r="M37" s="2">
        <v>120979.63389220166</v>
      </c>
    </row>
    <row r="38" spans="1:13" x14ac:dyDescent="0.2">
      <c r="A38" s="9">
        <v>42309</v>
      </c>
      <c r="B38" s="2">
        <f t="shared" si="1"/>
        <v>201511</v>
      </c>
      <c r="C38" s="10">
        <f>LOG(AMZN!F37/AMZN!F36,EXP(1))</f>
        <v>6.0295689779052315E-2</v>
      </c>
      <c r="D38" s="10">
        <f>LOG(GM!F37/GM!F36,EXP(1))</f>
        <v>3.6286046886903026E-2</v>
      </c>
      <c r="E38" s="10">
        <f>LOG(JPM!F37/JPM!F36,EXP(1))</f>
        <v>4.4312983940325214E-2</v>
      </c>
      <c r="L38" s="2">
        <v>17</v>
      </c>
      <c r="M38" s="2">
        <v>119033.66335895337</v>
      </c>
    </row>
    <row r="39" spans="1:13" x14ac:dyDescent="0.2">
      <c r="A39" s="9">
        <v>42339</v>
      </c>
      <c r="B39" s="2">
        <f t="shared" si="1"/>
        <v>201512</v>
      </c>
      <c r="C39" s="10">
        <f>LOG(AMZN!F38/AMZN!F37,EXP(1))</f>
        <v>1.6543978017891529E-2</v>
      </c>
      <c r="D39" s="10">
        <f>LOG(GM!F38/GM!F37,EXP(1))</f>
        <v>-6.2404556960819417E-2</v>
      </c>
      <c r="E39" s="10">
        <f>LOG(JPM!F38/JPM!F37,EXP(1))</f>
        <v>-9.7962212230331552E-3</v>
      </c>
      <c r="L39" s="2">
        <v>18</v>
      </c>
      <c r="M39" s="2">
        <v>108865.55479941508</v>
      </c>
    </row>
    <row r="40" spans="1:13" x14ac:dyDescent="0.2">
      <c r="A40" s="9">
        <v>42370</v>
      </c>
      <c r="B40" s="2">
        <f t="shared" si="1"/>
        <v>201601</v>
      </c>
      <c r="C40" s="10">
        <f>LOG(AMZN!F39/AMZN!F38,EXP(1))</f>
        <v>-0.14100546189950319</v>
      </c>
      <c r="D40" s="10">
        <f>LOG(GM!F39/GM!F38,EXP(1))</f>
        <v>-0.12705225725222866</v>
      </c>
      <c r="E40" s="10">
        <f>LOG(JPM!F39/JPM!F38,EXP(1))</f>
        <v>-0.10413271288538643</v>
      </c>
      <c r="L40" s="2">
        <v>19</v>
      </c>
      <c r="M40" s="2">
        <v>115547.07189771728</v>
      </c>
    </row>
    <row r="41" spans="1:13" x14ac:dyDescent="0.2">
      <c r="A41" s="9">
        <v>42401</v>
      </c>
      <c r="B41" s="2">
        <f t="shared" si="1"/>
        <v>201602</v>
      </c>
      <c r="C41" s="10">
        <f>LOG(AMZN!F40/AMZN!F39,EXP(1))</f>
        <v>-6.0535224194122765E-2</v>
      </c>
      <c r="D41" s="10">
        <f>LOG(GM!F40/GM!F39,EXP(1))</f>
        <v>-6.7706654384612243E-3</v>
      </c>
      <c r="E41" s="10">
        <f>LOG(JPM!F40/JPM!F39,EXP(1))</f>
        <v>-4.8595875692615177E-2</v>
      </c>
      <c r="L41" s="2">
        <v>20</v>
      </c>
      <c r="M41" s="2">
        <v>115200.46281661838</v>
      </c>
    </row>
    <row r="42" spans="1:13" x14ac:dyDescent="0.2">
      <c r="A42" s="9">
        <v>42430</v>
      </c>
      <c r="B42" s="2">
        <f t="shared" si="1"/>
        <v>201603</v>
      </c>
      <c r="C42" s="10">
        <f>LOG(AMZN!F41/AMZN!F40,EXP(1))</f>
        <v>7.1783445703191118E-2</v>
      </c>
      <c r="D42" s="10">
        <f>LOG(GM!F41/GM!F40,EXP(1))</f>
        <v>6.5408604637581927E-2</v>
      </c>
      <c r="E42" s="10">
        <f>LOG(JPM!F41/JPM!F40,EXP(1))</f>
        <v>5.0564666494574952E-2</v>
      </c>
    </row>
    <row r="43" spans="1:13" x14ac:dyDescent="0.2">
      <c r="A43" s="9">
        <v>42461</v>
      </c>
      <c r="B43" s="2">
        <f t="shared" si="1"/>
        <v>201604</v>
      </c>
      <c r="C43" s="10">
        <f>LOG(AMZN!F42/AMZN!F41,EXP(1))</f>
        <v>0.10534538852989772</v>
      </c>
      <c r="D43" s="10">
        <f>LOG(GM!F42/GM!F41,EXP(1))</f>
        <v>2.4166715863267903E-2</v>
      </c>
      <c r="E43" s="10">
        <f>LOG(JPM!F42/JPM!F41,EXP(1))</f>
        <v>6.5045030979779067E-2</v>
      </c>
    </row>
    <row r="44" spans="1:13" x14ac:dyDescent="0.2">
      <c r="A44" s="9">
        <v>42491</v>
      </c>
      <c r="B44" s="2">
        <f t="shared" si="1"/>
        <v>201605</v>
      </c>
      <c r="C44" s="10">
        <f>LOG(AMZN!F43/AMZN!F42,EXP(1))</f>
        <v>9.1500293669527472E-2</v>
      </c>
      <c r="D44" s="10">
        <f>LOG(GM!F43/GM!F42,EXP(1))</f>
        <v>-1.6487502614282511E-2</v>
      </c>
      <c r="E44" s="10">
        <f>LOG(JPM!F43/JPM!F42,EXP(1))</f>
        <v>3.9604721639781529E-2</v>
      </c>
    </row>
    <row r="45" spans="1:13" x14ac:dyDescent="0.2">
      <c r="A45" s="9">
        <v>42522</v>
      </c>
      <c r="B45" s="2">
        <f t="shared" si="1"/>
        <v>201606</v>
      </c>
      <c r="C45" s="10">
        <f>LOG(AMZN!F44/AMZN!F43,EXP(1))</f>
        <v>-9.9694796135462154E-3</v>
      </c>
      <c r="D45" s="10">
        <f>LOG(GM!F44/GM!F43,EXP(1))</f>
        <v>-0.10011703791493479</v>
      </c>
      <c r="E45" s="10">
        <f>LOG(JPM!F44/JPM!F43,EXP(1))</f>
        <v>-4.9142840901300354E-2</v>
      </c>
    </row>
    <row r="46" spans="1:13" x14ac:dyDescent="0.2">
      <c r="A46" s="9">
        <v>42552</v>
      </c>
      <c r="B46" s="2">
        <f t="shared" si="1"/>
        <v>201607</v>
      </c>
      <c r="C46" s="10">
        <f>LOG(AMZN!F45/AMZN!F44,EXP(1))</f>
        <v>5.8602120040072883E-2</v>
      </c>
      <c r="D46" s="10">
        <f>LOG(GM!F45/GM!F44,EXP(1))</f>
        <v>0.12104478544244447</v>
      </c>
      <c r="E46" s="10">
        <f>LOG(JPM!F45/JPM!F44,EXP(1))</f>
        <v>2.9024387435383686E-2</v>
      </c>
    </row>
    <row r="47" spans="1:13" x14ac:dyDescent="0.2">
      <c r="A47" s="9">
        <v>42583</v>
      </c>
      <c r="B47" s="2">
        <f t="shared" si="1"/>
        <v>201608</v>
      </c>
      <c r="C47" s="10">
        <f>LOG(AMZN!F46/AMZN!F45,EXP(1))</f>
        <v>1.3547646319269517E-2</v>
      </c>
      <c r="D47" s="10">
        <f>LOG(GM!F46/GM!F45,EXP(1))</f>
        <v>1.1976153799547381E-2</v>
      </c>
      <c r="E47" s="10">
        <f>LOG(JPM!F46/JPM!F45,EXP(1))</f>
        <v>6.1468035420027767E-2</v>
      </c>
    </row>
    <row r="48" spans="1:13" x14ac:dyDescent="0.2">
      <c r="A48" s="9">
        <v>42614</v>
      </c>
      <c r="B48" s="2">
        <f t="shared" si="1"/>
        <v>201609</v>
      </c>
      <c r="C48" s="10">
        <f>LOG(AMZN!F47/AMZN!F46,EXP(1))</f>
        <v>8.4895385893299855E-2</v>
      </c>
      <c r="D48" s="10">
        <f>LOG(GM!F47/GM!F46,EXP(1))</f>
        <v>-4.7102892688520833E-3</v>
      </c>
      <c r="E48" s="10">
        <f>LOG(JPM!F47/JPM!F46,EXP(1))</f>
        <v>-1.3573451707610649E-2</v>
      </c>
    </row>
    <row r="49" spans="1:5" x14ac:dyDescent="0.2">
      <c r="A49" s="9">
        <v>42644</v>
      </c>
      <c r="B49" s="2">
        <f t="shared" si="1"/>
        <v>201610</v>
      </c>
      <c r="C49" s="10">
        <f>LOG(AMZN!F48/AMZN!F47,EXP(1))</f>
        <v>-5.8389299454982085E-2</v>
      </c>
      <c r="D49" s="10">
        <f>LOG(GM!F48/GM!F47,EXP(1))</f>
        <v>6.5357442967490667E-3</v>
      </c>
      <c r="E49" s="10">
        <f>LOG(JPM!F48/JPM!F47,EXP(1))</f>
        <v>3.9313351696883617E-2</v>
      </c>
    </row>
    <row r="50" spans="1:5" x14ac:dyDescent="0.2">
      <c r="A50" s="9">
        <v>42675</v>
      </c>
      <c r="B50" s="2">
        <f t="shared" si="1"/>
        <v>201611</v>
      </c>
      <c r="C50" s="10">
        <f>LOG(AMZN!F49/AMZN!F48,EXP(1))</f>
        <v>-5.0972178844106007E-2</v>
      </c>
      <c r="D50" s="10">
        <f>LOG(GM!F49/GM!F48,EXP(1))</f>
        <v>8.8671360413277792E-2</v>
      </c>
      <c r="E50" s="10">
        <f>LOG(JPM!F49/JPM!F48,EXP(1))</f>
        <v>0.15352483132899764</v>
      </c>
    </row>
    <row r="51" spans="1:5" x14ac:dyDescent="0.2">
      <c r="A51" s="9">
        <v>42705</v>
      </c>
      <c r="B51" s="2">
        <f t="shared" si="1"/>
        <v>201612</v>
      </c>
      <c r="C51" s="10">
        <f>LOG(AMZN!F50/AMZN!F49,EXP(1))</f>
        <v>-9.3305970353376247E-4</v>
      </c>
      <c r="D51" s="10">
        <f>LOG(GM!F50/GM!F49,EXP(1))</f>
        <v>8.9376946397513955E-3</v>
      </c>
      <c r="E51" s="10">
        <f>LOG(JPM!F50/JPM!F49,EXP(1))</f>
        <v>7.3564537888001297E-2</v>
      </c>
    </row>
    <row r="52" spans="1:5" x14ac:dyDescent="0.2">
      <c r="A52" s="9">
        <v>42736</v>
      </c>
      <c r="B52" s="2">
        <f t="shared" si="1"/>
        <v>201701</v>
      </c>
      <c r="C52" s="10">
        <f>LOG(AMZN!F51/AMZN!F50,EXP(1))</f>
        <v>9.3639404568043122E-2</v>
      </c>
      <c r="D52" s="10">
        <f>LOG(GM!F51/GM!F50,EXP(1))</f>
        <v>6.0344649429666553E-2</v>
      </c>
      <c r="E52" s="10">
        <f>LOG(JPM!F51/JPM!F50,EXP(1))</f>
        <v>-1.942519159818824E-2</v>
      </c>
    </row>
    <row r="53" spans="1:5" x14ac:dyDescent="0.2">
      <c r="A53" s="9">
        <v>42767</v>
      </c>
      <c r="B53" s="2">
        <f t="shared" si="1"/>
        <v>201702</v>
      </c>
      <c r="C53" s="10">
        <f>LOG(AMZN!F52/AMZN!F51,EXP(1))</f>
        <v>2.5844677106280117E-2</v>
      </c>
      <c r="D53" s="10">
        <f>LOG(GM!F52/GM!F51,EXP(1))</f>
        <v>6.2629641329096002E-3</v>
      </c>
      <c r="E53" s="10">
        <f>LOG(JPM!F52/JPM!F51,EXP(1))</f>
        <v>7.3904036614151097E-2</v>
      </c>
    </row>
    <row r="54" spans="1:5" x14ac:dyDescent="0.2">
      <c r="A54" s="9">
        <v>42795</v>
      </c>
      <c r="B54" s="2">
        <f t="shared" si="1"/>
        <v>201703</v>
      </c>
      <c r="C54" s="10">
        <f>LOG(AMZN!F53/AMZN!F52,EXP(1))</f>
        <v>4.7942305912336676E-2</v>
      </c>
      <c r="D54" s="10">
        <f>LOG(GM!F53/GM!F52,EXP(1))</f>
        <v>-4.1002882778218543E-2</v>
      </c>
      <c r="E54" s="10">
        <f>LOG(JPM!F53/JPM!F52,EXP(1))</f>
        <v>-3.115792337066316E-2</v>
      </c>
    </row>
    <row r="55" spans="1:5" x14ac:dyDescent="0.2">
      <c r="A55" s="9">
        <v>42826</v>
      </c>
      <c r="B55" s="2">
        <f t="shared" si="1"/>
        <v>201704</v>
      </c>
      <c r="C55" s="10">
        <f>LOG(AMZN!F54/AMZN!F53,EXP(1))</f>
        <v>4.2456680883452759E-2</v>
      </c>
      <c r="D55" s="10">
        <f>LOG(GM!F54/GM!F53,EXP(1))</f>
        <v>-1.039287320743313E-2</v>
      </c>
      <c r="E55" s="10">
        <f>LOG(JPM!F54/JPM!F53,EXP(1))</f>
        <v>-9.6087097846676572E-3</v>
      </c>
    </row>
    <row r="56" spans="1:5" x14ac:dyDescent="0.2">
      <c r="A56" s="9">
        <v>42856</v>
      </c>
      <c r="B56" s="2">
        <f t="shared" si="1"/>
        <v>201705</v>
      </c>
      <c r="C56" s="10">
        <f>LOG(AMZN!F55/AMZN!F54,EXP(1))</f>
        <v>7.2577807913470307E-2</v>
      </c>
      <c r="D56" s="10">
        <f>LOG(GM!F55/GM!F54,EXP(1))</f>
        <v>-2.0709254189266241E-2</v>
      </c>
      <c r="E56" s="10">
        <f>LOG(JPM!F55/JPM!F54,EXP(1))</f>
        <v>-5.1632018859350474E-2</v>
      </c>
    </row>
    <row r="57" spans="1:5" x14ac:dyDescent="0.2">
      <c r="A57" s="9">
        <v>42887</v>
      </c>
      <c r="B57" s="2">
        <f t="shared" si="1"/>
        <v>201706</v>
      </c>
      <c r="C57" s="10">
        <f>LOG(AMZN!F56/AMZN!F55,EXP(1))</f>
        <v>-2.7128605957757165E-2</v>
      </c>
      <c r="D57" s="10">
        <f>LOG(GM!F56/GM!F55,EXP(1))</f>
        <v>2.9046404410960919E-2</v>
      </c>
      <c r="E57" s="10">
        <f>LOG(JPM!F56/JPM!F55,EXP(1))</f>
        <v>0.10669859418997564</v>
      </c>
    </row>
    <row r="58" spans="1:5" x14ac:dyDescent="0.2">
      <c r="A58" s="9">
        <v>42917</v>
      </c>
      <c r="B58" s="2">
        <f t="shared" si="1"/>
        <v>201707</v>
      </c>
      <c r="C58" s="10">
        <f>LOG(AMZN!F57/AMZN!F56,EXP(1))</f>
        <v>2.0227872289095228E-2</v>
      </c>
      <c r="D58" s="10">
        <f>LOG(GM!F57/GM!F56,EXP(1))</f>
        <v>4.071522509940078E-2</v>
      </c>
      <c r="E58" s="10">
        <f>LOG(JPM!F57/JPM!F56,EXP(1))</f>
        <v>4.3669672831511599E-3</v>
      </c>
    </row>
    <row r="59" spans="1:5" x14ac:dyDescent="0.2">
      <c r="A59" s="9">
        <v>42948</v>
      </c>
      <c r="B59" s="2">
        <f t="shared" si="1"/>
        <v>201708</v>
      </c>
      <c r="C59" s="10">
        <f>LOG(AMZN!F58/AMZN!F57,EXP(1))</f>
        <v>-7.2953920665290014E-3</v>
      </c>
      <c r="D59" s="10">
        <f>LOG(GM!F58/GM!F57,EXP(1))</f>
        <v>1.5444493743386339E-2</v>
      </c>
      <c r="E59" s="10">
        <f>LOG(JPM!F58/JPM!F57,EXP(1))</f>
        <v>-4.4767863274559807E-3</v>
      </c>
    </row>
    <row r="60" spans="1:5" x14ac:dyDescent="0.2">
      <c r="A60" s="9">
        <v>42979</v>
      </c>
      <c r="B60" s="2">
        <f t="shared" si="1"/>
        <v>201709</v>
      </c>
      <c r="C60" s="10">
        <f>LOG(AMZN!F59/AMZN!F58,EXP(1))</f>
        <v>-1.9826041399033562E-2</v>
      </c>
      <c r="D60" s="10">
        <f>LOG(GM!F59/GM!F58,EXP(1))</f>
        <v>9.9927046711126691E-2</v>
      </c>
      <c r="E60" s="10">
        <f>LOG(JPM!F59/JPM!F58,EXP(1))</f>
        <v>4.9580635527675561E-2</v>
      </c>
    </row>
    <row r="61" spans="1:5" x14ac:dyDescent="0.2">
      <c r="A61" s="9">
        <v>43009</v>
      </c>
      <c r="B61" s="2">
        <f t="shared" si="1"/>
        <v>201710</v>
      </c>
      <c r="C61" s="10">
        <f>LOG(AMZN!F60/AMZN!F59,EXP(1))</f>
        <v>0.13951540809583615</v>
      </c>
      <c r="D61" s="10">
        <f>LOG(GM!F60/GM!F59,EXP(1))</f>
        <v>7.2539002246551826E-2</v>
      </c>
      <c r="E61" s="10">
        <f>LOG(JPM!F60/JPM!F59,EXP(1))</f>
        <v>5.202090720317297E-2</v>
      </c>
    </row>
    <row r="62" spans="1:5" x14ac:dyDescent="0.2">
      <c r="A62" s="9">
        <v>43040</v>
      </c>
      <c r="B62" s="2">
        <f t="shared" si="1"/>
        <v>201711</v>
      </c>
      <c r="C62" s="10">
        <f>LOG(AMZN!F61/AMZN!F60,EXP(1))</f>
        <v>6.2657738754918937E-2</v>
      </c>
      <c r="D62" s="10">
        <f>LOG(GM!F61/GM!F60,EXP(1))</f>
        <v>2.5560144012599377E-3</v>
      </c>
      <c r="E62" s="10">
        <f>LOG(JPM!F61/JPM!F60,EXP(1))</f>
        <v>4.39551805311586E-2</v>
      </c>
    </row>
    <row r="63" spans="1:5" x14ac:dyDescent="0.2">
      <c r="A63" s="9">
        <v>43070</v>
      </c>
      <c r="B63" s="2">
        <f t="shared" si="1"/>
        <v>201712</v>
      </c>
      <c r="C63" s="10">
        <f>LOG(AMZN!F62/AMZN!F61,EXP(1))</f>
        <v>-6.2057976677554749E-3</v>
      </c>
      <c r="D63" s="10">
        <f>LOG(GM!F62/GM!F61,EXP(1))</f>
        <v>-4.9962673545657983E-2</v>
      </c>
      <c r="E63" s="10">
        <f>LOG(JPM!F62/JPM!F61,EXP(1))</f>
        <v>2.2889801725347502E-2</v>
      </c>
    </row>
    <row r="64" spans="1:5" x14ac:dyDescent="0.2">
      <c r="A64" s="9">
        <v>43101</v>
      </c>
      <c r="B64" s="2">
        <f t="shared" si="1"/>
        <v>201801</v>
      </c>
      <c r="C64" s="10">
        <f>LOG(AMZN!F63/AMZN!F62,EXP(1))</f>
        <v>0.2156265511879886</v>
      </c>
      <c r="D64" s="10">
        <f>LOG(GM!F63/GM!F62,EXP(1))</f>
        <v>4.3112368898186849E-2</v>
      </c>
      <c r="E64" s="10">
        <f>LOG(JPM!F63/JPM!F62,EXP(1))</f>
        <v>7.84731502315624E-2</v>
      </c>
    </row>
    <row r="65" spans="1:5" x14ac:dyDescent="0.2">
      <c r="A65" s="9">
        <v>43132</v>
      </c>
      <c r="B65" s="2">
        <f t="shared" si="1"/>
        <v>201802</v>
      </c>
      <c r="C65" s="10">
        <f>LOG(AMZN!F64/AMZN!F63,EXP(1))</f>
        <v>4.1553637266767293E-2</v>
      </c>
      <c r="D65" s="10">
        <f>LOG(GM!F64/GM!F63,EXP(1))</f>
        <v>-7.4888231264197344E-2</v>
      </c>
      <c r="E65" s="10">
        <f>LOG(JPM!F64/JPM!F63,EXP(1))</f>
        <v>3.7249062487480647E-3</v>
      </c>
    </row>
    <row r="66" spans="1:5" x14ac:dyDescent="0.2">
      <c r="A66" s="9">
        <v>43160</v>
      </c>
      <c r="B66" s="2">
        <f t="shared" si="1"/>
        <v>201803</v>
      </c>
      <c r="C66" s="10">
        <f>LOG(AMZN!F65/AMZN!F64,EXP(1))</f>
        <v>-4.400347858374884E-2</v>
      </c>
      <c r="D66" s="10">
        <f>LOG(GM!F65/GM!F64,EXP(1))</f>
        <v>-7.9576767101410734E-2</v>
      </c>
      <c r="E66" s="10">
        <f>LOG(JPM!F65/JPM!F64,EXP(1))</f>
        <v>-4.9062856800060839E-2</v>
      </c>
    </row>
    <row r="67" spans="1:5" x14ac:dyDescent="0.2">
      <c r="A67" s="9">
        <v>43191</v>
      </c>
      <c r="B67" s="2">
        <f t="shared" si="1"/>
        <v>201804</v>
      </c>
      <c r="C67" s="10">
        <f>LOG(AMZN!F66/AMZN!F65,EXP(1))</f>
        <v>7.8880298988370054E-2</v>
      </c>
      <c r="D67" s="10">
        <f>LOG(GM!F66/GM!F65,EXP(1))</f>
        <v>2.1066875657610982E-2</v>
      </c>
      <c r="E67" s="10">
        <f>LOG(JPM!F66/JPM!F65,EXP(1))</f>
        <v>-1.0879995875137681E-2</v>
      </c>
    </row>
    <row r="68" spans="1:5" x14ac:dyDescent="0.2">
      <c r="A68" s="9">
        <v>43221</v>
      </c>
      <c r="B68" s="2">
        <f t="shared" si="1"/>
        <v>201805</v>
      </c>
      <c r="C68" s="10">
        <f>LOG(AMZN!F67/AMZN!F66,EXP(1))</f>
        <v>3.9739249141300483E-2</v>
      </c>
      <c r="D68" s="10">
        <f>LOG(GM!F67/GM!F66,EXP(1))</f>
        <v>0.15033271192450362</v>
      </c>
      <c r="E68" s="10">
        <f>LOG(JPM!F67/JPM!F66,EXP(1))</f>
        <v>-1.1347073010185595E-2</v>
      </c>
    </row>
    <row r="69" spans="1:5" x14ac:dyDescent="0.2">
      <c r="A69" s="9">
        <v>43252</v>
      </c>
      <c r="B69" s="2">
        <f t="shared" ref="B69:B123" si="14">YEAR(A69)*100+MONTH(A69)</f>
        <v>201806</v>
      </c>
      <c r="C69" s="10">
        <f>LOG(AMZN!F68/AMZN!F67,EXP(1))</f>
        <v>4.2163677926245341E-2</v>
      </c>
      <c r="D69" s="10">
        <f>LOG(GM!F68/GM!F67,EXP(1))</f>
        <v>-8.0432935660669433E-2</v>
      </c>
      <c r="E69" s="10">
        <f>LOG(JPM!F68/JPM!F67,EXP(1))</f>
        <v>-2.661003234733636E-2</v>
      </c>
    </row>
    <row r="70" spans="1:5" x14ac:dyDescent="0.2">
      <c r="A70" s="9">
        <v>43282</v>
      </c>
      <c r="B70" s="2">
        <f t="shared" si="14"/>
        <v>201807</v>
      </c>
      <c r="C70" s="10">
        <f>LOG(AMZN!F69/AMZN!F68,EXP(1))</f>
        <v>4.4663575805342422E-2</v>
      </c>
      <c r="D70" s="10">
        <f>LOG(GM!F69/GM!F68,EXP(1))</f>
        <v>-2.9863433278618963E-2</v>
      </c>
      <c r="E70" s="10">
        <f>LOG(JPM!F69/JPM!F68,EXP(1))</f>
        <v>9.8184893394275788E-2</v>
      </c>
    </row>
    <row r="71" spans="1:5" x14ac:dyDescent="0.2">
      <c r="A71" s="9">
        <v>43313</v>
      </c>
      <c r="B71" s="2">
        <f t="shared" si="14"/>
        <v>201808</v>
      </c>
      <c r="C71" s="10">
        <f>LOG(AMZN!F70/AMZN!F69,EXP(1))</f>
        <v>0.12430790346355912</v>
      </c>
      <c r="D71" s="10">
        <f>LOG(GM!F70/GM!F69,EXP(1))</f>
        <v>-5.030798276160612E-2</v>
      </c>
      <c r="E71" s="10">
        <f>LOG(JPM!F70/JPM!F69,EXP(1))</f>
        <v>2.1955653809418284E-3</v>
      </c>
    </row>
    <row r="72" spans="1:5" x14ac:dyDescent="0.2">
      <c r="A72" s="9">
        <v>43344</v>
      </c>
      <c r="B72" s="2">
        <f t="shared" si="14"/>
        <v>201809</v>
      </c>
      <c r="C72" s="10">
        <f>LOG(AMZN!F71/AMZN!F70,EXP(1))</f>
        <v>-4.8359761653838486E-3</v>
      </c>
      <c r="D72" s="10">
        <f>LOG(GM!F71/GM!F70,EXP(1))</f>
        <v>-6.8299576254922889E-2</v>
      </c>
      <c r="E72" s="10">
        <f>LOG(JPM!F71/JPM!F70,EXP(1))</f>
        <v>-1.5302255083396717E-2</v>
      </c>
    </row>
    <row r="73" spans="1:5" x14ac:dyDescent="0.2">
      <c r="A73" s="9">
        <v>43374</v>
      </c>
      <c r="B73" s="2">
        <f t="shared" si="14"/>
        <v>201810</v>
      </c>
      <c r="C73" s="10">
        <f>LOG(AMZN!F72/AMZN!F71,EXP(1))</f>
        <v>-0.22588700905364459</v>
      </c>
      <c r="D73" s="10">
        <f>LOG(GM!F72/GM!F71,EXP(1))</f>
        <v>9.3994075934800511E-2</v>
      </c>
      <c r="E73" s="10">
        <f>LOG(JPM!F72/JPM!F71,EXP(1))</f>
        <v>-3.4439577044424019E-2</v>
      </c>
    </row>
    <row r="74" spans="1:5" x14ac:dyDescent="0.2">
      <c r="A74" s="9">
        <v>43405</v>
      </c>
      <c r="B74" s="2">
        <f t="shared" si="14"/>
        <v>201811</v>
      </c>
      <c r="C74" s="10">
        <f>LOG(AMZN!F73/AMZN!F72,EXP(1))</f>
        <v>5.6070036158740566E-2</v>
      </c>
      <c r="D74" s="10">
        <f>LOG(GM!F73/GM!F72,EXP(1))</f>
        <v>3.6494781969176097E-2</v>
      </c>
      <c r="E74" s="10">
        <f>LOG(JPM!F73/JPM!F72,EXP(1))</f>
        <v>2.6687386849823386E-2</v>
      </c>
    </row>
    <row r="75" spans="1:5" x14ac:dyDescent="0.2">
      <c r="A75" s="9">
        <v>43435</v>
      </c>
      <c r="B75" s="2">
        <f t="shared" si="14"/>
        <v>201812</v>
      </c>
      <c r="C75" s="10">
        <f>LOG(AMZN!F74/AMZN!F73,EXP(1))</f>
        <v>-0.11805148403765606</v>
      </c>
      <c r="D75" s="10">
        <f>LOG(GM!F74/GM!F73,EXP(1))</f>
        <v>-0.12621802482168198</v>
      </c>
      <c r="E75" s="10">
        <f>LOG(JPM!F74/JPM!F73,EXP(1))</f>
        <v>-0.13015779976026218</v>
      </c>
    </row>
    <row r="76" spans="1:5" x14ac:dyDescent="0.2">
      <c r="A76" s="9">
        <v>43466</v>
      </c>
      <c r="B76" s="2">
        <f t="shared" si="14"/>
        <v>201901</v>
      </c>
      <c r="C76" s="10">
        <f>LOG(AMZN!F75/AMZN!F74,EXP(1))</f>
        <v>0.13480803791673834</v>
      </c>
      <c r="D76" s="10">
        <f>LOG(GM!F75/GM!F74,EXP(1))</f>
        <v>0.16448244345101257</v>
      </c>
      <c r="E76" s="10">
        <f>LOG(JPM!F75/JPM!F74,EXP(1))</f>
        <v>5.8489004652711875E-2</v>
      </c>
    </row>
    <row r="77" spans="1:5" x14ac:dyDescent="0.2">
      <c r="A77" s="9">
        <v>43497</v>
      </c>
      <c r="B77" s="2">
        <f t="shared" si="14"/>
        <v>201902</v>
      </c>
      <c r="C77" s="10">
        <f>LOG(AMZN!F76/AMZN!F75,EXP(1))</f>
        <v>-4.6993067514913667E-2</v>
      </c>
      <c r="D77" s="10">
        <f>LOG(GM!F76/GM!F75,EXP(1))</f>
        <v>1.1719821088252693E-2</v>
      </c>
      <c r="E77" s="10">
        <f>LOG(JPM!F76/JPM!F75,EXP(1))</f>
        <v>1.6362909090048824E-2</v>
      </c>
    </row>
    <row r="78" spans="1:5" x14ac:dyDescent="0.2">
      <c r="A78" s="9">
        <v>43525</v>
      </c>
      <c r="B78" s="2">
        <f t="shared" si="14"/>
        <v>201903</v>
      </c>
      <c r="C78" s="10">
        <f>LOG(AMZN!F77/AMZN!F76,EXP(1))</f>
        <v>8.2442011290889891E-2</v>
      </c>
      <c r="D78" s="10">
        <f>LOG(GM!F77/GM!F76,EXP(1))</f>
        <v>-6.2177378529198635E-2</v>
      </c>
      <c r="E78" s="10">
        <f>LOG(JPM!F77/JPM!F76,EXP(1))</f>
        <v>-3.045103779075092E-2</v>
      </c>
    </row>
    <row r="79" spans="1:5" x14ac:dyDescent="0.2">
      <c r="A79" s="9">
        <v>43556</v>
      </c>
      <c r="B79" s="2">
        <f t="shared" si="14"/>
        <v>201904</v>
      </c>
      <c r="C79" s="10">
        <f>LOG(AMZN!F78/AMZN!F77,EXP(1))</f>
        <v>7.8680623611546902E-2</v>
      </c>
      <c r="D79" s="10">
        <f>LOG(GM!F78/GM!F77,EXP(1))</f>
        <v>5.8537355867449542E-2</v>
      </c>
      <c r="E79" s="10">
        <f>LOG(JPM!F78/JPM!F77,EXP(1))</f>
        <v>0.13662589184519372</v>
      </c>
    </row>
    <row r="80" spans="1:5" x14ac:dyDescent="0.2">
      <c r="A80" s="9">
        <v>43586</v>
      </c>
      <c r="B80" s="2">
        <f t="shared" si="14"/>
        <v>201905</v>
      </c>
      <c r="C80" s="10">
        <f>LOG(AMZN!F79/AMZN!F78,EXP(1))</f>
        <v>-8.1875343721610483E-2</v>
      </c>
      <c r="D80" s="10">
        <f>LOG(GM!F79/GM!F78,EXP(1))</f>
        <v>-0.15552107599244569</v>
      </c>
      <c r="E80" s="10">
        <f>LOG(JPM!F79/JPM!F78,EXP(1))</f>
        <v>-8.3336714479961743E-2</v>
      </c>
    </row>
    <row r="81" spans="1:5" x14ac:dyDescent="0.2">
      <c r="A81" s="9">
        <v>43617</v>
      </c>
      <c r="B81" s="2">
        <f t="shared" si="14"/>
        <v>201906</v>
      </c>
      <c r="C81" s="10">
        <f>LOG(AMZN!F80/AMZN!F79,EXP(1))</f>
        <v>6.4655772312536386E-2</v>
      </c>
      <c r="D81" s="10">
        <f>LOG(GM!F80/GM!F79,EXP(1))</f>
        <v>0.14467928270379204</v>
      </c>
      <c r="E81" s="10">
        <f>LOG(JPM!F80/JPM!F79,EXP(1))</f>
        <v>5.3649953494578462E-2</v>
      </c>
    </row>
    <row r="82" spans="1:5" x14ac:dyDescent="0.2">
      <c r="A82" s="9">
        <v>43647</v>
      </c>
      <c r="B82" s="2">
        <f t="shared" si="14"/>
        <v>201907</v>
      </c>
      <c r="C82" s="10">
        <f>LOG(AMZN!F81/AMZN!F80,EXP(1))</f>
        <v>-1.4280664241588773E-2</v>
      </c>
      <c r="D82" s="10">
        <f>LOG(GM!F81/GM!F80,EXP(1))</f>
        <v>5.65656651868678E-2</v>
      </c>
      <c r="E82" s="10">
        <f>LOG(JPM!F81/JPM!F80,EXP(1))</f>
        <v>3.6878557175396211E-2</v>
      </c>
    </row>
    <row r="83" spans="1:5" x14ac:dyDescent="0.2">
      <c r="A83" s="9">
        <v>43678</v>
      </c>
      <c r="B83" s="2">
        <f t="shared" si="14"/>
        <v>201908</v>
      </c>
      <c r="C83" s="10">
        <f>LOG(AMZN!F82/AMZN!F81,EXP(1))</f>
        <v>-4.9688081106002029E-2</v>
      </c>
      <c r="D83" s="10">
        <f>LOG(GM!F82/GM!F81,EXP(1))</f>
        <v>-8.3996037309634397E-2</v>
      </c>
      <c r="E83" s="10">
        <f>LOG(JPM!F82/JPM!F81,EXP(1))</f>
        <v>-4.7328678501457562E-2</v>
      </c>
    </row>
    <row r="84" spans="1:5" x14ac:dyDescent="0.2">
      <c r="A84" s="9">
        <v>43709</v>
      </c>
      <c r="B84" s="2">
        <f t="shared" si="14"/>
        <v>201909</v>
      </c>
      <c r="C84" s="10">
        <f>LOG(AMZN!F83/AMZN!F82,EXP(1))</f>
        <v>-2.299511364981853E-2</v>
      </c>
      <c r="D84" s="10">
        <f>LOG(GM!F83/GM!F82,EXP(1))</f>
        <v>1.0460107862184759E-2</v>
      </c>
      <c r="E84" s="10">
        <f>LOG(JPM!F83/JPM!F82,EXP(1))</f>
        <v>6.8847234218361808E-2</v>
      </c>
    </row>
    <row r="85" spans="1:5" x14ac:dyDescent="0.2">
      <c r="A85" s="9">
        <v>43739</v>
      </c>
      <c r="B85" s="2">
        <f t="shared" si="14"/>
        <v>201910</v>
      </c>
      <c r="C85" s="10">
        <f>LOG(AMZN!F84/AMZN!F83,EXP(1))</f>
        <v>2.3203402538443885E-2</v>
      </c>
      <c r="D85" s="10">
        <f>LOG(GM!F84/GM!F83,EXP(1))</f>
        <v>1.4123345296115201E-3</v>
      </c>
      <c r="E85" s="10">
        <f>LOG(JPM!F84/JPM!F83,EXP(1))</f>
        <v>5.9619553325995792E-2</v>
      </c>
    </row>
    <row r="86" spans="1:5" x14ac:dyDescent="0.2">
      <c r="A86" s="9">
        <v>43770</v>
      </c>
      <c r="B86" s="2">
        <f t="shared" si="14"/>
        <v>201911</v>
      </c>
      <c r="C86" s="10">
        <f>LOG(AMZN!F85/AMZN!F84,EXP(1))</f>
        <v>1.3495824559172798E-2</v>
      </c>
      <c r="D86" s="10">
        <f>LOG(GM!F85/GM!F84,EXP(1))</f>
        <v>-3.1713941442667107E-2</v>
      </c>
      <c r="E86" s="10">
        <f>LOG(JPM!F85/JPM!F84,EXP(1))</f>
        <v>6.1287169256782584E-2</v>
      </c>
    </row>
    <row r="87" spans="1:5" x14ac:dyDescent="0.2">
      <c r="A87" s="9">
        <v>43800</v>
      </c>
      <c r="B87" s="2">
        <f t="shared" si="14"/>
        <v>201912</v>
      </c>
      <c r="C87" s="10">
        <f>LOG(AMZN!F86/AMZN!F85,EXP(1))</f>
        <v>2.5786346021183883E-2</v>
      </c>
      <c r="D87" s="10">
        <f>LOG(GM!F86/GM!F85,EXP(1))</f>
        <v>1.6529118504769291E-2</v>
      </c>
      <c r="E87" s="10">
        <f>LOG(JPM!F86/JPM!F85,EXP(1))</f>
        <v>5.6365401768009422E-2</v>
      </c>
    </row>
    <row r="88" spans="1:5" x14ac:dyDescent="0.2">
      <c r="A88" s="9">
        <v>43831</v>
      </c>
      <c r="B88" s="2">
        <f t="shared" si="14"/>
        <v>202001</v>
      </c>
      <c r="C88" s="10">
        <f>LOG(AMZN!F87/AMZN!F86,EXP(1))</f>
        <v>8.3480305689690906E-2</v>
      </c>
      <c r="D88" s="10">
        <f>LOG(GM!F87/GM!F86,EXP(1))</f>
        <v>-8.1120547240298796E-2</v>
      </c>
      <c r="E88" s="10">
        <f>LOG(JPM!F87/JPM!F86,EXP(1))</f>
        <v>-5.1821818218964991E-2</v>
      </c>
    </row>
    <row r="89" spans="1:5" x14ac:dyDescent="0.2">
      <c r="A89" s="9">
        <v>43862</v>
      </c>
      <c r="B89" s="2">
        <f t="shared" si="14"/>
        <v>202002</v>
      </c>
      <c r="C89" s="10">
        <f>LOG(AMZN!F88/AMZN!F87,EXP(1))</f>
        <v>-6.4233202468866962E-2</v>
      </c>
      <c r="D89" s="10">
        <f>LOG(GM!F88/GM!F87,EXP(1))</f>
        <v>-9.0529622728663245E-2</v>
      </c>
      <c r="E89" s="10">
        <f>LOG(JPM!F88/JPM!F87,EXP(1))</f>
        <v>-0.12458811691790594</v>
      </c>
    </row>
    <row r="90" spans="1:5" x14ac:dyDescent="0.2">
      <c r="A90" s="9">
        <v>43891</v>
      </c>
      <c r="B90" s="2">
        <f t="shared" si="14"/>
        <v>202003</v>
      </c>
      <c r="C90" s="10">
        <f>LOG(AMZN!F89/AMZN!F88,EXP(1))</f>
        <v>3.442130156350344E-2</v>
      </c>
      <c r="D90" s="10">
        <f>LOG(GM!F89/GM!F88,EXP(1))</f>
        <v>-0.38373563008194234</v>
      </c>
      <c r="E90" s="10">
        <f>LOG(JPM!F89/JPM!F88,EXP(1))</f>
        <v>-0.25439525787313794</v>
      </c>
    </row>
    <row r="91" spans="1:5" x14ac:dyDescent="0.2">
      <c r="A91" s="9">
        <v>43922</v>
      </c>
      <c r="B91" s="2">
        <f t="shared" si="14"/>
        <v>202004</v>
      </c>
      <c r="C91" s="10">
        <f>LOG(AMZN!F90/AMZN!F89,EXP(1))</f>
        <v>0.23815047719600116</v>
      </c>
      <c r="D91" s="10">
        <f>LOG(GM!F90/GM!F89,EXP(1))</f>
        <v>8.2272280430848624E-2</v>
      </c>
      <c r="E91" s="10">
        <f>LOG(JPM!F90/JPM!F89,EXP(1))</f>
        <v>6.1702158040533799E-2</v>
      </c>
    </row>
    <row r="92" spans="1:5" x14ac:dyDescent="0.2">
      <c r="A92" s="9">
        <v>43952</v>
      </c>
      <c r="B92" s="2">
        <f t="shared" si="14"/>
        <v>202005</v>
      </c>
      <c r="C92" s="10">
        <f>LOG(AMZN!F91/AMZN!F90,EXP(1))</f>
        <v>-1.2867370355305958E-2</v>
      </c>
      <c r="D92" s="10">
        <f>LOG(GM!F91/GM!F90,EXP(1))</f>
        <v>0.14933227128363447</v>
      </c>
      <c r="E92" s="10">
        <f>LOG(JPM!F91/JPM!F90,EXP(1))</f>
        <v>2.6394575567208138E-2</v>
      </c>
    </row>
    <row r="93" spans="1:5" x14ac:dyDescent="0.2">
      <c r="A93" s="9">
        <v>43983</v>
      </c>
      <c r="B93" s="2">
        <f t="shared" si="14"/>
        <v>202006</v>
      </c>
      <c r="C93" s="10">
        <f>LOG(AMZN!F92/AMZN!F91,EXP(1))</f>
        <v>0.12183412921787694</v>
      </c>
      <c r="D93" s="10">
        <f>LOG(GM!F92/GM!F91,EXP(1))</f>
        <v>-2.266600615076143E-2</v>
      </c>
      <c r="E93" s="10">
        <f>LOG(JPM!F92/JPM!F91,EXP(1))</f>
        <v>-3.3968872006168764E-2</v>
      </c>
    </row>
    <row r="94" spans="1:5" x14ac:dyDescent="0.2">
      <c r="A94" s="9">
        <v>44013</v>
      </c>
      <c r="B94" s="2">
        <f t="shared" si="14"/>
        <v>202007</v>
      </c>
      <c r="C94" s="10">
        <f>LOG(AMZN!F93/AMZN!F92,EXP(1))</f>
        <v>0.13724889814024721</v>
      </c>
      <c r="D94" s="10">
        <f>LOG(GM!F93/GM!F92,EXP(1))</f>
        <v>-1.6338305403266803E-2</v>
      </c>
      <c r="E94" s="10">
        <f>LOG(JPM!F93/JPM!F92,EXP(1))</f>
        <v>2.7059643726844735E-2</v>
      </c>
    </row>
    <row r="95" spans="1:5" x14ac:dyDescent="0.2">
      <c r="A95" s="9">
        <v>44044</v>
      </c>
      <c r="B95" s="2">
        <f t="shared" si="14"/>
        <v>202008</v>
      </c>
      <c r="C95" s="10">
        <f>LOG(AMZN!F94/AMZN!F93,EXP(1))</f>
        <v>8.6600569666522215E-2</v>
      </c>
      <c r="D95" s="10">
        <f>LOG(GM!F94/GM!F93,EXP(1))</f>
        <v>0.17432122286806606</v>
      </c>
      <c r="E95" s="10">
        <f>LOG(JPM!F94/JPM!F93,EXP(1))</f>
        <v>4.5773148022384892E-2</v>
      </c>
    </row>
    <row r="96" spans="1:5" x14ac:dyDescent="0.2">
      <c r="A96" s="9">
        <v>44075</v>
      </c>
      <c r="B96" s="2">
        <f t="shared" si="14"/>
        <v>202009</v>
      </c>
      <c r="C96" s="10">
        <f>LOG(AMZN!F95/AMZN!F94,EXP(1))</f>
        <v>-9.1653323912149628E-2</v>
      </c>
      <c r="D96" s="10">
        <f>LOG(GM!F95/GM!F94,EXP(1))</f>
        <v>-1.3508501809242296E-3</v>
      </c>
      <c r="E96" s="10">
        <f>LOG(JPM!F95/JPM!F94,EXP(1))</f>
        <v>-3.9911507791325726E-2</v>
      </c>
    </row>
    <row r="97" spans="1:5" x14ac:dyDescent="0.2">
      <c r="A97" s="9">
        <v>44105</v>
      </c>
      <c r="B97" s="2">
        <f t="shared" si="14"/>
        <v>202010</v>
      </c>
      <c r="C97" s="10">
        <f>LOG(AMZN!F96/AMZN!F95,EXP(1))</f>
        <v>-3.6408919984196417E-2</v>
      </c>
      <c r="D97" s="10">
        <f>LOG(GM!F96/GM!F95,EXP(1))</f>
        <v>0.1543920333101261</v>
      </c>
      <c r="E97" s="10">
        <f>LOG(JPM!F96/JPM!F95,EXP(1))</f>
        <v>1.8218678708710793E-2</v>
      </c>
    </row>
    <row r="98" spans="1:5" x14ac:dyDescent="0.2">
      <c r="A98" s="9">
        <v>44136</v>
      </c>
      <c r="B98" s="2">
        <f t="shared" si="14"/>
        <v>202011</v>
      </c>
      <c r="C98" s="10">
        <f>LOG(AMZN!F97/AMZN!F96,EXP(1))</f>
        <v>4.2522823452665913E-2</v>
      </c>
      <c r="D98" s="10">
        <f>LOG(GM!F97/GM!F96,EXP(1))</f>
        <v>0.23871813048138715</v>
      </c>
      <c r="E98" s="10">
        <f>LOG(JPM!F97/JPM!F96,EXP(1))</f>
        <v>0.19352802599508362</v>
      </c>
    </row>
    <row r="99" spans="1:5" x14ac:dyDescent="0.2">
      <c r="A99" s="9">
        <v>44166</v>
      </c>
      <c r="B99" s="2">
        <f t="shared" si="14"/>
        <v>202012</v>
      </c>
      <c r="C99" s="10">
        <f>LOG(AMZN!F98/AMZN!F97,EXP(1))</f>
        <v>2.7671959526437605E-2</v>
      </c>
      <c r="D99" s="10">
        <f>LOG(GM!F98/GM!F97,EXP(1))</f>
        <v>-5.1485375605669272E-2</v>
      </c>
      <c r="E99" s="10">
        <f>LOG(JPM!F98/JPM!F97,EXP(1))</f>
        <v>7.507102400458332E-2</v>
      </c>
    </row>
    <row r="100" spans="1:5" x14ac:dyDescent="0.2">
      <c r="A100" s="9">
        <v>44197</v>
      </c>
      <c r="B100" s="2">
        <f t="shared" si="14"/>
        <v>202101</v>
      </c>
      <c r="C100" s="10">
        <f>LOG(AMZN!F99/AMZN!F98,EXP(1))</f>
        <v>-1.5698592672562395E-2</v>
      </c>
      <c r="D100" s="10">
        <f>LOG(GM!F99/GM!F98,EXP(1))</f>
        <v>0.19647009127620829</v>
      </c>
      <c r="E100" s="10">
        <f>LOG(JPM!F99/JPM!F98,EXP(1))</f>
        <v>1.2512865519488589E-2</v>
      </c>
    </row>
    <row r="101" spans="1:5" x14ac:dyDescent="0.2">
      <c r="A101" s="9">
        <v>44228</v>
      </c>
      <c r="B101" s="2">
        <f t="shared" si="14"/>
        <v>202102</v>
      </c>
      <c r="C101" s="10">
        <f>LOG(AMZN!F100/AMZN!F99,EXP(1))</f>
        <v>-3.5967561099888266E-2</v>
      </c>
      <c r="D101" s="10">
        <f>LOG(GM!F100/GM!F99,EXP(1))</f>
        <v>1.2744093335590859E-2</v>
      </c>
      <c r="E101" s="10">
        <f>LOG(JPM!F100/JPM!F99,EXP(1))</f>
        <v>0.14151335013770869</v>
      </c>
    </row>
    <row r="102" spans="1:5" x14ac:dyDescent="0.2">
      <c r="A102" s="9">
        <v>44256</v>
      </c>
      <c r="B102" s="2">
        <f t="shared" si="14"/>
        <v>202103</v>
      </c>
      <c r="C102" s="10">
        <f>LOG(AMZN!F101/AMZN!F100,EXP(1))</f>
        <v>3.7171429554038723E-4</v>
      </c>
      <c r="D102" s="10">
        <f>LOG(GM!F101/GM!F100,EXP(1))</f>
        <v>0.11281356306536527</v>
      </c>
      <c r="E102" s="10">
        <f>LOG(JPM!F101/JPM!F100,EXP(1))</f>
        <v>3.3804240874939794E-2</v>
      </c>
    </row>
    <row r="103" spans="1:5" x14ac:dyDescent="0.2">
      <c r="A103" s="9">
        <v>44287</v>
      </c>
      <c r="B103" s="2">
        <f t="shared" si="14"/>
        <v>202104</v>
      </c>
      <c r="C103" s="10">
        <f>LOG(AMZN!F102/AMZN!F101,EXP(1))</f>
        <v>0.11392023710632282</v>
      </c>
      <c r="D103" s="10">
        <f>LOG(GM!F102/GM!F101,EXP(1))</f>
        <v>-4.185443910027742E-3</v>
      </c>
      <c r="E103" s="10">
        <f>LOG(JPM!F102/JPM!F101,EXP(1))</f>
        <v>1.0325574267470088E-2</v>
      </c>
    </row>
    <row r="104" spans="1:5" x14ac:dyDescent="0.2">
      <c r="A104" s="9">
        <v>44317</v>
      </c>
      <c r="B104" s="2">
        <f t="shared" si="14"/>
        <v>202105</v>
      </c>
      <c r="C104" s="10">
        <f>LOG(AMZN!F103/AMZN!F102,EXP(1))</f>
        <v>-7.3076472990903529E-2</v>
      </c>
      <c r="D104" s="10">
        <f>LOG(GM!F103/GM!F102,EXP(1))</f>
        <v>3.5874434161746738E-2</v>
      </c>
      <c r="E104" s="10">
        <f>LOG(JPM!F103/JPM!F102,EXP(1))</f>
        <v>7.1482988478805173E-2</v>
      </c>
    </row>
    <row r="105" spans="1:5" x14ac:dyDescent="0.2">
      <c r="A105" s="9">
        <v>44348</v>
      </c>
      <c r="B105" s="2">
        <f t="shared" si="14"/>
        <v>202106</v>
      </c>
      <c r="C105" s="10">
        <f>LOG(AMZN!F104/AMZN!F103,EXP(1))</f>
        <v>6.518361856816951E-2</v>
      </c>
      <c r="D105" s="10">
        <f>LOG(GM!F104/GM!F103,EXP(1))</f>
        <v>-2.3633684032388393E-3</v>
      </c>
      <c r="E105" s="10">
        <f>LOG(JPM!F104/JPM!F103,EXP(1))</f>
        <v>-5.4425968200661423E-2</v>
      </c>
    </row>
    <row r="106" spans="1:5" x14ac:dyDescent="0.2">
      <c r="A106" s="9">
        <v>44378</v>
      </c>
      <c r="B106" s="2">
        <f t="shared" si="14"/>
        <v>202107</v>
      </c>
      <c r="C106" s="10">
        <f>LOG(AMZN!F105/AMZN!F104,EXP(1))</f>
        <v>-3.3269634412303593E-2</v>
      </c>
      <c r="D106" s="10">
        <f>LOG(GM!F105/GM!F104,EXP(1))</f>
        <v>-4.0174300791273369E-2</v>
      </c>
      <c r="E106" s="10">
        <f>LOG(JPM!F105/JPM!F104,EXP(1))</f>
        <v>-2.4470684146606969E-2</v>
      </c>
    </row>
    <row r="107" spans="1:5" x14ac:dyDescent="0.2">
      <c r="A107" s="9">
        <v>44409</v>
      </c>
      <c r="B107" s="2">
        <f t="shared" si="14"/>
        <v>202108</v>
      </c>
      <c r="C107" s="10">
        <f>LOG(AMZN!F106/AMZN!F105,EXP(1))</f>
        <v>4.213393830025404E-2</v>
      </c>
      <c r="D107" s="10">
        <f>LOG(GM!F106/GM!F105,EXP(1))</f>
        <v>-0.14821604281403905</v>
      </c>
      <c r="E107" s="10">
        <f>LOG(JPM!F106/JPM!F105,EXP(1))</f>
        <v>5.8175078824511811E-2</v>
      </c>
    </row>
    <row r="108" spans="1:5" x14ac:dyDescent="0.2">
      <c r="A108" s="9">
        <v>44440</v>
      </c>
      <c r="B108" s="2">
        <f t="shared" si="14"/>
        <v>202109</v>
      </c>
      <c r="C108" s="10">
        <f>LOG(AMZN!F107/AMZN!F106,EXP(1))</f>
        <v>-5.5003440230443415E-2</v>
      </c>
      <c r="D108" s="10">
        <f>LOG(GM!F107/GM!F106,EXP(1))</f>
        <v>7.278090871938353E-2</v>
      </c>
      <c r="E108" s="10">
        <f>LOG(JPM!F107/JPM!F106,EXP(1))</f>
        <v>2.31133196880145E-2</v>
      </c>
    </row>
    <row r="109" spans="1:5" x14ac:dyDescent="0.2">
      <c r="A109" s="9">
        <v>44470</v>
      </c>
      <c r="B109" s="2">
        <f t="shared" si="14"/>
        <v>202110</v>
      </c>
      <c r="C109" s="10">
        <f>LOG(AMZN!F108/AMZN!F107,EXP(1))</f>
        <v>2.6254766017016092E-2</v>
      </c>
      <c r="D109" s="10">
        <f>LOG(GM!F108/GM!F107,EXP(1))</f>
        <v>3.2110335760922357E-2</v>
      </c>
      <c r="E109" s="10">
        <f>LOG(JPM!F108/JPM!F107,EXP(1))</f>
        <v>3.7176716461443639E-2</v>
      </c>
    </row>
    <row r="110" spans="1:5" x14ac:dyDescent="0.2">
      <c r="A110" s="9">
        <v>44501</v>
      </c>
      <c r="B110" s="2">
        <f t="shared" si="14"/>
        <v>202111</v>
      </c>
      <c r="C110" s="10">
        <f>LOG(AMZN!F109/AMZN!F108,EXP(1))</f>
        <v>3.9147342687309496E-2</v>
      </c>
      <c r="D110" s="10">
        <f>LOG(GM!F109/GM!F108,EXP(1))</f>
        <v>6.1283516186154609E-2</v>
      </c>
      <c r="E110" s="10">
        <f>LOG(JPM!F109/JPM!F108,EXP(1))</f>
        <v>-6.1308921043538474E-2</v>
      </c>
    </row>
    <row r="111" spans="1:5" x14ac:dyDescent="0.2">
      <c r="A111" s="9">
        <v>44531</v>
      </c>
      <c r="B111" s="2">
        <f t="shared" si="14"/>
        <v>202112</v>
      </c>
      <c r="C111" s="10">
        <f>LOG(AMZN!F110/AMZN!F109,EXP(1))</f>
        <v>-5.0506202296509706E-2</v>
      </c>
      <c r="D111" s="10">
        <f>LOG(GM!F110/GM!F109,EXP(1))</f>
        <v>1.3047495459132736E-2</v>
      </c>
      <c r="E111" s="10">
        <f>LOG(JPM!F110/JPM!F109,EXP(1))</f>
        <v>-3.0267641266638252E-3</v>
      </c>
    </row>
    <row r="112" spans="1:5" x14ac:dyDescent="0.2">
      <c r="A112" s="9">
        <v>44562</v>
      </c>
      <c r="B112" s="2">
        <f t="shared" si="14"/>
        <v>202201</v>
      </c>
      <c r="C112" s="10">
        <f>LOG(AMZN!F111/AMZN!F110,EXP(1))</f>
        <v>-0.10850980998699417</v>
      </c>
      <c r="D112" s="10">
        <f>LOG(GM!F111/GM!F110,EXP(1))</f>
        <v>-0.10606200689643742</v>
      </c>
      <c r="E112" s="10">
        <f>LOG(JPM!F111/JPM!F110,EXP(1))</f>
        <v>-6.3549519657798897E-2</v>
      </c>
    </row>
    <row r="113" spans="1:5" x14ac:dyDescent="0.2">
      <c r="A113" s="9">
        <v>44593</v>
      </c>
      <c r="B113" s="2">
        <f t="shared" si="14"/>
        <v>202202</v>
      </c>
      <c r="C113" s="10">
        <f>LOG(AMZN!F112/AMZN!F111,EXP(1))</f>
        <v>2.632300814397032E-2</v>
      </c>
      <c r="D113" s="10">
        <f>LOG(GM!F112/GM!F111,EXP(1))</f>
        <v>-0.12101217180492523</v>
      </c>
      <c r="E113" s="10">
        <f>LOG(JPM!F112/JPM!F111,EXP(1))</f>
        <v>-4.0864237272229945E-2</v>
      </c>
    </row>
    <row r="114" spans="1:5" x14ac:dyDescent="0.2">
      <c r="A114" s="9">
        <v>44621</v>
      </c>
      <c r="B114" s="2">
        <f t="shared" si="14"/>
        <v>202203</v>
      </c>
      <c r="C114" s="10">
        <f>LOG(AMZN!F113/AMZN!F112,EXP(1))</f>
        <v>5.9623918668408965E-2</v>
      </c>
      <c r="D114" s="10">
        <f>LOG(GM!F113/GM!F112,EXP(1))</f>
        <v>-6.5909290445199609E-2</v>
      </c>
      <c r="E114" s="10">
        <f>LOG(JPM!F113/JPM!F112,EXP(1))</f>
        <v>-3.9412498065100145E-2</v>
      </c>
    </row>
    <row r="115" spans="1:5" x14ac:dyDescent="0.2">
      <c r="A115" s="9">
        <v>44652</v>
      </c>
      <c r="B115" s="2">
        <f t="shared" si="14"/>
        <v>202204</v>
      </c>
      <c r="C115" s="10">
        <f>LOG(AMZN!F114/AMZN!F113,EXP(1))</f>
        <v>-0.27118568093075529</v>
      </c>
      <c r="D115" s="10">
        <f>LOG(GM!F114/GM!F113,EXP(1))</f>
        <v>-0.14304821864297643</v>
      </c>
      <c r="E115" s="10">
        <f>LOG(JPM!F114/JPM!F113,EXP(1))</f>
        <v>-0.13286103502920171</v>
      </c>
    </row>
    <row r="116" spans="1:5" x14ac:dyDescent="0.2">
      <c r="A116" s="9">
        <v>44682</v>
      </c>
      <c r="B116" s="2">
        <f t="shared" si="14"/>
        <v>202205</v>
      </c>
      <c r="C116" s="10">
        <f>LOG(AMZN!F115/AMZN!F114,EXP(1))</f>
        <v>-3.3313091188743461E-2</v>
      </c>
      <c r="D116" s="10">
        <f>LOG(GM!F115/GM!F114,EXP(1))</f>
        <v>2.0107916728096746E-2</v>
      </c>
      <c r="E116" s="10">
        <f>LOG(JPM!F115/JPM!F114,EXP(1))</f>
        <v>0.1097837047827917</v>
      </c>
    </row>
    <row r="117" spans="1:5" x14ac:dyDescent="0.2">
      <c r="A117" s="9">
        <v>44713</v>
      </c>
      <c r="B117" s="2">
        <f t="shared" si="14"/>
        <v>202206</v>
      </c>
      <c r="C117" s="10">
        <f>LOG(AMZN!F116/AMZN!F115,EXP(1))</f>
        <v>-0.12381782195806545</v>
      </c>
      <c r="D117" s="10">
        <f>LOG(GM!F116/GM!F115,EXP(1))</f>
        <v>-0.19711512120827437</v>
      </c>
      <c r="E117" s="10">
        <f>LOG(JPM!F116/JPM!F115,EXP(1))</f>
        <v>-0.16061226217314378</v>
      </c>
    </row>
    <row r="118" spans="1:5" x14ac:dyDescent="0.2">
      <c r="A118" s="9">
        <v>44743</v>
      </c>
      <c r="B118" s="2">
        <f t="shared" si="14"/>
        <v>202207</v>
      </c>
      <c r="C118" s="10">
        <f>LOG(AMZN!F117/AMZN!F116,EXP(1))</f>
        <v>0.23948606031541886</v>
      </c>
      <c r="D118" s="10">
        <f>LOG(GM!F117/GM!F116,EXP(1))</f>
        <v>0.13250754571071455</v>
      </c>
      <c r="E118" s="10">
        <f>LOG(JPM!F117/JPM!F116,EXP(1))</f>
        <v>2.4127102534226532E-2</v>
      </c>
    </row>
    <row r="119" spans="1:5" x14ac:dyDescent="0.2">
      <c r="A119" s="9">
        <v>44774</v>
      </c>
      <c r="B119" s="2">
        <f t="shared" si="14"/>
        <v>202208</v>
      </c>
      <c r="C119" s="10">
        <f>LOG(AMZN!F118/AMZN!F117,EXP(1))</f>
        <v>-6.2529919947827542E-2</v>
      </c>
      <c r="D119" s="10">
        <f>LOG(GM!F118/GM!F117,EXP(1))</f>
        <v>5.2381979410422469E-2</v>
      </c>
      <c r="E119" s="10">
        <f>LOG(JPM!F118/JPM!F117,EXP(1))</f>
        <v>-5.4236512291918042E-3</v>
      </c>
    </row>
    <row r="120" spans="1:5" x14ac:dyDescent="0.2">
      <c r="A120" s="9">
        <v>44805</v>
      </c>
      <c r="B120" s="2">
        <f t="shared" si="14"/>
        <v>202209</v>
      </c>
      <c r="C120" s="10">
        <f>LOG(AMZN!F119/AMZN!F118,EXP(1))</f>
        <v>-0.11498657857338955</v>
      </c>
      <c r="D120" s="10">
        <f>LOG(GM!F119/GM!F118,EXP(1))</f>
        <v>-0.17227215526077794</v>
      </c>
      <c r="E120" s="10">
        <f>LOG(JPM!F119/JPM!F118,EXP(1))</f>
        <v>-8.4640176811951448E-2</v>
      </c>
    </row>
    <row r="121" spans="1:5" x14ac:dyDescent="0.2">
      <c r="A121" s="9">
        <v>44835</v>
      </c>
      <c r="B121" s="2">
        <f t="shared" si="14"/>
        <v>202210</v>
      </c>
      <c r="C121" s="10">
        <f>LOG(AMZN!F120/AMZN!F119,EXP(1))</f>
        <v>-9.8110537857392613E-2</v>
      </c>
      <c r="D121" s="10">
        <f>LOG(GM!F120/GM!F119,EXP(1))</f>
        <v>0.20140697468836871</v>
      </c>
      <c r="E121" s="10">
        <f>LOG(JPM!F120/JPM!F119,EXP(1))</f>
        <v>0.18614194440067081</v>
      </c>
    </row>
    <row r="122" spans="1:5" x14ac:dyDescent="0.2">
      <c r="A122" s="9">
        <v>44866</v>
      </c>
      <c r="B122" s="2">
        <f t="shared" si="14"/>
        <v>202211</v>
      </c>
      <c r="C122" s="10">
        <f>LOG(AMZN!F121/AMZN!F120,EXP(1))</f>
        <v>-5.9319840264200417E-2</v>
      </c>
      <c r="D122" s="10">
        <f>LOG(GM!F121/GM!F120,EXP(1))</f>
        <v>3.2830934778171228E-2</v>
      </c>
      <c r="E122" s="10">
        <f>LOG(JPM!F121/JPM!F120,EXP(1))</f>
        <v>0.10213526446014373</v>
      </c>
    </row>
    <row r="123" spans="1:5" x14ac:dyDescent="0.2">
      <c r="A123" s="9">
        <v>44896</v>
      </c>
      <c r="B123" s="2">
        <f t="shared" si="14"/>
        <v>202212</v>
      </c>
      <c r="C123" s="10">
        <f>LOG(AMZN!F122/AMZN!F121,EXP(1))</f>
        <v>-0.13914064174743387</v>
      </c>
      <c r="D123" s="10">
        <f>LOG(GM!F122/GM!F121,EXP(1))</f>
        <v>-0.1870666093545299</v>
      </c>
      <c r="E123" s="10">
        <f>LOG(JPM!F122/JPM!F121,EXP(1))</f>
        <v>-2.9971247291334806E-2</v>
      </c>
    </row>
  </sheetData>
  <mergeCells count="4">
    <mergeCell ref="C2:E2"/>
    <mergeCell ref="M3:O3"/>
    <mergeCell ref="P3:R3"/>
    <mergeCell ref="S3:U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19"/>
  <sheetViews>
    <sheetView workbookViewId="0">
      <selection activeCell="B23" sqref="B23"/>
    </sheetView>
  </sheetViews>
  <sheetFormatPr baseColWidth="10" defaultColWidth="8.83203125" defaultRowHeight="15" x14ac:dyDescent="0.2"/>
  <cols>
    <col min="1" max="1" width="32" style="16" customWidth="1"/>
    <col min="2" max="2" width="16" style="21" customWidth="1"/>
    <col min="3" max="16384" width="8.83203125" style="16"/>
  </cols>
  <sheetData>
    <row r="1" spans="1:3" ht="19" x14ac:dyDescent="0.25">
      <c r="A1" s="1" t="s">
        <v>53</v>
      </c>
      <c r="B1" s="16"/>
    </row>
    <row r="2" spans="1:3" x14ac:dyDescent="0.2">
      <c r="B2" s="16"/>
    </row>
    <row r="3" spans="1:3" x14ac:dyDescent="0.2">
      <c r="A3" s="4" t="s">
        <v>47</v>
      </c>
      <c r="B3" s="14"/>
    </row>
    <row r="4" spans="1:3" x14ac:dyDescent="0.2">
      <c r="A4" s="4" t="s">
        <v>31</v>
      </c>
      <c r="B4" s="17" t="s">
        <v>34</v>
      </c>
    </row>
    <row r="5" spans="1:3" x14ac:dyDescent="0.2">
      <c r="A5" s="4" t="s">
        <v>32</v>
      </c>
      <c r="B5" s="5">
        <v>100</v>
      </c>
    </row>
    <row r="6" spans="1:3" x14ac:dyDescent="0.2">
      <c r="A6" s="4" t="s">
        <v>33</v>
      </c>
      <c r="B6" s="5">
        <v>120</v>
      </c>
    </row>
    <row r="7" spans="1:3" x14ac:dyDescent="0.2">
      <c r="A7" s="4" t="s">
        <v>35</v>
      </c>
      <c r="B7" s="5">
        <v>0.5</v>
      </c>
      <c r="C7" s="16" t="s">
        <v>36</v>
      </c>
    </row>
    <row r="8" spans="1:3" x14ac:dyDescent="0.2">
      <c r="A8" s="4" t="s">
        <v>37</v>
      </c>
      <c r="B8" s="18">
        <v>0.04</v>
      </c>
    </row>
    <row r="9" spans="1:3" x14ac:dyDescent="0.2">
      <c r="A9" s="4" t="s">
        <v>38</v>
      </c>
      <c r="B9" s="18">
        <v>0.01</v>
      </c>
    </row>
    <row r="10" spans="1:3" x14ac:dyDescent="0.2">
      <c r="A10" s="4" t="s">
        <v>39</v>
      </c>
      <c r="B10" s="19">
        <v>0.25</v>
      </c>
    </row>
    <row r="11" spans="1:3" x14ac:dyDescent="0.2">
      <c r="A11" s="4" t="s">
        <v>40</v>
      </c>
      <c r="B11" s="5">
        <v>6</v>
      </c>
    </row>
    <row r="12" spans="1:3" x14ac:dyDescent="0.2">
      <c r="A12" s="4" t="s">
        <v>41</v>
      </c>
      <c r="B12" s="20">
        <f>B7/B11</f>
        <v>8.3333333333333329E-2</v>
      </c>
      <c r="C12" s="26" t="s">
        <v>48</v>
      </c>
    </row>
    <row r="13" spans="1:3" x14ac:dyDescent="0.2">
      <c r="B13" s="16"/>
    </row>
    <row r="14" spans="1:3" x14ac:dyDescent="0.2">
      <c r="A14" s="3" t="s">
        <v>46</v>
      </c>
      <c r="B14" s="16"/>
    </row>
    <row r="15" spans="1:3" x14ac:dyDescent="0.2">
      <c r="A15" s="16" t="s">
        <v>43</v>
      </c>
      <c r="B15" s="16">
        <v>100</v>
      </c>
    </row>
    <row r="16" spans="1:3" x14ac:dyDescent="0.2">
      <c r="A16" s="15" t="s">
        <v>44</v>
      </c>
      <c r="B16" s="25"/>
      <c r="C16" s="16" t="s">
        <v>45</v>
      </c>
    </row>
    <row r="17" spans="1:2" x14ac:dyDescent="0.2">
      <c r="A17" s="15"/>
      <c r="B17" s="20"/>
    </row>
    <row r="18" spans="1:2" x14ac:dyDescent="0.2">
      <c r="A18" s="24" t="s">
        <v>50</v>
      </c>
      <c r="B18" s="22"/>
    </row>
    <row r="19" spans="1:2" ht="32" x14ac:dyDescent="0.2">
      <c r="A19" s="8" t="s">
        <v>28</v>
      </c>
      <c r="B19" s="23" t="s">
        <v>42</v>
      </c>
    </row>
    <row r="20" spans="1:2" x14ac:dyDescent="0.2">
      <c r="A20" s="16">
        <v>1</v>
      </c>
      <c r="B20" s="25"/>
    </row>
    <row r="21" spans="1:2" x14ac:dyDescent="0.2">
      <c r="A21" s="16">
        <v>2</v>
      </c>
      <c r="B21" s="25"/>
    </row>
    <row r="22" spans="1:2" x14ac:dyDescent="0.2">
      <c r="A22" s="16">
        <v>3</v>
      </c>
      <c r="B22" s="25"/>
    </row>
    <row r="23" spans="1:2" x14ac:dyDescent="0.2">
      <c r="A23" s="16">
        <v>4</v>
      </c>
      <c r="B23" s="25"/>
    </row>
    <row r="24" spans="1:2" x14ac:dyDescent="0.2">
      <c r="A24" s="16">
        <v>5</v>
      </c>
      <c r="B24" s="25"/>
    </row>
    <row r="25" spans="1:2" x14ac:dyDescent="0.2">
      <c r="A25" s="16">
        <v>6</v>
      </c>
      <c r="B25" s="25"/>
    </row>
    <row r="26" spans="1:2" x14ac:dyDescent="0.2">
      <c r="A26" s="16">
        <v>7</v>
      </c>
      <c r="B26" s="25"/>
    </row>
    <row r="27" spans="1:2" x14ac:dyDescent="0.2">
      <c r="A27" s="16">
        <v>8</v>
      </c>
      <c r="B27" s="25"/>
    </row>
    <row r="28" spans="1:2" x14ac:dyDescent="0.2">
      <c r="A28" s="16">
        <v>9</v>
      </c>
      <c r="B28" s="25"/>
    </row>
    <row r="29" spans="1:2" x14ac:dyDescent="0.2">
      <c r="A29" s="16">
        <v>10</v>
      </c>
      <c r="B29" s="25"/>
    </row>
    <row r="30" spans="1:2" x14ac:dyDescent="0.2">
      <c r="A30" s="16">
        <v>11</v>
      </c>
      <c r="B30" s="25"/>
    </row>
    <row r="31" spans="1:2" x14ac:dyDescent="0.2">
      <c r="A31" s="16">
        <v>12</v>
      </c>
      <c r="B31" s="25"/>
    </row>
    <row r="32" spans="1:2" x14ac:dyDescent="0.2">
      <c r="A32" s="16">
        <v>13</v>
      </c>
      <c r="B32" s="25"/>
    </row>
    <row r="33" spans="1:2" x14ac:dyDescent="0.2">
      <c r="A33" s="16">
        <v>14</v>
      </c>
      <c r="B33" s="25"/>
    </row>
    <row r="34" spans="1:2" x14ac:dyDescent="0.2">
      <c r="A34" s="16">
        <v>15</v>
      </c>
      <c r="B34" s="25"/>
    </row>
    <row r="35" spans="1:2" x14ac:dyDescent="0.2">
      <c r="A35" s="16">
        <v>16</v>
      </c>
      <c r="B35" s="25"/>
    </row>
    <row r="36" spans="1:2" x14ac:dyDescent="0.2">
      <c r="A36" s="16">
        <v>17</v>
      </c>
      <c r="B36" s="25"/>
    </row>
    <row r="37" spans="1:2" x14ac:dyDescent="0.2">
      <c r="A37" s="16">
        <v>18</v>
      </c>
      <c r="B37" s="25"/>
    </row>
    <row r="38" spans="1:2" x14ac:dyDescent="0.2">
      <c r="A38" s="16">
        <v>19</v>
      </c>
      <c r="B38" s="25"/>
    </row>
    <row r="39" spans="1:2" x14ac:dyDescent="0.2">
      <c r="A39" s="16">
        <v>20</v>
      </c>
      <c r="B39" s="25"/>
    </row>
    <row r="40" spans="1:2" x14ac:dyDescent="0.2">
      <c r="A40" s="16">
        <v>21</v>
      </c>
      <c r="B40" s="25"/>
    </row>
    <row r="41" spans="1:2" x14ac:dyDescent="0.2">
      <c r="A41" s="16">
        <v>22</v>
      </c>
      <c r="B41" s="25"/>
    </row>
    <row r="42" spans="1:2" x14ac:dyDescent="0.2">
      <c r="A42" s="16">
        <v>23</v>
      </c>
      <c r="B42" s="25"/>
    </row>
    <row r="43" spans="1:2" x14ac:dyDescent="0.2">
      <c r="A43" s="16">
        <v>24</v>
      </c>
      <c r="B43" s="25"/>
    </row>
    <row r="44" spans="1:2" x14ac:dyDescent="0.2">
      <c r="A44" s="16">
        <v>25</v>
      </c>
      <c r="B44" s="25"/>
    </row>
    <row r="45" spans="1:2" x14ac:dyDescent="0.2">
      <c r="A45" s="16">
        <v>26</v>
      </c>
      <c r="B45" s="25"/>
    </row>
    <row r="46" spans="1:2" x14ac:dyDescent="0.2">
      <c r="A46" s="16">
        <v>27</v>
      </c>
      <c r="B46" s="25"/>
    </row>
    <row r="47" spans="1:2" x14ac:dyDescent="0.2">
      <c r="A47" s="16">
        <v>28</v>
      </c>
      <c r="B47" s="25"/>
    </row>
    <row r="48" spans="1:2" x14ac:dyDescent="0.2">
      <c r="A48" s="16">
        <v>29</v>
      </c>
      <c r="B48" s="25"/>
    </row>
    <row r="49" spans="1:2" x14ac:dyDescent="0.2">
      <c r="A49" s="16">
        <v>30</v>
      </c>
      <c r="B49" s="25"/>
    </row>
    <row r="50" spans="1:2" x14ac:dyDescent="0.2">
      <c r="A50" s="16">
        <v>31</v>
      </c>
      <c r="B50" s="25"/>
    </row>
    <row r="51" spans="1:2" x14ac:dyDescent="0.2">
      <c r="A51" s="16">
        <v>32</v>
      </c>
      <c r="B51" s="25"/>
    </row>
    <row r="52" spans="1:2" x14ac:dyDescent="0.2">
      <c r="A52" s="16">
        <v>33</v>
      </c>
      <c r="B52" s="25"/>
    </row>
    <row r="53" spans="1:2" x14ac:dyDescent="0.2">
      <c r="A53" s="16">
        <v>34</v>
      </c>
      <c r="B53" s="25"/>
    </row>
    <row r="54" spans="1:2" x14ac:dyDescent="0.2">
      <c r="A54" s="16">
        <v>35</v>
      </c>
      <c r="B54" s="25"/>
    </row>
    <row r="55" spans="1:2" x14ac:dyDescent="0.2">
      <c r="A55" s="16">
        <v>36</v>
      </c>
      <c r="B55" s="25"/>
    </row>
    <row r="56" spans="1:2" x14ac:dyDescent="0.2">
      <c r="A56" s="16">
        <v>37</v>
      </c>
      <c r="B56" s="25"/>
    </row>
    <row r="57" spans="1:2" x14ac:dyDescent="0.2">
      <c r="A57" s="16">
        <v>38</v>
      </c>
      <c r="B57" s="25"/>
    </row>
    <row r="58" spans="1:2" x14ac:dyDescent="0.2">
      <c r="A58" s="16">
        <v>39</v>
      </c>
      <c r="B58" s="25"/>
    </row>
    <row r="59" spans="1:2" x14ac:dyDescent="0.2">
      <c r="A59" s="16">
        <v>40</v>
      </c>
      <c r="B59" s="25"/>
    </row>
    <row r="60" spans="1:2" x14ac:dyDescent="0.2">
      <c r="A60" s="16">
        <v>41</v>
      </c>
      <c r="B60" s="25"/>
    </row>
    <row r="61" spans="1:2" x14ac:dyDescent="0.2">
      <c r="A61" s="16">
        <v>42</v>
      </c>
      <c r="B61" s="25"/>
    </row>
    <row r="62" spans="1:2" x14ac:dyDescent="0.2">
      <c r="A62" s="16">
        <v>43</v>
      </c>
      <c r="B62" s="25"/>
    </row>
    <row r="63" spans="1:2" x14ac:dyDescent="0.2">
      <c r="A63" s="16">
        <v>44</v>
      </c>
      <c r="B63" s="25"/>
    </row>
    <row r="64" spans="1:2" x14ac:dyDescent="0.2">
      <c r="A64" s="16">
        <v>45</v>
      </c>
      <c r="B64" s="25"/>
    </row>
    <row r="65" spans="1:2" x14ac:dyDescent="0.2">
      <c r="A65" s="16">
        <v>46</v>
      </c>
      <c r="B65" s="25"/>
    </row>
    <row r="66" spans="1:2" x14ac:dyDescent="0.2">
      <c r="A66" s="16">
        <v>47</v>
      </c>
      <c r="B66" s="25"/>
    </row>
    <row r="67" spans="1:2" x14ac:dyDescent="0.2">
      <c r="A67" s="16">
        <v>48</v>
      </c>
      <c r="B67" s="25"/>
    </row>
    <row r="68" spans="1:2" x14ac:dyDescent="0.2">
      <c r="A68" s="16">
        <v>49</v>
      </c>
      <c r="B68" s="25"/>
    </row>
    <row r="69" spans="1:2" x14ac:dyDescent="0.2">
      <c r="A69" s="16">
        <v>50</v>
      </c>
      <c r="B69" s="25"/>
    </row>
    <row r="70" spans="1:2" x14ac:dyDescent="0.2">
      <c r="A70" s="16">
        <v>51</v>
      </c>
      <c r="B70" s="25"/>
    </row>
    <row r="71" spans="1:2" x14ac:dyDescent="0.2">
      <c r="A71" s="16">
        <v>52</v>
      </c>
      <c r="B71" s="25"/>
    </row>
    <row r="72" spans="1:2" x14ac:dyDescent="0.2">
      <c r="A72" s="16">
        <v>53</v>
      </c>
      <c r="B72" s="25"/>
    </row>
    <row r="73" spans="1:2" x14ac:dyDescent="0.2">
      <c r="A73" s="16">
        <v>54</v>
      </c>
      <c r="B73" s="25"/>
    </row>
    <row r="74" spans="1:2" x14ac:dyDescent="0.2">
      <c r="A74" s="16">
        <v>55</v>
      </c>
      <c r="B74" s="25"/>
    </row>
    <row r="75" spans="1:2" x14ac:dyDescent="0.2">
      <c r="A75" s="16">
        <v>56</v>
      </c>
      <c r="B75" s="25"/>
    </row>
    <row r="76" spans="1:2" x14ac:dyDescent="0.2">
      <c r="A76" s="16">
        <v>57</v>
      </c>
      <c r="B76" s="25"/>
    </row>
    <row r="77" spans="1:2" x14ac:dyDescent="0.2">
      <c r="A77" s="16">
        <v>58</v>
      </c>
      <c r="B77" s="25"/>
    </row>
    <row r="78" spans="1:2" x14ac:dyDescent="0.2">
      <c r="A78" s="16">
        <v>59</v>
      </c>
      <c r="B78" s="25"/>
    </row>
    <row r="79" spans="1:2" x14ac:dyDescent="0.2">
      <c r="A79" s="16">
        <v>60</v>
      </c>
      <c r="B79" s="25"/>
    </row>
    <row r="80" spans="1:2" x14ac:dyDescent="0.2">
      <c r="A80" s="16">
        <v>61</v>
      </c>
      <c r="B80" s="25"/>
    </row>
    <row r="81" spans="1:2" x14ac:dyDescent="0.2">
      <c r="A81" s="16">
        <v>62</v>
      </c>
      <c r="B81" s="25"/>
    </row>
    <row r="82" spans="1:2" x14ac:dyDescent="0.2">
      <c r="A82" s="16">
        <v>63</v>
      </c>
      <c r="B82" s="25"/>
    </row>
    <row r="83" spans="1:2" x14ac:dyDescent="0.2">
      <c r="A83" s="16">
        <v>64</v>
      </c>
      <c r="B83" s="25"/>
    </row>
    <row r="84" spans="1:2" x14ac:dyDescent="0.2">
      <c r="A84" s="16">
        <v>65</v>
      </c>
      <c r="B84" s="25"/>
    </row>
    <row r="85" spans="1:2" x14ac:dyDescent="0.2">
      <c r="A85" s="16">
        <v>66</v>
      </c>
      <c r="B85" s="25"/>
    </row>
    <row r="86" spans="1:2" x14ac:dyDescent="0.2">
      <c r="A86" s="16">
        <v>67</v>
      </c>
      <c r="B86" s="25"/>
    </row>
    <row r="87" spans="1:2" x14ac:dyDescent="0.2">
      <c r="A87" s="16">
        <v>68</v>
      </c>
      <c r="B87" s="25"/>
    </row>
    <row r="88" spans="1:2" x14ac:dyDescent="0.2">
      <c r="A88" s="16">
        <v>69</v>
      </c>
      <c r="B88" s="25"/>
    </row>
    <row r="89" spans="1:2" x14ac:dyDescent="0.2">
      <c r="A89" s="16">
        <v>70</v>
      </c>
      <c r="B89" s="25"/>
    </row>
    <row r="90" spans="1:2" x14ac:dyDescent="0.2">
      <c r="A90" s="16">
        <v>71</v>
      </c>
      <c r="B90" s="25"/>
    </row>
    <row r="91" spans="1:2" x14ac:dyDescent="0.2">
      <c r="A91" s="16">
        <v>72</v>
      </c>
      <c r="B91" s="25"/>
    </row>
    <row r="92" spans="1:2" x14ac:dyDescent="0.2">
      <c r="A92" s="16">
        <v>73</v>
      </c>
      <c r="B92" s="25"/>
    </row>
    <row r="93" spans="1:2" x14ac:dyDescent="0.2">
      <c r="A93" s="16">
        <v>74</v>
      </c>
      <c r="B93" s="25"/>
    </row>
    <row r="94" spans="1:2" x14ac:dyDescent="0.2">
      <c r="A94" s="16">
        <v>75</v>
      </c>
      <c r="B94" s="25"/>
    </row>
    <row r="95" spans="1:2" x14ac:dyDescent="0.2">
      <c r="A95" s="16">
        <v>76</v>
      </c>
      <c r="B95" s="25"/>
    </row>
    <row r="96" spans="1:2" x14ac:dyDescent="0.2">
      <c r="A96" s="16">
        <v>77</v>
      </c>
      <c r="B96" s="25"/>
    </row>
    <row r="97" spans="1:2" x14ac:dyDescent="0.2">
      <c r="A97" s="16">
        <v>78</v>
      </c>
      <c r="B97" s="25"/>
    </row>
    <row r="98" spans="1:2" x14ac:dyDescent="0.2">
      <c r="A98" s="16">
        <v>79</v>
      </c>
      <c r="B98" s="25"/>
    </row>
    <row r="99" spans="1:2" x14ac:dyDescent="0.2">
      <c r="A99" s="16">
        <v>80</v>
      </c>
      <c r="B99" s="25"/>
    </row>
    <row r="100" spans="1:2" x14ac:dyDescent="0.2">
      <c r="A100" s="16">
        <v>81</v>
      </c>
      <c r="B100" s="25"/>
    </row>
    <row r="101" spans="1:2" x14ac:dyDescent="0.2">
      <c r="A101" s="16">
        <v>82</v>
      </c>
      <c r="B101" s="25"/>
    </row>
    <row r="102" spans="1:2" x14ac:dyDescent="0.2">
      <c r="A102" s="16">
        <v>83</v>
      </c>
      <c r="B102" s="25"/>
    </row>
    <row r="103" spans="1:2" x14ac:dyDescent="0.2">
      <c r="A103" s="16">
        <v>84</v>
      </c>
      <c r="B103" s="25"/>
    </row>
    <row r="104" spans="1:2" x14ac:dyDescent="0.2">
      <c r="A104" s="16">
        <v>85</v>
      </c>
      <c r="B104" s="25"/>
    </row>
    <row r="105" spans="1:2" x14ac:dyDescent="0.2">
      <c r="A105" s="16">
        <v>86</v>
      </c>
      <c r="B105" s="25"/>
    </row>
    <row r="106" spans="1:2" x14ac:dyDescent="0.2">
      <c r="A106" s="16">
        <v>87</v>
      </c>
      <c r="B106" s="25"/>
    </row>
    <row r="107" spans="1:2" x14ac:dyDescent="0.2">
      <c r="A107" s="16">
        <v>88</v>
      </c>
      <c r="B107" s="25"/>
    </row>
    <row r="108" spans="1:2" x14ac:dyDescent="0.2">
      <c r="A108" s="16">
        <v>89</v>
      </c>
      <c r="B108" s="25"/>
    </row>
    <row r="109" spans="1:2" x14ac:dyDescent="0.2">
      <c r="A109" s="16">
        <v>90</v>
      </c>
      <c r="B109" s="25"/>
    </row>
    <row r="110" spans="1:2" x14ac:dyDescent="0.2">
      <c r="A110" s="16">
        <v>91</v>
      </c>
      <c r="B110" s="25"/>
    </row>
    <row r="111" spans="1:2" x14ac:dyDescent="0.2">
      <c r="A111" s="16">
        <v>92</v>
      </c>
      <c r="B111" s="25"/>
    </row>
    <row r="112" spans="1:2" x14ac:dyDescent="0.2">
      <c r="A112" s="16">
        <v>93</v>
      </c>
      <c r="B112" s="25"/>
    </row>
    <row r="113" spans="1:2" x14ac:dyDescent="0.2">
      <c r="A113" s="16">
        <v>94</v>
      </c>
      <c r="B113" s="25"/>
    </row>
    <row r="114" spans="1:2" x14ac:dyDescent="0.2">
      <c r="A114" s="16">
        <v>95</v>
      </c>
      <c r="B114" s="25"/>
    </row>
    <row r="115" spans="1:2" x14ac:dyDescent="0.2">
      <c r="A115" s="16">
        <v>96</v>
      </c>
      <c r="B115" s="25"/>
    </row>
    <row r="116" spans="1:2" x14ac:dyDescent="0.2">
      <c r="A116" s="16">
        <v>97</v>
      </c>
      <c r="B116" s="25"/>
    </row>
    <row r="117" spans="1:2" x14ac:dyDescent="0.2">
      <c r="A117" s="16">
        <v>98</v>
      </c>
      <c r="B117" s="25"/>
    </row>
    <row r="118" spans="1:2" x14ac:dyDescent="0.2">
      <c r="A118" s="16">
        <v>99</v>
      </c>
      <c r="B118" s="25"/>
    </row>
    <row r="119" spans="1:2" x14ac:dyDescent="0.2">
      <c r="A119" s="16">
        <v>100</v>
      </c>
      <c r="B119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22"/>
  <sheetViews>
    <sheetView topLeftCell="A98" workbookViewId="0">
      <selection activeCell="G32" sqref="G32"/>
    </sheetView>
  </sheetViews>
  <sheetFormatPr baseColWidth="10" defaultColWidth="8.83203125" defaultRowHeight="15" x14ac:dyDescent="0.2"/>
  <cols>
    <col min="1" max="1" width="9.6640625" style="2" bestFit="1" customWidth="1"/>
    <col min="2" max="7" width="11" style="2" bestFit="1" customWidth="1"/>
    <col min="8" max="16384" width="8.83203125" style="2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9">
        <v>41244</v>
      </c>
      <c r="B2" s="2">
        <v>12.627000000000001</v>
      </c>
      <c r="C2" s="2">
        <v>13.1555</v>
      </c>
      <c r="D2" s="2">
        <v>12.137499999999999</v>
      </c>
      <c r="E2" s="2">
        <v>12.5435</v>
      </c>
      <c r="F2" s="2">
        <v>12.5435</v>
      </c>
      <c r="G2" s="2">
        <v>1217424000</v>
      </c>
    </row>
    <row r="3" spans="1:7" x14ac:dyDescent="0.2">
      <c r="A3" s="9">
        <v>41275</v>
      </c>
      <c r="B3" s="2">
        <v>12.804</v>
      </c>
      <c r="C3" s="2">
        <v>14.236000000000001</v>
      </c>
      <c r="D3" s="2">
        <v>12.663</v>
      </c>
      <c r="E3" s="2">
        <v>13.275</v>
      </c>
      <c r="F3" s="2">
        <v>13.275</v>
      </c>
      <c r="G3" s="2">
        <v>1684528000</v>
      </c>
    </row>
    <row r="4" spans="1:7" x14ac:dyDescent="0.2">
      <c r="A4" s="9">
        <v>41306</v>
      </c>
      <c r="B4" s="2">
        <v>13.4465</v>
      </c>
      <c r="C4" s="2">
        <v>13.715</v>
      </c>
      <c r="D4" s="2">
        <v>12.7555</v>
      </c>
      <c r="E4" s="2">
        <v>13.2135</v>
      </c>
      <c r="F4" s="2">
        <v>13.2135</v>
      </c>
      <c r="G4" s="2">
        <v>1373234000</v>
      </c>
    </row>
    <row r="5" spans="1:7" x14ac:dyDescent="0.2">
      <c r="A5" s="9">
        <v>41334</v>
      </c>
      <c r="B5" s="2">
        <v>13.163500000000001</v>
      </c>
      <c r="C5" s="2">
        <v>13.87</v>
      </c>
      <c r="D5" s="2">
        <v>12.6035</v>
      </c>
      <c r="E5" s="2">
        <v>13.3245</v>
      </c>
      <c r="F5" s="2">
        <v>13.3245</v>
      </c>
      <c r="G5" s="2">
        <v>1170114000</v>
      </c>
    </row>
    <row r="6" spans="1:7" x14ac:dyDescent="0.2">
      <c r="A6" s="9">
        <v>41365</v>
      </c>
      <c r="B6" s="2">
        <v>13.349</v>
      </c>
      <c r="C6" s="2">
        <v>13.79</v>
      </c>
      <c r="D6" s="2">
        <v>12.428000000000001</v>
      </c>
      <c r="E6" s="2">
        <v>12.6905</v>
      </c>
      <c r="F6" s="2">
        <v>12.6905</v>
      </c>
      <c r="G6" s="2">
        <v>1538324000</v>
      </c>
    </row>
    <row r="7" spans="1:7" x14ac:dyDescent="0.2">
      <c r="A7" s="9">
        <v>41395</v>
      </c>
      <c r="B7" s="2">
        <v>12.695</v>
      </c>
      <c r="C7" s="2">
        <v>13.595499999999999</v>
      </c>
      <c r="D7" s="2">
        <v>12.2875</v>
      </c>
      <c r="E7" s="2">
        <v>13.46</v>
      </c>
      <c r="F7" s="2">
        <v>13.46</v>
      </c>
      <c r="G7" s="2">
        <v>1181010000</v>
      </c>
    </row>
    <row r="8" spans="1:7" x14ac:dyDescent="0.2">
      <c r="A8" s="9">
        <v>41426</v>
      </c>
      <c r="B8" s="2">
        <v>13.448</v>
      </c>
      <c r="C8" s="2">
        <v>14.167</v>
      </c>
      <c r="D8" s="2">
        <v>13.147500000000001</v>
      </c>
      <c r="E8" s="2">
        <v>13.884499999999999</v>
      </c>
      <c r="F8" s="2">
        <v>13.884499999999999</v>
      </c>
      <c r="G8" s="2">
        <v>1171516000</v>
      </c>
    </row>
    <row r="9" spans="1:7" x14ac:dyDescent="0.2">
      <c r="A9" s="9">
        <v>41456</v>
      </c>
      <c r="B9" s="2">
        <v>13.95</v>
      </c>
      <c r="C9" s="2">
        <v>15.680999999999999</v>
      </c>
      <c r="D9" s="2">
        <v>13.858000000000001</v>
      </c>
      <c r="E9" s="2">
        <v>15.061</v>
      </c>
      <c r="F9" s="2">
        <v>15.061</v>
      </c>
      <c r="G9" s="2">
        <v>1350738000</v>
      </c>
    </row>
    <row r="10" spans="1:7" x14ac:dyDescent="0.2">
      <c r="A10" s="9">
        <v>41487</v>
      </c>
      <c r="B10" s="2">
        <v>15.154</v>
      </c>
      <c r="C10" s="2">
        <v>15.310499999999999</v>
      </c>
      <c r="D10" s="2">
        <v>13.9665</v>
      </c>
      <c r="E10" s="2">
        <v>14.048999999999999</v>
      </c>
      <c r="F10" s="2">
        <v>14.048999999999999</v>
      </c>
      <c r="G10" s="2">
        <v>875478000</v>
      </c>
    </row>
    <row r="11" spans="1:7" x14ac:dyDescent="0.2">
      <c r="A11" s="9">
        <v>41518</v>
      </c>
      <c r="B11" s="2">
        <v>14.236499999999999</v>
      </c>
      <c r="C11" s="2">
        <v>16.028500000000001</v>
      </c>
      <c r="D11" s="2">
        <v>14.208500000000001</v>
      </c>
      <c r="E11" s="2">
        <v>15.632</v>
      </c>
      <c r="F11" s="2">
        <v>15.632</v>
      </c>
      <c r="G11" s="2">
        <v>869376000</v>
      </c>
    </row>
    <row r="12" spans="1:7" x14ac:dyDescent="0.2">
      <c r="A12" s="9">
        <v>41548</v>
      </c>
      <c r="B12" s="2">
        <v>15.711</v>
      </c>
      <c r="C12" s="2">
        <v>18.420000000000002</v>
      </c>
      <c r="D12" s="2">
        <v>14.824999999999999</v>
      </c>
      <c r="E12" s="2">
        <v>18.201499999999999</v>
      </c>
      <c r="F12" s="2">
        <v>18.201499999999999</v>
      </c>
      <c r="G12" s="2">
        <v>1545908000</v>
      </c>
    </row>
    <row r="13" spans="1:7" x14ac:dyDescent="0.2">
      <c r="A13" s="9">
        <v>41579</v>
      </c>
      <c r="B13" s="2">
        <v>18.281500000000001</v>
      </c>
      <c r="C13" s="2">
        <v>19.704999999999998</v>
      </c>
      <c r="D13" s="2">
        <v>17.094000000000001</v>
      </c>
      <c r="E13" s="2">
        <v>19.681000000000001</v>
      </c>
      <c r="F13" s="2">
        <v>19.681000000000001</v>
      </c>
      <c r="G13" s="2">
        <v>1084154000</v>
      </c>
    </row>
    <row r="14" spans="1:7" x14ac:dyDescent="0.2">
      <c r="A14" s="9">
        <v>41609</v>
      </c>
      <c r="B14" s="2">
        <v>19.950001</v>
      </c>
      <c r="C14" s="2">
        <v>20.281500000000001</v>
      </c>
      <c r="D14" s="2">
        <v>18.975000000000001</v>
      </c>
      <c r="E14" s="2">
        <v>19.939501</v>
      </c>
      <c r="F14" s="2">
        <v>19.939501</v>
      </c>
      <c r="G14" s="2">
        <v>1113734000</v>
      </c>
    </row>
    <row r="15" spans="1:7" x14ac:dyDescent="0.2">
      <c r="A15" s="9">
        <v>41640</v>
      </c>
      <c r="B15" s="2">
        <v>19.940000999999999</v>
      </c>
      <c r="C15" s="2">
        <v>20.402999999999999</v>
      </c>
      <c r="D15" s="2">
        <v>17.888000000000002</v>
      </c>
      <c r="E15" s="2">
        <v>17.9345</v>
      </c>
      <c r="F15" s="2">
        <v>17.9345</v>
      </c>
      <c r="G15" s="2">
        <v>1620238000</v>
      </c>
    </row>
    <row r="16" spans="1:7" x14ac:dyDescent="0.2">
      <c r="A16" s="9">
        <v>41671</v>
      </c>
      <c r="B16" s="2">
        <v>17.948999000000001</v>
      </c>
      <c r="C16" s="2">
        <v>18.293500999999999</v>
      </c>
      <c r="D16" s="2">
        <v>16.886499000000001</v>
      </c>
      <c r="E16" s="2">
        <v>18.105</v>
      </c>
      <c r="F16" s="2">
        <v>18.105</v>
      </c>
      <c r="G16" s="2">
        <v>1660180000</v>
      </c>
    </row>
    <row r="17" spans="1:7" x14ac:dyDescent="0.2">
      <c r="A17" s="9">
        <v>41699</v>
      </c>
      <c r="B17" s="2">
        <v>17.937000000000001</v>
      </c>
      <c r="C17" s="2">
        <v>19.1555</v>
      </c>
      <c r="D17" s="2">
        <v>16.544001000000002</v>
      </c>
      <c r="E17" s="2">
        <v>16.818501000000001</v>
      </c>
      <c r="F17" s="2">
        <v>16.818501000000001</v>
      </c>
      <c r="G17" s="2">
        <v>1505070000</v>
      </c>
    </row>
    <row r="18" spans="1:7" x14ac:dyDescent="0.2">
      <c r="A18" s="9">
        <v>41730</v>
      </c>
      <c r="B18" s="2">
        <v>16.904499000000001</v>
      </c>
      <c r="C18" s="2">
        <v>17.415001</v>
      </c>
      <c r="D18" s="2">
        <v>14.4</v>
      </c>
      <c r="E18" s="2">
        <v>15.2065</v>
      </c>
      <c r="F18" s="2">
        <v>15.2065</v>
      </c>
      <c r="G18" s="2">
        <v>2765574000</v>
      </c>
    </row>
    <row r="19" spans="1:7" x14ac:dyDescent="0.2">
      <c r="A19" s="9">
        <v>41760</v>
      </c>
      <c r="B19" s="2">
        <v>15.2065</v>
      </c>
      <c r="C19" s="2">
        <v>15.743499999999999</v>
      </c>
      <c r="D19" s="2">
        <v>14.218999999999999</v>
      </c>
      <c r="E19" s="2">
        <v>15.6275</v>
      </c>
      <c r="F19" s="2">
        <v>15.6275</v>
      </c>
      <c r="G19" s="2">
        <v>1571584000</v>
      </c>
    </row>
    <row r="20" spans="1:7" x14ac:dyDescent="0.2">
      <c r="A20" s="9">
        <v>41791</v>
      </c>
      <c r="B20" s="2">
        <v>15.6295</v>
      </c>
      <c r="C20" s="2">
        <v>17.035999</v>
      </c>
      <c r="D20" s="2">
        <v>15.192</v>
      </c>
      <c r="E20" s="2">
        <v>16.239000000000001</v>
      </c>
      <c r="F20" s="2">
        <v>16.239000000000001</v>
      </c>
      <c r="G20" s="2">
        <v>1531602000</v>
      </c>
    </row>
    <row r="21" spans="1:7" x14ac:dyDescent="0.2">
      <c r="A21" s="9">
        <v>41821</v>
      </c>
      <c r="B21" s="2">
        <v>16.292998999999998</v>
      </c>
      <c r="C21" s="2">
        <v>18.2425</v>
      </c>
      <c r="D21" s="2">
        <v>15.593</v>
      </c>
      <c r="E21" s="2">
        <v>15.6495</v>
      </c>
      <c r="F21" s="2">
        <v>15.6495</v>
      </c>
      <c r="G21" s="2">
        <v>1988520000</v>
      </c>
    </row>
    <row r="22" spans="1:7" x14ac:dyDescent="0.2">
      <c r="A22" s="9">
        <v>41852</v>
      </c>
      <c r="B22" s="2">
        <v>15.6845</v>
      </c>
      <c r="C22" s="2">
        <v>17.333500000000001</v>
      </c>
      <c r="D22" s="2">
        <v>15.2295</v>
      </c>
      <c r="E22" s="2">
        <v>16.952000000000002</v>
      </c>
      <c r="F22" s="2">
        <v>16.952000000000002</v>
      </c>
      <c r="G22" s="2">
        <v>1240634000</v>
      </c>
    </row>
    <row r="23" spans="1:7" x14ac:dyDescent="0.2">
      <c r="A23" s="9">
        <v>41883</v>
      </c>
      <c r="B23" s="2">
        <v>16.999001</v>
      </c>
      <c r="C23" s="2">
        <v>17.469000000000001</v>
      </c>
      <c r="D23" s="2">
        <v>15.882</v>
      </c>
      <c r="E23" s="2">
        <v>16.122</v>
      </c>
      <c r="F23" s="2">
        <v>16.122</v>
      </c>
      <c r="G23" s="2">
        <v>1360656000</v>
      </c>
    </row>
    <row r="24" spans="1:7" x14ac:dyDescent="0.2">
      <c r="A24" s="9">
        <v>41913</v>
      </c>
      <c r="B24" s="2">
        <v>16.101998999999999</v>
      </c>
      <c r="C24" s="2">
        <v>16.257999000000002</v>
      </c>
      <c r="D24" s="2">
        <v>14.2</v>
      </c>
      <c r="E24" s="2">
        <v>15.273</v>
      </c>
      <c r="F24" s="2">
        <v>15.273</v>
      </c>
      <c r="G24" s="2">
        <v>2221174000</v>
      </c>
    </row>
    <row r="25" spans="1:7" x14ac:dyDescent="0.2">
      <c r="A25" s="9">
        <v>41944</v>
      </c>
      <c r="B25" s="2">
        <v>15.311999999999999</v>
      </c>
      <c r="C25" s="2">
        <v>17.062999999999999</v>
      </c>
      <c r="D25" s="2">
        <v>14.6145</v>
      </c>
      <c r="E25" s="2">
        <v>16.931999000000001</v>
      </c>
      <c r="F25" s="2">
        <v>16.931999000000001</v>
      </c>
      <c r="G25" s="2">
        <v>1379674000</v>
      </c>
    </row>
    <row r="26" spans="1:7" x14ac:dyDescent="0.2">
      <c r="A26" s="9">
        <v>41974</v>
      </c>
      <c r="B26" s="2">
        <v>16.905999999999999</v>
      </c>
      <c r="C26" s="2">
        <v>17.032</v>
      </c>
      <c r="D26" s="2">
        <v>14.6515</v>
      </c>
      <c r="E26" s="2">
        <v>15.5175</v>
      </c>
      <c r="F26" s="2">
        <v>15.5175</v>
      </c>
      <c r="G26" s="2">
        <v>1736428000</v>
      </c>
    </row>
    <row r="27" spans="1:7" x14ac:dyDescent="0.2">
      <c r="A27" s="9">
        <v>42005</v>
      </c>
      <c r="B27" s="2">
        <v>15.629</v>
      </c>
      <c r="C27" s="2">
        <v>17.975000000000001</v>
      </c>
      <c r="D27" s="2">
        <v>14.262499999999999</v>
      </c>
      <c r="E27" s="2">
        <v>17.726500000000001</v>
      </c>
      <c r="F27" s="2">
        <v>17.726500000000001</v>
      </c>
      <c r="G27" s="2">
        <v>2061142000</v>
      </c>
    </row>
    <row r="28" spans="1:7" x14ac:dyDescent="0.2">
      <c r="A28" s="9">
        <v>42036</v>
      </c>
      <c r="B28" s="2">
        <v>17.502500999999999</v>
      </c>
      <c r="C28" s="2">
        <v>19.468499999999999</v>
      </c>
      <c r="D28" s="2">
        <v>17.500499999999999</v>
      </c>
      <c r="E28" s="2">
        <v>19.007999000000002</v>
      </c>
      <c r="F28" s="2">
        <v>19.007999000000002</v>
      </c>
      <c r="G28" s="2">
        <v>1416924000</v>
      </c>
    </row>
    <row r="29" spans="1:7" x14ac:dyDescent="0.2">
      <c r="A29" s="9">
        <v>42064</v>
      </c>
      <c r="B29" s="2">
        <v>19.0425</v>
      </c>
      <c r="C29" s="2">
        <v>19.420999999999999</v>
      </c>
      <c r="D29" s="2">
        <v>18.282499000000001</v>
      </c>
      <c r="E29" s="2">
        <v>18.605</v>
      </c>
      <c r="F29" s="2">
        <v>18.605</v>
      </c>
      <c r="G29" s="2">
        <v>1110056000</v>
      </c>
    </row>
    <row r="30" spans="1:7" x14ac:dyDescent="0.2">
      <c r="A30" s="9">
        <v>42095</v>
      </c>
      <c r="B30" s="2">
        <v>18.605</v>
      </c>
      <c r="C30" s="2">
        <v>22.6325</v>
      </c>
      <c r="D30" s="2">
        <v>18.417000000000002</v>
      </c>
      <c r="E30" s="2">
        <v>21.089001</v>
      </c>
      <c r="F30" s="2">
        <v>21.089001</v>
      </c>
      <c r="G30" s="2">
        <v>1688096000</v>
      </c>
    </row>
    <row r="31" spans="1:7" x14ac:dyDescent="0.2">
      <c r="A31" s="9">
        <v>42125</v>
      </c>
      <c r="B31" s="2">
        <v>21.190999999999999</v>
      </c>
      <c r="C31" s="2">
        <v>21.950001</v>
      </c>
      <c r="D31" s="2">
        <v>20.727501</v>
      </c>
      <c r="E31" s="2">
        <v>21.461500000000001</v>
      </c>
      <c r="F31" s="2">
        <v>21.461500000000001</v>
      </c>
      <c r="G31" s="2">
        <v>1039660000</v>
      </c>
    </row>
    <row r="32" spans="1:7" x14ac:dyDescent="0.2">
      <c r="A32" s="9">
        <v>42156</v>
      </c>
      <c r="B32" s="2">
        <v>21.52</v>
      </c>
      <c r="C32" s="2">
        <v>22.351998999999999</v>
      </c>
      <c r="D32" s="2">
        <v>20.957001000000002</v>
      </c>
      <c r="E32" s="2">
        <v>21.704499999999999</v>
      </c>
      <c r="F32" s="2">
        <v>21.704499999999999</v>
      </c>
      <c r="G32" s="2">
        <v>1099750000</v>
      </c>
    </row>
    <row r="33" spans="1:7" x14ac:dyDescent="0.2">
      <c r="A33" s="9">
        <v>42186</v>
      </c>
      <c r="B33" s="2">
        <v>21.967500999999999</v>
      </c>
      <c r="C33" s="2">
        <v>29.028500000000001</v>
      </c>
      <c r="D33" s="2">
        <v>21.278500000000001</v>
      </c>
      <c r="E33" s="2">
        <v>26.807500999999998</v>
      </c>
      <c r="F33" s="2">
        <v>26.807500999999998</v>
      </c>
      <c r="G33" s="2">
        <v>2041400000</v>
      </c>
    </row>
    <row r="34" spans="1:7" x14ac:dyDescent="0.2">
      <c r="A34" s="9">
        <v>42217</v>
      </c>
      <c r="B34" s="2">
        <v>26.872499000000001</v>
      </c>
      <c r="C34" s="2">
        <v>27.136998999999999</v>
      </c>
      <c r="D34" s="2">
        <v>22.549999</v>
      </c>
      <c r="E34" s="2">
        <v>25.644501000000002</v>
      </c>
      <c r="F34" s="2">
        <v>25.644501000000002</v>
      </c>
      <c r="G34" s="2">
        <v>1657264000</v>
      </c>
    </row>
    <row r="35" spans="1:7" x14ac:dyDescent="0.2">
      <c r="A35" s="9">
        <v>42248</v>
      </c>
      <c r="B35" s="2">
        <v>24.957001000000002</v>
      </c>
      <c r="C35" s="2">
        <v>27.489000000000001</v>
      </c>
      <c r="D35" s="2">
        <v>24.524999999999999</v>
      </c>
      <c r="E35" s="2">
        <v>25.5945</v>
      </c>
      <c r="F35" s="2">
        <v>25.5945</v>
      </c>
      <c r="G35" s="2">
        <v>1535378000</v>
      </c>
    </row>
    <row r="36" spans="1:7" x14ac:dyDescent="0.2">
      <c r="A36" s="9">
        <v>42278</v>
      </c>
      <c r="B36" s="2">
        <v>25.549999</v>
      </c>
      <c r="C36" s="2">
        <v>31.535999</v>
      </c>
      <c r="D36" s="2">
        <v>25.299999</v>
      </c>
      <c r="E36" s="2">
        <v>31.295000000000002</v>
      </c>
      <c r="F36" s="2">
        <v>31.295000000000002</v>
      </c>
      <c r="G36" s="2">
        <v>1942522000</v>
      </c>
    </row>
    <row r="37" spans="1:7" x14ac:dyDescent="0.2">
      <c r="A37" s="9">
        <v>42309</v>
      </c>
      <c r="B37" s="2">
        <v>31.356501000000002</v>
      </c>
      <c r="C37" s="2">
        <v>34.138500000000001</v>
      </c>
      <c r="D37" s="2">
        <v>31.020499999999998</v>
      </c>
      <c r="E37" s="2">
        <v>33.240001999999997</v>
      </c>
      <c r="F37" s="2">
        <v>33.240001999999997</v>
      </c>
      <c r="G37" s="2">
        <v>1746098000</v>
      </c>
    </row>
    <row r="38" spans="1:7" x14ac:dyDescent="0.2">
      <c r="A38" s="9">
        <v>42339</v>
      </c>
      <c r="B38" s="2">
        <v>33.6875</v>
      </c>
      <c r="C38" s="2">
        <v>34.821998999999998</v>
      </c>
      <c r="D38" s="2">
        <v>31.763500000000001</v>
      </c>
      <c r="E38" s="2">
        <v>33.794497999999997</v>
      </c>
      <c r="F38" s="2">
        <v>33.794497999999997</v>
      </c>
      <c r="G38" s="2">
        <v>1803750000</v>
      </c>
    </row>
    <row r="39" spans="1:7" x14ac:dyDescent="0.2">
      <c r="A39" s="9">
        <v>42370</v>
      </c>
      <c r="B39" s="2">
        <v>32.814498999999998</v>
      </c>
      <c r="C39" s="2">
        <v>32.886001999999998</v>
      </c>
      <c r="D39" s="2">
        <v>27.358999000000001</v>
      </c>
      <c r="E39" s="2">
        <v>29.35</v>
      </c>
      <c r="F39" s="2">
        <v>29.35</v>
      </c>
      <c r="G39" s="2">
        <v>2604018000</v>
      </c>
    </row>
    <row r="40" spans="1:7" x14ac:dyDescent="0.2">
      <c r="A40" s="9">
        <v>42401</v>
      </c>
      <c r="B40" s="2">
        <v>28.907499000000001</v>
      </c>
      <c r="C40" s="2">
        <v>29.09</v>
      </c>
      <c r="D40" s="2">
        <v>23.700001</v>
      </c>
      <c r="E40" s="2">
        <v>27.625999</v>
      </c>
      <c r="F40" s="2">
        <v>27.625999</v>
      </c>
      <c r="G40" s="2">
        <v>2482896000</v>
      </c>
    </row>
    <row r="41" spans="1:7" x14ac:dyDescent="0.2">
      <c r="A41" s="9">
        <v>42430</v>
      </c>
      <c r="B41" s="2">
        <v>27.814501</v>
      </c>
      <c r="C41" s="2">
        <v>30.162001</v>
      </c>
      <c r="D41" s="2">
        <v>26.929001</v>
      </c>
      <c r="E41" s="2">
        <v>29.681999000000001</v>
      </c>
      <c r="F41" s="2">
        <v>29.681999000000001</v>
      </c>
      <c r="G41" s="2">
        <v>1880190000</v>
      </c>
    </row>
    <row r="42" spans="1:7" x14ac:dyDescent="0.2">
      <c r="A42" s="9">
        <v>42461</v>
      </c>
      <c r="B42" s="2">
        <v>29.5245</v>
      </c>
      <c r="C42" s="2">
        <v>33.499001</v>
      </c>
      <c r="D42" s="2">
        <v>29.262501</v>
      </c>
      <c r="E42" s="2">
        <v>32.979500000000002</v>
      </c>
      <c r="F42" s="2">
        <v>32.979500000000002</v>
      </c>
      <c r="G42" s="2">
        <v>1569284000</v>
      </c>
    </row>
    <row r="43" spans="1:7" x14ac:dyDescent="0.2">
      <c r="A43" s="9">
        <v>42491</v>
      </c>
      <c r="B43" s="2">
        <v>33.195999</v>
      </c>
      <c r="C43" s="2">
        <v>36.211497999999999</v>
      </c>
      <c r="D43" s="2">
        <v>32.799999</v>
      </c>
      <c r="E43" s="2">
        <v>36.139499999999998</v>
      </c>
      <c r="F43" s="2">
        <v>36.139499999999998</v>
      </c>
      <c r="G43" s="2">
        <v>1812290000</v>
      </c>
    </row>
    <row r="44" spans="1:7" x14ac:dyDescent="0.2">
      <c r="A44" s="9">
        <v>42522</v>
      </c>
      <c r="B44" s="2">
        <v>36.044998</v>
      </c>
      <c r="C44" s="2">
        <v>36.575001</v>
      </c>
      <c r="D44" s="2">
        <v>34.105998999999997</v>
      </c>
      <c r="E44" s="2">
        <v>35.780997999999997</v>
      </c>
      <c r="F44" s="2">
        <v>35.780997999999997</v>
      </c>
      <c r="G44" s="2">
        <v>1490818000</v>
      </c>
    </row>
    <row r="45" spans="1:7" x14ac:dyDescent="0.2">
      <c r="A45" s="9">
        <v>42552</v>
      </c>
      <c r="B45" s="2">
        <v>35.866000999999997</v>
      </c>
      <c r="C45" s="2">
        <v>38.299999</v>
      </c>
      <c r="D45" s="2">
        <v>35.826999999999998</v>
      </c>
      <c r="E45" s="2">
        <v>37.940497999999998</v>
      </c>
      <c r="F45" s="2">
        <v>37.940497999999998</v>
      </c>
      <c r="G45" s="2">
        <v>1372710000</v>
      </c>
    </row>
    <row r="46" spans="1:7" x14ac:dyDescent="0.2">
      <c r="A46" s="9">
        <v>42583</v>
      </c>
      <c r="B46" s="2">
        <v>37.993499999999997</v>
      </c>
      <c r="C46" s="2">
        <v>38.749001</v>
      </c>
      <c r="D46" s="2">
        <v>37.517502</v>
      </c>
      <c r="E46" s="2">
        <v>38.457999999999998</v>
      </c>
      <c r="F46" s="2">
        <v>38.457999999999998</v>
      </c>
      <c r="G46" s="2">
        <v>1000008000</v>
      </c>
    </row>
    <row r="47" spans="1:7" x14ac:dyDescent="0.2">
      <c r="A47" s="9">
        <v>42614</v>
      </c>
      <c r="B47" s="2">
        <v>38.544998</v>
      </c>
      <c r="C47" s="2">
        <v>41.997501</v>
      </c>
      <c r="D47" s="2">
        <v>37.799999</v>
      </c>
      <c r="E47" s="2">
        <v>41.865501000000002</v>
      </c>
      <c r="F47" s="2">
        <v>41.865501000000002</v>
      </c>
      <c r="G47" s="2">
        <v>1346714000</v>
      </c>
    </row>
    <row r="48" spans="1:7" x14ac:dyDescent="0.2">
      <c r="A48" s="9">
        <v>42644</v>
      </c>
      <c r="B48" s="2">
        <v>41.799999</v>
      </c>
      <c r="C48" s="2">
        <v>42.360500000000002</v>
      </c>
      <c r="D48" s="2">
        <v>38.730499000000002</v>
      </c>
      <c r="E48" s="2">
        <v>39.491000999999997</v>
      </c>
      <c r="F48" s="2">
        <v>39.491000999999997</v>
      </c>
      <c r="G48" s="2">
        <v>1541276000</v>
      </c>
    </row>
    <row r="49" spans="1:7" x14ac:dyDescent="0.2">
      <c r="A49" s="9">
        <v>42675</v>
      </c>
      <c r="B49" s="2">
        <v>39.950001</v>
      </c>
      <c r="C49" s="2">
        <v>40.042000000000002</v>
      </c>
      <c r="D49" s="2">
        <v>35.505001</v>
      </c>
      <c r="E49" s="2">
        <v>37.528500000000001</v>
      </c>
      <c r="F49" s="2">
        <v>37.528500000000001</v>
      </c>
      <c r="G49" s="2">
        <v>2201718000</v>
      </c>
    </row>
    <row r="50" spans="1:7" x14ac:dyDescent="0.2">
      <c r="A50" s="9">
        <v>42705</v>
      </c>
      <c r="B50" s="2">
        <v>37.620499000000002</v>
      </c>
      <c r="C50" s="2">
        <v>39.123001000000002</v>
      </c>
      <c r="D50" s="2">
        <v>36.834999000000003</v>
      </c>
      <c r="E50" s="2">
        <v>37.493499999999997</v>
      </c>
      <c r="F50" s="2">
        <v>37.493499999999997</v>
      </c>
      <c r="G50" s="2">
        <v>1473204000</v>
      </c>
    </row>
    <row r="51" spans="1:7" x14ac:dyDescent="0.2">
      <c r="A51" s="9">
        <v>42736</v>
      </c>
      <c r="B51" s="2">
        <v>37.896000000000001</v>
      </c>
      <c r="C51" s="2">
        <v>42.192000999999998</v>
      </c>
      <c r="D51" s="2">
        <v>37.384998000000003</v>
      </c>
      <c r="E51" s="2">
        <v>41.173999999999999</v>
      </c>
      <c r="F51" s="2">
        <v>41.173999999999999</v>
      </c>
      <c r="G51" s="2">
        <v>1412280000</v>
      </c>
    </row>
    <row r="52" spans="1:7" x14ac:dyDescent="0.2">
      <c r="A52" s="9">
        <v>42767</v>
      </c>
      <c r="B52" s="2">
        <v>41.460498999999999</v>
      </c>
      <c r="C52" s="2">
        <v>43.042999000000002</v>
      </c>
      <c r="D52" s="2">
        <v>40.150002000000001</v>
      </c>
      <c r="E52" s="2">
        <v>42.251998999999998</v>
      </c>
      <c r="F52" s="2">
        <v>42.251998999999998</v>
      </c>
      <c r="G52" s="2">
        <v>1434966000</v>
      </c>
    </row>
    <row r="53" spans="1:7" x14ac:dyDescent="0.2">
      <c r="A53" s="9">
        <v>42795</v>
      </c>
      <c r="B53" s="2">
        <v>42.652500000000003</v>
      </c>
      <c r="C53" s="2">
        <v>44.517502</v>
      </c>
      <c r="D53" s="2">
        <v>41.674999</v>
      </c>
      <c r="E53" s="2">
        <v>44.326999999999998</v>
      </c>
      <c r="F53" s="2">
        <v>44.326999999999998</v>
      </c>
      <c r="G53" s="2">
        <v>1214214000</v>
      </c>
    </row>
    <row r="54" spans="1:7" x14ac:dyDescent="0.2">
      <c r="A54" s="9">
        <v>42826</v>
      </c>
      <c r="B54" s="2">
        <v>44.400002000000001</v>
      </c>
      <c r="C54" s="2">
        <v>47.479500000000002</v>
      </c>
      <c r="D54" s="2">
        <v>44.224499000000002</v>
      </c>
      <c r="E54" s="2">
        <v>46.249499999999998</v>
      </c>
      <c r="F54" s="2">
        <v>46.249499999999998</v>
      </c>
      <c r="G54" s="2">
        <v>1470794000</v>
      </c>
    </row>
    <row r="55" spans="1:7" x14ac:dyDescent="0.2">
      <c r="A55" s="9">
        <v>42856</v>
      </c>
      <c r="B55" s="2">
        <v>46.389999000000003</v>
      </c>
      <c r="C55" s="2">
        <v>50.060001</v>
      </c>
      <c r="D55" s="2">
        <v>46.389999000000003</v>
      </c>
      <c r="E55" s="2">
        <v>49.730998999999997</v>
      </c>
      <c r="F55" s="2">
        <v>49.730998999999997</v>
      </c>
      <c r="G55" s="2">
        <v>1524040000</v>
      </c>
    </row>
    <row r="56" spans="1:7" x14ac:dyDescent="0.2">
      <c r="A56" s="9">
        <v>42887</v>
      </c>
      <c r="B56" s="2">
        <v>49.929501000000002</v>
      </c>
      <c r="C56" s="2">
        <v>50.849997999999999</v>
      </c>
      <c r="D56" s="2">
        <v>46.349997999999999</v>
      </c>
      <c r="E56" s="2">
        <v>48.400002000000001</v>
      </c>
      <c r="F56" s="2">
        <v>48.400002000000001</v>
      </c>
      <c r="G56" s="2">
        <v>1922708000</v>
      </c>
    </row>
    <row r="57" spans="1:7" x14ac:dyDescent="0.2">
      <c r="A57" s="9">
        <v>42917</v>
      </c>
      <c r="B57" s="2">
        <v>48.639499999999998</v>
      </c>
      <c r="C57" s="2">
        <v>54.165500999999999</v>
      </c>
      <c r="D57" s="2">
        <v>47.549999</v>
      </c>
      <c r="E57" s="2">
        <v>49.389000000000003</v>
      </c>
      <c r="F57" s="2">
        <v>49.389000000000003</v>
      </c>
      <c r="G57" s="2">
        <v>1576248000</v>
      </c>
    </row>
    <row r="58" spans="1:7" x14ac:dyDescent="0.2">
      <c r="A58" s="9">
        <v>42948</v>
      </c>
      <c r="B58" s="2">
        <v>49.805500000000002</v>
      </c>
      <c r="C58" s="2">
        <v>50.32</v>
      </c>
      <c r="D58" s="2">
        <v>46.816502</v>
      </c>
      <c r="E58" s="2">
        <v>49.029998999999997</v>
      </c>
      <c r="F58" s="2">
        <v>49.029998999999997</v>
      </c>
      <c r="G58" s="2">
        <v>1547836000</v>
      </c>
    </row>
    <row r="59" spans="1:7" x14ac:dyDescent="0.2">
      <c r="A59" s="9">
        <v>42979</v>
      </c>
      <c r="B59" s="2">
        <v>49.209999000000003</v>
      </c>
      <c r="C59" s="2">
        <v>50</v>
      </c>
      <c r="D59" s="2">
        <v>46.587502000000001</v>
      </c>
      <c r="E59" s="2">
        <v>48.067501</v>
      </c>
      <c r="F59" s="2">
        <v>48.067501</v>
      </c>
      <c r="G59" s="2">
        <v>1185836000</v>
      </c>
    </row>
    <row r="60" spans="1:7" x14ac:dyDescent="0.2">
      <c r="A60" s="9">
        <v>43009</v>
      </c>
      <c r="B60" s="2">
        <v>48.200001</v>
      </c>
      <c r="C60" s="2">
        <v>56.139499999999998</v>
      </c>
      <c r="D60" s="2">
        <v>47.518501000000001</v>
      </c>
      <c r="E60" s="2">
        <v>55.264000000000003</v>
      </c>
      <c r="F60" s="2">
        <v>55.264000000000003</v>
      </c>
      <c r="G60" s="2">
        <v>1666682000</v>
      </c>
    </row>
    <row r="61" spans="1:7" x14ac:dyDescent="0.2">
      <c r="A61" s="9">
        <v>43040</v>
      </c>
      <c r="B61" s="2">
        <v>55.27</v>
      </c>
      <c r="C61" s="2">
        <v>60.670501999999999</v>
      </c>
      <c r="D61" s="2">
        <v>54.343497999999997</v>
      </c>
      <c r="E61" s="2">
        <v>58.837502000000001</v>
      </c>
      <c r="F61" s="2">
        <v>58.837502000000001</v>
      </c>
      <c r="G61" s="2">
        <v>1543300000</v>
      </c>
    </row>
    <row r="62" spans="1:7" x14ac:dyDescent="0.2">
      <c r="A62" s="9">
        <v>43070</v>
      </c>
      <c r="B62" s="2">
        <v>58.602500999999997</v>
      </c>
      <c r="C62" s="2">
        <v>59.738998000000002</v>
      </c>
      <c r="D62" s="2">
        <v>56.237000000000002</v>
      </c>
      <c r="E62" s="2">
        <v>58.473498999999997</v>
      </c>
      <c r="F62" s="2">
        <v>58.473498999999997</v>
      </c>
      <c r="G62" s="2">
        <v>1155204000</v>
      </c>
    </row>
    <row r="63" spans="1:7" x14ac:dyDescent="0.2">
      <c r="A63" s="9">
        <v>43101</v>
      </c>
      <c r="B63" s="2">
        <v>58.599997999999999</v>
      </c>
      <c r="C63" s="2">
        <v>73.628997999999996</v>
      </c>
      <c r="D63" s="2">
        <v>58.525500999999998</v>
      </c>
      <c r="E63" s="2">
        <v>72.544501999999994</v>
      </c>
      <c r="F63" s="2">
        <v>72.544501999999994</v>
      </c>
      <c r="G63" s="2">
        <v>1927424000</v>
      </c>
    </row>
    <row r="64" spans="1:7" x14ac:dyDescent="0.2">
      <c r="A64" s="9">
        <v>43132</v>
      </c>
      <c r="B64" s="2">
        <v>72.25</v>
      </c>
      <c r="C64" s="2">
        <v>76.434997999999993</v>
      </c>
      <c r="D64" s="2">
        <v>63.296500999999999</v>
      </c>
      <c r="E64" s="2">
        <v>75.622497999999993</v>
      </c>
      <c r="F64" s="2">
        <v>75.622497999999993</v>
      </c>
      <c r="G64" s="2">
        <v>2755680000</v>
      </c>
    </row>
    <row r="65" spans="1:7" x14ac:dyDescent="0.2">
      <c r="A65" s="9">
        <v>43160</v>
      </c>
      <c r="B65" s="2">
        <v>75.680000000000007</v>
      </c>
      <c r="C65" s="2">
        <v>80.876998999999998</v>
      </c>
      <c r="D65" s="2">
        <v>68.260002</v>
      </c>
      <c r="E65" s="2">
        <v>72.366996999999998</v>
      </c>
      <c r="F65" s="2">
        <v>72.366996999999998</v>
      </c>
      <c r="G65" s="2">
        <v>2608002000</v>
      </c>
    </row>
    <row r="66" spans="1:7" x14ac:dyDescent="0.2">
      <c r="A66" s="9">
        <v>43191</v>
      </c>
      <c r="B66" s="2">
        <v>70.880996999999994</v>
      </c>
      <c r="C66" s="2">
        <v>81.904999000000004</v>
      </c>
      <c r="D66" s="2">
        <v>67.643996999999999</v>
      </c>
      <c r="E66" s="2">
        <v>78.306503000000006</v>
      </c>
      <c r="F66" s="2">
        <v>78.306503000000006</v>
      </c>
      <c r="G66" s="2">
        <v>2598392000</v>
      </c>
    </row>
    <row r="67" spans="1:7" x14ac:dyDescent="0.2">
      <c r="A67" s="9">
        <v>43221</v>
      </c>
      <c r="B67" s="2">
        <v>78.161002999999994</v>
      </c>
      <c r="C67" s="2">
        <v>81.75</v>
      </c>
      <c r="D67" s="2">
        <v>77.301002999999994</v>
      </c>
      <c r="E67" s="2">
        <v>81.481003000000001</v>
      </c>
      <c r="F67" s="2">
        <v>81.481003000000001</v>
      </c>
      <c r="G67" s="2">
        <v>1432310000</v>
      </c>
    </row>
    <row r="68" spans="1:7" x14ac:dyDescent="0.2">
      <c r="A68" s="9">
        <v>43252</v>
      </c>
      <c r="B68" s="2">
        <v>81.851500999999999</v>
      </c>
      <c r="C68" s="2">
        <v>88.154999000000004</v>
      </c>
      <c r="D68" s="2">
        <v>81.754501000000005</v>
      </c>
      <c r="E68" s="2">
        <v>84.989998</v>
      </c>
      <c r="F68" s="2">
        <v>84.989998</v>
      </c>
      <c r="G68" s="2">
        <v>1718826000</v>
      </c>
    </row>
    <row r="69" spans="1:7" x14ac:dyDescent="0.2">
      <c r="A69" s="9">
        <v>43282</v>
      </c>
      <c r="B69" s="2">
        <v>84.135002</v>
      </c>
      <c r="C69" s="2">
        <v>94.002502000000007</v>
      </c>
      <c r="D69" s="2">
        <v>83.903000000000006</v>
      </c>
      <c r="E69" s="2">
        <v>88.872001999999995</v>
      </c>
      <c r="F69" s="2">
        <v>88.872001999999995</v>
      </c>
      <c r="G69" s="2">
        <v>1950422000</v>
      </c>
    </row>
    <row r="70" spans="1:7" x14ac:dyDescent="0.2">
      <c r="A70" s="9">
        <v>43313</v>
      </c>
      <c r="B70" s="2">
        <v>89.199996999999996</v>
      </c>
      <c r="C70" s="2">
        <v>101.278503</v>
      </c>
      <c r="D70" s="2">
        <v>88.801002999999994</v>
      </c>
      <c r="E70" s="2">
        <v>100.635498</v>
      </c>
      <c r="F70" s="2">
        <v>100.635498</v>
      </c>
      <c r="G70" s="2">
        <v>1931516000</v>
      </c>
    </row>
    <row r="71" spans="1:7" x14ac:dyDescent="0.2">
      <c r="A71" s="9">
        <v>43344</v>
      </c>
      <c r="B71" s="2">
        <v>101.324997</v>
      </c>
      <c r="C71" s="2">
        <v>102.525002</v>
      </c>
      <c r="D71" s="2">
        <v>93.25</v>
      </c>
      <c r="E71" s="2">
        <v>100.150002</v>
      </c>
      <c r="F71" s="2">
        <v>100.150002</v>
      </c>
      <c r="G71" s="2">
        <v>1888910000</v>
      </c>
    </row>
    <row r="72" spans="1:7" x14ac:dyDescent="0.2">
      <c r="A72" s="9">
        <v>43374</v>
      </c>
      <c r="B72" s="2">
        <v>101.099503</v>
      </c>
      <c r="C72" s="2">
        <v>101.65949999999999</v>
      </c>
      <c r="D72" s="2">
        <v>73.818000999999995</v>
      </c>
      <c r="E72" s="2">
        <v>79.900497000000001</v>
      </c>
      <c r="F72" s="2">
        <v>79.900497000000001</v>
      </c>
      <c r="G72" s="2">
        <v>3664416000</v>
      </c>
    </row>
    <row r="73" spans="1:7" x14ac:dyDescent="0.2">
      <c r="A73" s="9">
        <v>43405</v>
      </c>
      <c r="B73" s="2">
        <v>81.176497999999995</v>
      </c>
      <c r="C73" s="2">
        <v>89.199996999999996</v>
      </c>
      <c r="D73" s="2">
        <v>71</v>
      </c>
      <c r="E73" s="2">
        <v>84.508499</v>
      </c>
      <c r="F73" s="2">
        <v>84.508499</v>
      </c>
      <c r="G73" s="2">
        <v>2785800000</v>
      </c>
    </row>
    <row r="74" spans="1:7" x14ac:dyDescent="0.2">
      <c r="A74" s="9">
        <v>43435</v>
      </c>
      <c r="B74" s="2">
        <v>88.472999999999999</v>
      </c>
      <c r="C74" s="2">
        <v>88.917000000000002</v>
      </c>
      <c r="D74" s="2">
        <v>65.349997999999999</v>
      </c>
      <c r="E74" s="2">
        <v>75.098502999999994</v>
      </c>
      <c r="F74" s="2">
        <v>75.098502999999994</v>
      </c>
      <c r="G74" s="2">
        <v>3096254000</v>
      </c>
    </row>
    <row r="75" spans="1:7" x14ac:dyDescent="0.2">
      <c r="A75" s="9">
        <v>43466</v>
      </c>
      <c r="B75" s="2">
        <v>73.260002</v>
      </c>
      <c r="C75" s="2">
        <v>86.820503000000002</v>
      </c>
      <c r="D75" s="2">
        <v>73.046501000000006</v>
      </c>
      <c r="E75" s="2">
        <v>85.936501000000007</v>
      </c>
      <c r="F75" s="2">
        <v>85.936501000000007</v>
      </c>
      <c r="G75" s="2">
        <v>2680034000</v>
      </c>
    </row>
    <row r="76" spans="1:7" x14ac:dyDescent="0.2">
      <c r="A76" s="9">
        <v>43497</v>
      </c>
      <c r="B76" s="2">
        <v>81.944000000000003</v>
      </c>
      <c r="C76" s="2">
        <v>83.653000000000006</v>
      </c>
      <c r="D76" s="2">
        <v>78.337997000000001</v>
      </c>
      <c r="E76" s="2">
        <v>81.991501</v>
      </c>
      <c r="F76" s="2">
        <v>81.991501</v>
      </c>
      <c r="G76" s="2">
        <v>1618738000</v>
      </c>
    </row>
    <row r="77" spans="1:7" x14ac:dyDescent="0.2">
      <c r="A77" s="9">
        <v>43525</v>
      </c>
      <c r="B77" s="2">
        <v>82.756500000000003</v>
      </c>
      <c r="C77" s="2">
        <v>91.1875</v>
      </c>
      <c r="D77" s="2">
        <v>79.328498999999994</v>
      </c>
      <c r="E77" s="2">
        <v>89.037497999999999</v>
      </c>
      <c r="F77" s="2">
        <v>89.037497999999999</v>
      </c>
      <c r="G77" s="2">
        <v>2016644000</v>
      </c>
    </row>
    <row r="78" spans="1:7" x14ac:dyDescent="0.2">
      <c r="A78" s="9">
        <v>43556</v>
      </c>
      <c r="B78" s="2">
        <v>90.005500999999995</v>
      </c>
      <c r="C78" s="2">
        <v>97.817001000000005</v>
      </c>
      <c r="D78" s="2">
        <v>89.936501000000007</v>
      </c>
      <c r="E78" s="2">
        <v>96.325996000000004</v>
      </c>
      <c r="F78" s="2">
        <v>96.325996000000004</v>
      </c>
      <c r="G78" s="2">
        <v>1624784000</v>
      </c>
    </row>
    <row r="79" spans="1:7" x14ac:dyDescent="0.2">
      <c r="A79" s="9">
        <v>43586</v>
      </c>
      <c r="B79" s="2">
        <v>96.654503000000005</v>
      </c>
      <c r="C79" s="2">
        <v>98.220000999999996</v>
      </c>
      <c r="D79" s="2">
        <v>88.635002</v>
      </c>
      <c r="E79" s="2">
        <v>88.753501999999997</v>
      </c>
      <c r="F79" s="2">
        <v>88.753501999999997</v>
      </c>
      <c r="G79" s="2">
        <v>1964288000</v>
      </c>
    </row>
    <row r="80" spans="1:7" x14ac:dyDescent="0.2">
      <c r="A80" s="9">
        <v>43617</v>
      </c>
      <c r="B80" s="2">
        <v>88.000504000000006</v>
      </c>
      <c r="C80" s="2">
        <v>96.760002</v>
      </c>
      <c r="D80" s="2">
        <v>83.599997999999999</v>
      </c>
      <c r="E80" s="2">
        <v>94.681503000000006</v>
      </c>
      <c r="F80" s="2">
        <v>94.681503000000006</v>
      </c>
      <c r="G80" s="2">
        <v>1494930000</v>
      </c>
    </row>
    <row r="81" spans="1:7" x14ac:dyDescent="0.2">
      <c r="A81" s="9">
        <v>43647</v>
      </c>
      <c r="B81" s="2">
        <v>96.149001999999996</v>
      </c>
      <c r="C81" s="2">
        <v>101.790001</v>
      </c>
      <c r="D81" s="2">
        <v>92.471999999999994</v>
      </c>
      <c r="E81" s="2">
        <v>93.338997000000006</v>
      </c>
      <c r="F81" s="2">
        <v>93.338997000000006</v>
      </c>
      <c r="G81" s="2">
        <v>1462976000</v>
      </c>
    </row>
    <row r="82" spans="1:7" x14ac:dyDescent="0.2">
      <c r="A82" s="9">
        <v>43678</v>
      </c>
      <c r="B82" s="2">
        <v>93.585999000000001</v>
      </c>
      <c r="C82" s="2">
        <v>94.896004000000005</v>
      </c>
      <c r="D82" s="2">
        <v>87.175499000000002</v>
      </c>
      <c r="E82" s="2">
        <v>88.814498999999998</v>
      </c>
      <c r="F82" s="2">
        <v>88.814498999999998</v>
      </c>
      <c r="G82" s="2">
        <v>1595424000</v>
      </c>
    </row>
    <row r="83" spans="1:7" x14ac:dyDescent="0.2">
      <c r="A83" s="9">
        <v>43709</v>
      </c>
      <c r="B83" s="2">
        <v>88.5</v>
      </c>
      <c r="C83" s="2">
        <v>92.682998999999995</v>
      </c>
      <c r="D83" s="2">
        <v>85.460999000000001</v>
      </c>
      <c r="E83" s="2">
        <v>86.795501999999999</v>
      </c>
      <c r="F83" s="2">
        <v>86.795501999999999</v>
      </c>
      <c r="G83" s="2">
        <v>1223458000</v>
      </c>
    </row>
    <row r="84" spans="1:7" x14ac:dyDescent="0.2">
      <c r="A84" s="9">
        <v>43739</v>
      </c>
      <c r="B84" s="2">
        <v>87.300003000000004</v>
      </c>
      <c r="C84" s="2">
        <v>89.942497000000003</v>
      </c>
      <c r="D84" s="2">
        <v>84.252998000000005</v>
      </c>
      <c r="E84" s="2">
        <v>88.832999999999998</v>
      </c>
      <c r="F84" s="2">
        <v>88.832999999999998</v>
      </c>
      <c r="G84" s="2">
        <v>1407210000</v>
      </c>
    </row>
    <row r="85" spans="1:7" x14ac:dyDescent="0.2">
      <c r="A85" s="9">
        <v>43770</v>
      </c>
      <c r="B85" s="2">
        <v>89.400497000000001</v>
      </c>
      <c r="C85" s="2">
        <v>91.234497000000005</v>
      </c>
      <c r="D85" s="2">
        <v>86.135497999999998</v>
      </c>
      <c r="E85" s="2">
        <v>90.040001000000004</v>
      </c>
      <c r="F85" s="2">
        <v>90.040001000000004</v>
      </c>
      <c r="G85" s="2">
        <v>1041524000</v>
      </c>
    </row>
    <row r="86" spans="1:7" x14ac:dyDescent="0.2">
      <c r="A86" s="9">
        <v>43800</v>
      </c>
      <c r="B86" s="2">
        <v>90.220000999999996</v>
      </c>
      <c r="C86" s="2">
        <v>95.07</v>
      </c>
      <c r="D86" s="2">
        <v>86.75</v>
      </c>
      <c r="E86" s="2">
        <v>92.391998000000001</v>
      </c>
      <c r="F86" s="2">
        <v>92.391998000000001</v>
      </c>
      <c r="G86" s="2">
        <v>1362992000</v>
      </c>
    </row>
    <row r="87" spans="1:7" x14ac:dyDescent="0.2">
      <c r="A87" s="9">
        <v>43831</v>
      </c>
      <c r="B87" s="2">
        <v>93.75</v>
      </c>
      <c r="C87" s="2">
        <v>102.78600299999999</v>
      </c>
      <c r="D87" s="2">
        <v>90.766998000000001</v>
      </c>
      <c r="E87" s="2">
        <v>100.435997</v>
      </c>
      <c r="F87" s="2">
        <v>100.435997</v>
      </c>
      <c r="G87" s="2">
        <v>1693966000</v>
      </c>
    </row>
    <row r="88" spans="1:7" x14ac:dyDescent="0.2">
      <c r="A88" s="9">
        <v>43862</v>
      </c>
      <c r="B88" s="2">
        <v>100.529999</v>
      </c>
      <c r="C88" s="2">
        <v>109.297501</v>
      </c>
      <c r="D88" s="2">
        <v>90.556503000000006</v>
      </c>
      <c r="E88" s="2">
        <v>94.1875</v>
      </c>
      <c r="F88" s="2">
        <v>94.1875</v>
      </c>
      <c r="G88" s="2">
        <v>1850202000</v>
      </c>
    </row>
    <row r="89" spans="1:7" x14ac:dyDescent="0.2">
      <c r="A89" s="9">
        <v>43891</v>
      </c>
      <c r="B89" s="2">
        <v>95.324500999999998</v>
      </c>
      <c r="C89" s="2">
        <v>99.816497999999996</v>
      </c>
      <c r="D89" s="2">
        <v>81.301497999999995</v>
      </c>
      <c r="E89" s="2">
        <v>97.486000000000004</v>
      </c>
      <c r="F89" s="2">
        <v>97.486000000000004</v>
      </c>
      <c r="G89" s="2">
        <v>3276182000</v>
      </c>
    </row>
    <row r="90" spans="1:7" x14ac:dyDescent="0.2">
      <c r="A90" s="9">
        <v>43922</v>
      </c>
      <c r="B90" s="2">
        <v>96.648499000000001</v>
      </c>
      <c r="C90" s="2">
        <v>123.75</v>
      </c>
      <c r="D90" s="2">
        <v>94.457497000000004</v>
      </c>
      <c r="E90" s="2">
        <v>123.699997</v>
      </c>
      <c r="F90" s="2">
        <v>123.699997</v>
      </c>
      <c r="G90" s="2">
        <v>2492196000</v>
      </c>
    </row>
    <row r="91" spans="1:7" x14ac:dyDescent="0.2">
      <c r="A91" s="9">
        <v>43952</v>
      </c>
      <c r="B91" s="2">
        <v>116.839996</v>
      </c>
      <c r="C91" s="2">
        <v>126.272499</v>
      </c>
      <c r="D91" s="2">
        <v>112.819</v>
      </c>
      <c r="E91" s="2">
        <v>122.1185</v>
      </c>
      <c r="F91" s="2">
        <v>122.1185</v>
      </c>
      <c r="G91" s="2">
        <v>1651688000</v>
      </c>
    </row>
    <row r="92" spans="1:7" x14ac:dyDescent="0.2">
      <c r="A92" s="9">
        <v>43983</v>
      </c>
      <c r="B92" s="2">
        <v>122.400002</v>
      </c>
      <c r="C92" s="2">
        <v>139.800003</v>
      </c>
      <c r="D92" s="2">
        <v>121.856499</v>
      </c>
      <c r="E92" s="2">
        <v>137.94099399999999</v>
      </c>
      <c r="F92" s="2">
        <v>137.94099399999999</v>
      </c>
      <c r="G92" s="2">
        <v>1756366000</v>
      </c>
    </row>
    <row r="93" spans="1:7" x14ac:dyDescent="0.2">
      <c r="A93" s="9">
        <v>44013</v>
      </c>
      <c r="B93" s="2">
        <v>137.899506</v>
      </c>
      <c r="C93" s="2">
        <v>167.214493</v>
      </c>
      <c r="D93" s="2">
        <v>137.699997</v>
      </c>
      <c r="E93" s="2">
        <v>158.233994</v>
      </c>
      <c r="F93" s="2">
        <v>158.233994</v>
      </c>
      <c r="G93" s="2">
        <v>2550040000</v>
      </c>
    </row>
    <row r="94" spans="1:7" x14ac:dyDescent="0.2">
      <c r="A94" s="9">
        <v>44044</v>
      </c>
      <c r="B94" s="2">
        <v>159.025497</v>
      </c>
      <c r="C94" s="2">
        <v>174.75</v>
      </c>
      <c r="D94" s="2">
        <v>153.64999399999999</v>
      </c>
      <c r="E94" s="2">
        <v>172.54800399999999</v>
      </c>
      <c r="F94" s="2">
        <v>172.54800399999999</v>
      </c>
      <c r="G94" s="2">
        <v>1670332000</v>
      </c>
    </row>
    <row r="95" spans="1:7" x14ac:dyDescent="0.2">
      <c r="A95" s="9">
        <v>44075</v>
      </c>
      <c r="B95" s="2">
        <v>174.479004</v>
      </c>
      <c r="C95" s="2">
        <v>177.612503</v>
      </c>
      <c r="D95" s="2">
        <v>143.550003</v>
      </c>
      <c r="E95" s="2">
        <v>157.43649300000001</v>
      </c>
      <c r="F95" s="2">
        <v>157.43649300000001</v>
      </c>
      <c r="G95" s="2">
        <v>2317986000</v>
      </c>
    </row>
    <row r="96" spans="1:7" x14ac:dyDescent="0.2">
      <c r="A96" s="9">
        <v>44105</v>
      </c>
      <c r="B96" s="2">
        <v>160.39999399999999</v>
      </c>
      <c r="C96" s="2">
        <v>174.81199599999999</v>
      </c>
      <c r="D96" s="2">
        <v>150.949997</v>
      </c>
      <c r="E96" s="2">
        <v>151.80749499999999</v>
      </c>
      <c r="F96" s="2">
        <v>151.80749499999999</v>
      </c>
      <c r="G96" s="2">
        <v>2324522000</v>
      </c>
    </row>
    <row r="97" spans="1:7" x14ac:dyDescent="0.2">
      <c r="A97" s="9">
        <v>44136</v>
      </c>
      <c r="B97" s="2">
        <v>153.087006</v>
      </c>
      <c r="C97" s="2">
        <v>168.33999600000001</v>
      </c>
      <c r="D97" s="2">
        <v>147.50599700000001</v>
      </c>
      <c r="E97" s="2">
        <v>158.401993</v>
      </c>
      <c r="F97" s="2">
        <v>158.401993</v>
      </c>
      <c r="G97" s="2">
        <v>1816210000</v>
      </c>
    </row>
    <row r="98" spans="1:7" x14ac:dyDescent="0.2">
      <c r="A98" s="9">
        <v>44166</v>
      </c>
      <c r="B98" s="2">
        <v>159.425003</v>
      </c>
      <c r="C98" s="2">
        <v>167.532501</v>
      </c>
      <c r="D98" s="2">
        <v>153.641006</v>
      </c>
      <c r="E98" s="2">
        <v>162.846497</v>
      </c>
      <c r="F98" s="2">
        <v>162.846497</v>
      </c>
      <c r="G98" s="2">
        <v>1551124000</v>
      </c>
    </row>
    <row r="99" spans="1:7" x14ac:dyDescent="0.2">
      <c r="A99" s="9">
        <v>44197</v>
      </c>
      <c r="B99" s="2">
        <v>163.5</v>
      </c>
      <c r="C99" s="2">
        <v>168.19450399999999</v>
      </c>
      <c r="D99" s="2">
        <v>154.300003</v>
      </c>
      <c r="E99" s="2">
        <v>160.30999800000001</v>
      </c>
      <c r="F99" s="2">
        <v>160.30999800000001</v>
      </c>
      <c r="G99" s="2">
        <v>1430578000</v>
      </c>
    </row>
    <row r="100" spans="1:7" x14ac:dyDescent="0.2">
      <c r="A100" s="9">
        <v>44228</v>
      </c>
      <c r="B100" s="2">
        <v>162.11799600000001</v>
      </c>
      <c r="C100" s="2">
        <v>171.699997</v>
      </c>
      <c r="D100" s="2">
        <v>151.83500699999999</v>
      </c>
      <c r="E100" s="2">
        <v>154.6465</v>
      </c>
      <c r="F100" s="2">
        <v>154.6465</v>
      </c>
      <c r="G100" s="2">
        <v>1442140000</v>
      </c>
    </row>
    <row r="101" spans="1:7" x14ac:dyDescent="0.2">
      <c r="A101" s="9">
        <v>44256</v>
      </c>
      <c r="B101" s="2">
        <v>156.39450099999999</v>
      </c>
      <c r="C101" s="2">
        <v>159.10000600000001</v>
      </c>
      <c r="D101" s="2">
        <v>144.050003</v>
      </c>
      <c r="E101" s="2">
        <v>154.70399499999999</v>
      </c>
      <c r="F101" s="2">
        <v>154.70399499999999</v>
      </c>
      <c r="G101" s="2">
        <v>1563760000</v>
      </c>
    </row>
    <row r="102" spans="1:7" x14ac:dyDescent="0.2">
      <c r="A102" s="9">
        <v>44287</v>
      </c>
      <c r="B102" s="2">
        <v>155.89700300000001</v>
      </c>
      <c r="C102" s="2">
        <v>177.699997</v>
      </c>
      <c r="D102" s="2">
        <v>155.77749600000001</v>
      </c>
      <c r="E102" s="2">
        <v>173.371002</v>
      </c>
      <c r="F102" s="2">
        <v>173.371002</v>
      </c>
      <c r="G102" s="2">
        <v>1536792000</v>
      </c>
    </row>
    <row r="103" spans="1:7" x14ac:dyDescent="0.2">
      <c r="A103" s="9">
        <v>44317</v>
      </c>
      <c r="B103" s="2">
        <v>174.23649599999999</v>
      </c>
      <c r="C103" s="2">
        <v>174.332504</v>
      </c>
      <c r="D103" s="2">
        <v>156.36850000000001</v>
      </c>
      <c r="E103" s="2">
        <v>161.153503</v>
      </c>
      <c r="F103" s="2">
        <v>161.153503</v>
      </c>
      <c r="G103" s="2">
        <v>1503678000</v>
      </c>
    </row>
    <row r="104" spans="1:7" x14ac:dyDescent="0.2">
      <c r="A104" s="9">
        <v>44348</v>
      </c>
      <c r="B104" s="2">
        <v>162.175003</v>
      </c>
      <c r="C104" s="2">
        <v>176.24299600000001</v>
      </c>
      <c r="D104" s="2">
        <v>158.61000100000001</v>
      </c>
      <c r="E104" s="2">
        <v>172.00799599999999</v>
      </c>
      <c r="F104" s="2">
        <v>172.00799599999999</v>
      </c>
      <c r="G104" s="2">
        <v>1340220000</v>
      </c>
    </row>
    <row r="105" spans="1:7" x14ac:dyDescent="0.2">
      <c r="A105" s="9">
        <v>44378</v>
      </c>
      <c r="B105" s="2">
        <v>171.73049900000001</v>
      </c>
      <c r="C105" s="2">
        <v>188.65400700000001</v>
      </c>
      <c r="D105" s="2">
        <v>165.34899899999999</v>
      </c>
      <c r="E105" s="2">
        <v>166.379501</v>
      </c>
      <c r="F105" s="2">
        <v>166.379501</v>
      </c>
      <c r="G105" s="2">
        <v>1674586000</v>
      </c>
    </row>
    <row r="106" spans="1:7" x14ac:dyDescent="0.2">
      <c r="A106" s="9">
        <v>44409</v>
      </c>
      <c r="B106" s="2">
        <v>167.654999</v>
      </c>
      <c r="C106" s="2">
        <v>173.628998</v>
      </c>
      <c r="D106" s="2">
        <v>158.787994</v>
      </c>
      <c r="E106" s="2">
        <v>173.53950499999999</v>
      </c>
      <c r="F106" s="2">
        <v>173.53950499999999</v>
      </c>
      <c r="G106" s="2">
        <v>1256964000</v>
      </c>
    </row>
    <row r="107" spans="1:7" x14ac:dyDescent="0.2">
      <c r="A107" s="9">
        <v>44440</v>
      </c>
      <c r="B107" s="2">
        <v>174.820007</v>
      </c>
      <c r="C107" s="2">
        <v>177.49949599999999</v>
      </c>
      <c r="D107" s="2">
        <v>163.69949299999999</v>
      </c>
      <c r="E107" s="2">
        <v>164.25199900000001</v>
      </c>
      <c r="F107" s="2">
        <v>164.25199900000001</v>
      </c>
      <c r="G107" s="2">
        <v>1250554000</v>
      </c>
    </row>
    <row r="108" spans="1:7" x14ac:dyDescent="0.2">
      <c r="A108" s="9">
        <v>44470</v>
      </c>
      <c r="B108" s="2">
        <v>164.45050000000001</v>
      </c>
      <c r="C108" s="2">
        <v>173.949997</v>
      </c>
      <c r="D108" s="2">
        <v>158.8125</v>
      </c>
      <c r="E108" s="2">
        <v>168.62150600000001</v>
      </c>
      <c r="F108" s="2">
        <v>168.62150600000001</v>
      </c>
      <c r="G108" s="2">
        <v>1273466000</v>
      </c>
    </row>
    <row r="109" spans="1:7" x14ac:dyDescent="0.2">
      <c r="A109" s="9">
        <v>44501</v>
      </c>
      <c r="B109" s="2">
        <v>168.08999600000001</v>
      </c>
      <c r="C109" s="2">
        <v>188.10749799999999</v>
      </c>
      <c r="D109" s="2">
        <v>164.177505</v>
      </c>
      <c r="E109" s="2">
        <v>175.3535</v>
      </c>
      <c r="F109" s="2">
        <v>175.3535</v>
      </c>
      <c r="G109" s="2">
        <v>1515990000</v>
      </c>
    </row>
    <row r="110" spans="1:7" x14ac:dyDescent="0.2">
      <c r="A110" s="9">
        <v>44531</v>
      </c>
      <c r="B110" s="2">
        <v>177.25</v>
      </c>
      <c r="C110" s="2">
        <v>177.99400299999999</v>
      </c>
      <c r="D110" s="2">
        <v>165.195007</v>
      </c>
      <c r="E110" s="2">
        <v>166.716995</v>
      </c>
      <c r="F110" s="2">
        <v>166.716995</v>
      </c>
      <c r="G110" s="2">
        <v>1287634000</v>
      </c>
    </row>
    <row r="111" spans="1:7" x14ac:dyDescent="0.2">
      <c r="A111" s="9">
        <v>44562</v>
      </c>
      <c r="B111" s="2">
        <v>167.550003</v>
      </c>
      <c r="C111" s="2">
        <v>171.39999399999999</v>
      </c>
      <c r="D111" s="2">
        <v>135.35200499999999</v>
      </c>
      <c r="E111" s="2">
        <v>149.57350199999999</v>
      </c>
      <c r="F111" s="2">
        <v>149.57350199999999</v>
      </c>
      <c r="G111" s="2">
        <v>1524654000</v>
      </c>
    </row>
    <row r="112" spans="1:7" x14ac:dyDescent="0.2">
      <c r="A112" s="9">
        <v>44593</v>
      </c>
      <c r="B112" s="2">
        <v>150</v>
      </c>
      <c r="C112" s="2">
        <v>163.83450300000001</v>
      </c>
      <c r="D112" s="2">
        <v>138.33299299999999</v>
      </c>
      <c r="E112" s="2">
        <v>153.56300400000001</v>
      </c>
      <c r="F112" s="2">
        <v>153.56300400000001</v>
      </c>
      <c r="G112" s="2">
        <v>1689604000</v>
      </c>
    </row>
    <row r="113" spans="1:7" x14ac:dyDescent="0.2">
      <c r="A113" s="9">
        <v>44621</v>
      </c>
      <c r="B113" s="2">
        <v>152.73249799999999</v>
      </c>
      <c r="C113" s="2">
        <v>170.83149700000001</v>
      </c>
      <c r="D113" s="2">
        <v>133.572495</v>
      </c>
      <c r="E113" s="2">
        <v>162.99749800000001</v>
      </c>
      <c r="F113" s="2">
        <v>162.99749800000001</v>
      </c>
      <c r="G113" s="2">
        <v>1628486000</v>
      </c>
    </row>
    <row r="114" spans="1:7" x14ac:dyDescent="0.2">
      <c r="A114" s="9">
        <v>44652</v>
      </c>
      <c r="B114" s="2">
        <v>164.149506</v>
      </c>
      <c r="C114" s="2">
        <v>168.39450099999999</v>
      </c>
      <c r="D114" s="2">
        <v>121.625</v>
      </c>
      <c r="E114" s="2">
        <v>124.281502</v>
      </c>
      <c r="F114" s="2">
        <v>124.281502</v>
      </c>
      <c r="G114" s="2">
        <v>1465008000</v>
      </c>
    </row>
    <row r="115" spans="1:7" x14ac:dyDescent="0.2">
      <c r="A115" s="9">
        <v>44682</v>
      </c>
      <c r="B115" s="2">
        <v>122.40100099999999</v>
      </c>
      <c r="C115" s="2">
        <v>126.22049699999999</v>
      </c>
      <c r="D115" s="2">
        <v>101.260002</v>
      </c>
      <c r="E115" s="2">
        <v>120.209503</v>
      </c>
      <c r="F115" s="2">
        <v>120.209503</v>
      </c>
      <c r="G115" s="2">
        <v>2258476000</v>
      </c>
    </row>
    <row r="116" spans="1:7" x14ac:dyDescent="0.2">
      <c r="A116" s="9">
        <v>44713</v>
      </c>
      <c r="B116" s="2">
        <v>122.25599699999999</v>
      </c>
      <c r="C116" s="2">
        <v>128.990005</v>
      </c>
      <c r="D116" s="2">
        <v>101.43</v>
      </c>
      <c r="E116" s="2">
        <v>106.209999</v>
      </c>
      <c r="F116" s="2">
        <v>106.209999</v>
      </c>
      <c r="G116" s="2">
        <v>1767601100</v>
      </c>
    </row>
    <row r="117" spans="1:7" x14ac:dyDescent="0.2">
      <c r="A117" s="9">
        <v>44743</v>
      </c>
      <c r="B117" s="2">
        <v>106.290001</v>
      </c>
      <c r="C117" s="2">
        <v>137.64999399999999</v>
      </c>
      <c r="D117" s="2">
        <v>105.849998</v>
      </c>
      <c r="E117" s="2">
        <v>134.949997</v>
      </c>
      <c r="F117" s="2">
        <v>134.949997</v>
      </c>
      <c r="G117" s="2">
        <v>1337852600</v>
      </c>
    </row>
    <row r="118" spans="1:7" x14ac:dyDescent="0.2">
      <c r="A118" s="9">
        <v>44774</v>
      </c>
      <c r="B118" s="2">
        <v>134.96000699999999</v>
      </c>
      <c r="C118" s="2">
        <v>146.570007</v>
      </c>
      <c r="D118" s="2">
        <v>126.739998</v>
      </c>
      <c r="E118" s="2">
        <v>126.769997</v>
      </c>
      <c r="F118" s="2">
        <v>126.769997</v>
      </c>
      <c r="G118" s="2">
        <v>1170449000</v>
      </c>
    </row>
    <row r="119" spans="1:7" x14ac:dyDescent="0.2">
      <c r="A119" s="9">
        <v>44805</v>
      </c>
      <c r="B119" s="2">
        <v>126</v>
      </c>
      <c r="C119" s="2">
        <v>136.490005</v>
      </c>
      <c r="D119" s="2">
        <v>112.05999799999999</v>
      </c>
      <c r="E119" s="2">
        <v>113</v>
      </c>
      <c r="F119" s="2">
        <v>113</v>
      </c>
      <c r="G119" s="2">
        <v>1210487600</v>
      </c>
    </row>
    <row r="120" spans="1:7" x14ac:dyDescent="0.2">
      <c r="A120" s="9">
        <v>44835</v>
      </c>
      <c r="B120" s="2">
        <v>113.58000199999999</v>
      </c>
      <c r="C120" s="2">
        <v>123</v>
      </c>
      <c r="D120" s="2">
        <v>97.660004000000001</v>
      </c>
      <c r="E120" s="2">
        <v>102.44000200000001</v>
      </c>
      <c r="F120" s="2">
        <v>102.44000200000001</v>
      </c>
      <c r="G120" s="2">
        <v>1459311500</v>
      </c>
    </row>
    <row r="121" spans="1:7" x14ac:dyDescent="0.2">
      <c r="A121" s="9">
        <v>44866</v>
      </c>
      <c r="B121" s="2">
        <v>103.989998</v>
      </c>
      <c r="C121" s="2">
        <v>104.58000199999999</v>
      </c>
      <c r="D121" s="2">
        <v>85.870002999999997</v>
      </c>
      <c r="E121" s="2">
        <v>96.540001000000004</v>
      </c>
      <c r="F121" s="2">
        <v>96.540001000000004</v>
      </c>
      <c r="G121" s="2">
        <v>2035133200</v>
      </c>
    </row>
    <row r="122" spans="1:7" x14ac:dyDescent="0.2">
      <c r="A122" s="9">
        <v>44896</v>
      </c>
      <c r="B122" s="2">
        <v>96.989998</v>
      </c>
      <c r="C122" s="2">
        <v>97.230002999999996</v>
      </c>
      <c r="D122" s="2">
        <v>81.690002000000007</v>
      </c>
      <c r="E122" s="2">
        <v>84</v>
      </c>
      <c r="F122" s="2">
        <v>84</v>
      </c>
      <c r="G122" s="2">
        <v>1549122100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22"/>
  <sheetViews>
    <sheetView topLeftCell="A106" workbookViewId="0">
      <selection activeCell="G40" sqref="G40"/>
    </sheetView>
  </sheetViews>
  <sheetFormatPr baseColWidth="10" defaultColWidth="8.83203125" defaultRowHeight="15" x14ac:dyDescent="0.2"/>
  <cols>
    <col min="1" max="1" width="9.6640625" style="2" bestFit="1" customWidth="1"/>
    <col min="2" max="7" width="11" style="2" bestFit="1" customWidth="1"/>
    <col min="8" max="16384" width="8.83203125" style="2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9">
        <v>41244</v>
      </c>
      <c r="B2" s="2">
        <v>26.059999000000001</v>
      </c>
      <c r="C2" s="2">
        <v>28.9</v>
      </c>
      <c r="D2" s="2">
        <v>24.4</v>
      </c>
      <c r="E2" s="2">
        <v>28.83</v>
      </c>
      <c r="F2" s="2">
        <v>22.18244</v>
      </c>
      <c r="G2" s="2">
        <v>223646000</v>
      </c>
    </row>
    <row r="3" spans="1:7" x14ac:dyDescent="0.2">
      <c r="A3" s="9">
        <v>41275</v>
      </c>
      <c r="B3" s="2">
        <v>29.41</v>
      </c>
      <c r="C3" s="2">
        <v>30.68</v>
      </c>
      <c r="D3" s="2">
        <v>26.620000999999998</v>
      </c>
      <c r="E3" s="2">
        <v>28.09</v>
      </c>
      <c r="F3" s="2">
        <v>21.613061999999999</v>
      </c>
      <c r="G3" s="2">
        <v>250771200</v>
      </c>
    </row>
    <row r="4" spans="1:7" x14ac:dyDescent="0.2">
      <c r="A4" s="9">
        <v>41306</v>
      </c>
      <c r="B4" s="2">
        <v>28.389999</v>
      </c>
      <c r="C4" s="2">
        <v>29.360001</v>
      </c>
      <c r="D4" s="2">
        <v>26.190000999999999</v>
      </c>
      <c r="E4" s="2">
        <v>27.15</v>
      </c>
      <c r="F4" s="2">
        <v>20.889804999999999</v>
      </c>
      <c r="G4" s="2">
        <v>191679000</v>
      </c>
    </row>
    <row r="5" spans="1:7" x14ac:dyDescent="0.2">
      <c r="A5" s="9">
        <v>41334</v>
      </c>
      <c r="B5" s="2">
        <v>26.83</v>
      </c>
      <c r="C5" s="2">
        <v>29.299999</v>
      </c>
      <c r="D5" s="2">
        <v>26.75</v>
      </c>
      <c r="E5" s="2">
        <v>27.82</v>
      </c>
      <c r="F5" s="2">
        <v>21.405321000000001</v>
      </c>
      <c r="G5" s="2">
        <v>214216700</v>
      </c>
    </row>
    <row r="6" spans="1:7" x14ac:dyDescent="0.2">
      <c r="A6" s="9">
        <v>41365</v>
      </c>
      <c r="B6" s="2">
        <v>27.65</v>
      </c>
      <c r="C6" s="2">
        <v>30.969999000000001</v>
      </c>
      <c r="D6" s="2">
        <v>27.110001</v>
      </c>
      <c r="E6" s="2">
        <v>30.84</v>
      </c>
      <c r="F6" s="2">
        <v>23.728977</v>
      </c>
      <c r="G6" s="2">
        <v>259040400</v>
      </c>
    </row>
    <row r="7" spans="1:7" x14ac:dyDescent="0.2">
      <c r="A7" s="9">
        <v>41395</v>
      </c>
      <c r="B7" s="2">
        <v>30.77</v>
      </c>
      <c r="C7" s="2">
        <v>34.909999999999997</v>
      </c>
      <c r="D7" s="2">
        <v>30.110001</v>
      </c>
      <c r="E7" s="2">
        <v>33.889999000000003</v>
      </c>
      <c r="F7" s="2">
        <v>26.075711999999999</v>
      </c>
      <c r="G7" s="2">
        <v>272508500</v>
      </c>
    </row>
    <row r="8" spans="1:7" x14ac:dyDescent="0.2">
      <c r="A8" s="9">
        <v>41426</v>
      </c>
      <c r="B8" s="2">
        <v>34.57</v>
      </c>
      <c r="C8" s="2">
        <v>35.490001999999997</v>
      </c>
      <c r="D8" s="2">
        <v>31.129999000000002</v>
      </c>
      <c r="E8" s="2">
        <v>33.310001</v>
      </c>
      <c r="F8" s="2">
        <v>25.629452000000001</v>
      </c>
      <c r="G8" s="2">
        <v>394851400</v>
      </c>
    </row>
    <row r="9" spans="1:7" x14ac:dyDescent="0.2">
      <c r="A9" s="9">
        <v>41456</v>
      </c>
      <c r="B9" s="2">
        <v>33.520000000000003</v>
      </c>
      <c r="C9" s="2">
        <v>37.709999000000003</v>
      </c>
      <c r="D9" s="2">
        <v>33.409999999999997</v>
      </c>
      <c r="E9" s="2">
        <v>35.869999</v>
      </c>
      <c r="F9" s="2">
        <v>27.599170999999998</v>
      </c>
      <c r="G9" s="2">
        <v>262162300</v>
      </c>
    </row>
    <row r="10" spans="1:7" x14ac:dyDescent="0.2">
      <c r="A10" s="9">
        <v>41487</v>
      </c>
      <c r="B10" s="2">
        <v>36.389999000000003</v>
      </c>
      <c r="C10" s="2">
        <v>37.18</v>
      </c>
      <c r="D10" s="2">
        <v>33.5</v>
      </c>
      <c r="E10" s="2">
        <v>34.080002</v>
      </c>
      <c r="F10" s="2">
        <v>26.221909</v>
      </c>
      <c r="G10" s="2">
        <v>250400600</v>
      </c>
    </row>
    <row r="11" spans="1:7" x14ac:dyDescent="0.2">
      <c r="A11" s="9">
        <v>41518</v>
      </c>
      <c r="B11" s="2">
        <v>34.68</v>
      </c>
      <c r="C11" s="2">
        <v>37.970001000000003</v>
      </c>
      <c r="D11" s="2">
        <v>33.959999000000003</v>
      </c>
      <c r="E11" s="2">
        <v>35.970001000000003</v>
      </c>
      <c r="F11" s="2">
        <v>27.676110999999999</v>
      </c>
      <c r="G11" s="2">
        <v>351280200</v>
      </c>
    </row>
    <row r="12" spans="1:7" x14ac:dyDescent="0.2">
      <c r="A12" s="9">
        <v>41548</v>
      </c>
      <c r="B12" s="2">
        <v>36.040000999999997</v>
      </c>
      <c r="C12" s="2">
        <v>37.990001999999997</v>
      </c>
      <c r="D12" s="2">
        <v>33.919998</v>
      </c>
      <c r="E12" s="2">
        <v>36.950001</v>
      </c>
      <c r="F12" s="2">
        <v>28.430143000000001</v>
      </c>
      <c r="G12" s="2">
        <v>415405800</v>
      </c>
    </row>
    <row r="13" spans="1:7" x14ac:dyDescent="0.2">
      <c r="A13" s="9">
        <v>41579</v>
      </c>
      <c r="B13" s="2">
        <v>37.169998</v>
      </c>
      <c r="C13" s="2">
        <v>39.18</v>
      </c>
      <c r="D13" s="2">
        <v>35.909999999999997</v>
      </c>
      <c r="E13" s="2">
        <v>38.729999999999997</v>
      </c>
      <c r="F13" s="2">
        <v>29.799717000000001</v>
      </c>
      <c r="G13" s="2">
        <v>433507200</v>
      </c>
    </row>
    <row r="14" spans="1:7" x14ac:dyDescent="0.2">
      <c r="A14" s="9">
        <v>41609</v>
      </c>
      <c r="B14" s="2">
        <v>39.099997999999999</v>
      </c>
      <c r="C14" s="2">
        <v>41.849997999999999</v>
      </c>
      <c r="D14" s="2">
        <v>37.68</v>
      </c>
      <c r="E14" s="2">
        <v>40.869999</v>
      </c>
      <c r="F14" s="2">
        <v>31.446280000000002</v>
      </c>
      <c r="G14" s="2">
        <v>547904500</v>
      </c>
    </row>
    <row r="15" spans="1:7" x14ac:dyDescent="0.2">
      <c r="A15" s="9">
        <v>41640</v>
      </c>
      <c r="B15" s="2">
        <v>40.68</v>
      </c>
      <c r="C15" s="2">
        <v>41.060001</v>
      </c>
      <c r="D15" s="2">
        <v>35.880001</v>
      </c>
      <c r="E15" s="2">
        <v>36.080002</v>
      </c>
      <c r="F15" s="2">
        <v>27.760746000000001</v>
      </c>
      <c r="G15" s="2">
        <v>540681600</v>
      </c>
    </row>
    <row r="16" spans="1:7" x14ac:dyDescent="0.2">
      <c r="A16" s="9">
        <v>41671</v>
      </c>
      <c r="B16" s="2">
        <v>36.270000000000003</v>
      </c>
      <c r="C16" s="2">
        <v>37.130001</v>
      </c>
      <c r="D16" s="2">
        <v>34.360000999999997</v>
      </c>
      <c r="E16" s="2">
        <v>36.200001</v>
      </c>
      <c r="F16" s="2">
        <v>27.853076999999999</v>
      </c>
      <c r="G16" s="2">
        <v>580146400</v>
      </c>
    </row>
    <row r="17" spans="1:7" x14ac:dyDescent="0.2">
      <c r="A17" s="9">
        <v>41699</v>
      </c>
      <c r="B17" s="2">
        <v>35.700001</v>
      </c>
      <c r="C17" s="2">
        <v>38.049999</v>
      </c>
      <c r="D17" s="2">
        <v>33.57</v>
      </c>
      <c r="E17" s="2">
        <v>34.419998</v>
      </c>
      <c r="F17" s="2">
        <v>26.483499999999999</v>
      </c>
      <c r="G17" s="2">
        <v>510773700</v>
      </c>
    </row>
    <row r="18" spans="1:7" x14ac:dyDescent="0.2">
      <c r="A18" s="9">
        <v>41730</v>
      </c>
      <c r="B18" s="2">
        <v>34.5</v>
      </c>
      <c r="C18" s="2">
        <v>35.700001</v>
      </c>
      <c r="D18" s="2">
        <v>31.700001</v>
      </c>
      <c r="E18" s="2">
        <v>34.479999999999997</v>
      </c>
      <c r="F18" s="2">
        <v>26.765211000000001</v>
      </c>
      <c r="G18" s="2">
        <v>494224900</v>
      </c>
    </row>
    <row r="19" spans="1:7" x14ac:dyDescent="0.2">
      <c r="A19" s="9">
        <v>41760</v>
      </c>
      <c r="B19" s="2">
        <v>34.669998</v>
      </c>
      <c r="C19" s="2">
        <v>35.43</v>
      </c>
      <c r="D19" s="2">
        <v>32.959999000000003</v>
      </c>
      <c r="E19" s="2">
        <v>34.580002</v>
      </c>
      <c r="F19" s="2">
        <v>26.842834</v>
      </c>
      <c r="G19" s="2">
        <v>264085600</v>
      </c>
    </row>
    <row r="20" spans="1:7" x14ac:dyDescent="0.2">
      <c r="A20" s="9">
        <v>41791</v>
      </c>
      <c r="B20" s="2">
        <v>34.540000999999997</v>
      </c>
      <c r="C20" s="2">
        <v>37.18</v>
      </c>
      <c r="D20" s="2">
        <v>34.290000999999997</v>
      </c>
      <c r="E20" s="2">
        <v>36.299999</v>
      </c>
      <c r="F20" s="2">
        <v>28.177992</v>
      </c>
      <c r="G20" s="2">
        <v>325847200</v>
      </c>
    </row>
    <row r="21" spans="1:7" x14ac:dyDescent="0.2">
      <c r="A21" s="9">
        <v>41821</v>
      </c>
      <c r="B21" s="2">
        <v>36.25</v>
      </c>
      <c r="C21" s="2">
        <v>38.150002000000001</v>
      </c>
      <c r="D21" s="2">
        <v>33.779998999999997</v>
      </c>
      <c r="E21" s="2">
        <v>33.82</v>
      </c>
      <c r="F21" s="2">
        <v>26.471841999999999</v>
      </c>
      <c r="G21" s="2">
        <v>305487500</v>
      </c>
    </row>
    <row r="22" spans="1:7" x14ac:dyDescent="0.2">
      <c r="A22" s="9">
        <v>41852</v>
      </c>
      <c r="B22" s="2">
        <v>33.790000999999997</v>
      </c>
      <c r="C22" s="2">
        <v>35</v>
      </c>
      <c r="D22" s="2">
        <v>32.799999</v>
      </c>
      <c r="E22" s="2">
        <v>34.799999</v>
      </c>
      <c r="F22" s="2">
        <v>27.238916</v>
      </c>
      <c r="G22" s="2">
        <v>203297500</v>
      </c>
    </row>
    <row r="23" spans="1:7" x14ac:dyDescent="0.2">
      <c r="A23" s="9">
        <v>41883</v>
      </c>
      <c r="B23" s="2">
        <v>34.880001</v>
      </c>
      <c r="C23" s="2">
        <v>35.139999000000003</v>
      </c>
      <c r="D23" s="2">
        <v>31.67</v>
      </c>
      <c r="E23" s="2">
        <v>31.940000999999999</v>
      </c>
      <c r="F23" s="2">
        <v>25.000312999999998</v>
      </c>
      <c r="G23" s="2">
        <v>262448500</v>
      </c>
    </row>
    <row r="24" spans="1:7" x14ac:dyDescent="0.2">
      <c r="A24" s="9">
        <v>41913</v>
      </c>
      <c r="B24" s="2">
        <v>31.969999000000001</v>
      </c>
      <c r="C24" s="2">
        <v>34.240001999999997</v>
      </c>
      <c r="D24" s="2">
        <v>28.82</v>
      </c>
      <c r="E24" s="2">
        <v>31.4</v>
      </c>
      <c r="F24" s="2">
        <v>24.792728</v>
      </c>
      <c r="G24" s="2">
        <v>447956300</v>
      </c>
    </row>
    <row r="25" spans="1:7" x14ac:dyDescent="0.2">
      <c r="A25" s="9">
        <v>41944</v>
      </c>
      <c r="B25" s="2">
        <v>31.35</v>
      </c>
      <c r="C25" s="2">
        <v>33.540000999999997</v>
      </c>
      <c r="D25" s="2">
        <v>30.559999000000001</v>
      </c>
      <c r="E25" s="2">
        <v>33.43</v>
      </c>
      <c r="F25" s="2">
        <v>26.395572999999999</v>
      </c>
      <c r="G25" s="2">
        <v>188657500</v>
      </c>
    </row>
    <row r="26" spans="1:7" x14ac:dyDescent="0.2">
      <c r="A26" s="9">
        <v>41974</v>
      </c>
      <c r="B26" s="2">
        <v>33.310001</v>
      </c>
      <c r="C26" s="2">
        <v>35.450001</v>
      </c>
      <c r="D26" s="2">
        <v>30.299999</v>
      </c>
      <c r="E26" s="2">
        <v>34.909999999999997</v>
      </c>
      <c r="F26" s="2">
        <v>27.564153999999998</v>
      </c>
      <c r="G26" s="2">
        <v>296877400</v>
      </c>
    </row>
    <row r="27" spans="1:7" x14ac:dyDescent="0.2">
      <c r="A27" s="9">
        <v>42005</v>
      </c>
      <c r="B27" s="2">
        <v>35.270000000000003</v>
      </c>
      <c r="C27" s="2">
        <v>36.450001</v>
      </c>
      <c r="D27" s="2">
        <v>32.360000999999997</v>
      </c>
      <c r="E27" s="2">
        <v>32.619999</v>
      </c>
      <c r="F27" s="2">
        <v>25.985771</v>
      </c>
      <c r="G27" s="2">
        <v>322806300</v>
      </c>
    </row>
    <row r="28" spans="1:7" x14ac:dyDescent="0.2">
      <c r="A28" s="9">
        <v>42036</v>
      </c>
      <c r="B28" s="2">
        <v>32.669998</v>
      </c>
      <c r="C28" s="2">
        <v>38.18</v>
      </c>
      <c r="D28" s="2">
        <v>32.439999</v>
      </c>
      <c r="E28" s="2">
        <v>37.310001</v>
      </c>
      <c r="F28" s="2">
        <v>29.721931000000001</v>
      </c>
      <c r="G28" s="2">
        <v>325790900</v>
      </c>
    </row>
    <row r="29" spans="1:7" x14ac:dyDescent="0.2">
      <c r="A29" s="9">
        <v>42064</v>
      </c>
      <c r="B29" s="2">
        <v>37.310001</v>
      </c>
      <c r="C29" s="2">
        <v>38.990001999999997</v>
      </c>
      <c r="D29" s="2">
        <v>36.729999999999997</v>
      </c>
      <c r="E29" s="2">
        <v>37.5</v>
      </c>
      <c r="F29" s="2">
        <v>29.873277999999999</v>
      </c>
      <c r="G29" s="2">
        <v>290617700</v>
      </c>
    </row>
    <row r="30" spans="1:7" x14ac:dyDescent="0.2">
      <c r="A30" s="9">
        <v>42095</v>
      </c>
      <c r="B30" s="2">
        <v>37.270000000000003</v>
      </c>
      <c r="C30" s="2">
        <v>37.450001</v>
      </c>
      <c r="D30" s="2">
        <v>34.93</v>
      </c>
      <c r="E30" s="2">
        <v>35.060001</v>
      </c>
      <c r="F30" s="2">
        <v>28.158837999999999</v>
      </c>
      <c r="G30" s="2">
        <v>397267700</v>
      </c>
    </row>
    <row r="31" spans="1:7" x14ac:dyDescent="0.2">
      <c r="A31" s="9">
        <v>42125</v>
      </c>
      <c r="B31" s="2">
        <v>35.169998</v>
      </c>
      <c r="C31" s="2">
        <v>36.580002</v>
      </c>
      <c r="D31" s="2">
        <v>34.509998000000003</v>
      </c>
      <c r="E31" s="2">
        <v>35.970001000000003</v>
      </c>
      <c r="F31" s="2">
        <v>28.889714999999999</v>
      </c>
      <c r="G31" s="2">
        <v>248022900</v>
      </c>
    </row>
    <row r="32" spans="1:7" x14ac:dyDescent="0.2">
      <c r="A32" s="9">
        <v>42156</v>
      </c>
      <c r="B32" s="2">
        <v>36.060001</v>
      </c>
      <c r="C32" s="2">
        <v>36.540000999999997</v>
      </c>
      <c r="D32" s="2">
        <v>33.060001</v>
      </c>
      <c r="E32" s="2">
        <v>33.330002</v>
      </c>
      <c r="F32" s="2">
        <v>26.769371</v>
      </c>
      <c r="G32" s="2">
        <v>301985800</v>
      </c>
    </row>
    <row r="33" spans="1:7" x14ac:dyDescent="0.2">
      <c r="A33" s="9">
        <v>42186</v>
      </c>
      <c r="B33" s="2">
        <v>33.610000999999997</v>
      </c>
      <c r="C33" s="2">
        <v>33.610000999999997</v>
      </c>
      <c r="D33" s="2">
        <v>29.889999</v>
      </c>
      <c r="E33" s="2">
        <v>31.51</v>
      </c>
      <c r="F33" s="2">
        <v>25.569710000000001</v>
      </c>
      <c r="G33" s="2">
        <v>421909400</v>
      </c>
    </row>
    <row r="34" spans="1:7" x14ac:dyDescent="0.2">
      <c r="A34" s="9">
        <v>42217</v>
      </c>
      <c r="B34" s="2">
        <v>31.790001</v>
      </c>
      <c r="C34" s="2">
        <v>32.25</v>
      </c>
      <c r="D34" s="2">
        <v>24.620000999999998</v>
      </c>
      <c r="E34" s="2">
        <v>29.440000999999999</v>
      </c>
      <c r="F34" s="2">
        <v>23.889956000000002</v>
      </c>
      <c r="G34" s="2">
        <v>388128600</v>
      </c>
    </row>
    <row r="35" spans="1:7" x14ac:dyDescent="0.2">
      <c r="A35" s="9">
        <v>42248</v>
      </c>
      <c r="B35" s="2">
        <v>29.18</v>
      </c>
      <c r="C35" s="2">
        <v>31.809999000000001</v>
      </c>
      <c r="D35" s="2">
        <v>28.379999000000002</v>
      </c>
      <c r="E35" s="2">
        <v>30.02</v>
      </c>
      <c r="F35" s="2">
        <v>24.360614999999999</v>
      </c>
      <c r="G35" s="2">
        <v>356603300</v>
      </c>
    </row>
    <row r="36" spans="1:7" x14ac:dyDescent="0.2">
      <c r="A36" s="9">
        <v>42278</v>
      </c>
      <c r="B36" s="2">
        <v>30.290001</v>
      </c>
      <c r="C36" s="2">
        <v>36.060001</v>
      </c>
      <c r="D36" s="2">
        <v>29.98</v>
      </c>
      <c r="E36" s="2">
        <v>34.909999999999997</v>
      </c>
      <c r="F36" s="2">
        <v>28.677282000000002</v>
      </c>
      <c r="G36" s="2">
        <v>323441300</v>
      </c>
    </row>
    <row r="37" spans="1:7" x14ac:dyDescent="0.2">
      <c r="A37" s="9">
        <v>42309</v>
      </c>
      <c r="B37" s="2">
        <v>34.880001</v>
      </c>
      <c r="C37" s="2">
        <v>36.880001</v>
      </c>
      <c r="D37" s="2">
        <v>34.189999</v>
      </c>
      <c r="E37" s="2">
        <v>36.200001</v>
      </c>
      <c r="F37" s="2">
        <v>29.736977</v>
      </c>
      <c r="G37" s="2">
        <v>212069900</v>
      </c>
    </row>
    <row r="38" spans="1:7" x14ac:dyDescent="0.2">
      <c r="A38" s="9">
        <v>42339</v>
      </c>
      <c r="B38" s="2">
        <v>35.950001</v>
      </c>
      <c r="C38" s="2">
        <v>36.520000000000003</v>
      </c>
      <c r="D38" s="2">
        <v>33.540000999999997</v>
      </c>
      <c r="E38" s="2">
        <v>34.009998000000003</v>
      </c>
      <c r="F38" s="2">
        <v>27.937971000000001</v>
      </c>
      <c r="G38" s="2">
        <v>238745800</v>
      </c>
    </row>
    <row r="39" spans="1:7" x14ac:dyDescent="0.2">
      <c r="A39" s="9">
        <v>42370</v>
      </c>
      <c r="B39" s="2">
        <v>33.450001</v>
      </c>
      <c r="C39" s="2">
        <v>33.540000999999997</v>
      </c>
      <c r="D39" s="2">
        <v>28.32</v>
      </c>
      <c r="E39" s="2">
        <v>29.639999</v>
      </c>
      <c r="F39" s="2">
        <v>24.604626</v>
      </c>
      <c r="G39" s="2">
        <v>376867600</v>
      </c>
    </row>
    <row r="40" spans="1:7" x14ac:dyDescent="0.2">
      <c r="A40" s="9">
        <v>42401</v>
      </c>
      <c r="B40" s="2">
        <v>29.459999</v>
      </c>
      <c r="C40" s="2">
        <v>30.25</v>
      </c>
      <c r="D40" s="2">
        <v>26.690000999999999</v>
      </c>
      <c r="E40" s="2">
        <v>29.440000999999999</v>
      </c>
      <c r="F40" s="2">
        <v>24.438599</v>
      </c>
      <c r="G40" s="2">
        <v>327574900</v>
      </c>
    </row>
    <row r="41" spans="1:7" x14ac:dyDescent="0.2">
      <c r="A41" s="9">
        <v>42430</v>
      </c>
      <c r="B41" s="2">
        <v>30.02</v>
      </c>
      <c r="C41" s="2">
        <v>32.380001</v>
      </c>
      <c r="D41" s="2">
        <v>28.92</v>
      </c>
      <c r="E41" s="2">
        <v>31.43</v>
      </c>
      <c r="F41" s="2">
        <v>26.090530000000001</v>
      </c>
      <c r="G41" s="2">
        <v>269349800</v>
      </c>
    </row>
    <row r="42" spans="1:7" x14ac:dyDescent="0.2">
      <c r="A42" s="9">
        <v>42461</v>
      </c>
      <c r="B42" s="2">
        <v>31.18</v>
      </c>
      <c r="C42" s="2">
        <v>33.409999999999997</v>
      </c>
      <c r="D42" s="2">
        <v>29.18</v>
      </c>
      <c r="E42" s="2">
        <v>31.799999</v>
      </c>
      <c r="F42" s="2">
        <v>26.728732999999998</v>
      </c>
      <c r="G42" s="2">
        <v>249350000</v>
      </c>
    </row>
    <row r="43" spans="1:7" x14ac:dyDescent="0.2">
      <c r="A43" s="9">
        <v>42491</v>
      </c>
      <c r="B43" s="2">
        <v>32.049999</v>
      </c>
      <c r="C43" s="2">
        <v>32.119999</v>
      </c>
      <c r="D43" s="2">
        <v>30.17</v>
      </c>
      <c r="E43" s="2">
        <v>31.280000999999999</v>
      </c>
      <c r="F43" s="2">
        <v>26.291656</v>
      </c>
      <c r="G43" s="2">
        <v>210049700</v>
      </c>
    </row>
    <row r="44" spans="1:7" x14ac:dyDescent="0.2">
      <c r="A44" s="9">
        <v>42522</v>
      </c>
      <c r="B44" s="2">
        <v>31.15</v>
      </c>
      <c r="C44" s="2">
        <v>31.15</v>
      </c>
      <c r="D44" s="2">
        <v>27.34</v>
      </c>
      <c r="E44" s="2">
        <v>28.299999</v>
      </c>
      <c r="F44" s="2">
        <v>23.78689</v>
      </c>
      <c r="G44" s="2">
        <v>303560000</v>
      </c>
    </row>
    <row r="45" spans="1:7" x14ac:dyDescent="0.2">
      <c r="A45" s="9">
        <v>42552</v>
      </c>
      <c r="B45" s="2">
        <v>28.690000999999999</v>
      </c>
      <c r="C45" s="2">
        <v>32.869999</v>
      </c>
      <c r="D45" s="2">
        <v>27.52</v>
      </c>
      <c r="E45" s="2">
        <v>31.540001</v>
      </c>
      <c r="F45" s="2">
        <v>26.847678999999999</v>
      </c>
      <c r="G45" s="2">
        <v>295969400</v>
      </c>
    </row>
    <row r="46" spans="1:7" x14ac:dyDescent="0.2">
      <c r="A46" s="9">
        <v>42583</v>
      </c>
      <c r="B46" s="2">
        <v>31.540001</v>
      </c>
      <c r="C46" s="2">
        <v>32.090000000000003</v>
      </c>
      <c r="D46" s="2">
        <v>29.82</v>
      </c>
      <c r="E46" s="2">
        <v>31.92</v>
      </c>
      <c r="F46" s="2">
        <v>27.171144000000002</v>
      </c>
      <c r="G46" s="2">
        <v>262310700</v>
      </c>
    </row>
    <row r="47" spans="1:7" x14ac:dyDescent="0.2">
      <c r="A47" s="9">
        <v>42614</v>
      </c>
      <c r="B47" s="2">
        <v>31.860001</v>
      </c>
      <c r="C47" s="2">
        <v>32.549999</v>
      </c>
      <c r="D47" s="2">
        <v>30.129999000000002</v>
      </c>
      <c r="E47" s="2">
        <v>31.77</v>
      </c>
      <c r="F47" s="2">
        <v>27.043461000000001</v>
      </c>
      <c r="G47" s="2">
        <v>299362600</v>
      </c>
    </row>
    <row r="48" spans="1:7" x14ac:dyDescent="0.2">
      <c r="A48" s="9">
        <v>42644</v>
      </c>
      <c r="B48" s="2">
        <v>31.639999</v>
      </c>
      <c r="C48" s="2">
        <v>33.080002</v>
      </c>
      <c r="D48" s="2">
        <v>30.879999000000002</v>
      </c>
      <c r="E48" s="2">
        <v>31.6</v>
      </c>
      <c r="F48" s="2">
        <v>27.220789</v>
      </c>
      <c r="G48" s="2">
        <v>244472800</v>
      </c>
    </row>
    <row r="49" spans="1:7" x14ac:dyDescent="0.2">
      <c r="A49" s="9">
        <v>42675</v>
      </c>
      <c r="B49" s="2">
        <v>31.700001</v>
      </c>
      <c r="C49" s="2">
        <v>34.979999999999997</v>
      </c>
      <c r="D49" s="2">
        <v>30.209999</v>
      </c>
      <c r="E49" s="2">
        <v>34.529998999999997</v>
      </c>
      <c r="F49" s="2">
        <v>29.744741000000001</v>
      </c>
      <c r="G49" s="2">
        <v>314369400</v>
      </c>
    </row>
    <row r="50" spans="1:7" x14ac:dyDescent="0.2">
      <c r="A50" s="9">
        <v>42705</v>
      </c>
      <c r="B50" s="2">
        <v>34.810001</v>
      </c>
      <c r="C50" s="2">
        <v>37.740001999999997</v>
      </c>
      <c r="D50" s="2">
        <v>34.669998</v>
      </c>
      <c r="E50" s="2">
        <v>34.840000000000003</v>
      </c>
      <c r="F50" s="2">
        <v>30.011782</v>
      </c>
      <c r="G50" s="2">
        <v>310509400</v>
      </c>
    </row>
    <row r="51" spans="1:7" x14ac:dyDescent="0.2">
      <c r="A51" s="9">
        <v>42736</v>
      </c>
      <c r="B51" s="2">
        <v>34.979999999999997</v>
      </c>
      <c r="C51" s="2">
        <v>38.380001</v>
      </c>
      <c r="D51" s="2">
        <v>34.840000000000003</v>
      </c>
      <c r="E51" s="2">
        <v>36.610000999999997</v>
      </c>
      <c r="F51" s="2">
        <v>31.878592000000001</v>
      </c>
      <c r="G51" s="2">
        <v>287500800</v>
      </c>
    </row>
    <row r="52" spans="1:7" x14ac:dyDescent="0.2">
      <c r="A52" s="9">
        <v>42767</v>
      </c>
      <c r="B52" s="2">
        <v>36.68</v>
      </c>
      <c r="C52" s="2">
        <v>38.099997999999999</v>
      </c>
      <c r="D52" s="2">
        <v>34.720001000000003</v>
      </c>
      <c r="E52" s="2">
        <v>36.840000000000003</v>
      </c>
      <c r="F52" s="2">
        <v>32.078873000000002</v>
      </c>
      <c r="G52" s="2">
        <v>287888900</v>
      </c>
    </row>
    <row r="53" spans="1:7" x14ac:dyDescent="0.2">
      <c r="A53" s="9">
        <v>42795</v>
      </c>
      <c r="B53" s="2">
        <v>37.200001</v>
      </c>
      <c r="C53" s="2">
        <v>38.549999</v>
      </c>
      <c r="D53" s="2">
        <v>33.790000999999997</v>
      </c>
      <c r="E53" s="2">
        <v>35.360000999999997</v>
      </c>
      <c r="F53" s="2">
        <v>30.790147999999999</v>
      </c>
      <c r="G53" s="2">
        <v>397935200</v>
      </c>
    </row>
    <row r="54" spans="1:7" x14ac:dyDescent="0.2">
      <c r="A54" s="9">
        <v>42826</v>
      </c>
      <c r="B54" s="2">
        <v>35.360000999999997</v>
      </c>
      <c r="C54" s="2">
        <v>35.400002000000001</v>
      </c>
      <c r="D54" s="2">
        <v>33.369999</v>
      </c>
      <c r="E54" s="2">
        <v>34.639999000000003</v>
      </c>
      <c r="F54" s="2">
        <v>30.471806999999998</v>
      </c>
      <c r="G54" s="2">
        <v>249493100</v>
      </c>
    </row>
    <row r="55" spans="1:7" x14ac:dyDescent="0.2">
      <c r="A55" s="9">
        <v>42856</v>
      </c>
      <c r="B55" s="2">
        <v>34.630001</v>
      </c>
      <c r="C55" s="2">
        <v>34.650002000000001</v>
      </c>
      <c r="D55" s="2">
        <v>31.92</v>
      </c>
      <c r="E55" s="2">
        <v>33.93</v>
      </c>
      <c r="F55" s="2">
        <v>29.847248</v>
      </c>
      <c r="G55" s="2">
        <v>322113200</v>
      </c>
    </row>
    <row r="56" spans="1:7" x14ac:dyDescent="0.2">
      <c r="A56" s="9">
        <v>42887</v>
      </c>
      <c r="B56" s="2">
        <v>34.060001</v>
      </c>
      <c r="C56" s="2">
        <v>35.049999</v>
      </c>
      <c r="D56" s="2">
        <v>33.049999</v>
      </c>
      <c r="E56" s="2">
        <v>34.93</v>
      </c>
      <c r="F56" s="2">
        <v>30.726917</v>
      </c>
      <c r="G56" s="2">
        <v>260038700</v>
      </c>
    </row>
    <row r="57" spans="1:7" x14ac:dyDescent="0.2">
      <c r="A57" s="9">
        <v>42917</v>
      </c>
      <c r="B57" s="2">
        <v>34.520000000000003</v>
      </c>
      <c r="C57" s="2">
        <v>36.630001</v>
      </c>
      <c r="D57" s="2">
        <v>34.450001</v>
      </c>
      <c r="E57" s="2">
        <v>35.979999999999997</v>
      </c>
      <c r="F57" s="2">
        <v>32.003788</v>
      </c>
      <c r="G57" s="2">
        <v>204852000</v>
      </c>
    </row>
    <row r="58" spans="1:7" x14ac:dyDescent="0.2">
      <c r="A58" s="9">
        <v>42948</v>
      </c>
      <c r="B58" s="2">
        <v>35.810001</v>
      </c>
      <c r="C58" s="2">
        <v>36.740001999999997</v>
      </c>
      <c r="D58" s="2">
        <v>34.590000000000003</v>
      </c>
      <c r="E58" s="2">
        <v>36.540000999999997</v>
      </c>
      <c r="F58" s="2">
        <v>32.501907000000003</v>
      </c>
      <c r="G58" s="2">
        <v>193493000</v>
      </c>
    </row>
    <row r="59" spans="1:7" x14ac:dyDescent="0.2">
      <c r="A59" s="9">
        <v>42979</v>
      </c>
      <c r="B59" s="2">
        <v>36.729999999999997</v>
      </c>
      <c r="C59" s="2">
        <v>40.689999</v>
      </c>
      <c r="D59" s="2">
        <v>36.619999</v>
      </c>
      <c r="E59" s="2">
        <v>40.380001</v>
      </c>
      <c r="F59" s="2">
        <v>35.917541999999997</v>
      </c>
      <c r="G59" s="2">
        <v>275318700</v>
      </c>
    </row>
    <row r="60" spans="1:7" x14ac:dyDescent="0.2">
      <c r="A60" s="9">
        <v>43009</v>
      </c>
      <c r="B60" s="2">
        <v>41.009998000000003</v>
      </c>
      <c r="C60" s="2">
        <v>46.759998000000003</v>
      </c>
      <c r="D60" s="2">
        <v>40.799999</v>
      </c>
      <c r="E60" s="2">
        <v>42.98</v>
      </c>
      <c r="F60" s="2">
        <v>38.619788999999997</v>
      </c>
      <c r="G60" s="2">
        <v>358941400</v>
      </c>
    </row>
    <row r="61" spans="1:7" x14ac:dyDescent="0.2">
      <c r="A61" s="9">
        <v>43040</v>
      </c>
      <c r="B61" s="2">
        <v>42.720001000000003</v>
      </c>
      <c r="C61" s="2">
        <v>45.349997999999999</v>
      </c>
      <c r="D61" s="2">
        <v>41.349997999999999</v>
      </c>
      <c r="E61" s="2">
        <v>43.09</v>
      </c>
      <c r="F61" s="2">
        <v>38.718628000000002</v>
      </c>
      <c r="G61" s="2">
        <v>270788400</v>
      </c>
    </row>
    <row r="62" spans="1:7" x14ac:dyDescent="0.2">
      <c r="A62" s="9">
        <v>43070</v>
      </c>
      <c r="B62" s="2">
        <v>43.189999</v>
      </c>
      <c r="C62" s="2">
        <v>43.419998</v>
      </c>
      <c r="D62" s="2">
        <v>40.700001</v>
      </c>
      <c r="E62" s="2">
        <v>40.990001999999997</v>
      </c>
      <c r="F62" s="2">
        <v>36.831673000000002</v>
      </c>
      <c r="G62" s="2">
        <v>233305300</v>
      </c>
    </row>
    <row r="63" spans="1:7" x14ac:dyDescent="0.2">
      <c r="A63" s="9">
        <v>43101</v>
      </c>
      <c r="B63" s="2">
        <v>41.240001999999997</v>
      </c>
      <c r="C63" s="2">
        <v>45.52</v>
      </c>
      <c r="D63" s="2">
        <v>41.150002000000001</v>
      </c>
      <c r="E63" s="2">
        <v>42.41</v>
      </c>
      <c r="F63" s="2">
        <v>38.454300000000003</v>
      </c>
      <c r="G63" s="2">
        <v>278088700</v>
      </c>
    </row>
    <row r="64" spans="1:7" x14ac:dyDescent="0.2">
      <c r="A64" s="9">
        <v>43132</v>
      </c>
      <c r="B64" s="2">
        <v>42.119999</v>
      </c>
      <c r="C64" s="2">
        <v>43.560001</v>
      </c>
      <c r="D64" s="2">
        <v>39.32</v>
      </c>
      <c r="E64" s="2">
        <v>39.349997999999999</v>
      </c>
      <c r="F64" s="2">
        <v>35.679713999999997</v>
      </c>
      <c r="G64" s="2">
        <v>267909800</v>
      </c>
    </row>
    <row r="65" spans="1:7" x14ac:dyDescent="0.2">
      <c r="A65" s="9">
        <v>43160</v>
      </c>
      <c r="B65" s="2">
        <v>39.590000000000003</v>
      </c>
      <c r="C65" s="2">
        <v>39.590000000000003</v>
      </c>
      <c r="D65" s="2">
        <v>34.5</v>
      </c>
      <c r="E65" s="2">
        <v>36.340000000000003</v>
      </c>
      <c r="F65" s="2">
        <v>32.950470000000003</v>
      </c>
      <c r="G65" s="2">
        <v>288911100</v>
      </c>
    </row>
    <row r="66" spans="1:7" x14ac:dyDescent="0.2">
      <c r="A66" s="9">
        <v>43191</v>
      </c>
      <c r="B66" s="2">
        <v>36.099997999999999</v>
      </c>
      <c r="C66" s="2">
        <v>39.669998</v>
      </c>
      <c r="D66" s="2">
        <v>35.229999999999997</v>
      </c>
      <c r="E66" s="2">
        <v>36.740001999999997</v>
      </c>
      <c r="F66" s="2">
        <v>33.651997000000001</v>
      </c>
      <c r="G66" s="2">
        <v>221705000</v>
      </c>
    </row>
    <row r="67" spans="1:7" x14ac:dyDescent="0.2">
      <c r="A67" s="9">
        <v>43221</v>
      </c>
      <c r="B67" s="2">
        <v>36.759998000000003</v>
      </c>
      <c r="C67" s="2">
        <v>42.77</v>
      </c>
      <c r="D67" s="2">
        <v>35.279998999999997</v>
      </c>
      <c r="E67" s="2">
        <v>42.700001</v>
      </c>
      <c r="F67" s="2">
        <v>39.111052999999998</v>
      </c>
      <c r="G67" s="2">
        <v>236116800</v>
      </c>
    </row>
    <row r="68" spans="1:7" x14ac:dyDescent="0.2">
      <c r="A68" s="9">
        <v>43252</v>
      </c>
      <c r="B68" s="2">
        <v>42.98</v>
      </c>
      <c r="C68" s="2">
        <v>45</v>
      </c>
      <c r="D68" s="2">
        <v>39.369999</v>
      </c>
      <c r="E68" s="2">
        <v>39.400002000000001</v>
      </c>
      <c r="F68" s="2">
        <v>36.088425000000001</v>
      </c>
      <c r="G68" s="2">
        <v>279572100</v>
      </c>
    </row>
    <row r="69" spans="1:7" x14ac:dyDescent="0.2">
      <c r="A69" s="9">
        <v>43282</v>
      </c>
      <c r="B69" s="2">
        <v>39.080002</v>
      </c>
      <c r="C69" s="2">
        <v>40.5</v>
      </c>
      <c r="D69" s="2">
        <v>36.259998000000003</v>
      </c>
      <c r="E69" s="2">
        <v>37.909999999999997</v>
      </c>
      <c r="F69" s="2">
        <v>35.026634000000001</v>
      </c>
      <c r="G69" s="2">
        <v>229946700</v>
      </c>
    </row>
    <row r="70" spans="1:7" x14ac:dyDescent="0.2">
      <c r="A70" s="9">
        <v>43313</v>
      </c>
      <c r="B70" s="2">
        <v>37.889999000000003</v>
      </c>
      <c r="C70" s="2">
        <v>38.32</v>
      </c>
      <c r="D70" s="2">
        <v>35.209999000000003</v>
      </c>
      <c r="E70" s="2">
        <v>36.049999</v>
      </c>
      <c r="F70" s="2">
        <v>33.308104999999998</v>
      </c>
      <c r="G70" s="2">
        <v>226191400</v>
      </c>
    </row>
    <row r="71" spans="1:7" x14ac:dyDescent="0.2">
      <c r="A71" s="9">
        <v>43344</v>
      </c>
      <c r="B71" s="2">
        <v>36</v>
      </c>
      <c r="C71" s="2">
        <v>36.490001999999997</v>
      </c>
      <c r="D71" s="2">
        <v>33.279998999999997</v>
      </c>
      <c r="E71" s="2">
        <v>33.669998</v>
      </c>
      <c r="F71" s="2">
        <v>31.109124999999999</v>
      </c>
      <c r="G71" s="2">
        <v>241380000</v>
      </c>
    </row>
    <row r="72" spans="1:7" x14ac:dyDescent="0.2">
      <c r="A72" s="9">
        <v>43374</v>
      </c>
      <c r="B72" s="2">
        <v>34.299999</v>
      </c>
      <c r="C72" s="2">
        <v>37.049999</v>
      </c>
      <c r="D72" s="2">
        <v>30.559999000000001</v>
      </c>
      <c r="E72" s="2">
        <v>36.590000000000003</v>
      </c>
      <c r="F72" s="2">
        <v>34.17503</v>
      </c>
      <c r="G72" s="2">
        <v>389476100</v>
      </c>
    </row>
    <row r="73" spans="1:7" x14ac:dyDescent="0.2">
      <c r="A73" s="9">
        <v>43405</v>
      </c>
      <c r="B73" s="2">
        <v>36.240001999999997</v>
      </c>
      <c r="C73" s="2">
        <v>38.75</v>
      </c>
      <c r="D73" s="2">
        <v>33.849997999999999</v>
      </c>
      <c r="E73" s="2">
        <v>37.950001</v>
      </c>
      <c r="F73" s="2">
        <v>35.445278000000002</v>
      </c>
      <c r="G73" s="2">
        <v>266802600</v>
      </c>
    </row>
    <row r="74" spans="1:7" x14ac:dyDescent="0.2">
      <c r="A74" s="9">
        <v>43435</v>
      </c>
      <c r="B74" s="2">
        <v>39</v>
      </c>
      <c r="C74" s="2">
        <v>39.610000999999997</v>
      </c>
      <c r="D74" s="2">
        <v>31.459999</v>
      </c>
      <c r="E74" s="2">
        <v>33.450001</v>
      </c>
      <c r="F74" s="2">
        <v>31.242270999999999</v>
      </c>
      <c r="G74" s="2">
        <v>227541200</v>
      </c>
    </row>
    <row r="75" spans="1:7" x14ac:dyDescent="0.2">
      <c r="A75" s="9">
        <v>43466</v>
      </c>
      <c r="B75" s="2">
        <v>32.849997999999999</v>
      </c>
      <c r="C75" s="2">
        <v>39.139999000000003</v>
      </c>
      <c r="D75" s="2">
        <v>32.200001</v>
      </c>
      <c r="E75" s="2">
        <v>39.020000000000003</v>
      </c>
      <c r="F75" s="2">
        <v>36.827854000000002</v>
      </c>
      <c r="G75" s="2">
        <v>245901200</v>
      </c>
    </row>
    <row r="76" spans="1:7" x14ac:dyDescent="0.2">
      <c r="A76" s="9">
        <v>43497</v>
      </c>
      <c r="B76" s="2">
        <v>38.909999999999997</v>
      </c>
      <c r="C76" s="2">
        <v>40.740001999999997</v>
      </c>
      <c r="D76" s="2">
        <v>38.009998000000003</v>
      </c>
      <c r="E76" s="2">
        <v>39.479999999999997</v>
      </c>
      <c r="F76" s="2">
        <v>37.262008999999999</v>
      </c>
      <c r="G76" s="2">
        <v>180097400</v>
      </c>
    </row>
    <row r="77" spans="1:7" x14ac:dyDescent="0.2">
      <c r="A77" s="9">
        <v>43525</v>
      </c>
      <c r="B77" s="2">
        <v>39.849997999999999</v>
      </c>
      <c r="C77" s="2">
        <v>41.5</v>
      </c>
      <c r="D77" s="2">
        <v>36.259998000000003</v>
      </c>
      <c r="E77" s="2">
        <v>37.099997999999999</v>
      </c>
      <c r="F77" s="2">
        <v>35.015712999999998</v>
      </c>
      <c r="G77" s="2">
        <v>179459600</v>
      </c>
    </row>
    <row r="78" spans="1:7" x14ac:dyDescent="0.2">
      <c r="A78" s="9">
        <v>43556</v>
      </c>
      <c r="B78" s="2">
        <v>37.400002000000001</v>
      </c>
      <c r="C78" s="2">
        <v>40.450001</v>
      </c>
      <c r="D78" s="2">
        <v>37.330002</v>
      </c>
      <c r="E78" s="2">
        <v>38.950001</v>
      </c>
      <c r="F78" s="2">
        <v>37.126621</v>
      </c>
      <c r="G78" s="2">
        <v>159149400</v>
      </c>
    </row>
    <row r="79" spans="1:7" x14ac:dyDescent="0.2">
      <c r="A79" s="9">
        <v>43586</v>
      </c>
      <c r="B79" s="2">
        <v>39</v>
      </c>
      <c r="C79" s="2">
        <v>39.200001</v>
      </c>
      <c r="D79" s="2">
        <v>33.150002000000001</v>
      </c>
      <c r="E79" s="2">
        <v>33.340000000000003</v>
      </c>
      <c r="F79" s="2">
        <v>31.779237999999999</v>
      </c>
      <c r="G79" s="2">
        <v>219724700</v>
      </c>
    </row>
    <row r="80" spans="1:7" x14ac:dyDescent="0.2">
      <c r="A80" s="9">
        <v>43617</v>
      </c>
      <c r="B80" s="2">
        <v>33.349997999999999</v>
      </c>
      <c r="C80" s="2">
        <v>38.990001999999997</v>
      </c>
      <c r="D80" s="2">
        <v>33.080002</v>
      </c>
      <c r="E80" s="2">
        <v>38.529998999999997</v>
      </c>
      <c r="F80" s="2">
        <v>36.726275999999999</v>
      </c>
      <c r="G80" s="2">
        <v>175430400</v>
      </c>
    </row>
    <row r="81" spans="1:7" x14ac:dyDescent="0.2">
      <c r="A81" s="9">
        <v>43647</v>
      </c>
      <c r="B81" s="2">
        <v>38.93</v>
      </c>
      <c r="C81" s="2">
        <v>41</v>
      </c>
      <c r="D81" s="2">
        <v>37.580002</v>
      </c>
      <c r="E81" s="2">
        <v>40.340000000000003</v>
      </c>
      <c r="F81" s="2">
        <v>38.863602</v>
      </c>
      <c r="G81" s="2">
        <v>150765800</v>
      </c>
    </row>
    <row r="82" spans="1:7" x14ac:dyDescent="0.2">
      <c r="A82" s="9">
        <v>43678</v>
      </c>
      <c r="B82" s="2">
        <v>41.259998000000003</v>
      </c>
      <c r="C82" s="2">
        <v>41.900002000000001</v>
      </c>
      <c r="D82" s="2">
        <v>35.580002</v>
      </c>
      <c r="E82" s="2">
        <v>37.090000000000003</v>
      </c>
      <c r="F82" s="2">
        <v>35.732551999999998</v>
      </c>
      <c r="G82" s="2">
        <v>151235200</v>
      </c>
    </row>
    <row r="83" spans="1:7" x14ac:dyDescent="0.2">
      <c r="A83" s="9">
        <v>43709</v>
      </c>
      <c r="B83" s="2">
        <v>36.889999000000003</v>
      </c>
      <c r="C83" s="2">
        <v>39.779998999999997</v>
      </c>
      <c r="D83" s="2">
        <v>36.439999</v>
      </c>
      <c r="E83" s="2">
        <v>37.479999999999997</v>
      </c>
      <c r="F83" s="2">
        <v>36.108280000000001</v>
      </c>
      <c r="G83" s="2">
        <v>170562500</v>
      </c>
    </row>
    <row r="84" spans="1:7" x14ac:dyDescent="0.2">
      <c r="A84" s="9">
        <v>43739</v>
      </c>
      <c r="B84" s="2">
        <v>37.470001000000003</v>
      </c>
      <c r="C84" s="2">
        <v>38.700001</v>
      </c>
      <c r="D84" s="2">
        <v>33.709999000000003</v>
      </c>
      <c r="E84" s="2">
        <v>37.159999999999997</v>
      </c>
      <c r="F84" s="2">
        <v>36.159312999999997</v>
      </c>
      <c r="G84" s="2">
        <v>212810900</v>
      </c>
    </row>
    <row r="85" spans="1:7" x14ac:dyDescent="0.2">
      <c r="A85" s="9">
        <v>43770</v>
      </c>
      <c r="B85" s="2">
        <v>37.209999000000003</v>
      </c>
      <c r="C85" s="2">
        <v>38.959999000000003</v>
      </c>
      <c r="D85" s="2">
        <v>34.590000000000003</v>
      </c>
      <c r="E85" s="2">
        <v>36</v>
      </c>
      <c r="F85" s="2">
        <v>35.030552</v>
      </c>
      <c r="G85" s="2">
        <v>191233100</v>
      </c>
    </row>
    <row r="86" spans="1:7" x14ac:dyDescent="0.2">
      <c r="A86" s="9">
        <v>43800</v>
      </c>
      <c r="B86" s="2">
        <v>36.009998000000003</v>
      </c>
      <c r="C86" s="2">
        <v>37.619999</v>
      </c>
      <c r="D86" s="2">
        <v>34.959999000000003</v>
      </c>
      <c r="E86" s="2">
        <v>36.599997999999999</v>
      </c>
      <c r="F86" s="2">
        <v>35.614387999999998</v>
      </c>
      <c r="G86" s="2">
        <v>172043000</v>
      </c>
    </row>
    <row r="87" spans="1:7" x14ac:dyDescent="0.2">
      <c r="A87" s="9">
        <v>43831</v>
      </c>
      <c r="B87" s="2">
        <v>37</v>
      </c>
      <c r="C87" s="2">
        <v>37.380001</v>
      </c>
      <c r="D87" s="2">
        <v>32.970001000000003</v>
      </c>
      <c r="E87" s="2">
        <v>33.389999000000003</v>
      </c>
      <c r="F87" s="2">
        <v>32.839404999999999</v>
      </c>
      <c r="G87" s="2">
        <v>206959200</v>
      </c>
    </row>
    <row r="88" spans="1:7" x14ac:dyDescent="0.2">
      <c r="A88" s="9">
        <v>43862</v>
      </c>
      <c r="B88" s="2">
        <v>33.560001</v>
      </c>
      <c r="C88" s="2">
        <v>35.790000999999997</v>
      </c>
      <c r="D88" s="2">
        <v>29.33</v>
      </c>
      <c r="E88" s="2">
        <v>30.5</v>
      </c>
      <c r="F88" s="2">
        <v>29.997064999999999</v>
      </c>
      <c r="G88" s="2">
        <v>246628900</v>
      </c>
    </row>
    <row r="89" spans="1:7" x14ac:dyDescent="0.2">
      <c r="A89" s="9">
        <v>43891</v>
      </c>
      <c r="B89" s="2">
        <v>30.52</v>
      </c>
      <c r="C89" s="2">
        <v>32.299999</v>
      </c>
      <c r="D89" s="2">
        <v>14.33</v>
      </c>
      <c r="E89" s="2">
        <v>20.780000999999999</v>
      </c>
      <c r="F89" s="2">
        <v>20.437346000000002</v>
      </c>
      <c r="G89" s="2">
        <v>493637100</v>
      </c>
    </row>
    <row r="90" spans="1:7" x14ac:dyDescent="0.2">
      <c r="A90" s="9">
        <v>43922</v>
      </c>
      <c r="B90" s="2">
        <v>19.5</v>
      </c>
      <c r="C90" s="2">
        <v>24.99</v>
      </c>
      <c r="D90" s="2">
        <v>17.790001</v>
      </c>
      <c r="E90" s="2">
        <v>22.290001</v>
      </c>
      <c r="F90" s="2">
        <v>22.189876999999999</v>
      </c>
      <c r="G90" s="2">
        <v>359992000</v>
      </c>
    </row>
    <row r="91" spans="1:7" x14ac:dyDescent="0.2">
      <c r="A91" s="9">
        <v>43952</v>
      </c>
      <c r="B91" s="2">
        <v>21.65</v>
      </c>
      <c r="C91" s="2">
        <v>28.83</v>
      </c>
      <c r="D91" s="2">
        <v>20.120000999999998</v>
      </c>
      <c r="E91" s="2">
        <v>25.879999000000002</v>
      </c>
      <c r="F91" s="2">
        <v>25.763750000000002</v>
      </c>
      <c r="G91" s="2">
        <v>347650200</v>
      </c>
    </row>
    <row r="92" spans="1:7" x14ac:dyDescent="0.2">
      <c r="A92" s="9">
        <v>43983</v>
      </c>
      <c r="B92" s="2">
        <v>25.99</v>
      </c>
      <c r="C92" s="2">
        <v>31.66</v>
      </c>
      <c r="D92" s="2">
        <v>24.25</v>
      </c>
      <c r="E92" s="2">
        <v>25.299999</v>
      </c>
      <c r="F92" s="2">
        <v>25.186357000000001</v>
      </c>
      <c r="G92" s="2">
        <v>350991100</v>
      </c>
    </row>
    <row r="93" spans="1:7" x14ac:dyDescent="0.2">
      <c r="A93" s="9">
        <v>44013</v>
      </c>
      <c r="B93" s="2">
        <v>25.299999</v>
      </c>
      <c r="C93" s="2">
        <v>27.33</v>
      </c>
      <c r="D93" s="2">
        <v>23.33</v>
      </c>
      <c r="E93" s="2">
        <v>24.889999</v>
      </c>
      <c r="F93" s="2">
        <v>24.778198</v>
      </c>
      <c r="G93" s="2">
        <v>307215900</v>
      </c>
    </row>
    <row r="94" spans="1:7" x14ac:dyDescent="0.2">
      <c r="A94" s="9">
        <v>44044</v>
      </c>
      <c r="B94" s="2">
        <v>25.059999000000001</v>
      </c>
      <c r="C94" s="2">
        <v>31.120000999999998</v>
      </c>
      <c r="D94" s="2">
        <v>24.82</v>
      </c>
      <c r="E94" s="2">
        <v>29.629999000000002</v>
      </c>
      <c r="F94" s="2">
        <v>29.496905999999999</v>
      </c>
      <c r="G94" s="2">
        <v>273155500</v>
      </c>
    </row>
    <row r="95" spans="1:7" x14ac:dyDescent="0.2">
      <c r="A95" s="9">
        <v>44075</v>
      </c>
      <c r="B95" s="2">
        <v>29.530000999999999</v>
      </c>
      <c r="C95" s="2">
        <v>33.330002</v>
      </c>
      <c r="D95" s="2">
        <v>28.24</v>
      </c>
      <c r="E95" s="2">
        <v>29.59</v>
      </c>
      <c r="F95" s="2">
        <v>29.457087000000001</v>
      </c>
      <c r="G95" s="2">
        <v>341924400</v>
      </c>
    </row>
    <row r="96" spans="1:7" x14ac:dyDescent="0.2">
      <c r="A96" s="9">
        <v>44105</v>
      </c>
      <c r="B96" s="2">
        <v>29.52</v>
      </c>
      <c r="C96" s="2">
        <v>38.029998999999997</v>
      </c>
      <c r="D96" s="2">
        <v>29.15</v>
      </c>
      <c r="E96" s="2">
        <v>34.529998999999997</v>
      </c>
      <c r="F96" s="2">
        <v>34.374896999999997</v>
      </c>
      <c r="G96" s="2">
        <v>309205400</v>
      </c>
    </row>
    <row r="97" spans="1:7" x14ac:dyDescent="0.2">
      <c r="A97" s="9">
        <v>44136</v>
      </c>
      <c r="B97" s="2">
        <v>35.119999</v>
      </c>
      <c r="C97" s="2">
        <v>46.709999000000003</v>
      </c>
      <c r="D97" s="2">
        <v>34.229999999999997</v>
      </c>
      <c r="E97" s="2">
        <v>43.84</v>
      </c>
      <c r="F97" s="2">
        <v>43.643078000000003</v>
      </c>
      <c r="G97" s="2">
        <v>380303700</v>
      </c>
    </row>
    <row r="98" spans="1:7" x14ac:dyDescent="0.2">
      <c r="A98" s="9">
        <v>44166</v>
      </c>
      <c r="B98" s="2">
        <v>44.779998999999997</v>
      </c>
      <c r="C98" s="2">
        <v>45.450001</v>
      </c>
      <c r="D98" s="2">
        <v>40.060001</v>
      </c>
      <c r="E98" s="2">
        <v>41.639999000000003</v>
      </c>
      <c r="F98" s="2">
        <v>41.452961000000002</v>
      </c>
      <c r="G98" s="2">
        <v>274301400</v>
      </c>
    </row>
    <row r="99" spans="1:7" x14ac:dyDescent="0.2">
      <c r="A99" s="9">
        <v>44197</v>
      </c>
      <c r="B99" s="2">
        <v>41.950001</v>
      </c>
      <c r="C99" s="2">
        <v>56.970001000000003</v>
      </c>
      <c r="D99" s="2">
        <v>40.040000999999997</v>
      </c>
      <c r="E99" s="2">
        <v>50.68</v>
      </c>
      <c r="F99" s="2">
        <v>50.452354</v>
      </c>
      <c r="G99" s="2">
        <v>628836300</v>
      </c>
    </row>
    <row r="100" spans="1:7" x14ac:dyDescent="0.2">
      <c r="A100" s="9">
        <v>44228</v>
      </c>
      <c r="B100" s="2">
        <v>51.459999000000003</v>
      </c>
      <c r="C100" s="2">
        <v>57.049999</v>
      </c>
      <c r="D100" s="2">
        <v>49.349997999999999</v>
      </c>
      <c r="E100" s="2">
        <v>51.330002</v>
      </c>
      <c r="F100" s="2">
        <v>51.099437999999999</v>
      </c>
      <c r="G100" s="2">
        <v>419120700</v>
      </c>
    </row>
    <row r="101" spans="1:7" x14ac:dyDescent="0.2">
      <c r="A101" s="9">
        <v>44256</v>
      </c>
      <c r="B101" s="2">
        <v>52.41</v>
      </c>
      <c r="C101" s="2">
        <v>62.240001999999997</v>
      </c>
      <c r="D101" s="2">
        <v>50.25</v>
      </c>
      <c r="E101" s="2">
        <v>57.459999000000003</v>
      </c>
      <c r="F101" s="2">
        <v>57.201897000000002</v>
      </c>
      <c r="G101" s="2">
        <v>516563500</v>
      </c>
    </row>
    <row r="102" spans="1:7" x14ac:dyDescent="0.2">
      <c r="A102" s="9">
        <v>44287</v>
      </c>
      <c r="B102" s="2">
        <v>57.919998</v>
      </c>
      <c r="C102" s="2">
        <v>63.439999</v>
      </c>
      <c r="D102" s="2">
        <v>54.709999000000003</v>
      </c>
      <c r="E102" s="2">
        <v>57.220001000000003</v>
      </c>
      <c r="F102" s="2">
        <v>56.962981999999997</v>
      </c>
      <c r="G102" s="2">
        <v>343319800</v>
      </c>
    </row>
    <row r="103" spans="1:7" x14ac:dyDescent="0.2">
      <c r="A103" s="9">
        <v>44317</v>
      </c>
      <c r="B103" s="2">
        <v>57.599997999999999</v>
      </c>
      <c r="C103" s="2">
        <v>60.720001000000003</v>
      </c>
      <c r="D103" s="2">
        <v>53.52</v>
      </c>
      <c r="E103" s="2">
        <v>59.310001</v>
      </c>
      <c r="F103" s="2">
        <v>59.043593999999999</v>
      </c>
      <c r="G103" s="2">
        <v>324490400</v>
      </c>
    </row>
    <row r="104" spans="1:7" x14ac:dyDescent="0.2">
      <c r="A104" s="9">
        <v>44348</v>
      </c>
      <c r="B104" s="2">
        <v>59.990001999999997</v>
      </c>
      <c r="C104" s="2">
        <v>64.300003000000004</v>
      </c>
      <c r="D104" s="2">
        <v>58.41</v>
      </c>
      <c r="E104" s="2">
        <v>59.169998</v>
      </c>
      <c r="F104" s="2">
        <v>58.904217000000003</v>
      </c>
      <c r="G104" s="2">
        <v>356983500</v>
      </c>
    </row>
    <row r="105" spans="1:7" x14ac:dyDescent="0.2">
      <c r="A105" s="9">
        <v>44378</v>
      </c>
      <c r="B105" s="2">
        <v>59.439999</v>
      </c>
      <c r="C105" s="2">
        <v>59.73</v>
      </c>
      <c r="D105" s="2">
        <v>52.630001</v>
      </c>
      <c r="E105" s="2">
        <v>56.84</v>
      </c>
      <c r="F105" s="2">
        <v>56.584685999999998</v>
      </c>
      <c r="G105" s="2">
        <v>290439200</v>
      </c>
    </row>
    <row r="106" spans="1:7" x14ac:dyDescent="0.2">
      <c r="A106" s="9">
        <v>44409</v>
      </c>
      <c r="B106" s="2">
        <v>57.369999</v>
      </c>
      <c r="C106" s="2">
        <v>58.599997999999999</v>
      </c>
      <c r="D106" s="2">
        <v>47.07</v>
      </c>
      <c r="E106" s="2">
        <v>49.009998000000003</v>
      </c>
      <c r="F106" s="2">
        <v>48.789852000000003</v>
      </c>
      <c r="G106" s="2">
        <v>431343500</v>
      </c>
    </row>
    <row r="107" spans="1:7" x14ac:dyDescent="0.2">
      <c r="A107" s="9">
        <v>44440</v>
      </c>
      <c r="B107" s="2">
        <v>49.099997999999999</v>
      </c>
      <c r="C107" s="2">
        <v>54.209999000000003</v>
      </c>
      <c r="D107" s="2">
        <v>47.799999</v>
      </c>
      <c r="E107" s="2">
        <v>52.709999000000003</v>
      </c>
      <c r="F107" s="2">
        <v>52.473236</v>
      </c>
      <c r="G107" s="2">
        <v>332637600</v>
      </c>
    </row>
    <row r="108" spans="1:7" x14ac:dyDescent="0.2">
      <c r="A108" s="9">
        <v>44470</v>
      </c>
      <c r="B108" s="2">
        <v>53.029998999999997</v>
      </c>
      <c r="C108" s="2">
        <v>59.349997999999999</v>
      </c>
      <c r="D108" s="2">
        <v>52.25</v>
      </c>
      <c r="E108" s="2">
        <v>54.43</v>
      </c>
      <c r="F108" s="2">
        <v>54.185513</v>
      </c>
      <c r="G108" s="2">
        <v>402164700</v>
      </c>
    </row>
    <row r="109" spans="1:7" x14ac:dyDescent="0.2">
      <c r="A109" s="9">
        <v>44501</v>
      </c>
      <c r="B109" s="2">
        <v>54.849997999999999</v>
      </c>
      <c r="C109" s="2">
        <v>65.180000000000007</v>
      </c>
      <c r="D109" s="2">
        <v>54.419998</v>
      </c>
      <c r="E109" s="2">
        <v>57.869999</v>
      </c>
      <c r="F109" s="2">
        <v>57.610053999999998</v>
      </c>
      <c r="G109" s="2">
        <v>399609500</v>
      </c>
    </row>
    <row r="110" spans="1:7" x14ac:dyDescent="0.2">
      <c r="A110" s="9">
        <v>44531</v>
      </c>
      <c r="B110" s="2">
        <v>59.25</v>
      </c>
      <c r="C110" s="2">
        <v>63.290000999999997</v>
      </c>
      <c r="D110" s="2">
        <v>53.139999000000003</v>
      </c>
      <c r="E110" s="2">
        <v>58.630001</v>
      </c>
      <c r="F110" s="2">
        <v>58.366646000000003</v>
      </c>
      <c r="G110" s="2">
        <v>380185400</v>
      </c>
    </row>
    <row r="111" spans="1:7" x14ac:dyDescent="0.2">
      <c r="A111" s="9">
        <v>44562</v>
      </c>
      <c r="B111" s="2">
        <v>59.869999</v>
      </c>
      <c r="C111" s="2">
        <v>67.209998999999996</v>
      </c>
      <c r="D111" s="2">
        <v>49.240001999999997</v>
      </c>
      <c r="E111" s="2">
        <v>52.73</v>
      </c>
      <c r="F111" s="2">
        <v>52.493144999999998</v>
      </c>
      <c r="G111" s="2">
        <v>470897500</v>
      </c>
    </row>
    <row r="112" spans="1:7" x14ac:dyDescent="0.2">
      <c r="A112" s="9">
        <v>44593</v>
      </c>
      <c r="B112" s="2">
        <v>52.849997999999999</v>
      </c>
      <c r="C112" s="2">
        <v>55.549999</v>
      </c>
      <c r="D112" s="2">
        <v>43.91</v>
      </c>
      <c r="E112" s="2">
        <v>46.720001000000003</v>
      </c>
      <c r="F112" s="2">
        <v>46.510142999999999</v>
      </c>
      <c r="G112" s="2">
        <v>384992400</v>
      </c>
    </row>
    <row r="113" spans="1:7" x14ac:dyDescent="0.2">
      <c r="A113" s="9">
        <v>44621</v>
      </c>
      <c r="B113" s="2">
        <v>46.02</v>
      </c>
      <c r="C113" s="2">
        <v>46.740001999999997</v>
      </c>
      <c r="D113" s="2">
        <v>39.75</v>
      </c>
      <c r="E113" s="2">
        <v>43.740001999999997</v>
      </c>
      <c r="F113" s="2">
        <v>43.543529999999997</v>
      </c>
      <c r="G113" s="2">
        <v>403087300</v>
      </c>
    </row>
    <row r="114" spans="1:7" x14ac:dyDescent="0.2">
      <c r="A114" s="9">
        <v>44652</v>
      </c>
      <c r="B114" s="2">
        <v>44.16</v>
      </c>
      <c r="C114" s="2">
        <v>44.450001</v>
      </c>
      <c r="D114" s="2">
        <v>37.310001</v>
      </c>
      <c r="E114" s="2">
        <v>37.909999999999997</v>
      </c>
      <c r="F114" s="2">
        <v>37.739711999999997</v>
      </c>
      <c r="G114" s="2">
        <v>363967100</v>
      </c>
    </row>
    <row r="115" spans="1:7" x14ac:dyDescent="0.2">
      <c r="A115" s="9">
        <v>44682</v>
      </c>
      <c r="B115" s="2">
        <v>37.669998</v>
      </c>
      <c r="C115" s="2">
        <v>41.240001999999997</v>
      </c>
      <c r="D115" s="2">
        <v>34.310001</v>
      </c>
      <c r="E115" s="2">
        <v>38.68</v>
      </c>
      <c r="F115" s="2">
        <v>38.506259999999997</v>
      </c>
      <c r="G115" s="2">
        <v>397427200</v>
      </c>
    </row>
    <row r="116" spans="1:7" x14ac:dyDescent="0.2">
      <c r="A116" s="9">
        <v>44713</v>
      </c>
      <c r="B116" s="2">
        <v>39.009998000000003</v>
      </c>
      <c r="C116" s="2">
        <v>39.639999000000003</v>
      </c>
      <c r="D116" s="2">
        <v>30.65</v>
      </c>
      <c r="E116" s="2">
        <v>31.76</v>
      </c>
      <c r="F116" s="2">
        <v>31.617339999999999</v>
      </c>
      <c r="G116" s="2">
        <v>323802700</v>
      </c>
    </row>
    <row r="117" spans="1:7" x14ac:dyDescent="0.2">
      <c r="A117" s="9">
        <v>44743</v>
      </c>
      <c r="B117" s="2">
        <v>31.280000999999999</v>
      </c>
      <c r="C117" s="2">
        <v>36.439999</v>
      </c>
      <c r="D117" s="2">
        <v>30.33</v>
      </c>
      <c r="E117" s="2">
        <v>36.259998000000003</v>
      </c>
      <c r="F117" s="2">
        <v>36.097126000000003</v>
      </c>
      <c r="G117" s="2">
        <v>292472200</v>
      </c>
    </row>
    <row r="118" spans="1:7" x14ac:dyDescent="0.2">
      <c r="A118" s="9">
        <v>44774</v>
      </c>
      <c r="B118" s="2">
        <v>36.060001</v>
      </c>
      <c r="C118" s="2">
        <v>41.09</v>
      </c>
      <c r="D118" s="2">
        <v>35.590000000000003</v>
      </c>
      <c r="E118" s="2">
        <v>38.209999000000003</v>
      </c>
      <c r="F118" s="2">
        <v>38.038364000000001</v>
      </c>
      <c r="G118" s="2">
        <v>317943000</v>
      </c>
    </row>
    <row r="119" spans="1:7" x14ac:dyDescent="0.2">
      <c r="A119" s="9">
        <v>44805</v>
      </c>
      <c r="B119" s="2">
        <v>37.810001</v>
      </c>
      <c r="C119" s="2">
        <v>42.360000999999997</v>
      </c>
      <c r="D119" s="2">
        <v>32.049999</v>
      </c>
      <c r="E119" s="2">
        <v>32.090000000000003</v>
      </c>
      <c r="F119" s="2">
        <v>32.018794999999997</v>
      </c>
      <c r="G119" s="2">
        <v>332839800</v>
      </c>
    </row>
    <row r="120" spans="1:7" x14ac:dyDescent="0.2">
      <c r="A120" s="9">
        <v>44835</v>
      </c>
      <c r="B120" s="2">
        <v>32.459999000000003</v>
      </c>
      <c r="C120" s="2">
        <v>39.659999999999997</v>
      </c>
      <c r="D120" s="2">
        <v>31.110001</v>
      </c>
      <c r="E120" s="2">
        <v>39.25</v>
      </c>
      <c r="F120" s="2">
        <v>39.162906999999997</v>
      </c>
      <c r="G120" s="2">
        <v>317684500</v>
      </c>
    </row>
    <row r="121" spans="1:7" x14ac:dyDescent="0.2">
      <c r="A121" s="9">
        <v>44866</v>
      </c>
      <c r="B121" s="2">
        <v>39.919998</v>
      </c>
      <c r="C121" s="2">
        <v>41.580002</v>
      </c>
      <c r="D121" s="2">
        <v>37.470001000000003</v>
      </c>
      <c r="E121" s="2">
        <v>40.560001</v>
      </c>
      <c r="F121" s="2">
        <v>40.470001000000003</v>
      </c>
      <c r="G121" s="2">
        <v>285035100</v>
      </c>
    </row>
    <row r="122" spans="1:7" x14ac:dyDescent="0.2">
      <c r="A122" s="9">
        <v>44896</v>
      </c>
      <c r="B122" s="2">
        <v>40.770000000000003</v>
      </c>
      <c r="C122" s="2">
        <v>41.380001</v>
      </c>
      <c r="D122" s="2">
        <v>32.520000000000003</v>
      </c>
      <c r="E122" s="2">
        <v>33.639999000000003</v>
      </c>
      <c r="F122" s="2">
        <v>33.565353000000002</v>
      </c>
      <c r="G122" s="2">
        <v>254837600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22"/>
  <sheetViews>
    <sheetView topLeftCell="A104" workbookViewId="0">
      <selection activeCell="G34" sqref="G34"/>
    </sheetView>
  </sheetViews>
  <sheetFormatPr baseColWidth="10" defaultColWidth="8.83203125" defaultRowHeight="15" x14ac:dyDescent="0.2"/>
  <cols>
    <col min="1" max="1" width="9.6640625" style="2" bestFit="1" customWidth="1"/>
    <col min="2" max="7" width="11" style="2" bestFit="1" customWidth="1"/>
    <col min="8" max="16384" width="8.83203125" style="2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9">
        <v>41244</v>
      </c>
      <c r="B2" s="2">
        <v>41.27</v>
      </c>
      <c r="C2" s="2">
        <v>44.540000999999997</v>
      </c>
      <c r="D2" s="2">
        <v>40.200001</v>
      </c>
      <c r="E2" s="2">
        <v>43.970001000000003</v>
      </c>
      <c r="F2" s="2">
        <v>33.071525999999999</v>
      </c>
      <c r="G2" s="2">
        <v>461095700</v>
      </c>
    </row>
    <row r="3" spans="1:7" x14ac:dyDescent="0.2">
      <c r="A3" s="9">
        <v>41275</v>
      </c>
      <c r="B3" s="2">
        <v>44.98</v>
      </c>
      <c r="C3" s="2">
        <v>47.349997999999999</v>
      </c>
      <c r="D3" s="2">
        <v>44.200001</v>
      </c>
      <c r="E3" s="2">
        <v>47.049999</v>
      </c>
      <c r="F3" s="2">
        <v>35.388103000000001</v>
      </c>
      <c r="G3" s="2">
        <v>522625800</v>
      </c>
    </row>
    <row r="4" spans="1:7" x14ac:dyDescent="0.2">
      <c r="A4" s="9">
        <v>41306</v>
      </c>
      <c r="B4" s="2">
        <v>47.400002000000001</v>
      </c>
      <c r="C4" s="2">
        <v>49.68</v>
      </c>
      <c r="D4" s="2">
        <v>46.849997999999999</v>
      </c>
      <c r="E4" s="2">
        <v>48.919998</v>
      </c>
      <c r="F4" s="2">
        <v>37.047378999999999</v>
      </c>
      <c r="G4" s="2">
        <v>450398100</v>
      </c>
    </row>
    <row r="5" spans="1:7" x14ac:dyDescent="0.2">
      <c r="A5" s="9">
        <v>41334</v>
      </c>
      <c r="B5" s="2">
        <v>48.599997999999999</v>
      </c>
      <c r="C5" s="2">
        <v>51</v>
      </c>
      <c r="D5" s="2">
        <v>47.279998999999997</v>
      </c>
      <c r="E5" s="2">
        <v>47.459999000000003</v>
      </c>
      <c r="F5" s="2">
        <v>35.941704000000001</v>
      </c>
      <c r="G5" s="2">
        <v>499332300</v>
      </c>
    </row>
    <row r="6" spans="1:7" x14ac:dyDescent="0.2">
      <c r="A6" s="9">
        <v>41365</v>
      </c>
      <c r="B6" s="2">
        <v>47.549999</v>
      </c>
      <c r="C6" s="2">
        <v>49.630001</v>
      </c>
      <c r="D6" s="2">
        <v>46.049999</v>
      </c>
      <c r="E6" s="2">
        <v>49.009998000000003</v>
      </c>
      <c r="F6" s="2">
        <v>37.115524000000001</v>
      </c>
      <c r="G6" s="2">
        <v>489433900</v>
      </c>
    </row>
    <row r="7" spans="1:7" x14ac:dyDescent="0.2">
      <c r="A7" s="9">
        <v>41395</v>
      </c>
      <c r="B7" s="2">
        <v>48.759998000000003</v>
      </c>
      <c r="C7" s="2">
        <v>55.900002000000001</v>
      </c>
      <c r="D7" s="2">
        <v>46.98</v>
      </c>
      <c r="E7" s="2">
        <v>54.59</v>
      </c>
      <c r="F7" s="2">
        <v>41.599777000000003</v>
      </c>
      <c r="G7" s="2">
        <v>549824600</v>
      </c>
    </row>
    <row r="8" spans="1:7" x14ac:dyDescent="0.2">
      <c r="A8" s="9">
        <v>41426</v>
      </c>
      <c r="B8" s="2">
        <v>54.599997999999999</v>
      </c>
      <c r="C8" s="2">
        <v>55.389999000000003</v>
      </c>
      <c r="D8" s="2">
        <v>50.110000999999997</v>
      </c>
      <c r="E8" s="2">
        <v>52.790000999999997</v>
      </c>
      <c r="F8" s="2">
        <v>40.228107000000001</v>
      </c>
      <c r="G8" s="2">
        <v>440217000</v>
      </c>
    </row>
    <row r="9" spans="1:7" x14ac:dyDescent="0.2">
      <c r="A9" s="9">
        <v>41456</v>
      </c>
      <c r="B9" s="2">
        <v>53.220001000000003</v>
      </c>
      <c r="C9" s="2">
        <v>56.93</v>
      </c>
      <c r="D9" s="2">
        <v>52.119999</v>
      </c>
      <c r="E9" s="2">
        <v>55.73</v>
      </c>
      <c r="F9" s="2">
        <v>42.468497999999997</v>
      </c>
      <c r="G9" s="2">
        <v>414604000</v>
      </c>
    </row>
    <row r="10" spans="1:7" x14ac:dyDescent="0.2">
      <c r="A10" s="9">
        <v>41487</v>
      </c>
      <c r="B10" s="2">
        <v>56.360000999999997</v>
      </c>
      <c r="C10" s="2">
        <v>56.779998999999997</v>
      </c>
      <c r="D10" s="2">
        <v>50.130001</v>
      </c>
      <c r="E10" s="2">
        <v>50.529998999999997</v>
      </c>
      <c r="F10" s="2">
        <v>38.786686000000003</v>
      </c>
      <c r="G10" s="2">
        <v>343831300</v>
      </c>
    </row>
    <row r="11" spans="1:7" x14ac:dyDescent="0.2">
      <c r="A11" s="9">
        <v>41518</v>
      </c>
      <c r="B11" s="2">
        <v>51.25</v>
      </c>
      <c r="C11" s="2">
        <v>53.93</v>
      </c>
      <c r="D11" s="2">
        <v>50.060001</v>
      </c>
      <c r="E11" s="2">
        <v>51.689999</v>
      </c>
      <c r="F11" s="2">
        <v>39.677109000000002</v>
      </c>
      <c r="G11" s="2">
        <v>434870300</v>
      </c>
    </row>
    <row r="12" spans="1:7" x14ac:dyDescent="0.2">
      <c r="A12" s="9">
        <v>41548</v>
      </c>
      <c r="B12" s="2">
        <v>51.639999000000003</v>
      </c>
      <c r="C12" s="2">
        <v>54.849997999999999</v>
      </c>
      <c r="D12" s="2">
        <v>50.25</v>
      </c>
      <c r="E12" s="2">
        <v>51.540000999999997</v>
      </c>
      <c r="F12" s="2">
        <v>39.561970000000002</v>
      </c>
      <c r="G12" s="2">
        <v>482265300</v>
      </c>
    </row>
    <row r="13" spans="1:7" x14ac:dyDescent="0.2">
      <c r="A13" s="9">
        <v>41579</v>
      </c>
      <c r="B13" s="2">
        <v>51.450001</v>
      </c>
      <c r="C13" s="2">
        <v>58.139999000000003</v>
      </c>
      <c r="D13" s="2">
        <v>51.299999</v>
      </c>
      <c r="E13" s="2">
        <v>57.220001000000003</v>
      </c>
      <c r="F13" s="2">
        <v>44.245502000000002</v>
      </c>
      <c r="G13" s="2">
        <v>365912800</v>
      </c>
    </row>
    <row r="14" spans="1:7" x14ac:dyDescent="0.2">
      <c r="A14" s="9">
        <v>41609</v>
      </c>
      <c r="B14" s="2">
        <v>57.099997999999999</v>
      </c>
      <c r="C14" s="2">
        <v>58.549999</v>
      </c>
      <c r="D14" s="2">
        <v>55.400002000000001</v>
      </c>
      <c r="E14" s="2">
        <v>58.48</v>
      </c>
      <c r="F14" s="2">
        <v>45.219810000000003</v>
      </c>
      <c r="G14" s="2">
        <v>330218200</v>
      </c>
    </row>
    <row r="15" spans="1:7" x14ac:dyDescent="0.2">
      <c r="A15" s="9">
        <v>41640</v>
      </c>
      <c r="B15" s="2">
        <v>58.310001</v>
      </c>
      <c r="C15" s="2">
        <v>59.82</v>
      </c>
      <c r="D15" s="2">
        <v>54.689999</v>
      </c>
      <c r="E15" s="2">
        <v>55.360000999999997</v>
      </c>
      <c r="F15" s="2">
        <v>42.807259000000002</v>
      </c>
      <c r="G15" s="2">
        <v>425415900</v>
      </c>
    </row>
    <row r="16" spans="1:7" x14ac:dyDescent="0.2">
      <c r="A16" s="9">
        <v>41671</v>
      </c>
      <c r="B16" s="2">
        <v>55.5</v>
      </c>
      <c r="C16" s="2">
        <v>58.650002000000001</v>
      </c>
      <c r="D16" s="2">
        <v>54.200001</v>
      </c>
      <c r="E16" s="2">
        <v>56.82</v>
      </c>
      <c r="F16" s="2">
        <v>44.223557</v>
      </c>
      <c r="G16" s="2">
        <v>345203100</v>
      </c>
    </row>
    <row r="17" spans="1:7" x14ac:dyDescent="0.2">
      <c r="A17" s="9">
        <v>41699</v>
      </c>
      <c r="B17" s="2">
        <v>56.299999</v>
      </c>
      <c r="C17" s="2">
        <v>61.48</v>
      </c>
      <c r="D17" s="2">
        <v>55.689999</v>
      </c>
      <c r="E17" s="2">
        <v>60.709999000000003</v>
      </c>
      <c r="F17" s="2">
        <v>47.251182999999997</v>
      </c>
      <c r="G17" s="2">
        <v>425852600</v>
      </c>
    </row>
    <row r="18" spans="1:7" x14ac:dyDescent="0.2">
      <c r="A18" s="9">
        <v>41730</v>
      </c>
      <c r="B18" s="2">
        <v>60.950001</v>
      </c>
      <c r="C18" s="2">
        <v>61.290000999999997</v>
      </c>
      <c r="D18" s="2">
        <v>54.349997999999999</v>
      </c>
      <c r="E18" s="2">
        <v>55.98</v>
      </c>
      <c r="F18" s="2">
        <v>43.569777999999999</v>
      </c>
      <c r="G18" s="2">
        <v>408990800</v>
      </c>
    </row>
    <row r="19" spans="1:7" x14ac:dyDescent="0.2">
      <c r="A19" s="9">
        <v>41760</v>
      </c>
      <c r="B19" s="2">
        <v>55.919998</v>
      </c>
      <c r="C19" s="2">
        <v>56.369999</v>
      </c>
      <c r="D19" s="2">
        <v>52.970001000000003</v>
      </c>
      <c r="E19" s="2">
        <v>55.57</v>
      </c>
      <c r="F19" s="2">
        <v>43.523266</v>
      </c>
      <c r="G19" s="2">
        <v>315091600</v>
      </c>
    </row>
    <row r="20" spans="1:7" x14ac:dyDescent="0.2">
      <c r="A20" s="9">
        <v>41791</v>
      </c>
      <c r="B20" s="2">
        <v>55.650002000000001</v>
      </c>
      <c r="C20" s="2">
        <v>58.220001000000003</v>
      </c>
      <c r="D20" s="2">
        <v>55.02</v>
      </c>
      <c r="E20" s="2">
        <v>57.619999</v>
      </c>
      <c r="F20" s="2">
        <v>45.128867999999997</v>
      </c>
      <c r="G20" s="2">
        <v>263682000</v>
      </c>
    </row>
    <row r="21" spans="1:7" x14ac:dyDescent="0.2">
      <c r="A21" s="9">
        <v>41821</v>
      </c>
      <c r="B21" s="2">
        <v>57.150002000000001</v>
      </c>
      <c r="C21" s="2">
        <v>59.349997999999999</v>
      </c>
      <c r="D21" s="2">
        <v>54.959999000000003</v>
      </c>
      <c r="E21" s="2">
        <v>57.669998</v>
      </c>
      <c r="F21" s="2">
        <v>45.168025999999998</v>
      </c>
      <c r="G21" s="2">
        <v>317245600</v>
      </c>
    </row>
    <row r="22" spans="1:7" x14ac:dyDescent="0.2">
      <c r="A22" s="9">
        <v>41852</v>
      </c>
      <c r="B22" s="2">
        <v>57.389999000000003</v>
      </c>
      <c r="C22" s="2">
        <v>59.950001</v>
      </c>
      <c r="D22" s="2">
        <v>55.599997999999999</v>
      </c>
      <c r="E22" s="2">
        <v>59.450001</v>
      </c>
      <c r="F22" s="2">
        <v>46.887642</v>
      </c>
      <c r="G22" s="2">
        <v>241542700</v>
      </c>
    </row>
    <row r="23" spans="1:7" x14ac:dyDescent="0.2">
      <c r="A23" s="9">
        <v>41883</v>
      </c>
      <c r="B23" s="2">
        <v>59.459999000000003</v>
      </c>
      <c r="C23" s="2">
        <v>61.849997999999999</v>
      </c>
      <c r="D23" s="2">
        <v>58.779998999999997</v>
      </c>
      <c r="E23" s="2">
        <v>60.240001999999997</v>
      </c>
      <c r="F23" s="2">
        <v>47.510722999999999</v>
      </c>
      <c r="G23" s="2">
        <v>264895100</v>
      </c>
    </row>
    <row r="24" spans="1:7" x14ac:dyDescent="0.2">
      <c r="A24" s="9">
        <v>41913</v>
      </c>
      <c r="B24" s="2">
        <v>60.240001999999997</v>
      </c>
      <c r="C24" s="2">
        <v>60.799999</v>
      </c>
      <c r="D24" s="2">
        <v>54.259998000000003</v>
      </c>
      <c r="E24" s="2">
        <v>60.48</v>
      </c>
      <c r="F24" s="2">
        <v>47.700001</v>
      </c>
      <c r="G24" s="2">
        <v>415450800</v>
      </c>
    </row>
    <row r="25" spans="1:7" x14ac:dyDescent="0.2">
      <c r="A25" s="9">
        <v>41944</v>
      </c>
      <c r="B25" s="2">
        <v>60.790000999999997</v>
      </c>
      <c r="C25" s="2">
        <v>61.93</v>
      </c>
      <c r="D25" s="2">
        <v>59.419998</v>
      </c>
      <c r="E25" s="2">
        <v>60.16</v>
      </c>
      <c r="F25" s="2">
        <v>47.767288000000001</v>
      </c>
      <c r="G25" s="2">
        <v>211518300</v>
      </c>
    </row>
    <row r="26" spans="1:7" x14ac:dyDescent="0.2">
      <c r="A26" s="9">
        <v>41974</v>
      </c>
      <c r="B26" s="2">
        <v>59.98</v>
      </c>
      <c r="C26" s="2">
        <v>63.490001999999997</v>
      </c>
      <c r="D26" s="2">
        <v>58.110000999999997</v>
      </c>
      <c r="E26" s="2">
        <v>62.580002</v>
      </c>
      <c r="F26" s="2">
        <v>49.688782000000003</v>
      </c>
      <c r="G26" s="2">
        <v>347616300</v>
      </c>
    </row>
    <row r="27" spans="1:7" x14ac:dyDescent="0.2">
      <c r="A27" s="9">
        <v>42005</v>
      </c>
      <c r="B27" s="2">
        <v>62.18</v>
      </c>
      <c r="C27" s="2">
        <v>62.959999000000003</v>
      </c>
      <c r="D27" s="2">
        <v>54.369999</v>
      </c>
      <c r="E27" s="2">
        <v>54.380001</v>
      </c>
      <c r="F27" s="2">
        <v>43.177943999999997</v>
      </c>
      <c r="G27" s="2">
        <v>468205900</v>
      </c>
    </row>
    <row r="28" spans="1:7" x14ac:dyDescent="0.2">
      <c r="A28" s="9">
        <v>42036</v>
      </c>
      <c r="B28" s="2">
        <v>54.529998999999997</v>
      </c>
      <c r="C28" s="2">
        <v>61.919998</v>
      </c>
      <c r="D28" s="2">
        <v>54.27</v>
      </c>
      <c r="E28" s="2">
        <v>61.279998999999997</v>
      </c>
      <c r="F28" s="2">
        <v>48.969582000000003</v>
      </c>
      <c r="G28" s="2">
        <v>319008100</v>
      </c>
    </row>
    <row r="29" spans="1:7" x14ac:dyDescent="0.2">
      <c r="A29" s="9">
        <v>42064</v>
      </c>
      <c r="B29" s="2">
        <v>61.279998999999997</v>
      </c>
      <c r="C29" s="2">
        <v>62.869999</v>
      </c>
      <c r="D29" s="2">
        <v>58.869999</v>
      </c>
      <c r="E29" s="2">
        <v>60.580002</v>
      </c>
      <c r="F29" s="2">
        <v>48.410209999999999</v>
      </c>
      <c r="G29" s="2">
        <v>332553100</v>
      </c>
    </row>
    <row r="30" spans="1:7" x14ac:dyDescent="0.2">
      <c r="A30" s="9">
        <v>42095</v>
      </c>
      <c r="B30" s="2">
        <v>60.41</v>
      </c>
      <c r="C30" s="2">
        <v>64.480002999999996</v>
      </c>
      <c r="D30" s="2">
        <v>59.650002000000001</v>
      </c>
      <c r="E30" s="2">
        <v>63.259998000000003</v>
      </c>
      <c r="F30" s="2">
        <v>50.551825999999998</v>
      </c>
      <c r="G30" s="2">
        <v>325069500</v>
      </c>
    </row>
    <row r="31" spans="1:7" x14ac:dyDescent="0.2">
      <c r="A31" s="9">
        <v>42125</v>
      </c>
      <c r="B31" s="2">
        <v>63.700001</v>
      </c>
      <c r="C31" s="2">
        <v>67.190002000000007</v>
      </c>
      <c r="D31" s="2">
        <v>63.25</v>
      </c>
      <c r="E31" s="2">
        <v>65.779999000000004</v>
      </c>
      <c r="F31" s="2">
        <v>52.914977999999998</v>
      </c>
      <c r="G31" s="2">
        <v>267792200</v>
      </c>
    </row>
    <row r="32" spans="1:7" x14ac:dyDescent="0.2">
      <c r="A32" s="9">
        <v>42156</v>
      </c>
      <c r="B32" s="2">
        <v>65.989998</v>
      </c>
      <c r="C32" s="2">
        <v>69.819999999999993</v>
      </c>
      <c r="D32" s="2">
        <v>65.580001999999993</v>
      </c>
      <c r="E32" s="2">
        <v>67.760002</v>
      </c>
      <c r="F32" s="2">
        <v>54.507731999999997</v>
      </c>
      <c r="G32" s="2">
        <v>337237800</v>
      </c>
    </row>
    <row r="33" spans="1:7" x14ac:dyDescent="0.2">
      <c r="A33" s="9">
        <v>42186</v>
      </c>
      <c r="B33" s="2">
        <v>68.120002999999997</v>
      </c>
      <c r="C33" s="2">
        <v>70.610000999999997</v>
      </c>
      <c r="D33" s="2">
        <v>65.209998999999996</v>
      </c>
      <c r="E33" s="2">
        <v>68.529999000000004</v>
      </c>
      <c r="F33" s="2">
        <v>55.127139999999997</v>
      </c>
      <c r="G33" s="2">
        <v>325426300</v>
      </c>
    </row>
    <row r="34" spans="1:7" x14ac:dyDescent="0.2">
      <c r="A34" s="9">
        <v>42217</v>
      </c>
      <c r="B34" s="2">
        <v>68.589995999999999</v>
      </c>
      <c r="C34" s="2">
        <v>69.419998000000007</v>
      </c>
      <c r="D34" s="2">
        <v>50.07</v>
      </c>
      <c r="E34" s="2">
        <v>64.099997999999999</v>
      </c>
      <c r="F34" s="2">
        <v>51.900554999999997</v>
      </c>
      <c r="G34" s="2">
        <v>373209100</v>
      </c>
    </row>
    <row r="35" spans="1:7" x14ac:dyDescent="0.2">
      <c r="A35" s="9">
        <v>42248</v>
      </c>
      <c r="B35" s="2">
        <v>62.849997999999999</v>
      </c>
      <c r="C35" s="2">
        <v>64.639999000000003</v>
      </c>
      <c r="D35" s="2">
        <v>58.73</v>
      </c>
      <c r="E35" s="2">
        <v>60.970001000000003</v>
      </c>
      <c r="F35" s="2">
        <v>49.366253</v>
      </c>
      <c r="G35" s="2">
        <v>354030500</v>
      </c>
    </row>
    <row r="36" spans="1:7" x14ac:dyDescent="0.2">
      <c r="A36" s="9">
        <v>42278</v>
      </c>
      <c r="B36" s="2">
        <v>61.119999</v>
      </c>
      <c r="C36" s="2">
        <v>65.830001999999993</v>
      </c>
      <c r="D36" s="2">
        <v>58.529998999999997</v>
      </c>
      <c r="E36" s="2">
        <v>64.25</v>
      </c>
      <c r="F36" s="2">
        <v>52.022018000000003</v>
      </c>
      <c r="G36" s="2">
        <v>332436100</v>
      </c>
    </row>
    <row r="37" spans="1:7" x14ac:dyDescent="0.2">
      <c r="A37" s="9">
        <v>42309</v>
      </c>
      <c r="B37" s="2">
        <v>64.449996999999996</v>
      </c>
      <c r="C37" s="2">
        <v>69.029999000000004</v>
      </c>
      <c r="D37" s="2">
        <v>64.389999000000003</v>
      </c>
      <c r="E37" s="2">
        <v>66.680000000000007</v>
      </c>
      <c r="F37" s="2">
        <v>54.379108000000002</v>
      </c>
      <c r="G37" s="2">
        <v>248028500</v>
      </c>
    </row>
    <row r="38" spans="1:7" x14ac:dyDescent="0.2">
      <c r="A38" s="9">
        <v>42339</v>
      </c>
      <c r="B38" s="2">
        <v>67.339995999999999</v>
      </c>
      <c r="C38" s="2">
        <v>68</v>
      </c>
      <c r="D38" s="2">
        <v>63.509998000000003</v>
      </c>
      <c r="E38" s="2">
        <v>66.029999000000004</v>
      </c>
      <c r="F38" s="2">
        <v>53.848998999999999</v>
      </c>
      <c r="G38" s="2">
        <v>316546000</v>
      </c>
    </row>
    <row r="39" spans="1:7" x14ac:dyDescent="0.2">
      <c r="A39" s="9">
        <v>42370</v>
      </c>
      <c r="B39" s="2">
        <v>63.950001</v>
      </c>
      <c r="C39" s="2">
        <v>64.129997000000003</v>
      </c>
      <c r="D39" s="2">
        <v>54.66</v>
      </c>
      <c r="E39" s="2">
        <v>59.5</v>
      </c>
      <c r="F39" s="2">
        <v>48.52364</v>
      </c>
      <c r="G39" s="2">
        <v>470257300</v>
      </c>
    </row>
    <row r="40" spans="1:7" x14ac:dyDescent="0.2">
      <c r="A40" s="9">
        <v>42401</v>
      </c>
      <c r="B40" s="2">
        <v>59.16</v>
      </c>
      <c r="C40" s="2">
        <v>59.650002000000001</v>
      </c>
      <c r="D40" s="2">
        <v>52.5</v>
      </c>
      <c r="E40" s="2">
        <v>56.299999</v>
      </c>
      <c r="F40" s="2">
        <v>46.221969999999999</v>
      </c>
      <c r="G40" s="2">
        <v>477952300</v>
      </c>
    </row>
    <row r="41" spans="1:7" x14ac:dyDescent="0.2">
      <c r="A41" s="9">
        <v>42430</v>
      </c>
      <c r="B41" s="2">
        <v>56.759998000000003</v>
      </c>
      <c r="C41" s="2">
        <v>60.970001000000003</v>
      </c>
      <c r="D41" s="2">
        <v>56.669998</v>
      </c>
      <c r="E41" s="2">
        <v>59.220001000000003</v>
      </c>
      <c r="F41" s="2">
        <v>48.619267000000001</v>
      </c>
      <c r="G41" s="2">
        <v>356907400</v>
      </c>
    </row>
    <row r="42" spans="1:7" x14ac:dyDescent="0.2">
      <c r="A42" s="9">
        <v>42461</v>
      </c>
      <c r="B42" s="2">
        <v>59.02</v>
      </c>
      <c r="C42" s="2">
        <v>64.660004000000001</v>
      </c>
      <c r="D42" s="2">
        <v>57.07</v>
      </c>
      <c r="E42" s="2">
        <v>63.200001</v>
      </c>
      <c r="F42" s="2">
        <v>51.886825999999999</v>
      </c>
      <c r="G42" s="2">
        <v>344767700</v>
      </c>
    </row>
    <row r="43" spans="1:7" x14ac:dyDescent="0.2">
      <c r="A43" s="9">
        <v>42491</v>
      </c>
      <c r="B43" s="2">
        <v>63.689999</v>
      </c>
      <c r="C43" s="2">
        <v>66.199996999999996</v>
      </c>
      <c r="D43" s="2">
        <v>60.59</v>
      </c>
      <c r="E43" s="2">
        <v>65.269997000000004</v>
      </c>
      <c r="F43" s="2">
        <v>53.983024999999998</v>
      </c>
      <c r="G43" s="2">
        <v>283915300</v>
      </c>
    </row>
    <row r="44" spans="1:7" x14ac:dyDescent="0.2">
      <c r="A44" s="9">
        <v>42522</v>
      </c>
      <c r="B44" s="2">
        <v>64.760002</v>
      </c>
      <c r="C44" s="2">
        <v>65.919998000000007</v>
      </c>
      <c r="D44" s="2">
        <v>57.049999</v>
      </c>
      <c r="E44" s="2">
        <v>62.139999000000003</v>
      </c>
      <c r="F44" s="2">
        <v>51.394275999999998</v>
      </c>
      <c r="G44" s="2">
        <v>394697700</v>
      </c>
    </row>
    <row r="45" spans="1:7" x14ac:dyDescent="0.2">
      <c r="A45" s="9">
        <v>42552</v>
      </c>
      <c r="B45" s="2">
        <v>61.66</v>
      </c>
      <c r="C45" s="2">
        <v>64.980002999999996</v>
      </c>
      <c r="D45" s="2">
        <v>58.759998000000003</v>
      </c>
      <c r="E45" s="2">
        <v>63.970001000000003</v>
      </c>
      <c r="F45" s="2">
        <v>52.907822000000003</v>
      </c>
      <c r="G45" s="2">
        <v>283878900</v>
      </c>
    </row>
    <row r="46" spans="1:7" x14ac:dyDescent="0.2">
      <c r="A46" s="9">
        <v>42583</v>
      </c>
      <c r="B46" s="2">
        <v>64.150002000000001</v>
      </c>
      <c r="C46" s="2">
        <v>67.769997000000004</v>
      </c>
      <c r="D46" s="2">
        <v>63.380001</v>
      </c>
      <c r="E46" s="2">
        <v>67.5</v>
      </c>
      <c r="F46" s="2">
        <v>56.261992999999997</v>
      </c>
      <c r="G46" s="2">
        <v>263306200</v>
      </c>
    </row>
    <row r="47" spans="1:7" x14ac:dyDescent="0.2">
      <c r="A47" s="9">
        <v>42614</v>
      </c>
      <c r="B47" s="2">
        <v>67.639999000000003</v>
      </c>
      <c r="C47" s="2">
        <v>67.900002000000001</v>
      </c>
      <c r="D47" s="2">
        <v>65.110000999999997</v>
      </c>
      <c r="E47" s="2">
        <v>66.589995999999999</v>
      </c>
      <c r="F47" s="2">
        <v>55.503483000000003</v>
      </c>
      <c r="G47" s="2">
        <v>316507200</v>
      </c>
    </row>
    <row r="48" spans="1:7" x14ac:dyDescent="0.2">
      <c r="A48" s="9">
        <v>42644</v>
      </c>
      <c r="B48" s="2">
        <v>66.349997999999999</v>
      </c>
      <c r="C48" s="2">
        <v>69.769997000000004</v>
      </c>
      <c r="D48" s="2">
        <v>66.099997999999999</v>
      </c>
      <c r="E48" s="2">
        <v>69.260002</v>
      </c>
      <c r="F48" s="2">
        <v>57.728969999999997</v>
      </c>
      <c r="G48" s="2">
        <v>304123000</v>
      </c>
    </row>
    <row r="49" spans="1:7" x14ac:dyDescent="0.2">
      <c r="A49" s="9">
        <v>42675</v>
      </c>
      <c r="B49" s="2">
        <v>69.480002999999996</v>
      </c>
      <c r="C49" s="2">
        <v>80.529999000000004</v>
      </c>
      <c r="D49" s="2">
        <v>67.639999000000003</v>
      </c>
      <c r="E49" s="2">
        <v>80.169998000000007</v>
      </c>
      <c r="F49" s="2">
        <v>67.308327000000006</v>
      </c>
      <c r="G49" s="2">
        <v>458561900</v>
      </c>
    </row>
    <row r="50" spans="1:7" x14ac:dyDescent="0.2">
      <c r="A50" s="9">
        <v>42705</v>
      </c>
      <c r="B50" s="2">
        <v>80.650002000000001</v>
      </c>
      <c r="C50" s="2">
        <v>87.389999000000003</v>
      </c>
      <c r="D50" s="2">
        <v>80.650002000000001</v>
      </c>
      <c r="E50" s="2">
        <v>86.290001000000004</v>
      </c>
      <c r="F50" s="2">
        <v>72.446510000000004</v>
      </c>
      <c r="G50" s="2">
        <v>343139500</v>
      </c>
    </row>
    <row r="51" spans="1:7" x14ac:dyDescent="0.2">
      <c r="A51" s="9">
        <v>42736</v>
      </c>
      <c r="B51" s="2">
        <v>87.339995999999999</v>
      </c>
      <c r="C51" s="2">
        <v>88.169998000000007</v>
      </c>
      <c r="D51" s="2">
        <v>83.029999000000004</v>
      </c>
      <c r="E51" s="2">
        <v>84.629997000000003</v>
      </c>
      <c r="F51" s="2">
        <v>71.052802999999997</v>
      </c>
      <c r="G51" s="2">
        <v>343161300</v>
      </c>
    </row>
    <row r="52" spans="1:7" x14ac:dyDescent="0.2">
      <c r="A52" s="9">
        <v>42767</v>
      </c>
      <c r="B52" s="2">
        <v>85.540001000000004</v>
      </c>
      <c r="C52" s="2">
        <v>91.339995999999999</v>
      </c>
      <c r="D52" s="2">
        <v>84.160004000000001</v>
      </c>
      <c r="E52" s="2">
        <v>90.620002999999997</v>
      </c>
      <c r="F52" s="2">
        <v>76.502799999999993</v>
      </c>
      <c r="G52" s="2">
        <v>271414600</v>
      </c>
    </row>
    <row r="53" spans="1:7" x14ac:dyDescent="0.2">
      <c r="A53" s="9">
        <v>42795</v>
      </c>
      <c r="B53" s="2">
        <v>92.790001000000004</v>
      </c>
      <c r="C53" s="2">
        <v>93.980002999999996</v>
      </c>
      <c r="D53" s="2">
        <v>85.230002999999996</v>
      </c>
      <c r="E53" s="2">
        <v>87.839995999999999</v>
      </c>
      <c r="F53" s="2">
        <v>74.155884</v>
      </c>
      <c r="G53" s="2">
        <v>371669000</v>
      </c>
    </row>
    <row r="54" spans="1:7" x14ac:dyDescent="0.2">
      <c r="A54" s="9">
        <v>42826</v>
      </c>
      <c r="B54" s="2">
        <v>87.989998</v>
      </c>
      <c r="C54" s="2">
        <v>89.129997000000003</v>
      </c>
      <c r="D54" s="2">
        <v>84.360000999999997</v>
      </c>
      <c r="E54" s="2">
        <v>87</v>
      </c>
      <c r="F54" s="2">
        <v>73.446753999999999</v>
      </c>
      <c r="G54" s="2">
        <v>321139800</v>
      </c>
    </row>
    <row r="55" spans="1:7" x14ac:dyDescent="0.2">
      <c r="A55" s="9">
        <v>42856</v>
      </c>
      <c r="B55" s="2">
        <v>87.360000999999997</v>
      </c>
      <c r="C55" s="2">
        <v>88.089995999999999</v>
      </c>
      <c r="D55" s="2">
        <v>81.639999000000003</v>
      </c>
      <c r="E55" s="2">
        <v>82.150002000000001</v>
      </c>
      <c r="F55" s="2">
        <v>69.750786000000005</v>
      </c>
      <c r="G55" s="2">
        <v>283639500</v>
      </c>
    </row>
    <row r="56" spans="1:7" x14ac:dyDescent="0.2">
      <c r="A56" s="9">
        <v>42887</v>
      </c>
      <c r="B56" s="2">
        <v>82.459998999999996</v>
      </c>
      <c r="C56" s="2">
        <v>92.650002000000001</v>
      </c>
      <c r="D56" s="2">
        <v>81.650002000000001</v>
      </c>
      <c r="E56" s="2">
        <v>91.400002000000001</v>
      </c>
      <c r="F56" s="2">
        <v>77.604645000000005</v>
      </c>
      <c r="G56" s="2">
        <v>334136800</v>
      </c>
    </row>
    <row r="57" spans="1:7" x14ac:dyDescent="0.2">
      <c r="A57" s="9">
        <v>42917</v>
      </c>
      <c r="B57" s="2">
        <v>91.559997999999993</v>
      </c>
      <c r="C57" s="2">
        <v>94.510002</v>
      </c>
      <c r="D57" s="2">
        <v>90.32</v>
      </c>
      <c r="E57" s="2">
        <v>91.800003000000004</v>
      </c>
      <c r="F57" s="2">
        <v>77.944282999999999</v>
      </c>
      <c r="G57" s="2">
        <v>271473000</v>
      </c>
    </row>
    <row r="58" spans="1:7" x14ac:dyDescent="0.2">
      <c r="A58" s="9">
        <v>42948</v>
      </c>
      <c r="B58" s="2">
        <v>92.489998</v>
      </c>
      <c r="C58" s="2">
        <v>95.220000999999996</v>
      </c>
      <c r="D58" s="2">
        <v>90.160004000000001</v>
      </c>
      <c r="E58" s="2">
        <v>90.889999000000003</v>
      </c>
      <c r="F58" s="2">
        <v>77.596123000000006</v>
      </c>
      <c r="G58" s="2">
        <v>253237800</v>
      </c>
    </row>
    <row r="59" spans="1:7" x14ac:dyDescent="0.2">
      <c r="A59" s="9">
        <v>42979</v>
      </c>
      <c r="B59" s="2">
        <v>91.25</v>
      </c>
      <c r="C59" s="2">
        <v>95.879997000000003</v>
      </c>
      <c r="D59" s="2">
        <v>88.080001999999993</v>
      </c>
      <c r="E59" s="2">
        <v>95.510002</v>
      </c>
      <c r="F59" s="2">
        <v>81.540358999999995</v>
      </c>
      <c r="G59" s="2">
        <v>250922800</v>
      </c>
    </row>
    <row r="60" spans="1:7" x14ac:dyDescent="0.2">
      <c r="A60" s="9">
        <v>43009</v>
      </c>
      <c r="B60" s="2">
        <v>95.769997000000004</v>
      </c>
      <c r="C60" s="2">
        <v>102.41999800000001</v>
      </c>
      <c r="D60" s="2">
        <v>94.959998999999996</v>
      </c>
      <c r="E60" s="2">
        <v>100.610001</v>
      </c>
      <c r="F60" s="2">
        <v>85.894431999999995</v>
      </c>
      <c r="G60" s="2">
        <v>259433200</v>
      </c>
    </row>
    <row r="61" spans="1:7" x14ac:dyDescent="0.2">
      <c r="A61" s="9">
        <v>43040</v>
      </c>
      <c r="B61" s="2">
        <v>101.099998</v>
      </c>
      <c r="C61" s="2">
        <v>106.660004</v>
      </c>
      <c r="D61" s="2">
        <v>95.949996999999996</v>
      </c>
      <c r="E61" s="2">
        <v>104.519997</v>
      </c>
      <c r="F61" s="2">
        <v>89.754142999999999</v>
      </c>
      <c r="G61" s="2">
        <v>256086400</v>
      </c>
    </row>
    <row r="62" spans="1:7" x14ac:dyDescent="0.2">
      <c r="A62" s="9">
        <v>43070</v>
      </c>
      <c r="B62" s="2">
        <v>104.900002</v>
      </c>
      <c r="C62" s="2">
        <v>108.459999</v>
      </c>
      <c r="D62" s="2">
        <v>102.199997</v>
      </c>
      <c r="E62" s="2">
        <v>106.94000200000001</v>
      </c>
      <c r="F62" s="2">
        <v>91.832290999999998</v>
      </c>
      <c r="G62" s="2">
        <v>284432100</v>
      </c>
    </row>
    <row r="63" spans="1:7" x14ac:dyDescent="0.2">
      <c r="A63" s="9">
        <v>43101</v>
      </c>
      <c r="B63" s="2">
        <v>107.629997</v>
      </c>
      <c r="C63" s="2">
        <v>117.349998</v>
      </c>
      <c r="D63" s="2">
        <v>106.80999799999999</v>
      </c>
      <c r="E63" s="2">
        <v>115.66999800000001</v>
      </c>
      <c r="F63" s="2">
        <v>99.328957000000003</v>
      </c>
      <c r="G63" s="2">
        <v>304940100</v>
      </c>
    </row>
    <row r="64" spans="1:7" x14ac:dyDescent="0.2">
      <c r="A64" s="9">
        <v>43132</v>
      </c>
      <c r="B64" s="2">
        <v>115.769997</v>
      </c>
      <c r="C64" s="2">
        <v>119.33000199999999</v>
      </c>
      <c r="D64" s="2">
        <v>103.980003</v>
      </c>
      <c r="E64" s="2">
        <v>115.5</v>
      </c>
      <c r="F64" s="2">
        <v>99.699637999999993</v>
      </c>
      <c r="G64" s="2">
        <v>354632300</v>
      </c>
    </row>
    <row r="65" spans="1:7" x14ac:dyDescent="0.2">
      <c r="A65" s="9">
        <v>43160</v>
      </c>
      <c r="B65" s="2">
        <v>115.480003</v>
      </c>
      <c r="C65" s="2">
        <v>118.75</v>
      </c>
      <c r="D65" s="2">
        <v>106.650002</v>
      </c>
      <c r="E65" s="2">
        <v>109.970001</v>
      </c>
      <c r="F65" s="2">
        <v>94.926147</v>
      </c>
      <c r="G65" s="2">
        <v>321513800</v>
      </c>
    </row>
    <row r="66" spans="1:7" x14ac:dyDescent="0.2">
      <c r="A66" s="9">
        <v>43191</v>
      </c>
      <c r="B66" s="2">
        <v>109.959999</v>
      </c>
      <c r="C66" s="2">
        <v>115.150002</v>
      </c>
      <c r="D66" s="2">
        <v>106.08000199999999</v>
      </c>
      <c r="E66" s="2">
        <v>108.779999</v>
      </c>
      <c r="F66" s="2">
        <v>93.898949000000002</v>
      </c>
      <c r="G66" s="2">
        <v>340100300</v>
      </c>
    </row>
    <row r="67" spans="1:7" x14ac:dyDescent="0.2">
      <c r="A67" s="9">
        <v>43221</v>
      </c>
      <c r="B67" s="2">
        <v>108.449997</v>
      </c>
      <c r="C67" s="2">
        <v>114.730003</v>
      </c>
      <c r="D67" s="2">
        <v>104.959999</v>
      </c>
      <c r="E67" s="2">
        <v>107.010002</v>
      </c>
      <c r="F67" s="2">
        <v>92.839493000000004</v>
      </c>
      <c r="G67" s="2">
        <v>273649200</v>
      </c>
    </row>
    <row r="68" spans="1:7" x14ac:dyDescent="0.2">
      <c r="A68" s="9">
        <v>43252</v>
      </c>
      <c r="B68" s="2">
        <v>108.339996</v>
      </c>
      <c r="C68" s="2">
        <v>111.910004</v>
      </c>
      <c r="D68" s="2">
        <v>103.110001</v>
      </c>
      <c r="E68" s="2">
        <v>104.199997</v>
      </c>
      <c r="F68" s="2">
        <v>90.401611000000003</v>
      </c>
      <c r="G68" s="2">
        <v>307772000</v>
      </c>
    </row>
    <row r="69" spans="1:7" x14ac:dyDescent="0.2">
      <c r="A69" s="9">
        <v>43282</v>
      </c>
      <c r="B69" s="2">
        <v>103.720001</v>
      </c>
      <c r="C69" s="2">
        <v>117.610001</v>
      </c>
      <c r="D69" s="2">
        <v>102.199997</v>
      </c>
      <c r="E69" s="2">
        <v>114.949997</v>
      </c>
      <c r="F69" s="2">
        <v>99.728049999999996</v>
      </c>
      <c r="G69" s="2">
        <v>298256100</v>
      </c>
    </row>
    <row r="70" spans="1:7" x14ac:dyDescent="0.2">
      <c r="A70" s="9">
        <v>43313</v>
      </c>
      <c r="B70" s="2">
        <v>115.75</v>
      </c>
      <c r="C70" s="2">
        <v>118.290001</v>
      </c>
      <c r="D70" s="2">
        <v>112.970001</v>
      </c>
      <c r="E70" s="2">
        <v>114.58000199999999</v>
      </c>
      <c r="F70" s="2">
        <v>99.947249999999997</v>
      </c>
      <c r="G70" s="2">
        <v>234427900</v>
      </c>
    </row>
    <row r="71" spans="1:7" x14ac:dyDescent="0.2">
      <c r="A71" s="9">
        <v>43344</v>
      </c>
      <c r="B71" s="2">
        <v>114.339996</v>
      </c>
      <c r="C71" s="2">
        <v>119.239998</v>
      </c>
      <c r="D71" s="2">
        <v>112.519997</v>
      </c>
      <c r="E71" s="2">
        <v>112.839996</v>
      </c>
      <c r="F71" s="2">
        <v>98.429473999999999</v>
      </c>
      <c r="G71" s="2">
        <v>232549000</v>
      </c>
    </row>
    <row r="72" spans="1:7" x14ac:dyDescent="0.2">
      <c r="A72" s="9">
        <v>43374</v>
      </c>
      <c r="B72" s="2">
        <v>113.370003</v>
      </c>
      <c r="C72" s="2">
        <v>116.80999799999999</v>
      </c>
      <c r="D72" s="2">
        <v>102.730003</v>
      </c>
      <c r="E72" s="2">
        <v>109.019997</v>
      </c>
      <c r="F72" s="2">
        <v>95.097313</v>
      </c>
      <c r="G72" s="2">
        <v>433042000</v>
      </c>
    </row>
    <row r="73" spans="1:7" x14ac:dyDescent="0.2">
      <c r="A73" s="9">
        <v>43405</v>
      </c>
      <c r="B73" s="2">
        <v>109.620003</v>
      </c>
      <c r="C73" s="2">
        <v>112.93</v>
      </c>
      <c r="D73" s="2">
        <v>105.980003</v>
      </c>
      <c r="E73" s="2">
        <v>111.19000200000001</v>
      </c>
      <c r="F73" s="2">
        <v>97.669380000000004</v>
      </c>
      <c r="G73" s="2">
        <v>283227700</v>
      </c>
    </row>
    <row r="74" spans="1:7" x14ac:dyDescent="0.2">
      <c r="A74" s="9">
        <v>43435</v>
      </c>
      <c r="B74" s="2">
        <v>112.379997</v>
      </c>
      <c r="C74" s="2">
        <v>112.889999</v>
      </c>
      <c r="D74" s="2">
        <v>91.110000999999997</v>
      </c>
      <c r="E74" s="2">
        <v>97.620002999999997</v>
      </c>
      <c r="F74" s="2">
        <v>85.749504000000002</v>
      </c>
      <c r="G74" s="2">
        <v>425217000</v>
      </c>
    </row>
    <row r="75" spans="1:7" x14ac:dyDescent="0.2">
      <c r="A75" s="9">
        <v>43466</v>
      </c>
      <c r="B75" s="2">
        <v>95.949996999999996</v>
      </c>
      <c r="C75" s="2">
        <v>105.239998</v>
      </c>
      <c r="D75" s="2">
        <v>95.940002000000007</v>
      </c>
      <c r="E75" s="2">
        <v>103.5</v>
      </c>
      <c r="F75" s="2">
        <v>90.914482000000007</v>
      </c>
      <c r="G75" s="2">
        <v>325890900</v>
      </c>
    </row>
    <row r="76" spans="1:7" x14ac:dyDescent="0.2">
      <c r="A76" s="9">
        <v>43497</v>
      </c>
      <c r="B76" s="2">
        <v>104</v>
      </c>
      <c r="C76" s="2">
        <v>107.269997</v>
      </c>
      <c r="D76" s="2">
        <v>100.05999799999999</v>
      </c>
      <c r="E76" s="2">
        <v>104.360001</v>
      </c>
      <c r="F76" s="2">
        <v>92.414344999999997</v>
      </c>
      <c r="G76" s="2">
        <v>224935100</v>
      </c>
    </row>
    <row r="77" spans="1:7" x14ac:dyDescent="0.2">
      <c r="A77" s="9">
        <v>43525</v>
      </c>
      <c r="B77" s="2">
        <v>105.099998</v>
      </c>
      <c r="C77" s="2">
        <v>108.400002</v>
      </c>
      <c r="D77" s="2">
        <v>98.089995999999999</v>
      </c>
      <c r="E77" s="2">
        <v>101.230003</v>
      </c>
      <c r="F77" s="2">
        <v>89.642646999999997</v>
      </c>
      <c r="G77" s="2">
        <v>306599600</v>
      </c>
    </row>
    <row r="78" spans="1:7" x14ac:dyDescent="0.2">
      <c r="A78" s="9">
        <v>43556</v>
      </c>
      <c r="B78" s="2">
        <v>102.150002</v>
      </c>
      <c r="C78" s="2">
        <v>117.160004</v>
      </c>
      <c r="D78" s="2">
        <v>102.120003</v>
      </c>
      <c r="E78" s="2">
        <v>116.050003</v>
      </c>
      <c r="F78" s="2">
        <v>102.76625799999999</v>
      </c>
      <c r="G78" s="2">
        <v>252516300</v>
      </c>
    </row>
    <row r="79" spans="1:7" x14ac:dyDescent="0.2">
      <c r="A79" s="9">
        <v>43586</v>
      </c>
      <c r="B79" s="2">
        <v>115.720001</v>
      </c>
      <c r="C79" s="2">
        <v>117</v>
      </c>
      <c r="D79" s="2">
        <v>104.839996</v>
      </c>
      <c r="E79" s="2">
        <v>105.959999</v>
      </c>
      <c r="F79" s="2">
        <v>94.549201999999994</v>
      </c>
      <c r="G79" s="2">
        <v>230711900</v>
      </c>
    </row>
    <row r="80" spans="1:7" x14ac:dyDescent="0.2">
      <c r="A80" s="9">
        <v>43617</v>
      </c>
      <c r="B80" s="2">
        <v>105.800003</v>
      </c>
      <c r="C80" s="2">
        <v>112.43</v>
      </c>
      <c r="D80" s="2">
        <v>105.300003</v>
      </c>
      <c r="E80" s="2">
        <v>111.800003</v>
      </c>
      <c r="F80" s="2">
        <v>99.760300000000001</v>
      </c>
      <c r="G80" s="2">
        <v>248214000</v>
      </c>
    </row>
    <row r="81" spans="1:7" x14ac:dyDescent="0.2">
      <c r="A81" s="9">
        <v>43647</v>
      </c>
      <c r="B81" s="2">
        <v>113.230003</v>
      </c>
      <c r="C81" s="2">
        <v>117.239998</v>
      </c>
      <c r="D81" s="2">
        <v>112.150002</v>
      </c>
      <c r="E81" s="2">
        <v>116</v>
      </c>
      <c r="F81" s="2">
        <v>103.50799600000001</v>
      </c>
      <c r="G81" s="2">
        <v>232008700</v>
      </c>
    </row>
    <row r="82" spans="1:7" x14ac:dyDescent="0.2">
      <c r="A82" s="9">
        <v>43678</v>
      </c>
      <c r="B82" s="2">
        <v>115.33000199999999</v>
      </c>
      <c r="C82" s="2">
        <v>116.800003</v>
      </c>
      <c r="D82" s="2">
        <v>104.339996</v>
      </c>
      <c r="E82" s="2">
        <v>109.860001</v>
      </c>
      <c r="F82" s="2">
        <v>98.723220999999995</v>
      </c>
      <c r="G82" s="2">
        <v>259393900</v>
      </c>
    </row>
    <row r="83" spans="1:7" x14ac:dyDescent="0.2">
      <c r="A83" s="9">
        <v>43709</v>
      </c>
      <c r="B83" s="2">
        <v>108.980003</v>
      </c>
      <c r="C83" s="2">
        <v>120.400002</v>
      </c>
      <c r="D83" s="2">
        <v>107.32</v>
      </c>
      <c r="E83" s="2">
        <v>117.69000200000001</v>
      </c>
      <c r="F83" s="2">
        <v>105.75947600000001</v>
      </c>
      <c r="G83" s="2">
        <v>229360700</v>
      </c>
    </row>
    <row r="84" spans="1:7" x14ac:dyDescent="0.2">
      <c r="A84" s="9">
        <v>43739</v>
      </c>
      <c r="B84" s="2">
        <v>118.400002</v>
      </c>
      <c r="C84" s="2">
        <v>127.41999800000001</v>
      </c>
      <c r="D84" s="2">
        <v>110.519997</v>
      </c>
      <c r="E84" s="2">
        <v>124.91999800000001</v>
      </c>
      <c r="F84" s="2">
        <v>112.256561</v>
      </c>
      <c r="G84" s="2">
        <v>251981600</v>
      </c>
    </row>
    <row r="85" spans="1:7" x14ac:dyDescent="0.2">
      <c r="A85" s="9">
        <v>43770</v>
      </c>
      <c r="B85" s="2">
        <v>126.199997</v>
      </c>
      <c r="C85" s="2">
        <v>132.429993</v>
      </c>
      <c r="D85" s="2">
        <v>126.019997</v>
      </c>
      <c r="E85" s="2">
        <v>131.759995</v>
      </c>
      <c r="F85" s="2">
        <v>119.351646</v>
      </c>
      <c r="G85" s="2">
        <v>191200900</v>
      </c>
    </row>
    <row r="86" spans="1:7" x14ac:dyDescent="0.2">
      <c r="A86" s="9">
        <v>43800</v>
      </c>
      <c r="B86" s="2">
        <v>132.30999800000001</v>
      </c>
      <c r="C86" s="2">
        <v>140.08000200000001</v>
      </c>
      <c r="D86" s="2">
        <v>128.58999600000001</v>
      </c>
      <c r="E86" s="2">
        <v>139.39999399999999</v>
      </c>
      <c r="F86" s="2">
        <v>126.272156</v>
      </c>
      <c r="G86" s="2">
        <v>212915300</v>
      </c>
    </row>
    <row r="87" spans="1:7" x14ac:dyDescent="0.2">
      <c r="A87" s="9">
        <v>43831</v>
      </c>
      <c r="B87" s="2">
        <v>139.78999300000001</v>
      </c>
      <c r="C87" s="2">
        <v>141.10000600000001</v>
      </c>
      <c r="D87" s="2">
        <v>129.71000699999999</v>
      </c>
      <c r="E87" s="2">
        <v>132.36000100000001</v>
      </c>
      <c r="F87" s="2">
        <v>119.89516399999999</v>
      </c>
      <c r="G87" s="2">
        <v>247990900</v>
      </c>
    </row>
    <row r="88" spans="1:7" x14ac:dyDescent="0.2">
      <c r="A88" s="9">
        <v>43862</v>
      </c>
      <c r="B88" s="2">
        <v>132.66000399999999</v>
      </c>
      <c r="C88" s="2">
        <v>139.28999300000001</v>
      </c>
      <c r="D88" s="2">
        <v>112.660004</v>
      </c>
      <c r="E88" s="2">
        <v>116.110001</v>
      </c>
      <c r="F88" s="2">
        <v>105.8507</v>
      </c>
      <c r="G88" s="2">
        <v>240714700</v>
      </c>
    </row>
    <row r="89" spans="1:7" x14ac:dyDescent="0.2">
      <c r="A89" s="9">
        <v>43891</v>
      </c>
      <c r="B89" s="2">
        <v>116.629997</v>
      </c>
      <c r="C89" s="2">
        <v>122.949997</v>
      </c>
      <c r="D89" s="2">
        <v>76.910004000000001</v>
      </c>
      <c r="E89" s="2">
        <v>90.029999000000004</v>
      </c>
      <c r="F89" s="2">
        <v>82.075073000000003</v>
      </c>
      <c r="G89" s="2">
        <v>734330700</v>
      </c>
    </row>
    <row r="90" spans="1:7" x14ac:dyDescent="0.2">
      <c r="A90" s="9">
        <v>43922</v>
      </c>
      <c r="B90" s="2">
        <v>85.099997999999999</v>
      </c>
      <c r="C90" s="2">
        <v>104.389999</v>
      </c>
      <c r="D90" s="2">
        <v>82.769997000000004</v>
      </c>
      <c r="E90" s="2">
        <v>95.760002</v>
      </c>
      <c r="F90" s="2">
        <v>87.298782000000003</v>
      </c>
      <c r="G90" s="2">
        <v>531938200</v>
      </c>
    </row>
    <row r="91" spans="1:7" x14ac:dyDescent="0.2">
      <c r="A91" s="9">
        <v>43952</v>
      </c>
      <c r="B91" s="2">
        <v>93.5</v>
      </c>
      <c r="C91" s="2">
        <v>102.949997</v>
      </c>
      <c r="D91" s="2">
        <v>82.400002000000001</v>
      </c>
      <c r="E91" s="2">
        <v>97.309997999999993</v>
      </c>
      <c r="F91" s="2">
        <v>89.633674999999997</v>
      </c>
      <c r="G91" s="2">
        <v>497858600</v>
      </c>
    </row>
    <row r="92" spans="1:7" x14ac:dyDescent="0.2">
      <c r="A92" s="9">
        <v>43983</v>
      </c>
      <c r="B92" s="2">
        <v>97.75</v>
      </c>
      <c r="C92" s="2">
        <v>115.769997</v>
      </c>
      <c r="D92" s="2">
        <v>92</v>
      </c>
      <c r="E92" s="2">
        <v>94.059997999999993</v>
      </c>
      <c r="F92" s="2">
        <v>86.640052999999995</v>
      </c>
      <c r="G92" s="2">
        <v>536015600</v>
      </c>
    </row>
    <row r="93" spans="1:7" x14ac:dyDescent="0.2">
      <c r="A93" s="9">
        <v>44013</v>
      </c>
      <c r="B93" s="2">
        <v>94.889999000000003</v>
      </c>
      <c r="C93" s="2">
        <v>101.290001</v>
      </c>
      <c r="D93" s="2">
        <v>90.779999000000004</v>
      </c>
      <c r="E93" s="2">
        <v>96.639999000000003</v>
      </c>
      <c r="F93" s="2">
        <v>89.016509999999997</v>
      </c>
      <c r="G93" s="2">
        <v>432613400</v>
      </c>
    </row>
    <row r="94" spans="1:7" x14ac:dyDescent="0.2">
      <c r="A94" s="9">
        <v>44044</v>
      </c>
      <c r="B94" s="2">
        <v>97.019997000000004</v>
      </c>
      <c r="C94" s="2">
        <v>106.43</v>
      </c>
      <c r="D94" s="2">
        <v>95.029999000000004</v>
      </c>
      <c r="E94" s="2">
        <v>100.19000200000001</v>
      </c>
      <c r="F94" s="2">
        <v>93.185767999999996</v>
      </c>
      <c r="G94" s="2">
        <v>319706000</v>
      </c>
    </row>
    <row r="95" spans="1:7" x14ac:dyDescent="0.2">
      <c r="A95" s="9">
        <v>44075</v>
      </c>
      <c r="B95" s="2">
        <v>99.550003000000004</v>
      </c>
      <c r="C95" s="2">
        <v>105.209999</v>
      </c>
      <c r="D95" s="2">
        <v>91.379997000000003</v>
      </c>
      <c r="E95" s="2">
        <v>96.269997000000004</v>
      </c>
      <c r="F95" s="2">
        <v>89.539824999999993</v>
      </c>
      <c r="G95" s="2">
        <v>390701400</v>
      </c>
    </row>
    <row r="96" spans="1:7" x14ac:dyDescent="0.2">
      <c r="A96" s="9">
        <v>44105</v>
      </c>
      <c r="B96" s="2">
        <v>97.120002999999997</v>
      </c>
      <c r="C96" s="2">
        <v>104.449997</v>
      </c>
      <c r="D96" s="2">
        <v>95.089995999999999</v>
      </c>
      <c r="E96" s="2">
        <v>98.040001000000004</v>
      </c>
      <c r="F96" s="2">
        <v>91.186072999999993</v>
      </c>
      <c r="G96" s="2">
        <v>325366100</v>
      </c>
    </row>
    <row r="97" spans="1:7" x14ac:dyDescent="0.2">
      <c r="A97" s="9">
        <v>44136</v>
      </c>
      <c r="B97" s="2">
        <v>99.389999000000003</v>
      </c>
      <c r="C97" s="2">
        <v>123.5</v>
      </c>
      <c r="D97" s="2">
        <v>97.860000999999997</v>
      </c>
      <c r="E97" s="2">
        <v>117.879997</v>
      </c>
      <c r="F97" s="2">
        <v>110.65643300000001</v>
      </c>
      <c r="G97" s="2">
        <v>333803100</v>
      </c>
    </row>
    <row r="98" spans="1:7" x14ac:dyDescent="0.2">
      <c r="A98" s="9">
        <v>44166</v>
      </c>
      <c r="B98" s="2">
        <v>120.339996</v>
      </c>
      <c r="C98" s="2">
        <v>127.33000199999999</v>
      </c>
      <c r="D98" s="2">
        <v>118.110001</v>
      </c>
      <c r="E98" s="2">
        <v>127.07</v>
      </c>
      <c r="F98" s="2">
        <v>119.283287</v>
      </c>
      <c r="G98" s="2">
        <v>274143300</v>
      </c>
    </row>
    <row r="99" spans="1:7" x14ac:dyDescent="0.2">
      <c r="A99" s="9">
        <v>44197</v>
      </c>
      <c r="B99" s="2">
        <v>127.5</v>
      </c>
      <c r="C99" s="2">
        <v>142.75</v>
      </c>
      <c r="D99" s="2">
        <v>123.769997</v>
      </c>
      <c r="E99" s="2">
        <v>128.66999799999999</v>
      </c>
      <c r="F99" s="2">
        <v>120.78524</v>
      </c>
      <c r="G99" s="2">
        <v>318582400</v>
      </c>
    </row>
    <row r="100" spans="1:7" x14ac:dyDescent="0.2">
      <c r="A100" s="9">
        <v>44228</v>
      </c>
      <c r="B100" s="2">
        <v>129.39999399999999</v>
      </c>
      <c r="C100" s="2">
        <v>154.89999399999999</v>
      </c>
      <c r="D100" s="2">
        <v>128.479996</v>
      </c>
      <c r="E100" s="2">
        <v>147.16999799999999</v>
      </c>
      <c r="F100" s="2">
        <v>139.14651499999999</v>
      </c>
      <c r="G100" s="2">
        <v>229245300</v>
      </c>
    </row>
    <row r="101" spans="1:7" x14ac:dyDescent="0.2">
      <c r="A101" s="9">
        <v>44256</v>
      </c>
      <c r="B101" s="2">
        <v>149.520004</v>
      </c>
      <c r="C101" s="2">
        <v>161.69000199999999</v>
      </c>
      <c r="D101" s="2">
        <v>147.970001</v>
      </c>
      <c r="E101" s="2">
        <v>152.229996</v>
      </c>
      <c r="F101" s="2">
        <v>143.93066400000001</v>
      </c>
      <c r="G101" s="2">
        <v>399416900</v>
      </c>
    </row>
    <row r="102" spans="1:7" x14ac:dyDescent="0.2">
      <c r="A102" s="9">
        <v>44287</v>
      </c>
      <c r="B102" s="2">
        <v>151.89999399999999</v>
      </c>
      <c r="C102" s="2">
        <v>157.25</v>
      </c>
      <c r="D102" s="2">
        <v>146.69000199999999</v>
      </c>
      <c r="E102" s="2">
        <v>153.80999800000001</v>
      </c>
      <c r="F102" s="2">
        <v>145.42453</v>
      </c>
      <c r="G102" s="2">
        <v>288694200</v>
      </c>
    </row>
    <row r="103" spans="1:7" x14ac:dyDescent="0.2">
      <c r="A103" s="9">
        <v>44317</v>
      </c>
      <c r="B103" s="2">
        <v>154.85000600000001</v>
      </c>
      <c r="C103" s="2">
        <v>165.699997</v>
      </c>
      <c r="D103" s="2">
        <v>152.13999899999999</v>
      </c>
      <c r="E103" s="2">
        <v>164.240005</v>
      </c>
      <c r="F103" s="2">
        <v>156.20047</v>
      </c>
      <c r="G103" s="2">
        <v>248957700</v>
      </c>
    </row>
    <row r="104" spans="1:7" x14ac:dyDescent="0.2">
      <c r="A104" s="9">
        <v>44348</v>
      </c>
      <c r="B104" s="2">
        <v>165.86999499999999</v>
      </c>
      <c r="C104" s="2">
        <v>167.44000199999999</v>
      </c>
      <c r="D104" s="2">
        <v>147.55999800000001</v>
      </c>
      <c r="E104" s="2">
        <v>155.53999300000001</v>
      </c>
      <c r="F104" s="2">
        <v>147.92631499999999</v>
      </c>
      <c r="G104" s="2">
        <v>356723300</v>
      </c>
    </row>
    <row r="105" spans="1:7" x14ac:dyDescent="0.2">
      <c r="A105" s="9">
        <v>44378</v>
      </c>
      <c r="B105" s="2">
        <v>156.259995</v>
      </c>
      <c r="C105" s="2">
        <v>159.16000399999999</v>
      </c>
      <c r="D105" s="2">
        <v>145.71000699999999</v>
      </c>
      <c r="E105" s="2">
        <v>151.779999</v>
      </c>
      <c r="F105" s="2">
        <v>144.35038800000001</v>
      </c>
      <c r="G105" s="2">
        <v>280571500</v>
      </c>
    </row>
    <row r="106" spans="1:7" x14ac:dyDescent="0.2">
      <c r="A106" s="9">
        <v>44409</v>
      </c>
      <c r="B106" s="2">
        <v>152.029999</v>
      </c>
      <c r="C106" s="2">
        <v>163.83000200000001</v>
      </c>
      <c r="D106" s="2">
        <v>149.520004</v>
      </c>
      <c r="E106" s="2">
        <v>159.949997</v>
      </c>
      <c r="F106" s="2">
        <v>152.99705499999999</v>
      </c>
      <c r="G106" s="2">
        <v>208085700</v>
      </c>
    </row>
    <row r="107" spans="1:7" x14ac:dyDescent="0.2">
      <c r="A107" s="9">
        <v>44440</v>
      </c>
      <c r="B107" s="2">
        <v>160.220001</v>
      </c>
      <c r="C107" s="2">
        <v>169.300003</v>
      </c>
      <c r="D107" s="2">
        <v>150.490005</v>
      </c>
      <c r="E107" s="2">
        <v>163.69000199999999</v>
      </c>
      <c r="F107" s="2">
        <v>156.57450900000001</v>
      </c>
      <c r="G107" s="2">
        <v>234791100</v>
      </c>
    </row>
    <row r="108" spans="1:7" x14ac:dyDescent="0.2">
      <c r="A108" s="9">
        <v>44470</v>
      </c>
      <c r="B108" s="2">
        <v>164</v>
      </c>
      <c r="C108" s="2">
        <v>172.96000699999999</v>
      </c>
      <c r="D108" s="2">
        <v>160.05999800000001</v>
      </c>
      <c r="E108" s="2">
        <v>169.88999899999999</v>
      </c>
      <c r="F108" s="2">
        <v>162.50498999999999</v>
      </c>
      <c r="G108" s="2">
        <v>231680800</v>
      </c>
    </row>
    <row r="109" spans="1:7" x14ac:dyDescent="0.2">
      <c r="A109" s="9">
        <v>44501</v>
      </c>
      <c r="B109" s="2">
        <v>172.03999300000001</v>
      </c>
      <c r="C109" s="2">
        <v>172.33000200000001</v>
      </c>
      <c r="D109" s="2">
        <v>158.28999300000001</v>
      </c>
      <c r="E109" s="2">
        <v>158.83000200000001</v>
      </c>
      <c r="F109" s="2">
        <v>152.84124800000001</v>
      </c>
      <c r="G109" s="2">
        <v>203498400</v>
      </c>
    </row>
    <row r="110" spans="1:7" x14ac:dyDescent="0.2">
      <c r="A110" s="9">
        <v>44531</v>
      </c>
      <c r="B110" s="2">
        <v>161</v>
      </c>
      <c r="C110" s="2">
        <v>163.38999899999999</v>
      </c>
      <c r="D110" s="2">
        <v>151.83999600000001</v>
      </c>
      <c r="E110" s="2">
        <v>158.35000600000001</v>
      </c>
      <c r="F110" s="2">
        <v>152.379333</v>
      </c>
      <c r="G110" s="2">
        <v>251966400</v>
      </c>
    </row>
    <row r="111" spans="1:7" x14ac:dyDescent="0.2">
      <c r="A111" s="9">
        <v>44562</v>
      </c>
      <c r="B111" s="2">
        <v>159.86000100000001</v>
      </c>
      <c r="C111" s="2">
        <v>169.80999800000001</v>
      </c>
      <c r="D111" s="2">
        <v>139.570007</v>
      </c>
      <c r="E111" s="2">
        <v>148.60000600000001</v>
      </c>
      <c r="F111" s="2">
        <v>142.99697900000001</v>
      </c>
      <c r="G111" s="2">
        <v>373950200</v>
      </c>
    </row>
    <row r="112" spans="1:7" x14ac:dyDescent="0.2">
      <c r="A112" s="9">
        <v>44593</v>
      </c>
      <c r="B112" s="2">
        <v>148.69000199999999</v>
      </c>
      <c r="C112" s="2">
        <v>159.029999</v>
      </c>
      <c r="D112" s="2">
        <v>139.779999</v>
      </c>
      <c r="E112" s="2">
        <v>141.800003</v>
      </c>
      <c r="F112" s="2">
        <v>137.27130099999999</v>
      </c>
      <c r="G112" s="2">
        <v>288730100</v>
      </c>
    </row>
    <row r="113" spans="1:7" x14ac:dyDescent="0.2">
      <c r="A113" s="9">
        <v>44621</v>
      </c>
      <c r="B113" s="2">
        <v>140.03999300000001</v>
      </c>
      <c r="C113" s="2">
        <v>143.929993</v>
      </c>
      <c r="D113" s="2">
        <v>127.269997</v>
      </c>
      <c r="E113" s="2">
        <v>136.320007</v>
      </c>
      <c r="F113" s="2">
        <v>131.96632399999999</v>
      </c>
      <c r="G113" s="2">
        <v>390796800</v>
      </c>
    </row>
    <row r="114" spans="1:7" x14ac:dyDescent="0.2">
      <c r="A114" s="9">
        <v>44652</v>
      </c>
      <c r="B114" s="2">
        <v>137.39999399999999</v>
      </c>
      <c r="C114" s="2">
        <v>137.41000399999999</v>
      </c>
      <c r="D114" s="2">
        <v>118.900002</v>
      </c>
      <c r="E114" s="2">
        <v>119.360001</v>
      </c>
      <c r="F114" s="2">
        <v>115.547966</v>
      </c>
      <c r="G114" s="2">
        <v>303650400</v>
      </c>
    </row>
    <row r="115" spans="1:7" x14ac:dyDescent="0.2">
      <c r="A115" s="9">
        <v>44682</v>
      </c>
      <c r="B115" s="2">
        <v>119.879997</v>
      </c>
      <c r="C115" s="2">
        <v>133.14999399999999</v>
      </c>
      <c r="D115" s="2">
        <v>115.019997</v>
      </c>
      <c r="E115" s="2">
        <v>132.229996</v>
      </c>
      <c r="F115" s="2">
        <v>128.95576500000001</v>
      </c>
      <c r="G115" s="2">
        <v>313630400</v>
      </c>
    </row>
    <row r="116" spans="1:7" x14ac:dyDescent="0.2">
      <c r="A116" s="9">
        <v>44713</v>
      </c>
      <c r="B116" s="2">
        <v>132.86999499999999</v>
      </c>
      <c r="C116" s="2">
        <v>132.86999499999999</v>
      </c>
      <c r="D116" s="2">
        <v>110.93</v>
      </c>
      <c r="E116" s="2">
        <v>112.610001</v>
      </c>
      <c r="F116" s="2">
        <v>109.821594</v>
      </c>
      <c r="G116" s="2">
        <v>268201900</v>
      </c>
    </row>
    <row r="117" spans="1:7" x14ac:dyDescent="0.2">
      <c r="A117" s="9">
        <v>44743</v>
      </c>
      <c r="B117" s="2">
        <v>112.650002</v>
      </c>
      <c r="C117" s="2">
        <v>116.5</v>
      </c>
      <c r="D117" s="2">
        <v>106.05999799999999</v>
      </c>
      <c r="E117" s="2">
        <v>115.360001</v>
      </c>
      <c r="F117" s="2">
        <v>112.503494</v>
      </c>
      <c r="G117" s="2">
        <v>239623100</v>
      </c>
    </row>
    <row r="118" spans="1:7" x14ac:dyDescent="0.2">
      <c r="A118" s="9">
        <v>44774</v>
      </c>
      <c r="B118" s="2">
        <v>114.5</v>
      </c>
      <c r="C118" s="2">
        <v>124.239998</v>
      </c>
      <c r="D118" s="2">
        <v>111.019997</v>
      </c>
      <c r="E118" s="2">
        <v>113.730003</v>
      </c>
      <c r="F118" s="2">
        <v>111.894966</v>
      </c>
      <c r="G118" s="2">
        <v>258430300</v>
      </c>
    </row>
    <row r="119" spans="1:7" x14ac:dyDescent="0.2">
      <c r="A119" s="9">
        <v>44805</v>
      </c>
      <c r="B119" s="2">
        <v>113.290001</v>
      </c>
      <c r="C119" s="2">
        <v>121.550003</v>
      </c>
      <c r="D119" s="2">
        <v>104.400002</v>
      </c>
      <c r="E119" s="2">
        <v>104.5</v>
      </c>
      <c r="F119" s="2">
        <v>102.813889</v>
      </c>
      <c r="G119" s="2">
        <v>248558100</v>
      </c>
    </row>
    <row r="120" spans="1:7" x14ac:dyDescent="0.2">
      <c r="A120" s="9">
        <v>44835</v>
      </c>
      <c r="B120" s="2">
        <v>105.620003</v>
      </c>
      <c r="C120" s="2">
        <v>127.43</v>
      </c>
      <c r="D120" s="2">
        <v>101.279999</v>
      </c>
      <c r="E120" s="2">
        <v>125.879997</v>
      </c>
      <c r="F120" s="2">
        <v>123.84891500000001</v>
      </c>
      <c r="G120" s="2">
        <v>318197200</v>
      </c>
    </row>
    <row r="121" spans="1:7" x14ac:dyDescent="0.2">
      <c r="A121" s="9">
        <v>44866</v>
      </c>
      <c r="B121" s="2">
        <v>126.870003</v>
      </c>
      <c r="C121" s="2">
        <v>138.179993</v>
      </c>
      <c r="D121" s="2">
        <v>125.910004</v>
      </c>
      <c r="E121" s="2">
        <v>138.179993</v>
      </c>
      <c r="F121" s="2">
        <v>137.16679400000001</v>
      </c>
      <c r="G121" s="2">
        <v>227228500</v>
      </c>
    </row>
    <row r="122" spans="1:7" x14ac:dyDescent="0.2">
      <c r="A122" s="9">
        <v>44896</v>
      </c>
      <c r="B122" s="2">
        <v>138.179993</v>
      </c>
      <c r="C122" s="2">
        <v>138.66000399999999</v>
      </c>
      <c r="D122" s="2">
        <v>128.41000399999999</v>
      </c>
      <c r="E122" s="2">
        <v>134.10000600000001</v>
      </c>
      <c r="F122" s="2">
        <v>133.11672999999999</v>
      </c>
      <c r="G122" s="2">
        <v>202043800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783"/>
  <sheetViews>
    <sheetView workbookViewId="0">
      <selection activeCell="H22" sqref="H22"/>
    </sheetView>
  </sheetViews>
  <sheetFormatPr baseColWidth="10" defaultColWidth="8.83203125" defaultRowHeight="15" x14ac:dyDescent="0.2"/>
  <cols>
    <col min="1" max="16384" width="8.83203125" style="2"/>
  </cols>
  <sheetData>
    <row r="1" spans="1:7" x14ac:dyDescent="0.2">
      <c r="A1" s="2" t="s">
        <v>25</v>
      </c>
    </row>
    <row r="2" spans="1:7" x14ac:dyDescent="0.2">
      <c r="A2" s="2" t="s">
        <v>26</v>
      </c>
    </row>
    <row r="4" spans="1:7" x14ac:dyDescent="0.2">
      <c r="A4" s="2" t="s">
        <v>16</v>
      </c>
    </row>
    <row r="5" spans="1:7" x14ac:dyDescent="0.2">
      <c r="A5" s="2" t="s">
        <v>17</v>
      </c>
    </row>
    <row r="7" spans="1:7" x14ac:dyDescent="0.2">
      <c r="B7" s="2" t="s">
        <v>18</v>
      </c>
      <c r="C7" s="2" t="s">
        <v>19</v>
      </c>
      <c r="D7" s="2" t="s">
        <v>20</v>
      </c>
      <c r="E7" s="2" t="s">
        <v>21</v>
      </c>
      <c r="F7" s="2" t="s">
        <v>22</v>
      </c>
      <c r="G7" s="2" t="s">
        <v>23</v>
      </c>
    </row>
    <row r="8" spans="1:7" x14ac:dyDescent="0.2">
      <c r="A8" s="2">
        <v>196307</v>
      </c>
      <c r="B8" s="2">
        <v>-0.39</v>
      </c>
      <c r="C8" s="2">
        <v>-0.41</v>
      </c>
      <c r="D8" s="2">
        <v>-0.97</v>
      </c>
      <c r="E8" s="2">
        <v>0.68</v>
      </c>
      <c r="F8" s="2">
        <v>-1.18</v>
      </c>
      <c r="G8" s="2">
        <v>0.27</v>
      </c>
    </row>
    <row r="9" spans="1:7" x14ac:dyDescent="0.2">
      <c r="A9" s="2">
        <v>196308</v>
      </c>
      <c r="B9" s="2">
        <v>5.07</v>
      </c>
      <c r="C9" s="2">
        <v>-0.8</v>
      </c>
      <c r="D9" s="2">
        <v>1.8</v>
      </c>
      <c r="E9" s="2">
        <v>0.36</v>
      </c>
      <c r="F9" s="2">
        <v>-0.35</v>
      </c>
      <c r="G9" s="2">
        <v>0.25</v>
      </c>
    </row>
    <row r="10" spans="1:7" x14ac:dyDescent="0.2">
      <c r="A10" s="2">
        <v>196309</v>
      </c>
      <c r="B10" s="2">
        <v>-1.57</v>
      </c>
      <c r="C10" s="2">
        <v>-0.52</v>
      </c>
      <c r="D10" s="2">
        <v>0.13</v>
      </c>
      <c r="E10" s="2">
        <v>-0.71</v>
      </c>
      <c r="F10" s="2">
        <v>0.28999999999999998</v>
      </c>
      <c r="G10" s="2">
        <v>0.27</v>
      </c>
    </row>
    <row r="11" spans="1:7" x14ac:dyDescent="0.2">
      <c r="A11" s="2">
        <v>196310</v>
      </c>
      <c r="B11" s="2">
        <v>2.5299999999999998</v>
      </c>
      <c r="C11" s="2">
        <v>-1.39</v>
      </c>
      <c r="D11" s="2">
        <v>-0.1</v>
      </c>
      <c r="E11" s="2">
        <v>2.8</v>
      </c>
      <c r="F11" s="2">
        <v>-2.0099999999999998</v>
      </c>
      <c r="G11" s="2">
        <v>0.28999999999999998</v>
      </c>
    </row>
    <row r="12" spans="1:7" x14ac:dyDescent="0.2">
      <c r="A12" s="2">
        <v>196311</v>
      </c>
      <c r="B12" s="2">
        <v>-0.85</v>
      </c>
      <c r="C12" s="2">
        <v>-0.88</v>
      </c>
      <c r="D12" s="2">
        <v>1.75</v>
      </c>
      <c r="E12" s="2">
        <v>-0.51</v>
      </c>
      <c r="F12" s="2">
        <v>2.2400000000000002</v>
      </c>
      <c r="G12" s="2">
        <v>0.27</v>
      </c>
    </row>
    <row r="13" spans="1:7" x14ac:dyDescent="0.2">
      <c r="A13" s="2">
        <v>196312</v>
      </c>
      <c r="B13" s="2">
        <v>1.83</v>
      </c>
      <c r="C13" s="2">
        <v>-2.1</v>
      </c>
      <c r="D13" s="2">
        <v>-0.02</v>
      </c>
      <c r="E13" s="2">
        <v>0.03</v>
      </c>
      <c r="F13" s="2">
        <v>-7.0000000000000007E-2</v>
      </c>
      <c r="G13" s="2">
        <v>0.28999999999999998</v>
      </c>
    </row>
    <row r="14" spans="1:7" x14ac:dyDescent="0.2">
      <c r="A14" s="2">
        <v>196401</v>
      </c>
      <c r="B14" s="2">
        <v>2.2400000000000002</v>
      </c>
      <c r="C14" s="2">
        <v>0.13</v>
      </c>
      <c r="D14" s="2">
        <v>1.48</v>
      </c>
      <c r="E14" s="2">
        <v>0.17</v>
      </c>
      <c r="F14" s="2">
        <v>1.47</v>
      </c>
      <c r="G14" s="2">
        <v>0.3</v>
      </c>
    </row>
    <row r="15" spans="1:7" x14ac:dyDescent="0.2">
      <c r="A15" s="2">
        <v>196402</v>
      </c>
      <c r="B15" s="2">
        <v>1.54</v>
      </c>
      <c r="C15" s="2">
        <v>0.28000000000000003</v>
      </c>
      <c r="D15" s="2">
        <v>2.81</v>
      </c>
      <c r="E15" s="2">
        <v>-0.05</v>
      </c>
      <c r="F15" s="2">
        <v>0.91</v>
      </c>
      <c r="G15" s="2">
        <v>0.26</v>
      </c>
    </row>
    <row r="16" spans="1:7" x14ac:dyDescent="0.2">
      <c r="A16" s="2">
        <v>196403</v>
      </c>
      <c r="B16" s="2">
        <v>1.41</v>
      </c>
      <c r="C16" s="2">
        <v>1.23</v>
      </c>
      <c r="D16" s="2">
        <v>3.4</v>
      </c>
      <c r="E16" s="2">
        <v>-2.21</v>
      </c>
      <c r="F16" s="2">
        <v>3.22</v>
      </c>
      <c r="G16" s="2">
        <v>0.31</v>
      </c>
    </row>
    <row r="17" spans="1:7" x14ac:dyDescent="0.2">
      <c r="A17" s="2">
        <v>196404</v>
      </c>
      <c r="B17" s="2">
        <v>0.1</v>
      </c>
      <c r="C17" s="2">
        <v>-1.52</v>
      </c>
      <c r="D17" s="2">
        <v>-0.67</v>
      </c>
      <c r="E17" s="2">
        <v>-1.27</v>
      </c>
      <c r="F17" s="2">
        <v>-1.08</v>
      </c>
      <c r="G17" s="2">
        <v>0.28999999999999998</v>
      </c>
    </row>
    <row r="18" spans="1:7" x14ac:dyDescent="0.2">
      <c r="A18" s="2">
        <v>196405</v>
      </c>
      <c r="B18" s="2">
        <v>1.42</v>
      </c>
      <c r="C18" s="2">
        <v>-0.63</v>
      </c>
      <c r="D18" s="2">
        <v>1.86</v>
      </c>
      <c r="E18" s="2">
        <v>-0.16</v>
      </c>
      <c r="F18" s="2">
        <v>0.17</v>
      </c>
      <c r="G18" s="2">
        <v>0.26</v>
      </c>
    </row>
    <row r="19" spans="1:7" x14ac:dyDescent="0.2">
      <c r="A19" s="2">
        <v>196406</v>
      </c>
      <c r="B19" s="2">
        <v>1.27</v>
      </c>
      <c r="C19" s="2">
        <v>0.28999999999999998</v>
      </c>
      <c r="D19" s="2">
        <v>0.62</v>
      </c>
      <c r="E19" s="2">
        <v>-0.28000000000000003</v>
      </c>
      <c r="F19" s="2">
        <v>-0.17</v>
      </c>
      <c r="G19" s="2">
        <v>0.3</v>
      </c>
    </row>
    <row r="20" spans="1:7" x14ac:dyDescent="0.2">
      <c r="A20" s="2">
        <v>196407</v>
      </c>
      <c r="B20" s="2">
        <v>1.74</v>
      </c>
      <c r="C20" s="2">
        <v>0.5</v>
      </c>
      <c r="D20" s="2">
        <v>0.75</v>
      </c>
      <c r="E20" s="2">
        <v>0.08</v>
      </c>
      <c r="F20" s="2">
        <v>1.91</v>
      </c>
      <c r="G20" s="2">
        <v>0.3</v>
      </c>
    </row>
    <row r="21" spans="1:7" x14ac:dyDescent="0.2">
      <c r="A21" s="2">
        <v>196408</v>
      </c>
      <c r="B21" s="2">
        <v>-1.44</v>
      </c>
      <c r="C21" s="2">
        <v>0.41</v>
      </c>
      <c r="D21" s="2">
        <v>0.08</v>
      </c>
      <c r="E21" s="2">
        <v>0.12</v>
      </c>
      <c r="F21" s="2">
        <v>0.35</v>
      </c>
      <c r="G21" s="2">
        <v>0.28000000000000003</v>
      </c>
    </row>
    <row r="22" spans="1:7" x14ac:dyDescent="0.2">
      <c r="A22" s="2">
        <v>196409</v>
      </c>
      <c r="B22" s="2">
        <v>2.69</v>
      </c>
      <c r="C22" s="2">
        <v>-0.34</v>
      </c>
      <c r="D22" s="2">
        <v>1.7</v>
      </c>
      <c r="E22" s="2">
        <v>-0.56000000000000005</v>
      </c>
      <c r="F22" s="2">
        <v>0.62</v>
      </c>
      <c r="G22" s="2">
        <v>0.28000000000000003</v>
      </c>
    </row>
    <row r="23" spans="1:7" x14ac:dyDescent="0.2">
      <c r="A23" s="2">
        <v>196410</v>
      </c>
      <c r="B23" s="2">
        <v>0.59</v>
      </c>
      <c r="C23" s="2">
        <v>0.87</v>
      </c>
      <c r="D23" s="2">
        <v>1.17</v>
      </c>
      <c r="E23" s="2">
        <v>-0.43</v>
      </c>
      <c r="F23" s="2">
        <v>0.47</v>
      </c>
      <c r="G23" s="2">
        <v>0.28999999999999998</v>
      </c>
    </row>
    <row r="24" spans="1:7" x14ac:dyDescent="0.2">
      <c r="A24" s="2">
        <v>196411</v>
      </c>
      <c r="B24" s="2">
        <v>0</v>
      </c>
      <c r="C24" s="2">
        <v>-0.15</v>
      </c>
      <c r="D24" s="2">
        <v>-1.96</v>
      </c>
      <c r="E24" s="2">
        <v>0.63</v>
      </c>
      <c r="F24" s="2">
        <v>-0.26</v>
      </c>
      <c r="G24" s="2">
        <v>0.28999999999999998</v>
      </c>
    </row>
    <row r="25" spans="1:7" x14ac:dyDescent="0.2">
      <c r="A25" s="2">
        <v>196412</v>
      </c>
      <c r="B25" s="2">
        <v>0.03</v>
      </c>
      <c r="C25" s="2">
        <v>-0.69</v>
      </c>
      <c r="D25" s="2">
        <v>-2.48</v>
      </c>
      <c r="E25" s="2">
        <v>1.07</v>
      </c>
      <c r="F25" s="2">
        <v>-1.5</v>
      </c>
      <c r="G25" s="2">
        <v>0.31</v>
      </c>
    </row>
    <row r="26" spans="1:7" x14ac:dyDescent="0.2">
      <c r="A26" s="2">
        <v>196501</v>
      </c>
      <c r="B26" s="2">
        <v>3.54</v>
      </c>
      <c r="C26" s="2">
        <v>2.44</v>
      </c>
      <c r="D26" s="2">
        <v>0.12</v>
      </c>
      <c r="E26" s="2">
        <v>0.91</v>
      </c>
      <c r="F26" s="2">
        <v>0.1</v>
      </c>
      <c r="G26" s="2">
        <v>0.28000000000000003</v>
      </c>
    </row>
    <row r="27" spans="1:7" x14ac:dyDescent="0.2">
      <c r="A27" s="2">
        <v>196502</v>
      </c>
      <c r="B27" s="2">
        <v>0.44</v>
      </c>
      <c r="C27" s="2">
        <v>3.31</v>
      </c>
      <c r="D27" s="2">
        <v>0.11</v>
      </c>
      <c r="E27" s="2">
        <v>0.23</v>
      </c>
      <c r="F27" s="2">
        <v>-0.68</v>
      </c>
      <c r="G27" s="2">
        <v>0.3</v>
      </c>
    </row>
    <row r="28" spans="1:7" x14ac:dyDescent="0.2">
      <c r="A28" s="2">
        <v>196503</v>
      </c>
      <c r="B28" s="2">
        <v>-1.34</v>
      </c>
      <c r="C28" s="2">
        <v>2.12</v>
      </c>
      <c r="D28" s="2">
        <v>1.03</v>
      </c>
      <c r="E28" s="2">
        <v>-0.32</v>
      </c>
      <c r="F28" s="2">
        <v>0.69</v>
      </c>
      <c r="G28" s="2">
        <v>0.36</v>
      </c>
    </row>
    <row r="29" spans="1:7" x14ac:dyDescent="0.2">
      <c r="A29" s="2">
        <v>196504</v>
      </c>
      <c r="B29" s="2">
        <v>3.11</v>
      </c>
      <c r="C29" s="2">
        <v>1.05</v>
      </c>
      <c r="D29" s="2">
        <v>0.66</v>
      </c>
      <c r="E29" s="2">
        <v>0.3</v>
      </c>
      <c r="F29" s="2">
        <v>-2.2000000000000002</v>
      </c>
      <c r="G29" s="2">
        <v>0.31</v>
      </c>
    </row>
    <row r="30" spans="1:7" x14ac:dyDescent="0.2">
      <c r="A30" s="2">
        <v>196505</v>
      </c>
      <c r="B30" s="2">
        <v>-0.77</v>
      </c>
      <c r="C30" s="2">
        <v>0.1</v>
      </c>
      <c r="D30" s="2">
        <v>-1.61</v>
      </c>
      <c r="E30" s="2">
        <v>-0.45</v>
      </c>
      <c r="F30" s="2">
        <v>0.53</v>
      </c>
      <c r="G30" s="2">
        <v>0.31</v>
      </c>
    </row>
    <row r="31" spans="1:7" x14ac:dyDescent="0.2">
      <c r="A31" s="2">
        <v>196506</v>
      </c>
      <c r="B31" s="2">
        <v>-5.51</v>
      </c>
      <c r="C31" s="2">
        <v>-4.28</v>
      </c>
      <c r="D31" s="2">
        <v>0.59</v>
      </c>
      <c r="E31" s="2">
        <v>0.22</v>
      </c>
      <c r="F31" s="2">
        <v>0.37</v>
      </c>
      <c r="G31" s="2">
        <v>0.35</v>
      </c>
    </row>
    <row r="32" spans="1:7" x14ac:dyDescent="0.2">
      <c r="A32" s="2">
        <v>196507</v>
      </c>
      <c r="B32" s="2">
        <v>1.43</v>
      </c>
      <c r="C32" s="2">
        <v>1.08</v>
      </c>
      <c r="D32" s="2">
        <v>2.2000000000000002</v>
      </c>
      <c r="E32" s="2">
        <v>-1.37</v>
      </c>
      <c r="F32" s="2">
        <v>0.03</v>
      </c>
      <c r="G32" s="2">
        <v>0.31</v>
      </c>
    </row>
    <row r="33" spans="1:7" x14ac:dyDescent="0.2">
      <c r="A33" s="2">
        <v>196508</v>
      </c>
      <c r="B33" s="2">
        <v>2.73</v>
      </c>
      <c r="C33" s="2">
        <v>2.71</v>
      </c>
      <c r="D33" s="2">
        <v>-1</v>
      </c>
      <c r="E33" s="2">
        <v>1.9</v>
      </c>
      <c r="F33" s="2">
        <v>-0.74</v>
      </c>
      <c r="G33" s="2">
        <v>0.33</v>
      </c>
    </row>
    <row r="34" spans="1:7" x14ac:dyDescent="0.2">
      <c r="A34" s="2">
        <v>196509</v>
      </c>
      <c r="B34" s="2">
        <v>2.86</v>
      </c>
      <c r="C34" s="2">
        <v>0.62</v>
      </c>
      <c r="D34" s="2">
        <v>-0.13</v>
      </c>
      <c r="E34" s="2">
        <v>-0.89</v>
      </c>
      <c r="F34" s="2">
        <v>0.8</v>
      </c>
      <c r="G34" s="2">
        <v>0.31</v>
      </c>
    </row>
    <row r="35" spans="1:7" x14ac:dyDescent="0.2">
      <c r="A35" s="2">
        <v>196510</v>
      </c>
      <c r="B35" s="2">
        <v>2.6</v>
      </c>
      <c r="C35" s="2">
        <v>3.47</v>
      </c>
      <c r="D35" s="2">
        <v>1.56</v>
      </c>
      <c r="E35" s="2">
        <v>1.17</v>
      </c>
      <c r="F35" s="2">
        <v>-0.65</v>
      </c>
      <c r="G35" s="2">
        <v>0.31</v>
      </c>
    </row>
    <row r="36" spans="1:7" x14ac:dyDescent="0.2">
      <c r="A36" s="2">
        <v>196511</v>
      </c>
      <c r="B36" s="2">
        <v>-0.03</v>
      </c>
      <c r="C36" s="2">
        <v>5.19</v>
      </c>
      <c r="D36" s="2">
        <v>0.15</v>
      </c>
      <c r="E36" s="2">
        <v>-1.01</v>
      </c>
      <c r="F36" s="2">
        <v>-0.94</v>
      </c>
      <c r="G36" s="2">
        <v>0.35</v>
      </c>
    </row>
    <row r="37" spans="1:7" x14ac:dyDescent="0.2">
      <c r="A37" s="2">
        <v>196512</v>
      </c>
      <c r="B37" s="2">
        <v>1.01</v>
      </c>
      <c r="C37" s="2">
        <v>2.66</v>
      </c>
      <c r="D37" s="2">
        <v>2.0299999999999998</v>
      </c>
      <c r="E37" s="2">
        <v>-1.1399999999999999</v>
      </c>
      <c r="F37" s="2">
        <v>-0.53</v>
      </c>
      <c r="G37" s="2">
        <v>0.33</v>
      </c>
    </row>
    <row r="38" spans="1:7" x14ac:dyDescent="0.2">
      <c r="A38" s="2">
        <v>196601</v>
      </c>
      <c r="B38" s="2">
        <v>0.72</v>
      </c>
      <c r="C38" s="2">
        <v>4.68</v>
      </c>
      <c r="D38" s="2">
        <v>3.56</v>
      </c>
      <c r="E38" s="2">
        <v>-2.82</v>
      </c>
      <c r="F38" s="2">
        <v>-0.11</v>
      </c>
      <c r="G38" s="2">
        <v>0.38</v>
      </c>
    </row>
    <row r="39" spans="1:7" x14ac:dyDescent="0.2">
      <c r="A39" s="2">
        <v>196602</v>
      </c>
      <c r="B39" s="2">
        <v>-1.21</v>
      </c>
      <c r="C39" s="2">
        <v>4.71</v>
      </c>
      <c r="D39" s="2">
        <v>0.33</v>
      </c>
      <c r="E39" s="2">
        <v>-0.17</v>
      </c>
      <c r="F39" s="2">
        <v>-1.49</v>
      </c>
      <c r="G39" s="2">
        <v>0.35</v>
      </c>
    </row>
    <row r="40" spans="1:7" x14ac:dyDescent="0.2">
      <c r="A40" s="2">
        <v>196603</v>
      </c>
      <c r="B40" s="2">
        <v>-2.5099999999999998</v>
      </c>
      <c r="C40" s="2">
        <v>0.32</v>
      </c>
      <c r="D40" s="2">
        <v>-1.98</v>
      </c>
      <c r="E40" s="2">
        <v>1.3</v>
      </c>
      <c r="F40" s="2">
        <v>0.06</v>
      </c>
      <c r="G40" s="2">
        <v>0.38</v>
      </c>
    </row>
    <row r="41" spans="1:7" x14ac:dyDescent="0.2">
      <c r="A41" s="2">
        <v>196604</v>
      </c>
      <c r="B41" s="2">
        <v>2.14</v>
      </c>
      <c r="C41" s="2">
        <v>3.35</v>
      </c>
      <c r="D41" s="2">
        <v>-0.46</v>
      </c>
      <c r="E41" s="2">
        <v>0.39</v>
      </c>
      <c r="F41" s="2">
        <v>-0.95</v>
      </c>
      <c r="G41" s="2">
        <v>0.34</v>
      </c>
    </row>
    <row r="42" spans="1:7" x14ac:dyDescent="0.2">
      <c r="A42" s="2">
        <v>196605</v>
      </c>
      <c r="B42" s="2">
        <v>-5.66</v>
      </c>
      <c r="C42" s="2">
        <v>-5.0999999999999996</v>
      </c>
      <c r="D42" s="2">
        <v>-1.63</v>
      </c>
      <c r="E42" s="2">
        <v>1.64</v>
      </c>
      <c r="F42" s="2">
        <v>-1.52</v>
      </c>
      <c r="G42" s="2">
        <v>0.41</v>
      </c>
    </row>
    <row r="43" spans="1:7" x14ac:dyDescent="0.2">
      <c r="A43" s="2">
        <v>196606</v>
      </c>
      <c r="B43" s="2">
        <v>-1.44</v>
      </c>
      <c r="C43" s="2">
        <v>1.37</v>
      </c>
      <c r="D43" s="2">
        <v>0.5</v>
      </c>
      <c r="E43" s="2">
        <v>0.15</v>
      </c>
      <c r="F43" s="2">
        <v>0.78</v>
      </c>
      <c r="G43" s="2">
        <v>0.38</v>
      </c>
    </row>
    <row r="44" spans="1:7" x14ac:dyDescent="0.2">
      <c r="A44" s="2">
        <v>196607</v>
      </c>
      <c r="B44" s="2">
        <v>-1.63</v>
      </c>
      <c r="C44" s="2">
        <v>-0.41</v>
      </c>
      <c r="D44" s="2">
        <v>0.95</v>
      </c>
      <c r="E44" s="2">
        <v>-0.36</v>
      </c>
      <c r="F44" s="2">
        <v>1.79</v>
      </c>
      <c r="G44" s="2">
        <v>0.35</v>
      </c>
    </row>
    <row r="45" spans="1:7" x14ac:dyDescent="0.2">
      <c r="A45" s="2">
        <v>196608</v>
      </c>
      <c r="B45" s="2">
        <v>-7.91</v>
      </c>
      <c r="C45" s="2">
        <v>-3.12</v>
      </c>
      <c r="D45" s="2">
        <v>0.43</v>
      </c>
      <c r="E45" s="2">
        <v>-0.09</v>
      </c>
      <c r="F45" s="2">
        <v>0.8</v>
      </c>
      <c r="G45" s="2">
        <v>0.41</v>
      </c>
    </row>
    <row r="46" spans="1:7" x14ac:dyDescent="0.2">
      <c r="A46" s="2">
        <v>196609</v>
      </c>
      <c r="B46" s="2">
        <v>-1.06</v>
      </c>
      <c r="C46" s="2">
        <v>-1.1399999999999999</v>
      </c>
      <c r="D46" s="2">
        <v>0.56000000000000005</v>
      </c>
      <c r="E46" s="2">
        <v>-1.68</v>
      </c>
      <c r="F46" s="2">
        <v>2.37</v>
      </c>
      <c r="G46" s="2">
        <v>0.4</v>
      </c>
    </row>
    <row r="47" spans="1:7" x14ac:dyDescent="0.2">
      <c r="A47" s="2">
        <v>196610</v>
      </c>
      <c r="B47" s="2">
        <v>3.86</v>
      </c>
      <c r="C47" s="2">
        <v>-6.45</v>
      </c>
      <c r="D47" s="2">
        <v>2.69</v>
      </c>
      <c r="E47" s="2">
        <v>-3.48</v>
      </c>
      <c r="F47" s="2">
        <v>4.25</v>
      </c>
      <c r="G47" s="2">
        <v>0.45</v>
      </c>
    </row>
    <row r="48" spans="1:7" x14ac:dyDescent="0.2">
      <c r="A48" s="2">
        <v>196611</v>
      </c>
      <c r="B48" s="2">
        <v>1.4</v>
      </c>
      <c r="C48" s="2">
        <v>3.34</v>
      </c>
      <c r="D48" s="2">
        <v>-4.6900000000000004</v>
      </c>
      <c r="E48" s="2">
        <v>4.13</v>
      </c>
      <c r="F48" s="2">
        <v>-6.62</v>
      </c>
      <c r="G48" s="2">
        <v>0.4</v>
      </c>
    </row>
    <row r="49" spans="1:7" x14ac:dyDescent="0.2">
      <c r="A49" s="2">
        <v>196612</v>
      </c>
      <c r="B49" s="2">
        <v>0.13</v>
      </c>
      <c r="C49" s="2">
        <v>2.02</v>
      </c>
      <c r="D49" s="2">
        <v>-1.19</v>
      </c>
      <c r="E49" s="2">
        <v>0.7</v>
      </c>
      <c r="F49" s="2">
        <v>-0.34</v>
      </c>
      <c r="G49" s="2">
        <v>0.4</v>
      </c>
    </row>
    <row r="50" spans="1:7" x14ac:dyDescent="0.2">
      <c r="A50" s="2">
        <v>196701</v>
      </c>
      <c r="B50" s="2">
        <v>8.15</v>
      </c>
      <c r="C50" s="2">
        <v>9.1</v>
      </c>
      <c r="D50" s="2">
        <v>2.27</v>
      </c>
      <c r="E50" s="2">
        <v>0.96</v>
      </c>
      <c r="F50" s="2">
        <v>-3.16</v>
      </c>
      <c r="G50" s="2">
        <v>0.43</v>
      </c>
    </row>
    <row r="51" spans="1:7" x14ac:dyDescent="0.2">
      <c r="A51" s="2">
        <v>196702</v>
      </c>
      <c r="B51" s="2">
        <v>0.78</v>
      </c>
      <c r="C51" s="2">
        <v>3.06</v>
      </c>
      <c r="D51" s="2">
        <v>-2.2200000000000002</v>
      </c>
      <c r="E51" s="2">
        <v>1.99</v>
      </c>
      <c r="F51" s="2">
        <v>-0.99</v>
      </c>
      <c r="G51" s="2">
        <v>0.36</v>
      </c>
    </row>
    <row r="52" spans="1:7" x14ac:dyDescent="0.2">
      <c r="A52" s="2">
        <v>196703</v>
      </c>
      <c r="B52" s="2">
        <v>3.99</v>
      </c>
      <c r="C52" s="2">
        <v>1.87</v>
      </c>
      <c r="D52" s="2">
        <v>0.37</v>
      </c>
      <c r="E52" s="2">
        <v>0.86</v>
      </c>
      <c r="F52" s="2">
        <v>-1.6</v>
      </c>
      <c r="G52" s="2">
        <v>0.39</v>
      </c>
    </row>
    <row r="53" spans="1:7" x14ac:dyDescent="0.2">
      <c r="A53" s="2">
        <v>196704</v>
      </c>
      <c r="B53" s="2">
        <v>3.89</v>
      </c>
      <c r="C53" s="2">
        <v>0.43</v>
      </c>
      <c r="D53" s="2">
        <v>-2.48</v>
      </c>
      <c r="E53" s="2">
        <v>2.33</v>
      </c>
      <c r="F53" s="2">
        <v>-3.67</v>
      </c>
      <c r="G53" s="2">
        <v>0.32</v>
      </c>
    </row>
    <row r="54" spans="1:7" x14ac:dyDescent="0.2">
      <c r="A54" s="2">
        <v>196705</v>
      </c>
      <c r="B54" s="2">
        <v>-4.33</v>
      </c>
      <c r="C54" s="2">
        <v>2.29</v>
      </c>
      <c r="D54" s="2">
        <v>1.0900000000000001</v>
      </c>
      <c r="E54" s="2">
        <v>-1.73</v>
      </c>
      <c r="F54" s="2">
        <v>1.73</v>
      </c>
      <c r="G54" s="2">
        <v>0.33</v>
      </c>
    </row>
    <row r="55" spans="1:7" x14ac:dyDescent="0.2">
      <c r="A55" s="2">
        <v>196706</v>
      </c>
      <c r="B55" s="2">
        <v>2.41</v>
      </c>
      <c r="C55" s="2">
        <v>6.43</v>
      </c>
      <c r="D55" s="2">
        <v>0.85</v>
      </c>
      <c r="E55" s="2">
        <v>-0.62</v>
      </c>
      <c r="F55" s="2">
        <v>-2.42</v>
      </c>
      <c r="G55" s="2">
        <v>0.27</v>
      </c>
    </row>
    <row r="56" spans="1:7" x14ac:dyDescent="0.2">
      <c r="A56" s="2">
        <v>196707</v>
      </c>
      <c r="B56" s="2">
        <v>4.58</v>
      </c>
      <c r="C56" s="2">
        <v>3.54</v>
      </c>
      <c r="D56" s="2">
        <v>2.73</v>
      </c>
      <c r="E56" s="2">
        <v>0.48</v>
      </c>
      <c r="F56" s="2">
        <v>2.7</v>
      </c>
      <c r="G56" s="2">
        <v>0.31</v>
      </c>
    </row>
    <row r="57" spans="1:7" x14ac:dyDescent="0.2">
      <c r="A57" s="2">
        <v>196708</v>
      </c>
      <c r="B57" s="2">
        <v>-0.89</v>
      </c>
      <c r="C57" s="2">
        <v>0.72</v>
      </c>
      <c r="D57" s="2">
        <v>1.44</v>
      </c>
      <c r="E57" s="2">
        <v>0.3</v>
      </c>
      <c r="F57" s="2">
        <v>1.45</v>
      </c>
      <c r="G57" s="2">
        <v>0.31</v>
      </c>
    </row>
    <row r="58" spans="1:7" x14ac:dyDescent="0.2">
      <c r="A58" s="2">
        <v>196709</v>
      </c>
      <c r="B58" s="2">
        <v>3.11</v>
      </c>
      <c r="C58" s="2">
        <v>2.44</v>
      </c>
      <c r="D58" s="2">
        <v>-2.5</v>
      </c>
      <c r="E58" s="2">
        <v>0.2</v>
      </c>
      <c r="F58" s="2">
        <v>-0.95</v>
      </c>
      <c r="G58" s="2">
        <v>0.32</v>
      </c>
    </row>
    <row r="59" spans="1:7" x14ac:dyDescent="0.2">
      <c r="A59" s="2">
        <v>196710</v>
      </c>
      <c r="B59" s="2">
        <v>-3.09</v>
      </c>
      <c r="C59" s="2">
        <v>0.53</v>
      </c>
      <c r="D59" s="2">
        <v>-3.3</v>
      </c>
      <c r="E59" s="2">
        <v>1.01</v>
      </c>
      <c r="F59" s="2">
        <v>-2.62</v>
      </c>
      <c r="G59" s="2">
        <v>0.39</v>
      </c>
    </row>
    <row r="60" spans="1:7" x14ac:dyDescent="0.2">
      <c r="A60" s="2">
        <v>196711</v>
      </c>
      <c r="B60" s="2">
        <v>0.37</v>
      </c>
      <c r="C60" s="2">
        <v>-0.04</v>
      </c>
      <c r="D60" s="2">
        <v>-1.7</v>
      </c>
      <c r="E60" s="2">
        <v>1.34</v>
      </c>
      <c r="F60" s="2">
        <v>-2.34</v>
      </c>
      <c r="G60" s="2">
        <v>0.36</v>
      </c>
    </row>
    <row r="61" spans="1:7" x14ac:dyDescent="0.2">
      <c r="A61" s="2">
        <v>196712</v>
      </c>
      <c r="B61" s="2">
        <v>3.05</v>
      </c>
      <c r="C61" s="2">
        <v>5.75</v>
      </c>
      <c r="D61" s="2">
        <v>-0.53</v>
      </c>
      <c r="E61" s="2">
        <v>-0.81</v>
      </c>
      <c r="F61" s="2">
        <v>0.13</v>
      </c>
      <c r="G61" s="2">
        <v>0.33</v>
      </c>
    </row>
    <row r="62" spans="1:7" x14ac:dyDescent="0.2">
      <c r="A62" s="2">
        <v>196801</v>
      </c>
      <c r="B62" s="2">
        <v>-4.0599999999999996</v>
      </c>
      <c r="C62" s="2">
        <v>4.51</v>
      </c>
      <c r="D62" s="2">
        <v>4.8</v>
      </c>
      <c r="E62" s="2">
        <v>-4.62</v>
      </c>
      <c r="F62" s="2">
        <v>6.46</v>
      </c>
      <c r="G62" s="2">
        <v>0.4</v>
      </c>
    </row>
    <row r="63" spans="1:7" x14ac:dyDescent="0.2">
      <c r="A63" s="2">
        <v>196802</v>
      </c>
      <c r="B63" s="2">
        <v>-3.75</v>
      </c>
      <c r="C63" s="2">
        <v>-2.91</v>
      </c>
      <c r="D63" s="2">
        <v>1.28</v>
      </c>
      <c r="E63" s="2">
        <v>-0.16</v>
      </c>
      <c r="F63" s="2">
        <v>2.4500000000000002</v>
      </c>
      <c r="G63" s="2">
        <v>0.39</v>
      </c>
    </row>
    <row r="64" spans="1:7" x14ac:dyDescent="0.2">
      <c r="A64" s="2">
        <v>196803</v>
      </c>
      <c r="B64" s="2">
        <v>0.2</v>
      </c>
      <c r="C64" s="2">
        <v>-1.59</v>
      </c>
      <c r="D64" s="2">
        <v>-0.59</v>
      </c>
      <c r="E64" s="2">
        <v>1.05</v>
      </c>
      <c r="F64" s="2">
        <v>-1.1000000000000001</v>
      </c>
      <c r="G64" s="2">
        <v>0.38</v>
      </c>
    </row>
    <row r="65" spans="1:7" x14ac:dyDescent="0.2">
      <c r="A65" s="2">
        <v>196804</v>
      </c>
      <c r="B65" s="2">
        <v>9.0500000000000007</v>
      </c>
      <c r="C65" s="2">
        <v>6.18</v>
      </c>
      <c r="D65" s="2">
        <v>-1.1299999999999999</v>
      </c>
      <c r="E65" s="2">
        <v>2.69</v>
      </c>
      <c r="F65" s="2">
        <v>-3.65</v>
      </c>
      <c r="G65" s="2">
        <v>0.43</v>
      </c>
    </row>
    <row r="66" spans="1:7" x14ac:dyDescent="0.2">
      <c r="A66" s="2">
        <v>196805</v>
      </c>
      <c r="B66" s="2">
        <v>2.2799999999999998</v>
      </c>
      <c r="C66" s="2">
        <v>7</v>
      </c>
      <c r="D66" s="2">
        <v>0.85</v>
      </c>
      <c r="E66" s="2">
        <v>0.43</v>
      </c>
      <c r="F66" s="2">
        <v>-1.92</v>
      </c>
      <c r="G66" s="2">
        <v>0.45</v>
      </c>
    </row>
    <row r="67" spans="1:7" x14ac:dyDescent="0.2">
      <c r="A67" s="2">
        <v>196806</v>
      </c>
      <c r="B67" s="2">
        <v>0.69</v>
      </c>
      <c r="C67" s="2">
        <v>-0.28000000000000003</v>
      </c>
      <c r="D67" s="2">
        <v>0.73</v>
      </c>
      <c r="E67" s="2">
        <v>-1.41</v>
      </c>
      <c r="F67" s="2">
        <v>2.76</v>
      </c>
      <c r="G67" s="2">
        <v>0.43</v>
      </c>
    </row>
    <row r="68" spans="1:7" x14ac:dyDescent="0.2">
      <c r="A68" s="2">
        <v>196807</v>
      </c>
      <c r="B68" s="2">
        <v>-2.72</v>
      </c>
      <c r="C68" s="2">
        <v>-1.41</v>
      </c>
      <c r="D68" s="2">
        <v>5.39</v>
      </c>
      <c r="E68" s="2">
        <v>-3.13</v>
      </c>
      <c r="F68" s="2">
        <v>3.72</v>
      </c>
      <c r="G68" s="2">
        <v>0.48</v>
      </c>
    </row>
    <row r="69" spans="1:7" x14ac:dyDescent="0.2">
      <c r="A69" s="2">
        <v>196808</v>
      </c>
      <c r="B69" s="2">
        <v>1.34</v>
      </c>
      <c r="C69" s="2">
        <v>2.27</v>
      </c>
      <c r="D69" s="2">
        <v>1.01</v>
      </c>
      <c r="E69" s="2">
        <v>-0.7</v>
      </c>
      <c r="F69" s="2">
        <v>0.48</v>
      </c>
      <c r="G69" s="2">
        <v>0.42</v>
      </c>
    </row>
    <row r="70" spans="1:7" x14ac:dyDescent="0.2">
      <c r="A70" s="2">
        <v>196809</v>
      </c>
      <c r="B70" s="2">
        <v>4.03</v>
      </c>
      <c r="C70" s="2">
        <v>2.81</v>
      </c>
      <c r="D70" s="2">
        <v>0.3</v>
      </c>
      <c r="E70" s="2">
        <v>-1.99</v>
      </c>
      <c r="F70" s="2">
        <v>0.87</v>
      </c>
      <c r="G70" s="2">
        <v>0.43</v>
      </c>
    </row>
    <row r="71" spans="1:7" x14ac:dyDescent="0.2">
      <c r="A71" s="2">
        <v>196810</v>
      </c>
      <c r="B71" s="2">
        <v>0.42</v>
      </c>
      <c r="C71" s="2">
        <v>-0.42</v>
      </c>
      <c r="D71" s="2">
        <v>2.86</v>
      </c>
      <c r="E71" s="2">
        <v>-1.32</v>
      </c>
      <c r="F71" s="2">
        <v>2.7</v>
      </c>
      <c r="G71" s="2">
        <v>0.44</v>
      </c>
    </row>
    <row r="72" spans="1:7" x14ac:dyDescent="0.2">
      <c r="A72" s="2">
        <v>196811</v>
      </c>
      <c r="B72" s="2">
        <v>5.43</v>
      </c>
      <c r="C72" s="2">
        <v>2.39</v>
      </c>
      <c r="D72" s="2">
        <v>-0.92</v>
      </c>
      <c r="E72" s="2">
        <v>0.43</v>
      </c>
      <c r="F72" s="2">
        <v>-2.4300000000000002</v>
      </c>
      <c r="G72" s="2">
        <v>0.42</v>
      </c>
    </row>
    <row r="73" spans="1:7" x14ac:dyDescent="0.2">
      <c r="A73" s="2">
        <v>196812</v>
      </c>
      <c r="B73" s="2">
        <v>-3.94</v>
      </c>
      <c r="C73" s="2">
        <v>3.52</v>
      </c>
      <c r="D73" s="2">
        <v>-0.01</v>
      </c>
      <c r="E73" s="2">
        <v>-1.86</v>
      </c>
      <c r="F73" s="2">
        <v>1.76</v>
      </c>
      <c r="G73" s="2">
        <v>0.43</v>
      </c>
    </row>
    <row r="74" spans="1:7" x14ac:dyDescent="0.2">
      <c r="A74" s="2">
        <v>196901</v>
      </c>
      <c r="B74" s="2">
        <v>-1.25</v>
      </c>
      <c r="C74" s="2">
        <v>-0.44</v>
      </c>
      <c r="D74" s="2">
        <v>1.67</v>
      </c>
      <c r="E74" s="2">
        <v>-1.55</v>
      </c>
      <c r="F74" s="2">
        <v>1.38</v>
      </c>
      <c r="G74" s="2">
        <v>0.53</v>
      </c>
    </row>
    <row r="75" spans="1:7" x14ac:dyDescent="0.2">
      <c r="A75" s="2">
        <v>196902</v>
      </c>
      <c r="B75" s="2">
        <v>-5.84</v>
      </c>
      <c r="C75" s="2">
        <v>-4.16</v>
      </c>
      <c r="D75" s="2">
        <v>0.91</v>
      </c>
      <c r="E75" s="2">
        <v>2.0699999999999998</v>
      </c>
      <c r="F75" s="2">
        <v>0.83</v>
      </c>
      <c r="G75" s="2">
        <v>0.46</v>
      </c>
    </row>
    <row r="76" spans="1:7" x14ac:dyDescent="0.2">
      <c r="A76" s="2">
        <v>196903</v>
      </c>
      <c r="B76" s="2">
        <v>2.64</v>
      </c>
      <c r="C76" s="2">
        <v>-0.45</v>
      </c>
      <c r="D76" s="2">
        <v>-0.51</v>
      </c>
      <c r="E76" s="2">
        <v>-1.43</v>
      </c>
      <c r="F76" s="2">
        <v>-0.35</v>
      </c>
      <c r="G76" s="2">
        <v>0.46</v>
      </c>
    </row>
    <row r="77" spans="1:7" x14ac:dyDescent="0.2">
      <c r="A77" s="2">
        <v>196904</v>
      </c>
      <c r="B77" s="2">
        <v>1.46</v>
      </c>
      <c r="C77" s="2">
        <v>-0.8</v>
      </c>
      <c r="D77" s="2">
        <v>-0.03</v>
      </c>
      <c r="E77" s="2">
        <v>0.41</v>
      </c>
      <c r="F77" s="2">
        <v>0.06</v>
      </c>
      <c r="G77" s="2">
        <v>0.53</v>
      </c>
    </row>
    <row r="78" spans="1:7" x14ac:dyDescent="0.2">
      <c r="A78" s="2">
        <v>196905</v>
      </c>
      <c r="B78" s="2">
        <v>-0.1</v>
      </c>
      <c r="C78" s="2">
        <v>-0.11</v>
      </c>
      <c r="D78" s="2">
        <v>0.7</v>
      </c>
      <c r="E78" s="2">
        <v>-0.95</v>
      </c>
      <c r="F78" s="2">
        <v>1.39</v>
      </c>
      <c r="G78" s="2">
        <v>0.48</v>
      </c>
    </row>
    <row r="79" spans="1:7" x14ac:dyDescent="0.2">
      <c r="A79" s="2">
        <v>196906</v>
      </c>
      <c r="B79" s="2">
        <v>-7.18</v>
      </c>
      <c r="C79" s="2">
        <v>-5.45</v>
      </c>
      <c r="D79" s="2">
        <v>-1.08</v>
      </c>
      <c r="E79" s="2">
        <v>4.32</v>
      </c>
      <c r="F79" s="2">
        <v>-1.6</v>
      </c>
      <c r="G79" s="2">
        <v>0.51</v>
      </c>
    </row>
    <row r="80" spans="1:7" x14ac:dyDescent="0.2">
      <c r="A80" s="2">
        <v>196907</v>
      </c>
      <c r="B80" s="2">
        <v>-7</v>
      </c>
      <c r="C80" s="2">
        <v>-3.41</v>
      </c>
      <c r="D80" s="2">
        <v>1.2</v>
      </c>
      <c r="E80" s="2">
        <v>1.48</v>
      </c>
      <c r="F80" s="2">
        <v>1.91</v>
      </c>
      <c r="G80" s="2">
        <v>0.53</v>
      </c>
    </row>
    <row r="81" spans="1:7" x14ac:dyDescent="0.2">
      <c r="A81" s="2">
        <v>196908</v>
      </c>
      <c r="B81" s="2">
        <v>4.68</v>
      </c>
      <c r="C81" s="2">
        <v>0.7</v>
      </c>
      <c r="D81" s="2">
        <v>-3.79</v>
      </c>
      <c r="E81" s="2">
        <v>1.1299999999999999</v>
      </c>
      <c r="F81" s="2">
        <v>-4.0199999999999996</v>
      </c>
      <c r="G81" s="2">
        <v>0.5</v>
      </c>
    </row>
    <row r="82" spans="1:7" x14ac:dyDescent="0.2">
      <c r="A82" s="2">
        <v>196909</v>
      </c>
      <c r="B82" s="2">
        <v>-2.98</v>
      </c>
      <c r="C82" s="2">
        <v>1.29</v>
      </c>
      <c r="D82" s="2">
        <v>-3.27</v>
      </c>
      <c r="E82" s="2">
        <v>3.39</v>
      </c>
      <c r="F82" s="2">
        <v>-0.82</v>
      </c>
      <c r="G82" s="2">
        <v>0.62</v>
      </c>
    </row>
    <row r="83" spans="1:7" x14ac:dyDescent="0.2">
      <c r="A83" s="2">
        <v>196910</v>
      </c>
      <c r="B83" s="2">
        <v>5.0599999999999996</v>
      </c>
      <c r="C83" s="2">
        <v>3.96</v>
      </c>
      <c r="D83" s="2">
        <v>-3.16</v>
      </c>
      <c r="E83" s="2">
        <v>0.05</v>
      </c>
      <c r="F83" s="2">
        <v>-2.15</v>
      </c>
      <c r="G83" s="2">
        <v>0.6</v>
      </c>
    </row>
    <row r="84" spans="1:7" x14ac:dyDescent="0.2">
      <c r="A84" s="2">
        <v>196911</v>
      </c>
      <c r="B84" s="2">
        <v>-3.79</v>
      </c>
      <c r="C84" s="2">
        <v>-2.4500000000000002</v>
      </c>
      <c r="D84" s="2">
        <v>-1.19</v>
      </c>
      <c r="E84" s="2">
        <v>1.46</v>
      </c>
      <c r="F84" s="2">
        <v>0.3</v>
      </c>
      <c r="G84" s="2">
        <v>0.52</v>
      </c>
    </row>
    <row r="85" spans="1:7" x14ac:dyDescent="0.2">
      <c r="A85" s="2">
        <v>196912</v>
      </c>
      <c r="B85" s="2">
        <v>-2.63</v>
      </c>
      <c r="C85" s="2">
        <v>-3.76</v>
      </c>
      <c r="D85" s="2">
        <v>-2.86</v>
      </c>
      <c r="E85" s="2">
        <v>2.54</v>
      </c>
      <c r="F85" s="2">
        <v>-1.81</v>
      </c>
      <c r="G85" s="2">
        <v>0.64</v>
      </c>
    </row>
    <row r="86" spans="1:7" x14ac:dyDescent="0.2">
      <c r="A86" s="2">
        <v>197001</v>
      </c>
      <c r="B86" s="2">
        <v>-8.1</v>
      </c>
      <c r="C86" s="2">
        <v>3.12</v>
      </c>
      <c r="D86" s="2">
        <v>3.13</v>
      </c>
      <c r="E86" s="2">
        <v>-1.72</v>
      </c>
      <c r="F86" s="2">
        <v>3.84</v>
      </c>
      <c r="G86" s="2">
        <v>0.6</v>
      </c>
    </row>
    <row r="87" spans="1:7" x14ac:dyDescent="0.2">
      <c r="A87" s="2">
        <v>197002</v>
      </c>
      <c r="B87" s="2">
        <v>5.13</v>
      </c>
      <c r="C87" s="2">
        <v>-2.76</v>
      </c>
      <c r="D87" s="2">
        <v>3.93</v>
      </c>
      <c r="E87" s="2">
        <v>-2.29</v>
      </c>
      <c r="F87" s="2">
        <v>2.76</v>
      </c>
      <c r="G87" s="2">
        <v>0.62</v>
      </c>
    </row>
    <row r="88" spans="1:7" x14ac:dyDescent="0.2">
      <c r="A88" s="2">
        <v>197003</v>
      </c>
      <c r="B88" s="2">
        <v>-1.06</v>
      </c>
      <c r="C88" s="2">
        <v>-2.41</v>
      </c>
      <c r="D88" s="2">
        <v>3.99</v>
      </c>
      <c r="E88" s="2">
        <v>-1</v>
      </c>
      <c r="F88" s="2">
        <v>4.29</v>
      </c>
      <c r="G88" s="2">
        <v>0.56999999999999995</v>
      </c>
    </row>
    <row r="89" spans="1:7" x14ac:dyDescent="0.2">
      <c r="A89" s="2">
        <v>197004</v>
      </c>
      <c r="B89" s="2">
        <v>-11</v>
      </c>
      <c r="C89" s="2">
        <v>-6.4</v>
      </c>
      <c r="D89" s="2">
        <v>6.18</v>
      </c>
      <c r="E89" s="2">
        <v>-0.64</v>
      </c>
      <c r="F89" s="2">
        <v>6.21</v>
      </c>
      <c r="G89" s="2">
        <v>0.5</v>
      </c>
    </row>
    <row r="90" spans="1:7" x14ac:dyDescent="0.2">
      <c r="A90" s="2">
        <v>197005</v>
      </c>
      <c r="B90" s="2">
        <v>-6.92</v>
      </c>
      <c r="C90" s="2">
        <v>-4.4800000000000004</v>
      </c>
      <c r="D90" s="2">
        <v>3.33</v>
      </c>
      <c r="E90" s="2">
        <v>-1.21</v>
      </c>
      <c r="F90" s="2">
        <v>3.9</v>
      </c>
      <c r="G90" s="2">
        <v>0.53</v>
      </c>
    </row>
    <row r="91" spans="1:7" x14ac:dyDescent="0.2">
      <c r="A91" s="2">
        <v>197006</v>
      </c>
      <c r="B91" s="2">
        <v>-5.79</v>
      </c>
      <c r="C91" s="2">
        <v>-2.2000000000000002</v>
      </c>
      <c r="D91" s="2">
        <v>0.6</v>
      </c>
      <c r="E91" s="2">
        <v>0.13</v>
      </c>
      <c r="F91" s="2">
        <v>2.96</v>
      </c>
      <c r="G91" s="2">
        <v>0.57999999999999996</v>
      </c>
    </row>
    <row r="92" spans="1:7" x14ac:dyDescent="0.2">
      <c r="A92" s="2">
        <v>197007</v>
      </c>
      <c r="B92" s="2">
        <v>6.93</v>
      </c>
      <c r="C92" s="2">
        <v>-0.62</v>
      </c>
      <c r="D92" s="2">
        <v>0.9</v>
      </c>
      <c r="E92" s="2">
        <v>-0.26</v>
      </c>
      <c r="F92" s="2">
        <v>1.84</v>
      </c>
      <c r="G92" s="2">
        <v>0.52</v>
      </c>
    </row>
    <row r="93" spans="1:7" x14ac:dyDescent="0.2">
      <c r="A93" s="2">
        <v>197008</v>
      </c>
      <c r="B93" s="2">
        <v>4.49</v>
      </c>
      <c r="C93" s="2">
        <v>1.52</v>
      </c>
      <c r="D93" s="2">
        <v>1.1499999999999999</v>
      </c>
      <c r="E93" s="2">
        <v>0.56000000000000005</v>
      </c>
      <c r="F93" s="2">
        <v>-0.21</v>
      </c>
      <c r="G93" s="2">
        <v>0.53</v>
      </c>
    </row>
    <row r="94" spans="1:7" x14ac:dyDescent="0.2">
      <c r="A94" s="2">
        <v>197009</v>
      </c>
      <c r="B94" s="2">
        <v>4.18</v>
      </c>
      <c r="C94" s="2">
        <v>8.51</v>
      </c>
      <c r="D94" s="2">
        <v>-5.47</v>
      </c>
      <c r="E94" s="2">
        <v>0.3</v>
      </c>
      <c r="F94" s="2">
        <v>-5.83</v>
      </c>
      <c r="G94" s="2">
        <v>0.54</v>
      </c>
    </row>
    <row r="95" spans="1:7" x14ac:dyDescent="0.2">
      <c r="A95" s="2">
        <v>197010</v>
      </c>
      <c r="B95" s="2">
        <v>-2.2799999999999998</v>
      </c>
      <c r="C95" s="2">
        <v>-4.43</v>
      </c>
      <c r="D95" s="2">
        <v>0.22</v>
      </c>
      <c r="E95" s="2">
        <v>1.71</v>
      </c>
      <c r="F95" s="2">
        <v>2.34</v>
      </c>
      <c r="G95" s="2">
        <v>0.46</v>
      </c>
    </row>
    <row r="96" spans="1:7" x14ac:dyDescent="0.2">
      <c r="A96" s="2">
        <v>197011</v>
      </c>
      <c r="B96" s="2">
        <v>4.5999999999999996</v>
      </c>
      <c r="C96" s="2">
        <v>-3.86</v>
      </c>
      <c r="D96" s="2">
        <v>1.69</v>
      </c>
      <c r="E96" s="2">
        <v>1.57</v>
      </c>
      <c r="F96" s="2">
        <v>1.47</v>
      </c>
      <c r="G96" s="2">
        <v>0.46</v>
      </c>
    </row>
    <row r="97" spans="1:7" x14ac:dyDescent="0.2">
      <c r="A97" s="2">
        <v>197012</v>
      </c>
      <c r="B97" s="2">
        <v>5.72</v>
      </c>
      <c r="C97" s="2">
        <v>2.94</v>
      </c>
      <c r="D97" s="2">
        <v>1</v>
      </c>
      <c r="E97" s="2">
        <v>0.27</v>
      </c>
      <c r="F97" s="2">
        <v>0.3</v>
      </c>
      <c r="G97" s="2">
        <v>0.42</v>
      </c>
    </row>
    <row r="98" spans="1:7" x14ac:dyDescent="0.2">
      <c r="A98" s="2">
        <v>197101</v>
      </c>
      <c r="B98" s="2">
        <v>4.84</v>
      </c>
      <c r="C98" s="2">
        <v>7.54</v>
      </c>
      <c r="D98" s="2">
        <v>1.33</v>
      </c>
      <c r="E98" s="2">
        <v>-1.99</v>
      </c>
      <c r="F98" s="2">
        <v>7.0000000000000007E-2</v>
      </c>
      <c r="G98" s="2">
        <v>0.38</v>
      </c>
    </row>
    <row r="99" spans="1:7" x14ac:dyDescent="0.2">
      <c r="A99" s="2">
        <v>197102</v>
      </c>
      <c r="B99" s="2">
        <v>1.41</v>
      </c>
      <c r="C99" s="2">
        <v>2.04</v>
      </c>
      <c r="D99" s="2">
        <v>-1.23</v>
      </c>
      <c r="E99" s="2">
        <v>0.62</v>
      </c>
      <c r="F99" s="2">
        <v>-0.7</v>
      </c>
      <c r="G99" s="2">
        <v>0.33</v>
      </c>
    </row>
    <row r="100" spans="1:7" x14ac:dyDescent="0.2">
      <c r="A100" s="2">
        <v>197103</v>
      </c>
      <c r="B100" s="2">
        <v>4.13</v>
      </c>
      <c r="C100" s="2">
        <v>2.2599999999999998</v>
      </c>
      <c r="D100" s="2">
        <v>-3.95</v>
      </c>
      <c r="E100" s="2">
        <v>1.82</v>
      </c>
      <c r="F100" s="2">
        <v>-2.71</v>
      </c>
      <c r="G100" s="2">
        <v>0.3</v>
      </c>
    </row>
    <row r="101" spans="1:7" x14ac:dyDescent="0.2">
      <c r="A101" s="2">
        <v>197104</v>
      </c>
      <c r="B101" s="2">
        <v>3.15</v>
      </c>
      <c r="C101" s="2">
        <v>-0.36</v>
      </c>
      <c r="D101" s="2">
        <v>0.69</v>
      </c>
      <c r="E101" s="2">
        <v>-1.47</v>
      </c>
      <c r="F101" s="2">
        <v>0.87</v>
      </c>
      <c r="G101" s="2">
        <v>0.28000000000000003</v>
      </c>
    </row>
    <row r="102" spans="1:7" x14ac:dyDescent="0.2">
      <c r="A102" s="2">
        <v>197105</v>
      </c>
      <c r="B102" s="2">
        <v>-3.98</v>
      </c>
      <c r="C102" s="2">
        <v>-1.1100000000000001</v>
      </c>
      <c r="D102" s="2">
        <v>-1.44</v>
      </c>
      <c r="E102" s="2">
        <v>1.4</v>
      </c>
      <c r="F102" s="2">
        <v>0.25</v>
      </c>
      <c r="G102" s="2">
        <v>0.28999999999999998</v>
      </c>
    </row>
    <row r="103" spans="1:7" x14ac:dyDescent="0.2">
      <c r="A103" s="2">
        <v>197106</v>
      </c>
      <c r="B103" s="2">
        <v>-0.1</v>
      </c>
      <c r="C103" s="2">
        <v>-1.48</v>
      </c>
      <c r="D103" s="2">
        <v>-1.87</v>
      </c>
      <c r="E103" s="2">
        <v>1.53</v>
      </c>
      <c r="F103" s="2">
        <v>-1.64</v>
      </c>
      <c r="G103" s="2">
        <v>0.37</v>
      </c>
    </row>
    <row r="104" spans="1:7" x14ac:dyDescent="0.2">
      <c r="A104" s="2">
        <v>197107</v>
      </c>
      <c r="B104" s="2">
        <v>-4.5</v>
      </c>
      <c r="C104" s="2">
        <v>-1.39</v>
      </c>
      <c r="D104" s="2">
        <v>0.02</v>
      </c>
      <c r="E104" s="2">
        <v>0.64</v>
      </c>
      <c r="F104" s="2">
        <v>1.46</v>
      </c>
      <c r="G104" s="2">
        <v>0.4</v>
      </c>
    </row>
    <row r="105" spans="1:7" x14ac:dyDescent="0.2">
      <c r="A105" s="2">
        <v>197108</v>
      </c>
      <c r="B105" s="2">
        <v>3.79</v>
      </c>
      <c r="C105" s="2">
        <v>-0.16</v>
      </c>
      <c r="D105" s="2">
        <v>2.63</v>
      </c>
      <c r="E105" s="2">
        <v>-0.43</v>
      </c>
      <c r="F105" s="2">
        <v>2.64</v>
      </c>
      <c r="G105" s="2">
        <v>0.47</v>
      </c>
    </row>
    <row r="106" spans="1:7" x14ac:dyDescent="0.2">
      <c r="A106" s="2">
        <v>197109</v>
      </c>
      <c r="B106" s="2">
        <v>-0.85</v>
      </c>
      <c r="C106" s="2">
        <v>0.28000000000000003</v>
      </c>
      <c r="D106" s="2">
        <v>-2.91</v>
      </c>
      <c r="E106" s="2">
        <v>2.56</v>
      </c>
      <c r="F106" s="2">
        <v>-1.58</v>
      </c>
      <c r="G106" s="2">
        <v>0.37</v>
      </c>
    </row>
    <row r="107" spans="1:7" x14ac:dyDescent="0.2">
      <c r="A107" s="2">
        <v>197110</v>
      </c>
      <c r="B107" s="2">
        <v>-4.42</v>
      </c>
      <c r="C107" s="2">
        <v>-1.6</v>
      </c>
      <c r="D107" s="2">
        <v>-0.48</v>
      </c>
      <c r="E107" s="2">
        <v>1.62</v>
      </c>
      <c r="F107" s="2">
        <v>-1.35</v>
      </c>
      <c r="G107" s="2">
        <v>0.37</v>
      </c>
    </row>
    <row r="108" spans="1:7" x14ac:dyDescent="0.2">
      <c r="A108" s="2">
        <v>197111</v>
      </c>
      <c r="B108" s="2">
        <v>-0.46</v>
      </c>
      <c r="C108" s="2">
        <v>-2.86</v>
      </c>
      <c r="D108" s="2">
        <v>-1.68</v>
      </c>
      <c r="E108" s="2">
        <v>2.44</v>
      </c>
      <c r="F108" s="2">
        <v>-0.34</v>
      </c>
      <c r="G108" s="2">
        <v>0.37</v>
      </c>
    </row>
    <row r="109" spans="1:7" x14ac:dyDescent="0.2">
      <c r="A109" s="2">
        <v>197112</v>
      </c>
      <c r="B109" s="2">
        <v>8.7100000000000009</v>
      </c>
      <c r="C109" s="2">
        <v>3.27</v>
      </c>
      <c r="D109" s="2">
        <v>-0.4</v>
      </c>
      <c r="E109" s="2">
        <v>-0.4</v>
      </c>
      <c r="F109" s="2">
        <v>-1.75</v>
      </c>
      <c r="G109" s="2">
        <v>0.37</v>
      </c>
    </row>
    <row r="110" spans="1:7" x14ac:dyDescent="0.2">
      <c r="A110" s="2">
        <v>197201</v>
      </c>
      <c r="B110" s="2">
        <v>2.4900000000000002</v>
      </c>
      <c r="C110" s="2">
        <v>6.1</v>
      </c>
      <c r="D110" s="2">
        <v>2.2400000000000002</v>
      </c>
      <c r="E110" s="2">
        <v>-1.69</v>
      </c>
      <c r="F110" s="2">
        <v>0.55000000000000004</v>
      </c>
      <c r="G110" s="2">
        <v>0.28999999999999998</v>
      </c>
    </row>
    <row r="111" spans="1:7" x14ac:dyDescent="0.2">
      <c r="A111" s="2">
        <v>197202</v>
      </c>
      <c r="B111" s="2">
        <v>2.87</v>
      </c>
      <c r="C111" s="2">
        <v>0.87</v>
      </c>
      <c r="D111" s="2">
        <v>-2.79</v>
      </c>
      <c r="E111" s="2">
        <v>1.61</v>
      </c>
      <c r="F111" s="2">
        <v>-0.52</v>
      </c>
      <c r="G111" s="2">
        <v>0.25</v>
      </c>
    </row>
    <row r="112" spans="1:7" x14ac:dyDescent="0.2">
      <c r="A112" s="2">
        <v>197203</v>
      </c>
      <c r="B112" s="2">
        <v>0.63</v>
      </c>
      <c r="C112" s="2">
        <v>-0.43</v>
      </c>
      <c r="D112" s="2">
        <v>-1.61</v>
      </c>
      <c r="E112" s="2">
        <v>1.63</v>
      </c>
      <c r="F112" s="2">
        <v>-0.18</v>
      </c>
      <c r="G112" s="2">
        <v>0.27</v>
      </c>
    </row>
    <row r="113" spans="1:7" x14ac:dyDescent="0.2">
      <c r="A113" s="2">
        <v>197204</v>
      </c>
      <c r="B113" s="2">
        <v>0.28999999999999998</v>
      </c>
      <c r="C113" s="2">
        <v>0.23</v>
      </c>
      <c r="D113" s="2">
        <v>0.12</v>
      </c>
      <c r="E113" s="2">
        <v>-0.42</v>
      </c>
      <c r="F113" s="2">
        <v>-1.03</v>
      </c>
      <c r="G113" s="2">
        <v>0.28999999999999998</v>
      </c>
    </row>
    <row r="114" spans="1:7" x14ac:dyDescent="0.2">
      <c r="A114" s="2">
        <v>197205</v>
      </c>
      <c r="B114" s="2">
        <v>1.25</v>
      </c>
      <c r="C114" s="2">
        <v>-3.1</v>
      </c>
      <c r="D114" s="2">
        <v>-2.7</v>
      </c>
      <c r="E114" s="2">
        <v>2.34</v>
      </c>
      <c r="F114" s="2">
        <v>-1.95</v>
      </c>
      <c r="G114" s="2">
        <v>0.3</v>
      </c>
    </row>
    <row r="115" spans="1:7" x14ac:dyDescent="0.2">
      <c r="A115" s="2">
        <v>197206</v>
      </c>
      <c r="B115" s="2">
        <v>-2.4300000000000002</v>
      </c>
      <c r="C115" s="2">
        <v>-0.43</v>
      </c>
      <c r="D115" s="2">
        <v>-2.48</v>
      </c>
      <c r="E115" s="2">
        <v>1.88</v>
      </c>
      <c r="F115" s="2">
        <v>-0.36</v>
      </c>
      <c r="G115" s="2">
        <v>0.28999999999999998</v>
      </c>
    </row>
    <row r="116" spans="1:7" x14ac:dyDescent="0.2">
      <c r="A116" s="2">
        <v>197207</v>
      </c>
      <c r="B116" s="2">
        <v>-0.8</v>
      </c>
      <c r="C116" s="2">
        <v>-2.77</v>
      </c>
      <c r="D116" s="2">
        <v>0.66</v>
      </c>
      <c r="E116" s="2">
        <v>1.1399999999999999</v>
      </c>
      <c r="F116" s="2">
        <v>-0.66</v>
      </c>
      <c r="G116" s="2">
        <v>0.31</v>
      </c>
    </row>
    <row r="117" spans="1:7" x14ac:dyDescent="0.2">
      <c r="A117" s="2">
        <v>197208</v>
      </c>
      <c r="B117" s="2">
        <v>3.26</v>
      </c>
      <c r="C117" s="2">
        <v>-3.48</v>
      </c>
      <c r="D117" s="2">
        <v>4.54</v>
      </c>
      <c r="E117" s="2">
        <v>-1.96</v>
      </c>
      <c r="F117" s="2">
        <v>2.85</v>
      </c>
      <c r="G117" s="2">
        <v>0.28999999999999998</v>
      </c>
    </row>
    <row r="118" spans="1:7" x14ac:dyDescent="0.2">
      <c r="A118" s="2">
        <v>197209</v>
      </c>
      <c r="B118" s="2">
        <v>-1.1399999999999999</v>
      </c>
      <c r="C118" s="2">
        <v>-2.23</v>
      </c>
      <c r="D118" s="2">
        <v>0.46</v>
      </c>
      <c r="E118" s="2">
        <v>1.68</v>
      </c>
      <c r="F118" s="2">
        <v>-1.97</v>
      </c>
      <c r="G118" s="2">
        <v>0.34</v>
      </c>
    </row>
    <row r="119" spans="1:7" x14ac:dyDescent="0.2">
      <c r="A119" s="2">
        <v>197210</v>
      </c>
      <c r="B119" s="2">
        <v>0.52</v>
      </c>
      <c r="C119" s="2">
        <v>-2.54</v>
      </c>
      <c r="D119" s="2">
        <v>1.34</v>
      </c>
      <c r="E119" s="2">
        <v>-0.15</v>
      </c>
      <c r="F119" s="2">
        <v>0.02</v>
      </c>
      <c r="G119" s="2">
        <v>0.4</v>
      </c>
    </row>
    <row r="120" spans="1:7" x14ac:dyDescent="0.2">
      <c r="A120" s="2">
        <v>197211</v>
      </c>
      <c r="B120" s="2">
        <v>4.5999999999999996</v>
      </c>
      <c r="C120" s="2">
        <v>-0.62</v>
      </c>
      <c r="D120" s="2">
        <v>4.8499999999999996</v>
      </c>
      <c r="E120" s="2">
        <v>-1.95</v>
      </c>
      <c r="F120" s="2">
        <v>3.37</v>
      </c>
      <c r="G120" s="2">
        <v>0.37</v>
      </c>
    </row>
    <row r="121" spans="1:7" x14ac:dyDescent="0.2">
      <c r="A121" s="2">
        <v>197212</v>
      </c>
      <c r="B121" s="2">
        <v>0.62</v>
      </c>
      <c r="C121" s="2">
        <v>-1.89</v>
      </c>
      <c r="D121" s="2">
        <v>-2.19</v>
      </c>
      <c r="E121" s="2">
        <v>2.6</v>
      </c>
      <c r="F121" s="2">
        <v>-2.16</v>
      </c>
      <c r="G121" s="2">
        <v>0.37</v>
      </c>
    </row>
    <row r="122" spans="1:7" x14ac:dyDescent="0.2">
      <c r="A122" s="2">
        <v>197301</v>
      </c>
      <c r="B122" s="2">
        <v>-3.29</v>
      </c>
      <c r="C122" s="2">
        <v>-2.81</v>
      </c>
      <c r="D122" s="2">
        <v>2.68</v>
      </c>
      <c r="E122" s="2">
        <v>0.42</v>
      </c>
      <c r="F122" s="2">
        <v>0.9</v>
      </c>
      <c r="G122" s="2">
        <v>0.44</v>
      </c>
    </row>
    <row r="123" spans="1:7" x14ac:dyDescent="0.2">
      <c r="A123" s="2">
        <v>197302</v>
      </c>
      <c r="B123" s="2">
        <v>-4.8499999999999996</v>
      </c>
      <c r="C123" s="2">
        <v>-3.91</v>
      </c>
      <c r="D123" s="2">
        <v>1.6</v>
      </c>
      <c r="E123" s="2">
        <v>-0.26</v>
      </c>
      <c r="F123" s="2">
        <v>0.02</v>
      </c>
      <c r="G123" s="2">
        <v>0.41</v>
      </c>
    </row>
    <row r="124" spans="1:7" x14ac:dyDescent="0.2">
      <c r="A124" s="2">
        <v>197303</v>
      </c>
      <c r="B124" s="2">
        <v>-1.3</v>
      </c>
      <c r="C124" s="2">
        <v>-2.33</v>
      </c>
      <c r="D124" s="2">
        <v>2.62</v>
      </c>
      <c r="E124" s="2">
        <v>-1.07</v>
      </c>
      <c r="F124" s="2">
        <v>0.62</v>
      </c>
      <c r="G124" s="2">
        <v>0.46</v>
      </c>
    </row>
    <row r="125" spans="1:7" x14ac:dyDescent="0.2">
      <c r="A125" s="2">
        <v>197304</v>
      </c>
      <c r="B125" s="2">
        <v>-5.68</v>
      </c>
      <c r="C125" s="2">
        <v>-2.9</v>
      </c>
      <c r="D125" s="2">
        <v>5.41</v>
      </c>
      <c r="E125" s="2">
        <v>-1.58</v>
      </c>
      <c r="F125" s="2">
        <v>2.6</v>
      </c>
      <c r="G125" s="2">
        <v>0.52</v>
      </c>
    </row>
    <row r="126" spans="1:7" x14ac:dyDescent="0.2">
      <c r="A126" s="2">
        <v>197305</v>
      </c>
      <c r="B126" s="2">
        <v>-2.94</v>
      </c>
      <c r="C126" s="2">
        <v>-6.17</v>
      </c>
      <c r="D126" s="2">
        <v>0.41</v>
      </c>
      <c r="E126" s="2">
        <v>1.95</v>
      </c>
      <c r="F126" s="2">
        <v>-1.57</v>
      </c>
      <c r="G126" s="2">
        <v>0.51</v>
      </c>
    </row>
    <row r="127" spans="1:7" x14ac:dyDescent="0.2">
      <c r="A127" s="2">
        <v>197306</v>
      </c>
      <c r="B127" s="2">
        <v>-1.57</v>
      </c>
      <c r="C127" s="2">
        <v>-2.48</v>
      </c>
      <c r="D127" s="2">
        <v>1.2</v>
      </c>
      <c r="E127" s="2">
        <v>-0.21</v>
      </c>
      <c r="F127" s="2">
        <v>0.11</v>
      </c>
      <c r="G127" s="2">
        <v>0.51</v>
      </c>
    </row>
    <row r="128" spans="1:7" x14ac:dyDescent="0.2">
      <c r="A128" s="2">
        <v>197307</v>
      </c>
      <c r="B128" s="2">
        <v>5.05</v>
      </c>
      <c r="C128" s="2">
        <v>7.26</v>
      </c>
      <c r="D128" s="2">
        <v>-5.31</v>
      </c>
      <c r="E128" s="2">
        <v>-0.05</v>
      </c>
      <c r="F128" s="2">
        <v>-3.28</v>
      </c>
      <c r="G128" s="2">
        <v>0.64</v>
      </c>
    </row>
    <row r="129" spans="1:7" x14ac:dyDescent="0.2">
      <c r="A129" s="2">
        <v>197308</v>
      </c>
      <c r="B129" s="2">
        <v>-3.82</v>
      </c>
      <c r="C129" s="2">
        <v>-1.84</v>
      </c>
      <c r="D129" s="2">
        <v>1.24</v>
      </c>
      <c r="E129" s="2">
        <v>-1.31</v>
      </c>
      <c r="F129" s="2">
        <v>1.3</v>
      </c>
      <c r="G129" s="2">
        <v>0.7</v>
      </c>
    </row>
    <row r="130" spans="1:7" x14ac:dyDescent="0.2">
      <c r="A130" s="2">
        <v>197309</v>
      </c>
      <c r="B130" s="2">
        <v>4.75</v>
      </c>
      <c r="C130" s="2">
        <v>3.6</v>
      </c>
      <c r="D130" s="2">
        <v>2.0099999999999998</v>
      </c>
      <c r="E130" s="2">
        <v>-2.33</v>
      </c>
      <c r="F130" s="2">
        <v>1.77</v>
      </c>
      <c r="G130" s="2">
        <v>0.68</v>
      </c>
    </row>
    <row r="131" spans="1:7" x14ac:dyDescent="0.2">
      <c r="A131" s="2">
        <v>197310</v>
      </c>
      <c r="B131" s="2">
        <v>-0.83</v>
      </c>
      <c r="C131" s="2">
        <v>-0.38</v>
      </c>
      <c r="D131" s="2">
        <v>1.94</v>
      </c>
      <c r="E131" s="2">
        <v>-1.9</v>
      </c>
      <c r="F131" s="2">
        <v>2.71</v>
      </c>
      <c r="G131" s="2">
        <v>0.65</v>
      </c>
    </row>
    <row r="132" spans="1:7" x14ac:dyDescent="0.2">
      <c r="A132" s="2">
        <v>197311</v>
      </c>
      <c r="B132" s="2">
        <v>-12.75</v>
      </c>
      <c r="C132" s="2">
        <v>-7.28</v>
      </c>
      <c r="D132" s="2">
        <v>3.87</v>
      </c>
      <c r="E132" s="2">
        <v>-2.63</v>
      </c>
      <c r="F132" s="2">
        <v>1.73</v>
      </c>
      <c r="G132" s="2">
        <v>0.56000000000000005</v>
      </c>
    </row>
    <row r="133" spans="1:7" x14ac:dyDescent="0.2">
      <c r="A133" s="2">
        <v>197312</v>
      </c>
      <c r="B133" s="2">
        <v>0.61</v>
      </c>
      <c r="C133" s="2">
        <v>-4.6900000000000004</v>
      </c>
      <c r="D133" s="2">
        <v>3.85</v>
      </c>
      <c r="E133" s="2">
        <v>-2.78</v>
      </c>
      <c r="F133" s="2">
        <v>2.48</v>
      </c>
      <c r="G133" s="2">
        <v>0.64</v>
      </c>
    </row>
    <row r="134" spans="1:7" x14ac:dyDescent="0.2">
      <c r="A134" s="2">
        <v>197401</v>
      </c>
      <c r="B134" s="2">
        <v>-0.17</v>
      </c>
      <c r="C134" s="2">
        <v>10.41</v>
      </c>
      <c r="D134" s="2">
        <v>6.02</v>
      </c>
      <c r="E134" s="2">
        <v>-3.07</v>
      </c>
      <c r="F134" s="2">
        <v>4.42</v>
      </c>
      <c r="G134" s="2">
        <v>0.63</v>
      </c>
    </row>
    <row r="135" spans="1:7" x14ac:dyDescent="0.2">
      <c r="A135" s="2">
        <v>197402</v>
      </c>
      <c r="B135" s="2">
        <v>-0.47</v>
      </c>
      <c r="C135" s="2">
        <v>0.06</v>
      </c>
      <c r="D135" s="2">
        <v>2.81</v>
      </c>
      <c r="E135" s="2">
        <v>-1.87</v>
      </c>
      <c r="F135" s="2">
        <v>2.63</v>
      </c>
      <c r="G135" s="2">
        <v>0.57999999999999996</v>
      </c>
    </row>
    <row r="136" spans="1:7" x14ac:dyDescent="0.2">
      <c r="A136" s="2">
        <v>197403</v>
      </c>
      <c r="B136" s="2">
        <v>-2.81</v>
      </c>
      <c r="C136" s="2">
        <v>2.65</v>
      </c>
      <c r="D136" s="2">
        <v>-0.32</v>
      </c>
      <c r="E136" s="2">
        <v>2.8</v>
      </c>
      <c r="F136" s="2">
        <v>0.44</v>
      </c>
      <c r="G136" s="2">
        <v>0.56000000000000005</v>
      </c>
    </row>
    <row r="137" spans="1:7" x14ac:dyDescent="0.2">
      <c r="A137" s="2">
        <v>197404</v>
      </c>
      <c r="B137" s="2">
        <v>-5.29</v>
      </c>
      <c r="C137" s="2">
        <v>-0.7</v>
      </c>
      <c r="D137" s="2">
        <v>0.85</v>
      </c>
      <c r="E137" s="2">
        <v>2.87</v>
      </c>
      <c r="F137" s="2">
        <v>2.09</v>
      </c>
      <c r="G137" s="2">
        <v>0.75</v>
      </c>
    </row>
    <row r="138" spans="1:7" x14ac:dyDescent="0.2">
      <c r="A138" s="2">
        <v>197405</v>
      </c>
      <c r="B138" s="2">
        <v>-4.68</v>
      </c>
      <c r="C138" s="2">
        <v>-3.07</v>
      </c>
      <c r="D138" s="2">
        <v>-2.02</v>
      </c>
      <c r="E138" s="2">
        <v>4.95</v>
      </c>
      <c r="F138" s="2">
        <v>-0.42</v>
      </c>
      <c r="G138" s="2">
        <v>0.75</v>
      </c>
    </row>
    <row r="139" spans="1:7" x14ac:dyDescent="0.2">
      <c r="A139" s="2">
        <v>197406</v>
      </c>
      <c r="B139" s="2">
        <v>-2.83</v>
      </c>
      <c r="C139" s="2">
        <v>0</v>
      </c>
      <c r="D139" s="2">
        <v>0.77</v>
      </c>
      <c r="E139" s="2">
        <v>0.56999999999999995</v>
      </c>
      <c r="F139" s="2">
        <v>2.94</v>
      </c>
      <c r="G139" s="2">
        <v>0.6</v>
      </c>
    </row>
    <row r="140" spans="1:7" x14ac:dyDescent="0.2">
      <c r="A140" s="2">
        <v>197407</v>
      </c>
      <c r="B140" s="2">
        <v>-8.0500000000000007</v>
      </c>
      <c r="C140" s="2">
        <v>1.92</v>
      </c>
      <c r="D140" s="2">
        <v>5.16</v>
      </c>
      <c r="E140" s="2">
        <v>-3.25</v>
      </c>
      <c r="F140" s="2">
        <v>4.5999999999999996</v>
      </c>
      <c r="G140" s="2">
        <v>0.7</v>
      </c>
    </row>
    <row r="141" spans="1:7" x14ac:dyDescent="0.2">
      <c r="A141" s="2">
        <v>197408</v>
      </c>
      <c r="B141" s="2">
        <v>-9.35</v>
      </c>
      <c r="C141" s="2">
        <v>0.26</v>
      </c>
      <c r="D141" s="2">
        <v>2.64</v>
      </c>
      <c r="E141" s="2">
        <v>-0.28000000000000003</v>
      </c>
      <c r="F141" s="2">
        <v>2.59</v>
      </c>
      <c r="G141" s="2">
        <v>0.6</v>
      </c>
    </row>
    <row r="142" spans="1:7" x14ac:dyDescent="0.2">
      <c r="A142" s="2">
        <v>197409</v>
      </c>
      <c r="B142" s="2">
        <v>-11.77</v>
      </c>
      <c r="C142" s="2">
        <v>1.48</v>
      </c>
      <c r="D142" s="2">
        <v>5.58</v>
      </c>
      <c r="E142" s="2">
        <v>-4.4400000000000004</v>
      </c>
      <c r="F142" s="2">
        <v>5.91</v>
      </c>
      <c r="G142" s="2">
        <v>0.81</v>
      </c>
    </row>
    <row r="143" spans="1:7" x14ac:dyDescent="0.2">
      <c r="A143" s="2">
        <v>197410</v>
      </c>
      <c r="B143" s="2">
        <v>16.100000000000001</v>
      </c>
      <c r="C143" s="2">
        <v>-6.82</v>
      </c>
      <c r="D143" s="2">
        <v>-9.8699999999999992</v>
      </c>
      <c r="E143" s="2">
        <v>-0.21</v>
      </c>
      <c r="F143" s="2">
        <v>-2.86</v>
      </c>
      <c r="G143" s="2">
        <v>0.51</v>
      </c>
    </row>
    <row r="144" spans="1:7" x14ac:dyDescent="0.2">
      <c r="A144" s="2">
        <v>197411</v>
      </c>
      <c r="B144" s="2">
        <v>-4.51</v>
      </c>
      <c r="C144" s="2">
        <v>-1.48</v>
      </c>
      <c r="D144" s="2">
        <v>-0.2</v>
      </c>
      <c r="E144" s="2">
        <v>-3.37</v>
      </c>
      <c r="F144" s="2">
        <v>2.92</v>
      </c>
      <c r="G144" s="2">
        <v>0.54</v>
      </c>
    </row>
    <row r="145" spans="1:7" x14ac:dyDescent="0.2">
      <c r="A145" s="2">
        <v>197412</v>
      </c>
      <c r="B145" s="2">
        <v>-3.45</v>
      </c>
      <c r="C145" s="2">
        <v>-4.3499999999999996</v>
      </c>
      <c r="D145" s="2">
        <v>0.11</v>
      </c>
      <c r="E145" s="2">
        <v>-0.68</v>
      </c>
      <c r="F145" s="2">
        <v>3.25</v>
      </c>
      <c r="G145" s="2">
        <v>0.7</v>
      </c>
    </row>
    <row r="146" spans="1:7" x14ac:dyDescent="0.2">
      <c r="A146" s="2">
        <v>197501</v>
      </c>
      <c r="B146" s="2">
        <v>13.66</v>
      </c>
      <c r="C146" s="2">
        <v>12.91</v>
      </c>
      <c r="D146" s="2">
        <v>8.2799999999999994</v>
      </c>
      <c r="E146" s="2">
        <v>-0.78</v>
      </c>
      <c r="F146" s="2">
        <v>-0.9</v>
      </c>
      <c r="G146" s="2">
        <v>0.57999999999999996</v>
      </c>
    </row>
    <row r="147" spans="1:7" x14ac:dyDescent="0.2">
      <c r="A147" s="2">
        <v>197502</v>
      </c>
      <c r="B147" s="2">
        <v>5.56</v>
      </c>
      <c r="C147" s="2">
        <v>-0.65</v>
      </c>
      <c r="D147" s="2">
        <v>-4.4400000000000004</v>
      </c>
      <c r="E147" s="2">
        <v>1.1599999999999999</v>
      </c>
      <c r="F147" s="2">
        <v>-2.1</v>
      </c>
      <c r="G147" s="2">
        <v>0.43</v>
      </c>
    </row>
    <row r="148" spans="1:7" x14ac:dyDescent="0.2">
      <c r="A148" s="2">
        <v>197503</v>
      </c>
      <c r="B148" s="2">
        <v>2.66</v>
      </c>
      <c r="C148" s="2">
        <v>4</v>
      </c>
      <c r="D148" s="2">
        <v>2.38</v>
      </c>
      <c r="E148" s="2">
        <v>1.26</v>
      </c>
      <c r="F148" s="2">
        <v>-1.33</v>
      </c>
      <c r="G148" s="2">
        <v>0.41</v>
      </c>
    </row>
    <row r="149" spans="1:7" x14ac:dyDescent="0.2">
      <c r="A149" s="2">
        <v>197504</v>
      </c>
      <c r="B149" s="2">
        <v>4.2300000000000004</v>
      </c>
      <c r="C149" s="2">
        <v>-0.71</v>
      </c>
      <c r="D149" s="2">
        <v>-1.1399999999999999</v>
      </c>
      <c r="E149" s="2">
        <v>1.41</v>
      </c>
      <c r="F149" s="2">
        <v>-1.34</v>
      </c>
      <c r="G149" s="2">
        <v>0.44</v>
      </c>
    </row>
    <row r="150" spans="1:7" x14ac:dyDescent="0.2">
      <c r="A150" s="2">
        <v>197505</v>
      </c>
      <c r="B150" s="2">
        <v>5.19</v>
      </c>
      <c r="C150" s="2">
        <v>2.89</v>
      </c>
      <c r="D150" s="2">
        <v>-4.0999999999999996</v>
      </c>
      <c r="E150" s="2">
        <v>-0.98</v>
      </c>
      <c r="F150" s="2">
        <v>-0.6</v>
      </c>
      <c r="G150" s="2">
        <v>0.44</v>
      </c>
    </row>
    <row r="151" spans="1:7" x14ac:dyDescent="0.2">
      <c r="A151" s="2">
        <v>197506</v>
      </c>
      <c r="B151" s="2">
        <v>4.83</v>
      </c>
      <c r="C151" s="2">
        <v>1.43</v>
      </c>
      <c r="D151" s="2">
        <v>1.38</v>
      </c>
      <c r="E151" s="2">
        <v>-2.66</v>
      </c>
      <c r="F151" s="2">
        <v>1.06</v>
      </c>
      <c r="G151" s="2">
        <v>0.41</v>
      </c>
    </row>
    <row r="152" spans="1:7" x14ac:dyDescent="0.2">
      <c r="A152" s="2">
        <v>197507</v>
      </c>
      <c r="B152" s="2">
        <v>-6.59</v>
      </c>
      <c r="C152" s="2">
        <v>3.44</v>
      </c>
      <c r="D152" s="2">
        <v>1.69</v>
      </c>
      <c r="E152" s="2">
        <v>0.46</v>
      </c>
      <c r="F152" s="2">
        <v>1.22</v>
      </c>
      <c r="G152" s="2">
        <v>0.48</v>
      </c>
    </row>
    <row r="153" spans="1:7" x14ac:dyDescent="0.2">
      <c r="A153" s="2">
        <v>197508</v>
      </c>
      <c r="B153" s="2">
        <v>-2.85</v>
      </c>
      <c r="C153" s="2">
        <v>-2.84</v>
      </c>
      <c r="D153" s="2">
        <v>-0.95</v>
      </c>
      <c r="E153" s="2">
        <v>1.1100000000000001</v>
      </c>
      <c r="F153" s="2">
        <v>-0.93</v>
      </c>
      <c r="G153" s="2">
        <v>0.48</v>
      </c>
    </row>
    <row r="154" spans="1:7" x14ac:dyDescent="0.2">
      <c r="A154" s="2">
        <v>197509</v>
      </c>
      <c r="B154" s="2">
        <v>-4.26</v>
      </c>
      <c r="C154" s="2">
        <v>0.05</v>
      </c>
      <c r="D154" s="2">
        <v>0.39</v>
      </c>
      <c r="E154" s="2">
        <v>0.53</v>
      </c>
      <c r="F154" s="2">
        <v>0.55000000000000004</v>
      </c>
      <c r="G154" s="2">
        <v>0.53</v>
      </c>
    </row>
    <row r="155" spans="1:7" x14ac:dyDescent="0.2">
      <c r="A155" s="2">
        <v>197510</v>
      </c>
      <c r="B155" s="2">
        <v>5.31</v>
      </c>
      <c r="C155" s="2">
        <v>-4.2300000000000004</v>
      </c>
      <c r="D155" s="2">
        <v>0.28000000000000003</v>
      </c>
      <c r="E155" s="2">
        <v>-0.49</v>
      </c>
      <c r="F155" s="2">
        <v>2.2599999999999998</v>
      </c>
      <c r="G155" s="2">
        <v>0.56000000000000005</v>
      </c>
    </row>
    <row r="156" spans="1:7" x14ac:dyDescent="0.2">
      <c r="A156" s="2">
        <v>197511</v>
      </c>
      <c r="B156" s="2">
        <v>2.64</v>
      </c>
      <c r="C156" s="2">
        <v>-1.0900000000000001</v>
      </c>
      <c r="D156" s="2">
        <v>2.0299999999999998</v>
      </c>
      <c r="E156" s="2">
        <v>-0.68</v>
      </c>
      <c r="F156" s="2">
        <v>1.75</v>
      </c>
      <c r="G156" s="2">
        <v>0.41</v>
      </c>
    </row>
    <row r="157" spans="1:7" x14ac:dyDescent="0.2">
      <c r="A157" s="2">
        <v>197512</v>
      </c>
      <c r="B157" s="2">
        <v>-1.6</v>
      </c>
      <c r="C157" s="2">
        <v>-0.05</v>
      </c>
      <c r="D157" s="2">
        <v>1.69</v>
      </c>
      <c r="E157" s="2">
        <v>-0.09</v>
      </c>
      <c r="F157" s="2">
        <v>0.56999999999999995</v>
      </c>
      <c r="G157" s="2">
        <v>0.48</v>
      </c>
    </row>
    <row r="158" spans="1:7" x14ac:dyDescent="0.2">
      <c r="A158" s="2">
        <v>197601</v>
      </c>
      <c r="B158" s="2">
        <v>12.16</v>
      </c>
      <c r="C158" s="2">
        <v>6.34</v>
      </c>
      <c r="D158" s="2">
        <v>8.6300000000000008</v>
      </c>
      <c r="E158" s="2">
        <v>-1.79</v>
      </c>
      <c r="F158" s="2">
        <v>2.2799999999999998</v>
      </c>
      <c r="G158" s="2">
        <v>0.47</v>
      </c>
    </row>
    <row r="159" spans="1:7" x14ac:dyDescent="0.2">
      <c r="A159" s="2">
        <v>197602</v>
      </c>
      <c r="B159" s="2">
        <v>0.32</v>
      </c>
      <c r="C159" s="2">
        <v>7.99</v>
      </c>
      <c r="D159" s="2">
        <v>5.87</v>
      </c>
      <c r="E159" s="2">
        <v>-2.64</v>
      </c>
      <c r="F159" s="2">
        <v>3.87</v>
      </c>
      <c r="G159" s="2">
        <v>0.34</v>
      </c>
    </row>
    <row r="160" spans="1:7" x14ac:dyDescent="0.2">
      <c r="A160" s="2">
        <v>197603</v>
      </c>
      <c r="B160" s="2">
        <v>2.3199999999999998</v>
      </c>
      <c r="C160" s="2">
        <v>-1.38</v>
      </c>
      <c r="D160" s="2">
        <v>-0.12</v>
      </c>
      <c r="E160" s="2">
        <v>-0.33</v>
      </c>
      <c r="F160" s="2">
        <v>0.96</v>
      </c>
      <c r="G160" s="2">
        <v>0.4</v>
      </c>
    </row>
    <row r="161" spans="1:7" x14ac:dyDescent="0.2">
      <c r="A161" s="2">
        <v>197604</v>
      </c>
      <c r="B161" s="2">
        <v>-1.49</v>
      </c>
      <c r="C161" s="2">
        <v>0.08</v>
      </c>
      <c r="D161" s="2">
        <v>-0.16</v>
      </c>
      <c r="E161" s="2">
        <v>0.4</v>
      </c>
      <c r="F161" s="2">
        <v>-1.1000000000000001</v>
      </c>
      <c r="G161" s="2">
        <v>0.42</v>
      </c>
    </row>
    <row r="162" spans="1:7" x14ac:dyDescent="0.2">
      <c r="A162" s="2">
        <v>197605</v>
      </c>
      <c r="B162" s="2">
        <v>-1.34</v>
      </c>
      <c r="C162" s="2">
        <v>-1.1000000000000001</v>
      </c>
      <c r="D162" s="2">
        <v>-1.36</v>
      </c>
      <c r="E162" s="2">
        <v>2.46</v>
      </c>
      <c r="F162" s="2">
        <v>-1.41</v>
      </c>
      <c r="G162" s="2">
        <v>0.37</v>
      </c>
    </row>
    <row r="163" spans="1:7" x14ac:dyDescent="0.2">
      <c r="A163" s="2">
        <v>197606</v>
      </c>
      <c r="B163" s="2">
        <v>4.05</v>
      </c>
      <c r="C163" s="2">
        <v>-1.07</v>
      </c>
      <c r="D163" s="2">
        <v>0.71</v>
      </c>
      <c r="E163" s="2">
        <v>-0.68</v>
      </c>
      <c r="F163" s="2">
        <v>1.02</v>
      </c>
      <c r="G163" s="2">
        <v>0.43</v>
      </c>
    </row>
    <row r="164" spans="1:7" x14ac:dyDescent="0.2">
      <c r="A164" s="2">
        <v>197607</v>
      </c>
      <c r="B164" s="2">
        <v>-1.07</v>
      </c>
      <c r="C164" s="2">
        <v>0.63</v>
      </c>
      <c r="D164" s="2">
        <v>1.73</v>
      </c>
      <c r="E164" s="2">
        <v>-1.05</v>
      </c>
      <c r="F164" s="2">
        <v>0.28000000000000003</v>
      </c>
      <c r="G164" s="2">
        <v>0.47</v>
      </c>
    </row>
    <row r="165" spans="1:7" x14ac:dyDescent="0.2">
      <c r="A165" s="2">
        <v>197608</v>
      </c>
      <c r="B165" s="2">
        <v>-0.56000000000000005</v>
      </c>
      <c r="C165" s="2">
        <v>-1.98</v>
      </c>
      <c r="D165" s="2">
        <v>0.81</v>
      </c>
      <c r="E165" s="2">
        <v>-0.42</v>
      </c>
      <c r="F165" s="2">
        <v>-0.55000000000000004</v>
      </c>
      <c r="G165" s="2">
        <v>0.42</v>
      </c>
    </row>
    <row r="166" spans="1:7" x14ac:dyDescent="0.2">
      <c r="A166" s="2">
        <v>197609</v>
      </c>
      <c r="B166" s="2">
        <v>2.0699999999999998</v>
      </c>
      <c r="C166" s="2">
        <v>0.1</v>
      </c>
      <c r="D166" s="2">
        <v>-0.28999999999999998</v>
      </c>
      <c r="E166" s="2">
        <v>0.98</v>
      </c>
      <c r="F166" s="2">
        <v>-1.1499999999999999</v>
      </c>
      <c r="G166" s="2">
        <v>0.44</v>
      </c>
    </row>
    <row r="167" spans="1:7" x14ac:dyDescent="0.2">
      <c r="A167" s="2">
        <v>197610</v>
      </c>
      <c r="B167" s="2">
        <v>-2.42</v>
      </c>
      <c r="C167" s="2">
        <v>0.13</v>
      </c>
      <c r="D167" s="2">
        <v>-0.18</v>
      </c>
      <c r="E167" s="2">
        <v>-0.19</v>
      </c>
      <c r="F167" s="2">
        <v>-0.37</v>
      </c>
      <c r="G167" s="2">
        <v>0.41</v>
      </c>
    </row>
    <row r="168" spans="1:7" x14ac:dyDescent="0.2">
      <c r="A168" s="2">
        <v>197611</v>
      </c>
      <c r="B168" s="2">
        <v>0.36</v>
      </c>
      <c r="C168" s="2">
        <v>2.66</v>
      </c>
      <c r="D168" s="2">
        <v>1.51</v>
      </c>
      <c r="E168" s="2">
        <v>-1.41</v>
      </c>
      <c r="F168" s="2">
        <v>0.09</v>
      </c>
      <c r="G168" s="2">
        <v>0.4</v>
      </c>
    </row>
    <row r="169" spans="1:7" x14ac:dyDescent="0.2">
      <c r="A169" s="2">
        <v>197612</v>
      </c>
      <c r="B169" s="2">
        <v>5.65</v>
      </c>
      <c r="C169" s="2">
        <v>3.64</v>
      </c>
      <c r="D169" s="2">
        <v>2.27</v>
      </c>
      <c r="E169" s="2">
        <v>-0.61</v>
      </c>
      <c r="F169" s="2">
        <v>2.2799999999999998</v>
      </c>
      <c r="G169" s="2">
        <v>0.4</v>
      </c>
    </row>
    <row r="170" spans="1:7" x14ac:dyDescent="0.2">
      <c r="A170" s="2">
        <v>197701</v>
      </c>
      <c r="B170" s="2">
        <v>-4.05</v>
      </c>
      <c r="C170" s="2">
        <v>5.9</v>
      </c>
      <c r="D170" s="2">
        <v>4.2699999999999996</v>
      </c>
      <c r="E170" s="2">
        <v>-0.51</v>
      </c>
      <c r="F170" s="2">
        <v>1.97</v>
      </c>
      <c r="G170" s="2">
        <v>0.36</v>
      </c>
    </row>
    <row r="171" spans="1:7" x14ac:dyDescent="0.2">
      <c r="A171" s="2">
        <v>197702</v>
      </c>
      <c r="B171" s="2">
        <v>-1.94</v>
      </c>
      <c r="C171" s="2">
        <v>1.07</v>
      </c>
      <c r="D171" s="2">
        <v>0.47</v>
      </c>
      <c r="E171" s="2">
        <v>-0.16</v>
      </c>
      <c r="F171" s="2">
        <v>-0.22</v>
      </c>
      <c r="G171" s="2">
        <v>0.35</v>
      </c>
    </row>
    <row r="172" spans="1:7" x14ac:dyDescent="0.2">
      <c r="A172" s="2">
        <v>197703</v>
      </c>
      <c r="B172" s="2">
        <v>-1.37</v>
      </c>
      <c r="C172" s="2">
        <v>1.31</v>
      </c>
      <c r="D172" s="2">
        <v>1.0900000000000001</v>
      </c>
      <c r="E172" s="2">
        <v>-0.3</v>
      </c>
      <c r="F172" s="2">
        <v>-0.06</v>
      </c>
      <c r="G172" s="2">
        <v>0.38</v>
      </c>
    </row>
    <row r="173" spans="1:7" x14ac:dyDescent="0.2">
      <c r="A173" s="2">
        <v>197704</v>
      </c>
      <c r="B173" s="2">
        <v>0.15</v>
      </c>
      <c r="C173" s="2">
        <v>0.61</v>
      </c>
      <c r="D173" s="2">
        <v>3.38</v>
      </c>
      <c r="E173" s="2">
        <v>-2.0099999999999998</v>
      </c>
      <c r="F173" s="2">
        <v>1.1399999999999999</v>
      </c>
      <c r="G173" s="2">
        <v>0.38</v>
      </c>
    </row>
    <row r="174" spans="1:7" x14ac:dyDescent="0.2">
      <c r="A174" s="2">
        <v>197705</v>
      </c>
      <c r="B174" s="2">
        <v>-1.45</v>
      </c>
      <c r="C174" s="2">
        <v>1.31</v>
      </c>
      <c r="D174" s="2">
        <v>0.85</v>
      </c>
      <c r="E174" s="2">
        <v>0.33</v>
      </c>
      <c r="F174" s="2">
        <v>0.19</v>
      </c>
      <c r="G174" s="2">
        <v>0.37</v>
      </c>
    </row>
    <row r="175" spans="1:7" x14ac:dyDescent="0.2">
      <c r="A175" s="2">
        <v>197706</v>
      </c>
      <c r="B175" s="2">
        <v>4.71</v>
      </c>
      <c r="C175" s="2">
        <v>2.08</v>
      </c>
      <c r="D175" s="2">
        <v>-0.74</v>
      </c>
      <c r="E175" s="2">
        <v>0.91</v>
      </c>
      <c r="F175" s="2">
        <v>-1.2</v>
      </c>
      <c r="G175" s="2">
        <v>0.4</v>
      </c>
    </row>
    <row r="176" spans="1:7" x14ac:dyDescent="0.2">
      <c r="A176" s="2">
        <v>197707</v>
      </c>
      <c r="B176" s="2">
        <v>-1.69</v>
      </c>
      <c r="C176" s="2">
        <v>1.88</v>
      </c>
      <c r="D176" s="2">
        <v>-0.56000000000000005</v>
      </c>
      <c r="E176" s="2">
        <v>0.73</v>
      </c>
      <c r="F176" s="2">
        <v>0.09</v>
      </c>
      <c r="G176" s="2">
        <v>0.42</v>
      </c>
    </row>
    <row r="177" spans="1:7" x14ac:dyDescent="0.2">
      <c r="A177" s="2">
        <v>197708</v>
      </c>
      <c r="B177" s="2">
        <v>-1.75</v>
      </c>
      <c r="C177" s="2">
        <v>0.86</v>
      </c>
      <c r="D177" s="2">
        <v>-2.7</v>
      </c>
      <c r="E177" s="2">
        <v>0.98</v>
      </c>
      <c r="F177" s="2">
        <v>-0.66</v>
      </c>
      <c r="G177" s="2">
        <v>0.44</v>
      </c>
    </row>
    <row r="178" spans="1:7" x14ac:dyDescent="0.2">
      <c r="A178" s="2">
        <v>197709</v>
      </c>
      <c r="B178" s="2">
        <v>-0.27</v>
      </c>
      <c r="C178" s="2">
        <v>1.43</v>
      </c>
      <c r="D178" s="2">
        <v>-0.52</v>
      </c>
      <c r="E178" s="2">
        <v>1.43</v>
      </c>
      <c r="F178" s="2">
        <v>-0.84</v>
      </c>
      <c r="G178" s="2">
        <v>0.43</v>
      </c>
    </row>
    <row r="179" spans="1:7" x14ac:dyDescent="0.2">
      <c r="A179" s="2">
        <v>197710</v>
      </c>
      <c r="B179" s="2">
        <v>-4.38</v>
      </c>
      <c r="C179" s="2">
        <v>1.48</v>
      </c>
      <c r="D179" s="2">
        <v>1.75</v>
      </c>
      <c r="E179" s="2">
        <v>-0.2</v>
      </c>
      <c r="F179" s="2">
        <v>-0.3</v>
      </c>
      <c r="G179" s="2">
        <v>0.49</v>
      </c>
    </row>
    <row r="180" spans="1:7" x14ac:dyDescent="0.2">
      <c r="A180" s="2">
        <v>197711</v>
      </c>
      <c r="B180" s="2">
        <v>4</v>
      </c>
      <c r="C180" s="2">
        <v>3.64</v>
      </c>
      <c r="D180" s="2">
        <v>0.26</v>
      </c>
      <c r="E180" s="2">
        <v>-0.13</v>
      </c>
      <c r="F180" s="2">
        <v>0.73</v>
      </c>
      <c r="G180" s="2">
        <v>0.5</v>
      </c>
    </row>
    <row r="181" spans="1:7" x14ac:dyDescent="0.2">
      <c r="A181" s="2">
        <v>197712</v>
      </c>
      <c r="B181" s="2">
        <v>0.27</v>
      </c>
      <c r="C181" s="2">
        <v>1.59</v>
      </c>
      <c r="D181" s="2">
        <v>-0.28999999999999998</v>
      </c>
      <c r="E181" s="2">
        <v>0.92</v>
      </c>
      <c r="F181" s="2">
        <v>-0.69</v>
      </c>
      <c r="G181" s="2">
        <v>0.49</v>
      </c>
    </row>
    <row r="182" spans="1:7" x14ac:dyDescent="0.2">
      <c r="A182" s="2">
        <v>197801</v>
      </c>
      <c r="B182" s="2">
        <v>-6.01</v>
      </c>
      <c r="C182" s="2">
        <v>2.72</v>
      </c>
      <c r="D182" s="2">
        <v>3.36</v>
      </c>
      <c r="E182" s="2">
        <v>-1.72</v>
      </c>
      <c r="F182" s="2">
        <v>1.52</v>
      </c>
      <c r="G182" s="2">
        <v>0.49</v>
      </c>
    </row>
    <row r="183" spans="1:7" x14ac:dyDescent="0.2">
      <c r="A183" s="2">
        <v>197802</v>
      </c>
      <c r="B183" s="2">
        <v>-1.38</v>
      </c>
      <c r="C183" s="2">
        <v>3.7</v>
      </c>
      <c r="D183" s="2">
        <v>0.83</v>
      </c>
      <c r="E183" s="2">
        <v>0.3</v>
      </c>
      <c r="F183" s="2">
        <v>1.01</v>
      </c>
      <c r="G183" s="2">
        <v>0.46</v>
      </c>
    </row>
    <row r="184" spans="1:7" x14ac:dyDescent="0.2">
      <c r="A184" s="2">
        <v>197803</v>
      </c>
      <c r="B184" s="2">
        <v>2.85</v>
      </c>
      <c r="C184" s="2">
        <v>3.71</v>
      </c>
      <c r="D184" s="2">
        <v>1.18</v>
      </c>
      <c r="E184" s="2">
        <v>-0.59</v>
      </c>
      <c r="F184" s="2">
        <v>1.89</v>
      </c>
      <c r="G184" s="2">
        <v>0.53</v>
      </c>
    </row>
    <row r="185" spans="1:7" x14ac:dyDescent="0.2">
      <c r="A185" s="2">
        <v>197804</v>
      </c>
      <c r="B185" s="2">
        <v>7.88</v>
      </c>
      <c r="C185" s="2">
        <v>-0.26</v>
      </c>
      <c r="D185" s="2">
        <v>-3.54</v>
      </c>
      <c r="E185" s="2">
        <v>2.81</v>
      </c>
      <c r="F185" s="2">
        <v>-1.26</v>
      </c>
      <c r="G185" s="2">
        <v>0.54</v>
      </c>
    </row>
    <row r="186" spans="1:7" x14ac:dyDescent="0.2">
      <c r="A186" s="2">
        <v>197805</v>
      </c>
      <c r="B186" s="2">
        <v>1.76</v>
      </c>
      <c r="C186" s="2">
        <v>4.58</v>
      </c>
      <c r="D186" s="2">
        <v>-0.52</v>
      </c>
      <c r="E186" s="2">
        <v>0.22</v>
      </c>
      <c r="F186" s="2">
        <v>0.41</v>
      </c>
      <c r="G186" s="2">
        <v>0.51</v>
      </c>
    </row>
    <row r="187" spans="1:7" x14ac:dyDescent="0.2">
      <c r="A187" s="2">
        <v>197806</v>
      </c>
      <c r="B187" s="2">
        <v>-1.69</v>
      </c>
      <c r="C187" s="2">
        <v>1.56</v>
      </c>
      <c r="D187" s="2">
        <v>0.56999999999999995</v>
      </c>
      <c r="E187" s="2">
        <v>-1.4</v>
      </c>
      <c r="F187" s="2">
        <v>-7.0000000000000007E-2</v>
      </c>
      <c r="G187" s="2">
        <v>0.54</v>
      </c>
    </row>
    <row r="188" spans="1:7" x14ac:dyDescent="0.2">
      <c r="A188" s="2">
        <v>197807</v>
      </c>
      <c r="B188" s="2">
        <v>5.1100000000000003</v>
      </c>
      <c r="C188" s="2">
        <v>0.12</v>
      </c>
      <c r="D188" s="2">
        <v>-1.1499999999999999</v>
      </c>
      <c r="E188" s="2">
        <v>1.55</v>
      </c>
      <c r="F188" s="2">
        <v>-0.78</v>
      </c>
      <c r="G188" s="2">
        <v>0.56000000000000005</v>
      </c>
    </row>
    <row r="189" spans="1:7" x14ac:dyDescent="0.2">
      <c r="A189" s="2">
        <v>197808</v>
      </c>
      <c r="B189" s="2">
        <v>3.75</v>
      </c>
      <c r="C189" s="2">
        <v>4.95</v>
      </c>
      <c r="D189" s="2">
        <v>-0.51</v>
      </c>
      <c r="E189" s="2">
        <v>1.43</v>
      </c>
      <c r="F189" s="2">
        <v>0.46</v>
      </c>
      <c r="G189" s="2">
        <v>0.56000000000000005</v>
      </c>
    </row>
    <row r="190" spans="1:7" x14ac:dyDescent="0.2">
      <c r="A190" s="2">
        <v>197809</v>
      </c>
      <c r="B190" s="2">
        <v>-1.43</v>
      </c>
      <c r="C190" s="2">
        <v>-0.32</v>
      </c>
      <c r="D190" s="2">
        <v>1.89</v>
      </c>
      <c r="E190" s="2">
        <v>-0.67</v>
      </c>
      <c r="F190" s="2">
        <v>1.78</v>
      </c>
      <c r="G190" s="2">
        <v>0.62</v>
      </c>
    </row>
    <row r="191" spans="1:7" x14ac:dyDescent="0.2">
      <c r="A191" s="2">
        <v>197810</v>
      </c>
      <c r="B191" s="2">
        <v>-11.91</v>
      </c>
      <c r="C191" s="2">
        <v>-10.02</v>
      </c>
      <c r="D191" s="2">
        <v>1.38</v>
      </c>
      <c r="E191" s="2">
        <v>0.12</v>
      </c>
      <c r="F191" s="2">
        <v>0.94</v>
      </c>
      <c r="G191" s="2">
        <v>0.68</v>
      </c>
    </row>
    <row r="192" spans="1:7" x14ac:dyDescent="0.2">
      <c r="A192" s="2">
        <v>197811</v>
      </c>
      <c r="B192" s="2">
        <v>2.71</v>
      </c>
      <c r="C192" s="2">
        <v>2.81</v>
      </c>
      <c r="D192" s="2">
        <v>-2.15</v>
      </c>
      <c r="E192" s="2">
        <v>1.1299999999999999</v>
      </c>
      <c r="F192" s="2">
        <v>-1.17</v>
      </c>
      <c r="G192" s="2">
        <v>0.7</v>
      </c>
    </row>
    <row r="193" spans="1:7" x14ac:dyDescent="0.2">
      <c r="A193" s="2">
        <v>197812</v>
      </c>
      <c r="B193" s="2">
        <v>0.88</v>
      </c>
      <c r="C193" s="2">
        <v>1.1299999999999999</v>
      </c>
      <c r="D193" s="2">
        <v>-2.13</v>
      </c>
      <c r="E193" s="2">
        <v>2.0099999999999998</v>
      </c>
      <c r="F193" s="2">
        <v>-1.32</v>
      </c>
      <c r="G193" s="2">
        <v>0.78</v>
      </c>
    </row>
    <row r="194" spans="1:7" x14ac:dyDescent="0.2">
      <c r="A194" s="2">
        <v>197901</v>
      </c>
      <c r="B194" s="2">
        <v>4.2300000000000004</v>
      </c>
      <c r="C194" s="2">
        <v>3.78</v>
      </c>
      <c r="D194" s="2">
        <v>2.19</v>
      </c>
      <c r="E194" s="2">
        <v>-2.4700000000000002</v>
      </c>
      <c r="F194" s="2">
        <v>1.52</v>
      </c>
      <c r="G194" s="2">
        <v>0.77</v>
      </c>
    </row>
    <row r="195" spans="1:7" x14ac:dyDescent="0.2">
      <c r="A195" s="2">
        <v>197902</v>
      </c>
      <c r="B195" s="2">
        <v>-3.56</v>
      </c>
      <c r="C195" s="2">
        <v>0.54</v>
      </c>
      <c r="D195" s="2">
        <v>1.17</v>
      </c>
      <c r="E195" s="2">
        <v>-1.1200000000000001</v>
      </c>
      <c r="F195" s="2">
        <v>0.94</v>
      </c>
      <c r="G195" s="2">
        <v>0.73</v>
      </c>
    </row>
    <row r="196" spans="1:7" x14ac:dyDescent="0.2">
      <c r="A196" s="2">
        <v>197903</v>
      </c>
      <c r="B196" s="2">
        <v>5.68</v>
      </c>
      <c r="C196" s="2">
        <v>3.24</v>
      </c>
      <c r="D196" s="2">
        <v>-0.71</v>
      </c>
      <c r="E196" s="2">
        <v>0.53</v>
      </c>
      <c r="F196" s="2">
        <v>0.32</v>
      </c>
      <c r="G196" s="2">
        <v>0.81</v>
      </c>
    </row>
    <row r="197" spans="1:7" x14ac:dyDescent="0.2">
      <c r="A197" s="2">
        <v>197904</v>
      </c>
      <c r="B197" s="2">
        <v>-0.06</v>
      </c>
      <c r="C197" s="2">
        <v>2.37</v>
      </c>
      <c r="D197" s="2">
        <v>1.1200000000000001</v>
      </c>
      <c r="E197" s="2">
        <v>1.08</v>
      </c>
      <c r="F197" s="2">
        <v>0.17</v>
      </c>
      <c r="G197" s="2">
        <v>0.8</v>
      </c>
    </row>
    <row r="198" spans="1:7" x14ac:dyDescent="0.2">
      <c r="A198" s="2">
        <v>197905</v>
      </c>
      <c r="B198" s="2">
        <v>-2.21</v>
      </c>
      <c r="C198" s="2">
        <v>0.18</v>
      </c>
      <c r="D198" s="2">
        <v>1.31</v>
      </c>
      <c r="E198" s="2">
        <v>-1.54</v>
      </c>
      <c r="F198" s="2">
        <v>-0.27</v>
      </c>
      <c r="G198" s="2">
        <v>0.82</v>
      </c>
    </row>
    <row r="199" spans="1:7" x14ac:dyDescent="0.2">
      <c r="A199" s="2">
        <v>197906</v>
      </c>
      <c r="B199" s="2">
        <v>3.85</v>
      </c>
      <c r="C199" s="2">
        <v>1</v>
      </c>
      <c r="D199" s="2">
        <v>1.44</v>
      </c>
      <c r="E199" s="2">
        <v>-1.66</v>
      </c>
      <c r="F199" s="2">
        <v>-0.52</v>
      </c>
      <c r="G199" s="2">
        <v>0.81</v>
      </c>
    </row>
    <row r="200" spans="1:7" x14ac:dyDescent="0.2">
      <c r="A200" s="2">
        <v>197907</v>
      </c>
      <c r="B200" s="2">
        <v>0.82</v>
      </c>
      <c r="C200" s="2">
        <v>1.27</v>
      </c>
      <c r="D200" s="2">
        <v>1.86</v>
      </c>
      <c r="E200" s="2">
        <v>-0.28999999999999998</v>
      </c>
      <c r="F200" s="2">
        <v>0.71</v>
      </c>
      <c r="G200" s="2">
        <v>0.77</v>
      </c>
    </row>
    <row r="201" spans="1:7" x14ac:dyDescent="0.2">
      <c r="A201" s="2">
        <v>197908</v>
      </c>
      <c r="B201" s="2">
        <v>5.53</v>
      </c>
      <c r="C201" s="2">
        <v>1.92</v>
      </c>
      <c r="D201" s="2">
        <v>-1.58</v>
      </c>
      <c r="E201" s="2">
        <v>1.62</v>
      </c>
      <c r="F201" s="2">
        <v>-1.48</v>
      </c>
      <c r="G201" s="2">
        <v>0.77</v>
      </c>
    </row>
    <row r="202" spans="1:7" x14ac:dyDescent="0.2">
      <c r="A202" s="2">
        <v>197909</v>
      </c>
      <c r="B202" s="2">
        <v>-0.82</v>
      </c>
      <c r="C202" s="2">
        <v>-0.32</v>
      </c>
      <c r="D202" s="2">
        <v>-0.9</v>
      </c>
      <c r="E202" s="2">
        <v>1.01</v>
      </c>
      <c r="F202" s="2">
        <v>0.32</v>
      </c>
      <c r="G202" s="2">
        <v>0.83</v>
      </c>
    </row>
    <row r="203" spans="1:7" x14ac:dyDescent="0.2">
      <c r="A203" s="2">
        <v>197910</v>
      </c>
      <c r="B203" s="2">
        <v>-8.1</v>
      </c>
      <c r="C203" s="2">
        <v>-3.5</v>
      </c>
      <c r="D203" s="2">
        <v>-1.84</v>
      </c>
      <c r="E203" s="2">
        <v>1.01</v>
      </c>
      <c r="F203" s="2">
        <v>7.0000000000000007E-2</v>
      </c>
      <c r="G203" s="2">
        <v>0.87</v>
      </c>
    </row>
    <row r="204" spans="1:7" x14ac:dyDescent="0.2">
      <c r="A204" s="2">
        <v>197911</v>
      </c>
      <c r="B204" s="2">
        <v>5.21</v>
      </c>
      <c r="C204" s="2">
        <v>2.5299999999999998</v>
      </c>
      <c r="D204" s="2">
        <v>-3.29</v>
      </c>
      <c r="E204" s="2">
        <v>0.06</v>
      </c>
      <c r="F204" s="2">
        <v>-2.12</v>
      </c>
      <c r="G204" s="2">
        <v>0.99</v>
      </c>
    </row>
    <row r="205" spans="1:7" x14ac:dyDescent="0.2">
      <c r="A205" s="2">
        <v>197912</v>
      </c>
      <c r="B205" s="2">
        <v>1.79</v>
      </c>
      <c r="C205" s="2">
        <v>4.32</v>
      </c>
      <c r="D205" s="2">
        <v>-2.1</v>
      </c>
      <c r="E205" s="2">
        <v>-0.7</v>
      </c>
      <c r="F205" s="2">
        <v>-0.92</v>
      </c>
      <c r="G205" s="2">
        <v>0.95</v>
      </c>
    </row>
    <row r="206" spans="1:7" x14ac:dyDescent="0.2">
      <c r="A206" s="2">
        <v>198001</v>
      </c>
      <c r="B206" s="2">
        <v>5.51</v>
      </c>
      <c r="C206" s="2">
        <v>1.83</v>
      </c>
      <c r="D206" s="2">
        <v>1.75</v>
      </c>
      <c r="E206" s="2">
        <v>-1.7</v>
      </c>
      <c r="F206" s="2">
        <v>1.64</v>
      </c>
      <c r="G206" s="2">
        <v>0.8</v>
      </c>
    </row>
    <row r="207" spans="1:7" x14ac:dyDescent="0.2">
      <c r="A207" s="2">
        <v>198002</v>
      </c>
      <c r="B207" s="2">
        <v>-1.22</v>
      </c>
      <c r="C207" s="2">
        <v>-1.57</v>
      </c>
      <c r="D207" s="2">
        <v>0.61</v>
      </c>
      <c r="E207" s="2">
        <v>0.04</v>
      </c>
      <c r="F207" s="2">
        <v>2.68</v>
      </c>
      <c r="G207" s="2">
        <v>0.89</v>
      </c>
    </row>
    <row r="208" spans="1:7" x14ac:dyDescent="0.2">
      <c r="A208" s="2">
        <v>198003</v>
      </c>
      <c r="B208" s="2">
        <v>-12.9</v>
      </c>
      <c r="C208" s="2">
        <v>-6.93</v>
      </c>
      <c r="D208" s="2">
        <v>-1.01</v>
      </c>
      <c r="E208" s="2">
        <v>1.46</v>
      </c>
      <c r="F208" s="2">
        <v>-1.19</v>
      </c>
      <c r="G208" s="2">
        <v>1.21</v>
      </c>
    </row>
    <row r="209" spans="1:7" x14ac:dyDescent="0.2">
      <c r="A209" s="2">
        <v>198004</v>
      </c>
      <c r="B209" s="2">
        <v>3.97</v>
      </c>
      <c r="C209" s="2">
        <v>1.05</v>
      </c>
      <c r="D209" s="2">
        <v>1.06</v>
      </c>
      <c r="E209" s="2">
        <v>-2.1</v>
      </c>
      <c r="F209" s="2">
        <v>0.28999999999999998</v>
      </c>
      <c r="G209" s="2">
        <v>1.26</v>
      </c>
    </row>
    <row r="210" spans="1:7" x14ac:dyDescent="0.2">
      <c r="A210" s="2">
        <v>198005</v>
      </c>
      <c r="B210" s="2">
        <v>5.26</v>
      </c>
      <c r="C210" s="2">
        <v>2.11</v>
      </c>
      <c r="D210" s="2">
        <v>0.38</v>
      </c>
      <c r="E210" s="2">
        <v>0.34</v>
      </c>
      <c r="F210" s="2">
        <v>-0.31</v>
      </c>
      <c r="G210" s="2">
        <v>0.81</v>
      </c>
    </row>
    <row r="211" spans="1:7" x14ac:dyDescent="0.2">
      <c r="A211" s="2">
        <v>198006</v>
      </c>
      <c r="B211" s="2">
        <v>3.06</v>
      </c>
      <c r="C211" s="2">
        <v>1.41</v>
      </c>
      <c r="D211" s="2">
        <v>-0.76</v>
      </c>
      <c r="E211" s="2">
        <v>-0.15</v>
      </c>
      <c r="F211" s="2">
        <v>-1.26</v>
      </c>
      <c r="G211" s="2">
        <v>0.61</v>
      </c>
    </row>
    <row r="212" spans="1:7" x14ac:dyDescent="0.2">
      <c r="A212" s="2">
        <v>198007</v>
      </c>
      <c r="B212" s="2">
        <v>6.49</v>
      </c>
      <c r="C212" s="2">
        <v>3.82</v>
      </c>
      <c r="D212" s="2">
        <v>-6.41</v>
      </c>
      <c r="E212" s="2">
        <v>4.0599999999999996</v>
      </c>
      <c r="F212" s="2">
        <v>-2.4300000000000002</v>
      </c>
      <c r="G212" s="2">
        <v>0.53</v>
      </c>
    </row>
    <row r="213" spans="1:7" x14ac:dyDescent="0.2">
      <c r="A213" s="2">
        <v>198008</v>
      </c>
      <c r="B213" s="2">
        <v>1.8</v>
      </c>
      <c r="C213" s="2">
        <v>4.25</v>
      </c>
      <c r="D213" s="2">
        <v>-2.6</v>
      </c>
      <c r="E213" s="2">
        <v>2.06</v>
      </c>
      <c r="F213" s="2">
        <v>-0.86</v>
      </c>
      <c r="G213" s="2">
        <v>0.64</v>
      </c>
    </row>
    <row r="214" spans="1:7" x14ac:dyDescent="0.2">
      <c r="A214" s="2">
        <v>198009</v>
      </c>
      <c r="B214" s="2">
        <v>2.19</v>
      </c>
      <c r="C214" s="2">
        <v>0.67</v>
      </c>
      <c r="D214" s="2">
        <v>-4.59</v>
      </c>
      <c r="E214" s="2">
        <v>1.91</v>
      </c>
      <c r="F214" s="2">
        <v>-2.76</v>
      </c>
      <c r="G214" s="2">
        <v>0.75</v>
      </c>
    </row>
    <row r="215" spans="1:7" x14ac:dyDescent="0.2">
      <c r="A215" s="2">
        <v>198010</v>
      </c>
      <c r="B215" s="2">
        <v>1.06</v>
      </c>
      <c r="C215" s="2">
        <v>2.33</v>
      </c>
      <c r="D215" s="2">
        <v>-2.76</v>
      </c>
      <c r="E215" s="2">
        <v>1.65</v>
      </c>
      <c r="F215" s="2">
        <v>-1.1499999999999999</v>
      </c>
      <c r="G215" s="2">
        <v>0.95</v>
      </c>
    </row>
    <row r="216" spans="1:7" x14ac:dyDescent="0.2">
      <c r="A216" s="2">
        <v>198011</v>
      </c>
      <c r="B216" s="2">
        <v>9.59</v>
      </c>
      <c r="C216" s="2">
        <v>-3.31</v>
      </c>
      <c r="D216" s="2">
        <v>-8.33</v>
      </c>
      <c r="E216" s="2">
        <v>4.5</v>
      </c>
      <c r="F216" s="2">
        <v>-5.66</v>
      </c>
      <c r="G216" s="2">
        <v>0.96</v>
      </c>
    </row>
    <row r="217" spans="1:7" x14ac:dyDescent="0.2">
      <c r="A217" s="2">
        <v>198012</v>
      </c>
      <c r="B217" s="2">
        <v>-4.5199999999999996</v>
      </c>
      <c r="C217" s="2">
        <v>-0.28999999999999998</v>
      </c>
      <c r="D217" s="2">
        <v>2.79</v>
      </c>
      <c r="E217" s="2">
        <v>-1.29</v>
      </c>
      <c r="F217" s="2">
        <v>1.24</v>
      </c>
      <c r="G217" s="2">
        <v>1.31</v>
      </c>
    </row>
    <row r="218" spans="1:7" x14ac:dyDescent="0.2">
      <c r="A218" s="2">
        <v>198101</v>
      </c>
      <c r="B218" s="2">
        <v>-5.04</v>
      </c>
      <c r="C218" s="2">
        <v>3.29</v>
      </c>
      <c r="D218" s="2">
        <v>6.72</v>
      </c>
      <c r="E218" s="2">
        <v>-3.51</v>
      </c>
      <c r="F218" s="2">
        <v>4.33</v>
      </c>
      <c r="G218" s="2">
        <v>1.04</v>
      </c>
    </row>
    <row r="219" spans="1:7" x14ac:dyDescent="0.2">
      <c r="A219" s="2">
        <v>198102</v>
      </c>
      <c r="B219" s="2">
        <v>0.56999999999999995</v>
      </c>
      <c r="C219" s="2">
        <v>-0.5</v>
      </c>
      <c r="D219" s="2">
        <v>1.02</v>
      </c>
      <c r="E219" s="2">
        <v>0.21</v>
      </c>
      <c r="F219" s="2">
        <v>2.2200000000000002</v>
      </c>
      <c r="G219" s="2">
        <v>1.07</v>
      </c>
    </row>
    <row r="220" spans="1:7" x14ac:dyDescent="0.2">
      <c r="A220" s="2">
        <v>198103</v>
      </c>
      <c r="B220" s="2">
        <v>3.56</v>
      </c>
      <c r="C220" s="2">
        <v>3.02</v>
      </c>
      <c r="D220" s="2">
        <v>0.64</v>
      </c>
      <c r="E220" s="2">
        <v>-2.2400000000000002</v>
      </c>
      <c r="F220" s="2">
        <v>-0.54</v>
      </c>
      <c r="G220" s="2">
        <v>1.21</v>
      </c>
    </row>
    <row r="221" spans="1:7" x14ac:dyDescent="0.2">
      <c r="A221" s="2">
        <v>198104</v>
      </c>
      <c r="B221" s="2">
        <v>-2.11</v>
      </c>
      <c r="C221" s="2">
        <v>4.59</v>
      </c>
      <c r="D221" s="2">
        <v>2.2799999999999998</v>
      </c>
      <c r="E221" s="2">
        <v>0.83</v>
      </c>
      <c r="F221" s="2">
        <v>1.24</v>
      </c>
      <c r="G221" s="2">
        <v>1.08</v>
      </c>
    </row>
    <row r="222" spans="1:7" x14ac:dyDescent="0.2">
      <c r="A222" s="2">
        <v>198105</v>
      </c>
      <c r="B222" s="2">
        <v>0.11</v>
      </c>
      <c r="C222" s="2">
        <v>2.4500000000000002</v>
      </c>
      <c r="D222" s="2">
        <v>-0.42</v>
      </c>
      <c r="E222" s="2">
        <v>0.3</v>
      </c>
      <c r="F222" s="2">
        <v>-1.53</v>
      </c>
      <c r="G222" s="2">
        <v>1.1499999999999999</v>
      </c>
    </row>
    <row r="223" spans="1:7" x14ac:dyDescent="0.2">
      <c r="A223" s="2">
        <v>198106</v>
      </c>
      <c r="B223" s="2">
        <v>-2.36</v>
      </c>
      <c r="C223" s="2">
        <v>-0.96</v>
      </c>
      <c r="D223" s="2">
        <v>5.13</v>
      </c>
      <c r="E223" s="2">
        <v>-1.37</v>
      </c>
      <c r="F223" s="2">
        <v>2.66</v>
      </c>
      <c r="G223" s="2">
        <v>1.35</v>
      </c>
    </row>
    <row r="224" spans="1:7" x14ac:dyDescent="0.2">
      <c r="A224" s="2">
        <v>198107</v>
      </c>
      <c r="B224" s="2">
        <v>-1.54</v>
      </c>
      <c r="C224" s="2">
        <v>-2.0499999999999998</v>
      </c>
      <c r="D224" s="2">
        <v>-0.5</v>
      </c>
      <c r="E224" s="2">
        <v>1.26</v>
      </c>
      <c r="F224" s="2">
        <v>-2.54</v>
      </c>
      <c r="G224" s="2">
        <v>1.24</v>
      </c>
    </row>
    <row r="225" spans="1:7" x14ac:dyDescent="0.2">
      <c r="A225" s="2">
        <v>198108</v>
      </c>
      <c r="B225" s="2">
        <v>-7.04</v>
      </c>
      <c r="C225" s="2">
        <v>-1.81</v>
      </c>
      <c r="D225" s="2">
        <v>4.76</v>
      </c>
      <c r="E225" s="2">
        <v>-0.32</v>
      </c>
      <c r="F225" s="2">
        <v>1.41</v>
      </c>
      <c r="G225" s="2">
        <v>1.28</v>
      </c>
    </row>
    <row r="226" spans="1:7" x14ac:dyDescent="0.2">
      <c r="A226" s="2">
        <v>198109</v>
      </c>
      <c r="B226" s="2">
        <v>-7.17</v>
      </c>
      <c r="C226" s="2">
        <v>-2.4500000000000002</v>
      </c>
      <c r="D226" s="2">
        <v>5.17</v>
      </c>
      <c r="E226" s="2">
        <v>0.08</v>
      </c>
      <c r="F226" s="2">
        <v>2.63</v>
      </c>
      <c r="G226" s="2">
        <v>1.24</v>
      </c>
    </row>
    <row r="227" spans="1:7" x14ac:dyDescent="0.2">
      <c r="A227" s="2">
        <v>198110</v>
      </c>
      <c r="B227" s="2">
        <v>4.92</v>
      </c>
      <c r="C227" s="2">
        <v>2.37</v>
      </c>
      <c r="D227" s="2">
        <v>-4.21</v>
      </c>
      <c r="E227" s="2">
        <v>3.15</v>
      </c>
      <c r="F227" s="2">
        <v>-3.01</v>
      </c>
      <c r="G227" s="2">
        <v>1.21</v>
      </c>
    </row>
    <row r="228" spans="1:7" x14ac:dyDescent="0.2">
      <c r="A228" s="2">
        <v>198111</v>
      </c>
      <c r="B228" s="2">
        <v>3.36</v>
      </c>
      <c r="C228" s="2">
        <v>-1.51</v>
      </c>
      <c r="D228" s="2">
        <v>1.83</v>
      </c>
      <c r="E228" s="2">
        <v>0.08</v>
      </c>
      <c r="F228" s="2">
        <v>0.95</v>
      </c>
      <c r="G228" s="2">
        <v>1.07</v>
      </c>
    </row>
    <row r="229" spans="1:7" x14ac:dyDescent="0.2">
      <c r="A229" s="2">
        <v>198112</v>
      </c>
      <c r="B229" s="2">
        <v>-3.65</v>
      </c>
      <c r="C229" s="2">
        <v>1.2</v>
      </c>
      <c r="D229" s="2">
        <v>0.81</v>
      </c>
      <c r="E229" s="2">
        <v>0.22</v>
      </c>
      <c r="F229" s="2">
        <v>2.5</v>
      </c>
      <c r="G229" s="2">
        <v>0.87</v>
      </c>
    </row>
    <row r="230" spans="1:7" x14ac:dyDescent="0.2">
      <c r="A230" s="2">
        <v>198201</v>
      </c>
      <c r="B230" s="2">
        <v>-3.24</v>
      </c>
      <c r="C230" s="2">
        <v>-1.1399999999999999</v>
      </c>
      <c r="D230" s="2">
        <v>3.19</v>
      </c>
      <c r="E230" s="2">
        <v>-1.49</v>
      </c>
      <c r="F230" s="2">
        <v>1.92</v>
      </c>
      <c r="G230" s="2">
        <v>0.8</v>
      </c>
    </row>
    <row r="231" spans="1:7" x14ac:dyDescent="0.2">
      <c r="A231" s="2">
        <v>198202</v>
      </c>
      <c r="B231" s="2">
        <v>-5.86</v>
      </c>
      <c r="C231" s="2">
        <v>0.35</v>
      </c>
      <c r="D231" s="2">
        <v>6.05</v>
      </c>
      <c r="E231" s="2">
        <v>-3.48</v>
      </c>
      <c r="F231" s="2">
        <v>4.5599999999999996</v>
      </c>
      <c r="G231" s="2">
        <v>0.92</v>
      </c>
    </row>
    <row r="232" spans="1:7" x14ac:dyDescent="0.2">
      <c r="A232" s="2">
        <v>198203</v>
      </c>
      <c r="B232" s="2">
        <v>-1.87</v>
      </c>
      <c r="C232" s="2">
        <v>-0.05</v>
      </c>
      <c r="D232" s="2">
        <v>3.81</v>
      </c>
      <c r="E232" s="2">
        <v>-1.38</v>
      </c>
      <c r="F232" s="2">
        <v>2.4900000000000002</v>
      </c>
      <c r="G232" s="2">
        <v>0.98</v>
      </c>
    </row>
    <row r="233" spans="1:7" x14ac:dyDescent="0.2">
      <c r="A233" s="2">
        <v>198204</v>
      </c>
      <c r="B233" s="2">
        <v>3.27</v>
      </c>
      <c r="C233" s="2">
        <v>1.0900000000000001</v>
      </c>
      <c r="D233" s="2">
        <v>-2.7</v>
      </c>
      <c r="E233" s="2">
        <v>1.57</v>
      </c>
      <c r="F233" s="2">
        <v>-0.01</v>
      </c>
      <c r="G233" s="2">
        <v>1.1299999999999999</v>
      </c>
    </row>
    <row r="234" spans="1:7" x14ac:dyDescent="0.2">
      <c r="A234" s="2">
        <v>198205</v>
      </c>
      <c r="B234" s="2">
        <v>-3.99</v>
      </c>
      <c r="C234" s="2">
        <v>0.64</v>
      </c>
      <c r="D234" s="2">
        <v>1.75</v>
      </c>
      <c r="E234" s="2">
        <v>0.87</v>
      </c>
      <c r="F234" s="2">
        <v>-0.3</v>
      </c>
      <c r="G234" s="2">
        <v>1.06</v>
      </c>
    </row>
    <row r="235" spans="1:7" x14ac:dyDescent="0.2">
      <c r="A235" s="2">
        <v>198206</v>
      </c>
      <c r="B235" s="2">
        <v>-3.09</v>
      </c>
      <c r="C235" s="2">
        <v>-0.52</v>
      </c>
      <c r="D235" s="2">
        <v>1.53</v>
      </c>
      <c r="E235" s="2">
        <v>0.01</v>
      </c>
      <c r="F235" s="2">
        <v>2.72</v>
      </c>
      <c r="G235" s="2">
        <v>0.96</v>
      </c>
    </row>
    <row r="236" spans="1:7" x14ac:dyDescent="0.2">
      <c r="A236" s="2">
        <v>198207</v>
      </c>
      <c r="B236" s="2">
        <v>-3.19</v>
      </c>
      <c r="C236" s="2">
        <v>0.95</v>
      </c>
      <c r="D236" s="2">
        <v>0.09</v>
      </c>
      <c r="E236" s="2">
        <v>1.04</v>
      </c>
      <c r="F236" s="2">
        <v>1.55</v>
      </c>
      <c r="G236" s="2">
        <v>1.05</v>
      </c>
    </row>
    <row r="237" spans="1:7" x14ac:dyDescent="0.2">
      <c r="A237" s="2">
        <v>198208</v>
      </c>
      <c r="B237" s="2">
        <v>11.14</v>
      </c>
      <c r="C237" s="2">
        <v>-4.3499999999999996</v>
      </c>
      <c r="D237" s="2">
        <v>0.95</v>
      </c>
      <c r="E237" s="2">
        <v>-1.89</v>
      </c>
      <c r="F237" s="2">
        <v>0.09</v>
      </c>
      <c r="G237" s="2">
        <v>0.76</v>
      </c>
    </row>
    <row r="238" spans="1:7" x14ac:dyDescent="0.2">
      <c r="A238" s="2">
        <v>198209</v>
      </c>
      <c r="B238" s="2">
        <v>1.29</v>
      </c>
      <c r="C238" s="2">
        <v>2.61</v>
      </c>
      <c r="D238" s="2">
        <v>0.28000000000000003</v>
      </c>
      <c r="E238" s="2">
        <v>2.14</v>
      </c>
      <c r="F238" s="2">
        <v>-0.04</v>
      </c>
      <c r="G238" s="2">
        <v>0.51</v>
      </c>
    </row>
    <row r="239" spans="1:7" x14ac:dyDescent="0.2">
      <c r="A239" s="2">
        <v>198210</v>
      </c>
      <c r="B239" s="2">
        <v>11.3</v>
      </c>
      <c r="C239" s="2">
        <v>1.92</v>
      </c>
      <c r="D239" s="2">
        <v>-3.66</v>
      </c>
      <c r="E239" s="2">
        <v>0.28999999999999998</v>
      </c>
      <c r="F239" s="2">
        <v>-0.34</v>
      </c>
      <c r="G239" s="2">
        <v>0.59</v>
      </c>
    </row>
    <row r="240" spans="1:7" x14ac:dyDescent="0.2">
      <c r="A240" s="2">
        <v>198211</v>
      </c>
      <c r="B240" s="2">
        <v>4.67</v>
      </c>
      <c r="C240" s="2">
        <v>4.43</v>
      </c>
      <c r="D240" s="2">
        <v>-1.87</v>
      </c>
      <c r="E240" s="2">
        <v>-0.97</v>
      </c>
      <c r="F240" s="2">
        <v>0.27</v>
      </c>
      <c r="G240" s="2">
        <v>0.63</v>
      </c>
    </row>
    <row r="241" spans="1:7" x14ac:dyDescent="0.2">
      <c r="A241" s="2">
        <v>198212</v>
      </c>
      <c r="B241" s="2">
        <v>0.55000000000000004</v>
      </c>
      <c r="C241" s="2">
        <v>-0.04</v>
      </c>
      <c r="D241" s="2">
        <v>-0.02</v>
      </c>
      <c r="E241" s="2">
        <v>-0.01</v>
      </c>
      <c r="F241" s="2">
        <v>1.02</v>
      </c>
      <c r="G241" s="2">
        <v>0.67</v>
      </c>
    </row>
    <row r="242" spans="1:7" x14ac:dyDescent="0.2">
      <c r="A242" s="2">
        <v>198301</v>
      </c>
      <c r="B242" s="2">
        <v>3.6</v>
      </c>
      <c r="C242" s="2">
        <v>3.35</v>
      </c>
      <c r="D242" s="2">
        <v>-0.75</v>
      </c>
      <c r="E242" s="2">
        <v>-1.55</v>
      </c>
      <c r="F242" s="2">
        <v>-0.57999999999999996</v>
      </c>
      <c r="G242" s="2">
        <v>0.69</v>
      </c>
    </row>
    <row r="243" spans="1:7" x14ac:dyDescent="0.2">
      <c r="A243" s="2">
        <v>198302</v>
      </c>
      <c r="B243" s="2">
        <v>2.59</v>
      </c>
      <c r="C243" s="2">
        <v>2.92</v>
      </c>
      <c r="D243" s="2">
        <v>0.7</v>
      </c>
      <c r="E243" s="2">
        <v>-0.52</v>
      </c>
      <c r="F243" s="2">
        <v>1.05</v>
      </c>
      <c r="G243" s="2">
        <v>0.62</v>
      </c>
    </row>
    <row r="244" spans="1:7" x14ac:dyDescent="0.2">
      <c r="A244" s="2">
        <v>198303</v>
      </c>
      <c r="B244" s="2">
        <v>2.82</v>
      </c>
      <c r="C244" s="2">
        <v>1.37</v>
      </c>
      <c r="D244" s="2">
        <v>2.02</v>
      </c>
      <c r="E244" s="2">
        <v>-0.17</v>
      </c>
      <c r="F244" s="2">
        <v>2.74</v>
      </c>
      <c r="G244" s="2">
        <v>0.63</v>
      </c>
    </row>
    <row r="245" spans="1:7" x14ac:dyDescent="0.2">
      <c r="A245" s="2">
        <v>198304</v>
      </c>
      <c r="B245" s="2">
        <v>6.67</v>
      </c>
      <c r="C245" s="2">
        <v>0.48</v>
      </c>
      <c r="D245" s="2">
        <v>0.49</v>
      </c>
      <c r="E245" s="2">
        <v>-0.11</v>
      </c>
      <c r="F245" s="2">
        <v>1.42</v>
      </c>
      <c r="G245" s="2">
        <v>0.71</v>
      </c>
    </row>
    <row r="246" spans="1:7" x14ac:dyDescent="0.2">
      <c r="A246" s="2">
        <v>198305</v>
      </c>
      <c r="B246" s="2">
        <v>0.52</v>
      </c>
      <c r="C246" s="2">
        <v>6.3</v>
      </c>
      <c r="D246" s="2">
        <v>-1.4</v>
      </c>
      <c r="E246" s="2">
        <v>-1.84</v>
      </c>
      <c r="F246" s="2">
        <v>-1.51</v>
      </c>
      <c r="G246" s="2">
        <v>0.69</v>
      </c>
    </row>
    <row r="247" spans="1:7" x14ac:dyDescent="0.2">
      <c r="A247" s="2">
        <v>198306</v>
      </c>
      <c r="B247" s="2">
        <v>3.07</v>
      </c>
      <c r="C247" s="2">
        <v>1.18</v>
      </c>
      <c r="D247" s="2">
        <v>-3.9</v>
      </c>
      <c r="E247" s="2">
        <v>2.6</v>
      </c>
      <c r="F247" s="2">
        <v>-0.87</v>
      </c>
      <c r="G247" s="2">
        <v>0.67</v>
      </c>
    </row>
    <row r="248" spans="1:7" x14ac:dyDescent="0.2">
      <c r="A248" s="2">
        <v>198307</v>
      </c>
      <c r="B248" s="2">
        <v>-4.07</v>
      </c>
      <c r="C248" s="2">
        <v>1.01</v>
      </c>
      <c r="D248" s="2">
        <v>5.62</v>
      </c>
      <c r="E248" s="2">
        <v>-0.14000000000000001</v>
      </c>
      <c r="F248" s="2">
        <v>2.81</v>
      </c>
      <c r="G248" s="2">
        <v>0.74</v>
      </c>
    </row>
    <row r="249" spans="1:7" x14ac:dyDescent="0.2">
      <c r="A249" s="2">
        <v>198308</v>
      </c>
      <c r="B249" s="2">
        <v>-0.5</v>
      </c>
      <c r="C249" s="2">
        <v>-4.32</v>
      </c>
      <c r="D249" s="2">
        <v>5.54</v>
      </c>
      <c r="E249" s="2">
        <v>0.51</v>
      </c>
      <c r="F249" s="2">
        <v>1.9</v>
      </c>
      <c r="G249" s="2">
        <v>0.76</v>
      </c>
    </row>
    <row r="250" spans="1:7" x14ac:dyDescent="0.2">
      <c r="A250" s="2">
        <v>198309</v>
      </c>
      <c r="B250" s="2">
        <v>0.91</v>
      </c>
      <c r="C250" s="2">
        <v>0.3</v>
      </c>
      <c r="D250" s="2">
        <v>1.01</v>
      </c>
      <c r="E250" s="2">
        <v>1.24</v>
      </c>
      <c r="F250" s="2">
        <v>0.5</v>
      </c>
      <c r="G250" s="2">
        <v>0.76</v>
      </c>
    </row>
    <row r="251" spans="1:7" x14ac:dyDescent="0.2">
      <c r="A251" s="2">
        <v>198310</v>
      </c>
      <c r="B251" s="2">
        <v>-3.44</v>
      </c>
      <c r="C251" s="2">
        <v>-3.77</v>
      </c>
      <c r="D251" s="2">
        <v>4.97</v>
      </c>
      <c r="E251" s="2">
        <v>-0.77</v>
      </c>
      <c r="F251" s="2">
        <v>2.96</v>
      </c>
      <c r="G251" s="2">
        <v>0.76</v>
      </c>
    </row>
    <row r="252" spans="1:7" x14ac:dyDescent="0.2">
      <c r="A252" s="2">
        <v>198311</v>
      </c>
      <c r="B252" s="2">
        <v>2.16</v>
      </c>
      <c r="C252" s="2">
        <v>1.87</v>
      </c>
      <c r="D252" s="2">
        <v>-0.72</v>
      </c>
      <c r="E252" s="2">
        <v>-0.67</v>
      </c>
      <c r="F252" s="2">
        <v>0.66</v>
      </c>
      <c r="G252" s="2">
        <v>0.7</v>
      </c>
    </row>
    <row r="253" spans="1:7" x14ac:dyDescent="0.2">
      <c r="A253" s="2">
        <v>198312</v>
      </c>
      <c r="B253" s="2">
        <v>-1.78</v>
      </c>
      <c r="C253" s="2">
        <v>-0.45</v>
      </c>
      <c r="D253" s="2">
        <v>1.73</v>
      </c>
      <c r="E253" s="2">
        <v>1.64</v>
      </c>
      <c r="F253" s="2">
        <v>1.27</v>
      </c>
      <c r="G253" s="2">
        <v>0.73</v>
      </c>
    </row>
    <row r="254" spans="1:7" x14ac:dyDescent="0.2">
      <c r="A254" s="2">
        <v>198401</v>
      </c>
      <c r="B254" s="2">
        <v>-1.92</v>
      </c>
      <c r="C254" s="2">
        <v>-0.04</v>
      </c>
      <c r="D254" s="2">
        <v>7.58</v>
      </c>
      <c r="E254" s="2">
        <v>-0.89</v>
      </c>
      <c r="F254" s="2">
        <v>2.92</v>
      </c>
      <c r="G254" s="2">
        <v>0.76</v>
      </c>
    </row>
    <row r="255" spans="1:7" x14ac:dyDescent="0.2">
      <c r="A255" s="2">
        <v>198402</v>
      </c>
      <c r="B255" s="2">
        <v>-4.82</v>
      </c>
      <c r="C255" s="2">
        <v>-1.59</v>
      </c>
      <c r="D255" s="2">
        <v>3.33</v>
      </c>
      <c r="E255" s="2">
        <v>0.9</v>
      </c>
      <c r="F255" s="2">
        <v>1.58</v>
      </c>
      <c r="G255" s="2">
        <v>0.71</v>
      </c>
    </row>
    <row r="256" spans="1:7" x14ac:dyDescent="0.2">
      <c r="A256" s="2">
        <v>198403</v>
      </c>
      <c r="B256" s="2">
        <v>0.63</v>
      </c>
      <c r="C256" s="2">
        <v>-0.28999999999999998</v>
      </c>
      <c r="D256" s="2">
        <v>0.46</v>
      </c>
      <c r="E256" s="2">
        <v>-0.96</v>
      </c>
      <c r="F256" s="2">
        <v>1.17</v>
      </c>
      <c r="G256" s="2">
        <v>0.73</v>
      </c>
    </row>
    <row r="257" spans="1:7" x14ac:dyDescent="0.2">
      <c r="A257" s="2">
        <v>198404</v>
      </c>
      <c r="B257" s="2">
        <v>-0.51</v>
      </c>
      <c r="C257" s="2">
        <v>-0.95</v>
      </c>
      <c r="D257" s="2">
        <v>1.2</v>
      </c>
      <c r="E257" s="2">
        <v>3.34</v>
      </c>
      <c r="F257" s="2">
        <v>0.76</v>
      </c>
      <c r="G257" s="2">
        <v>0.81</v>
      </c>
    </row>
    <row r="258" spans="1:7" x14ac:dyDescent="0.2">
      <c r="A258" s="2">
        <v>198405</v>
      </c>
      <c r="B258" s="2">
        <v>-5.97</v>
      </c>
      <c r="C258" s="2">
        <v>0.13</v>
      </c>
      <c r="D258" s="2">
        <v>0.31</v>
      </c>
      <c r="E258" s="2">
        <v>2.36</v>
      </c>
      <c r="F258" s="2">
        <v>-0.46</v>
      </c>
      <c r="G258" s="2">
        <v>0.78</v>
      </c>
    </row>
    <row r="259" spans="1:7" x14ac:dyDescent="0.2">
      <c r="A259" s="2">
        <v>198406</v>
      </c>
      <c r="B259" s="2">
        <v>1.82</v>
      </c>
      <c r="C259" s="2">
        <v>0.11</v>
      </c>
      <c r="D259" s="2">
        <v>-2.66</v>
      </c>
      <c r="E259" s="2">
        <v>3.17</v>
      </c>
      <c r="F259" s="2">
        <v>-1.56</v>
      </c>
      <c r="G259" s="2">
        <v>0.75</v>
      </c>
    </row>
    <row r="260" spans="1:7" x14ac:dyDescent="0.2">
      <c r="A260" s="2">
        <v>198407</v>
      </c>
      <c r="B260" s="2">
        <v>-2.74</v>
      </c>
      <c r="C260" s="2">
        <v>-2.2200000000000002</v>
      </c>
      <c r="D260" s="2">
        <v>0.36</v>
      </c>
      <c r="E260" s="2">
        <v>3.55</v>
      </c>
      <c r="F260" s="2">
        <v>-2.15</v>
      </c>
      <c r="G260" s="2">
        <v>0.82</v>
      </c>
    </row>
    <row r="261" spans="1:7" x14ac:dyDescent="0.2">
      <c r="A261" s="2">
        <v>198408</v>
      </c>
      <c r="B261" s="2">
        <v>10.28</v>
      </c>
      <c r="C261" s="2">
        <v>-0.26</v>
      </c>
      <c r="D261" s="2">
        <v>-1.82</v>
      </c>
      <c r="E261" s="2">
        <v>-0.68</v>
      </c>
      <c r="F261" s="2">
        <v>-0.92</v>
      </c>
      <c r="G261" s="2">
        <v>0.83</v>
      </c>
    </row>
    <row r="262" spans="1:7" x14ac:dyDescent="0.2">
      <c r="A262" s="2">
        <v>198409</v>
      </c>
      <c r="B262" s="2">
        <v>-0.8</v>
      </c>
      <c r="C262" s="2">
        <v>-0.03</v>
      </c>
      <c r="D262" s="2">
        <v>5.28</v>
      </c>
      <c r="E262" s="2">
        <v>1.37</v>
      </c>
      <c r="F262" s="2">
        <v>2.41</v>
      </c>
      <c r="G262" s="2">
        <v>0.86</v>
      </c>
    </row>
    <row r="263" spans="1:7" x14ac:dyDescent="0.2">
      <c r="A263" s="2">
        <v>198410</v>
      </c>
      <c r="B263" s="2">
        <v>-0.84</v>
      </c>
      <c r="C263" s="2">
        <v>-1.44</v>
      </c>
      <c r="D263" s="2">
        <v>0.45</v>
      </c>
      <c r="E263" s="2">
        <v>1.18</v>
      </c>
      <c r="F263" s="2">
        <v>-1.0900000000000001</v>
      </c>
      <c r="G263" s="2">
        <v>1</v>
      </c>
    </row>
    <row r="264" spans="1:7" x14ac:dyDescent="0.2">
      <c r="A264" s="2">
        <v>198411</v>
      </c>
      <c r="B264" s="2">
        <v>-1.76</v>
      </c>
      <c r="C264" s="2">
        <v>-1.02</v>
      </c>
      <c r="D264" s="2">
        <v>4.0599999999999996</v>
      </c>
      <c r="E264" s="2">
        <v>0.72</v>
      </c>
      <c r="F264" s="2">
        <v>2.06</v>
      </c>
      <c r="G264" s="2">
        <v>0.73</v>
      </c>
    </row>
    <row r="265" spans="1:7" x14ac:dyDescent="0.2">
      <c r="A265" s="2">
        <v>198412</v>
      </c>
      <c r="B265" s="2">
        <v>1.84</v>
      </c>
      <c r="C265" s="2">
        <v>-0.65</v>
      </c>
      <c r="D265" s="2">
        <v>-0.26</v>
      </c>
      <c r="E265" s="2">
        <v>1.31</v>
      </c>
      <c r="F265" s="2">
        <v>-1.36</v>
      </c>
      <c r="G265" s="2">
        <v>0.64</v>
      </c>
    </row>
    <row r="266" spans="1:7" x14ac:dyDescent="0.2">
      <c r="A266" s="2">
        <v>198501</v>
      </c>
      <c r="B266" s="2">
        <v>7.99</v>
      </c>
      <c r="C266" s="2">
        <v>3.51</v>
      </c>
      <c r="D266" s="2">
        <v>-5.35</v>
      </c>
      <c r="E266" s="2">
        <v>-0.89</v>
      </c>
      <c r="F266" s="2">
        <v>-3.41</v>
      </c>
      <c r="G266" s="2">
        <v>0.65</v>
      </c>
    </row>
    <row r="267" spans="1:7" x14ac:dyDescent="0.2">
      <c r="A267" s="2">
        <v>198502</v>
      </c>
      <c r="B267" s="2">
        <v>1.22</v>
      </c>
      <c r="C267" s="2">
        <v>1.04</v>
      </c>
      <c r="D267" s="2">
        <v>-0.1</v>
      </c>
      <c r="E267" s="2">
        <v>1.29</v>
      </c>
      <c r="F267" s="2">
        <v>1.06</v>
      </c>
      <c r="G267" s="2">
        <v>0.57999999999999996</v>
      </c>
    </row>
    <row r="268" spans="1:7" x14ac:dyDescent="0.2">
      <c r="A268" s="2">
        <v>198503</v>
      </c>
      <c r="B268" s="2">
        <v>-0.84</v>
      </c>
      <c r="C268" s="2">
        <v>-1.39</v>
      </c>
      <c r="D268" s="2">
        <v>4.07</v>
      </c>
      <c r="E268" s="2">
        <v>1.23</v>
      </c>
      <c r="F268" s="2">
        <v>2.88</v>
      </c>
      <c r="G268" s="2">
        <v>0.62</v>
      </c>
    </row>
    <row r="269" spans="1:7" x14ac:dyDescent="0.2">
      <c r="A269" s="2">
        <v>198504</v>
      </c>
      <c r="B269" s="2">
        <v>-0.96</v>
      </c>
      <c r="C269" s="2">
        <v>-0.1</v>
      </c>
      <c r="D269" s="2">
        <v>3.72</v>
      </c>
      <c r="E269" s="2">
        <v>1.55</v>
      </c>
      <c r="F269" s="2">
        <v>0.71</v>
      </c>
      <c r="G269" s="2">
        <v>0.72</v>
      </c>
    </row>
    <row r="270" spans="1:7" x14ac:dyDescent="0.2">
      <c r="A270" s="2">
        <v>198505</v>
      </c>
      <c r="B270" s="2">
        <v>5.09</v>
      </c>
      <c r="C270" s="2">
        <v>-2.31</v>
      </c>
      <c r="D270" s="2">
        <v>-0.96</v>
      </c>
      <c r="E270" s="2">
        <v>1.33</v>
      </c>
      <c r="F270" s="2">
        <v>-1.49</v>
      </c>
      <c r="G270" s="2">
        <v>0.66</v>
      </c>
    </row>
    <row r="271" spans="1:7" x14ac:dyDescent="0.2">
      <c r="A271" s="2">
        <v>198506</v>
      </c>
      <c r="B271" s="2">
        <v>1.27</v>
      </c>
      <c r="C271" s="2">
        <v>0.35</v>
      </c>
      <c r="D271" s="2">
        <v>0.38</v>
      </c>
      <c r="E271" s="2">
        <v>1.76</v>
      </c>
      <c r="F271" s="2">
        <v>-0.77</v>
      </c>
      <c r="G271" s="2">
        <v>0.55000000000000004</v>
      </c>
    </row>
    <row r="272" spans="1:7" x14ac:dyDescent="0.2">
      <c r="A272" s="2">
        <v>198507</v>
      </c>
      <c r="B272" s="2">
        <v>-0.74</v>
      </c>
      <c r="C272" s="2">
        <v>2.87</v>
      </c>
      <c r="D272" s="2">
        <v>-1.62</v>
      </c>
      <c r="E272" s="2">
        <v>-0.42</v>
      </c>
      <c r="F272" s="2">
        <v>-0.38</v>
      </c>
      <c r="G272" s="2">
        <v>0.62</v>
      </c>
    </row>
    <row r="273" spans="1:7" x14ac:dyDescent="0.2">
      <c r="A273" s="2">
        <v>198508</v>
      </c>
      <c r="B273" s="2">
        <v>-1.02</v>
      </c>
      <c r="C273" s="2">
        <v>-0.28999999999999998</v>
      </c>
      <c r="D273" s="2">
        <v>2.3199999999999998</v>
      </c>
      <c r="E273" s="2">
        <v>-0.1</v>
      </c>
      <c r="F273" s="2">
        <v>1.83</v>
      </c>
      <c r="G273" s="2">
        <v>0.55000000000000004</v>
      </c>
    </row>
    <row r="274" spans="1:7" x14ac:dyDescent="0.2">
      <c r="A274" s="2">
        <v>198509</v>
      </c>
      <c r="B274" s="2">
        <v>-4.54</v>
      </c>
      <c r="C274" s="2">
        <v>-1.8</v>
      </c>
      <c r="D274" s="2">
        <v>1.29</v>
      </c>
      <c r="E274" s="2">
        <v>1.1399999999999999</v>
      </c>
      <c r="F274" s="2">
        <v>1.64</v>
      </c>
      <c r="G274" s="2">
        <v>0.6</v>
      </c>
    </row>
    <row r="275" spans="1:7" x14ac:dyDescent="0.2">
      <c r="A275" s="2">
        <v>198510</v>
      </c>
      <c r="B275" s="2">
        <v>4.0199999999999996</v>
      </c>
      <c r="C275" s="2">
        <v>-1.5</v>
      </c>
      <c r="D275" s="2">
        <v>0.75</v>
      </c>
      <c r="E275" s="2">
        <v>0.89</v>
      </c>
      <c r="F275" s="2">
        <v>-1.06</v>
      </c>
      <c r="G275" s="2">
        <v>0.65</v>
      </c>
    </row>
    <row r="276" spans="1:7" x14ac:dyDescent="0.2">
      <c r="A276" s="2">
        <v>198511</v>
      </c>
      <c r="B276" s="2">
        <v>6.48</v>
      </c>
      <c r="C276" s="2">
        <v>0.02</v>
      </c>
      <c r="D276" s="2">
        <v>-2.85</v>
      </c>
      <c r="E276" s="2">
        <v>0.33</v>
      </c>
      <c r="F276" s="2">
        <v>-2.3199999999999998</v>
      </c>
      <c r="G276" s="2">
        <v>0.61</v>
      </c>
    </row>
    <row r="277" spans="1:7" x14ac:dyDescent="0.2">
      <c r="A277" s="2">
        <v>198512</v>
      </c>
      <c r="B277" s="2">
        <v>3.88</v>
      </c>
      <c r="C277" s="2">
        <v>-0.41</v>
      </c>
      <c r="D277" s="2">
        <v>-1.54</v>
      </c>
      <c r="E277" s="2">
        <v>0.99</v>
      </c>
      <c r="F277" s="2">
        <v>-1.8</v>
      </c>
      <c r="G277" s="2">
        <v>0.65</v>
      </c>
    </row>
    <row r="278" spans="1:7" x14ac:dyDescent="0.2">
      <c r="A278" s="2">
        <v>198601</v>
      </c>
      <c r="B278" s="2">
        <v>0.65</v>
      </c>
      <c r="C278" s="2">
        <v>1.01</v>
      </c>
      <c r="D278" s="2">
        <v>0.44</v>
      </c>
      <c r="E278" s="2">
        <v>-2</v>
      </c>
      <c r="F278" s="2">
        <v>-2.0299999999999998</v>
      </c>
      <c r="G278" s="2">
        <v>0.56000000000000005</v>
      </c>
    </row>
    <row r="279" spans="1:7" x14ac:dyDescent="0.2">
      <c r="A279" s="2">
        <v>198602</v>
      </c>
      <c r="B279" s="2">
        <v>7.13</v>
      </c>
      <c r="C279" s="2">
        <v>-0.71</v>
      </c>
      <c r="D279" s="2">
        <v>-0.72</v>
      </c>
      <c r="E279" s="2">
        <v>1.06</v>
      </c>
      <c r="F279" s="2">
        <v>-1.2</v>
      </c>
      <c r="G279" s="2">
        <v>0.53</v>
      </c>
    </row>
    <row r="280" spans="1:7" x14ac:dyDescent="0.2">
      <c r="A280" s="2">
        <v>198603</v>
      </c>
      <c r="B280" s="2">
        <v>4.88</v>
      </c>
      <c r="C280" s="2">
        <v>-0.66</v>
      </c>
      <c r="D280" s="2">
        <v>-0.39</v>
      </c>
      <c r="E280" s="2">
        <v>1.21</v>
      </c>
      <c r="F280" s="2">
        <v>0.92</v>
      </c>
      <c r="G280" s="2">
        <v>0.6</v>
      </c>
    </row>
    <row r="281" spans="1:7" x14ac:dyDescent="0.2">
      <c r="A281" s="2">
        <v>198604</v>
      </c>
      <c r="B281" s="2">
        <v>-1.31</v>
      </c>
      <c r="C281" s="2">
        <v>2.84</v>
      </c>
      <c r="D281" s="2">
        <v>-2.87</v>
      </c>
      <c r="E281" s="2">
        <v>2.91</v>
      </c>
      <c r="F281" s="2">
        <v>0.03</v>
      </c>
      <c r="G281" s="2">
        <v>0.52</v>
      </c>
    </row>
    <row r="282" spans="1:7" x14ac:dyDescent="0.2">
      <c r="A282" s="2">
        <v>198605</v>
      </c>
      <c r="B282" s="2">
        <v>4.62</v>
      </c>
      <c r="C282" s="2">
        <v>-1.29</v>
      </c>
      <c r="D282" s="2">
        <v>-0.21</v>
      </c>
      <c r="E282" s="2">
        <v>2.13</v>
      </c>
      <c r="F282" s="2">
        <v>1.08</v>
      </c>
      <c r="G282" s="2">
        <v>0.49</v>
      </c>
    </row>
    <row r="283" spans="1:7" x14ac:dyDescent="0.2">
      <c r="A283" s="2">
        <v>198606</v>
      </c>
      <c r="B283" s="2">
        <v>1.03</v>
      </c>
      <c r="C283" s="2">
        <v>-0.89</v>
      </c>
      <c r="D283" s="2">
        <v>1.28</v>
      </c>
      <c r="E283" s="2">
        <v>1.8</v>
      </c>
      <c r="F283" s="2">
        <v>0.87</v>
      </c>
      <c r="G283" s="2">
        <v>0.52</v>
      </c>
    </row>
    <row r="284" spans="1:7" x14ac:dyDescent="0.2">
      <c r="A284" s="2">
        <v>198607</v>
      </c>
      <c r="B284" s="2">
        <v>-6.45</v>
      </c>
      <c r="C284" s="2">
        <v>-3.46</v>
      </c>
      <c r="D284" s="2">
        <v>4.7</v>
      </c>
      <c r="E284" s="2">
        <v>-0.54</v>
      </c>
      <c r="F284" s="2">
        <v>0.84</v>
      </c>
      <c r="G284" s="2">
        <v>0.52</v>
      </c>
    </row>
    <row r="285" spans="1:7" x14ac:dyDescent="0.2">
      <c r="A285" s="2">
        <v>198608</v>
      </c>
      <c r="B285" s="2">
        <v>6.07</v>
      </c>
      <c r="C285" s="2">
        <v>-4.3499999999999996</v>
      </c>
      <c r="D285" s="2">
        <v>3.51</v>
      </c>
      <c r="E285" s="2">
        <v>-1.66</v>
      </c>
      <c r="F285" s="2">
        <v>3.21</v>
      </c>
      <c r="G285" s="2">
        <v>0.46</v>
      </c>
    </row>
    <row r="286" spans="1:7" x14ac:dyDescent="0.2">
      <c r="A286" s="2">
        <v>198609</v>
      </c>
      <c r="B286" s="2">
        <v>-8.6</v>
      </c>
      <c r="C286" s="2">
        <v>2.0499999999999998</v>
      </c>
      <c r="D286" s="2">
        <v>3.22</v>
      </c>
      <c r="E286" s="2">
        <v>-0.08</v>
      </c>
      <c r="F286" s="2">
        <v>3.71</v>
      </c>
      <c r="G286" s="2">
        <v>0.45</v>
      </c>
    </row>
    <row r="287" spans="1:7" x14ac:dyDescent="0.2">
      <c r="A287" s="2">
        <v>198610</v>
      </c>
      <c r="B287" s="2">
        <v>4.66</v>
      </c>
      <c r="C287" s="2">
        <v>-2.33</v>
      </c>
      <c r="D287" s="2">
        <v>-1.42</v>
      </c>
      <c r="E287" s="2">
        <v>-0.05</v>
      </c>
      <c r="F287" s="2">
        <v>1</v>
      </c>
      <c r="G287" s="2">
        <v>0.46</v>
      </c>
    </row>
    <row r="288" spans="1:7" x14ac:dyDescent="0.2">
      <c r="A288" s="2">
        <v>198611</v>
      </c>
      <c r="B288" s="2">
        <v>1.17</v>
      </c>
      <c r="C288" s="2">
        <v>-1.88</v>
      </c>
      <c r="D288" s="2">
        <v>-7.0000000000000007E-2</v>
      </c>
      <c r="E288" s="2">
        <v>1.0900000000000001</v>
      </c>
      <c r="F288" s="2">
        <v>0.67</v>
      </c>
      <c r="G288" s="2">
        <v>0.39</v>
      </c>
    </row>
    <row r="289" spans="1:7" x14ac:dyDescent="0.2">
      <c r="A289" s="2">
        <v>198612</v>
      </c>
      <c r="B289" s="2">
        <v>-3.27</v>
      </c>
      <c r="C289" s="2">
        <v>0.12</v>
      </c>
      <c r="D289" s="2">
        <v>0.36</v>
      </c>
      <c r="E289" s="2">
        <v>0.79</v>
      </c>
      <c r="F289" s="2">
        <v>0.09</v>
      </c>
      <c r="G289" s="2">
        <v>0.49</v>
      </c>
    </row>
    <row r="290" spans="1:7" x14ac:dyDescent="0.2">
      <c r="A290" s="2">
        <v>198701</v>
      </c>
      <c r="B290" s="2">
        <v>12.47</v>
      </c>
      <c r="C290" s="2">
        <v>-1.54</v>
      </c>
      <c r="D290" s="2">
        <v>-3.16</v>
      </c>
      <c r="E290" s="2">
        <v>0.17</v>
      </c>
      <c r="F290" s="2">
        <v>-1</v>
      </c>
      <c r="G290" s="2">
        <v>0.42</v>
      </c>
    </row>
    <row r="291" spans="1:7" x14ac:dyDescent="0.2">
      <c r="A291" s="2">
        <v>198702</v>
      </c>
      <c r="B291" s="2">
        <v>4.3899999999999997</v>
      </c>
      <c r="C291" s="2">
        <v>3.4</v>
      </c>
      <c r="D291" s="2">
        <v>-5.91</v>
      </c>
      <c r="E291" s="2">
        <v>-0.76</v>
      </c>
      <c r="F291" s="2">
        <v>-2.66</v>
      </c>
      <c r="G291" s="2">
        <v>0.43</v>
      </c>
    </row>
    <row r="292" spans="1:7" x14ac:dyDescent="0.2">
      <c r="A292" s="2">
        <v>198703</v>
      </c>
      <c r="B292" s="2">
        <v>1.64</v>
      </c>
      <c r="C292" s="2">
        <v>0.28000000000000003</v>
      </c>
      <c r="D292" s="2">
        <v>1.61</v>
      </c>
      <c r="E292" s="2">
        <v>1.36</v>
      </c>
      <c r="F292" s="2">
        <v>4.1399999999999997</v>
      </c>
      <c r="G292" s="2">
        <v>0.47</v>
      </c>
    </row>
    <row r="293" spans="1:7" x14ac:dyDescent="0.2">
      <c r="A293" s="2">
        <v>198704</v>
      </c>
      <c r="B293" s="2">
        <v>-2.11</v>
      </c>
      <c r="C293" s="2">
        <v>-1.54</v>
      </c>
      <c r="D293" s="2">
        <v>-0.39</v>
      </c>
      <c r="E293" s="2">
        <v>-0.49</v>
      </c>
      <c r="F293" s="2">
        <v>1.05</v>
      </c>
      <c r="G293" s="2">
        <v>0.44</v>
      </c>
    </row>
    <row r="294" spans="1:7" x14ac:dyDescent="0.2">
      <c r="A294" s="2">
        <v>198705</v>
      </c>
      <c r="B294" s="2">
        <v>0.11</v>
      </c>
      <c r="C294" s="2">
        <v>-0.56000000000000005</v>
      </c>
      <c r="D294" s="2">
        <v>0.23</v>
      </c>
      <c r="E294" s="2">
        <v>0.51</v>
      </c>
      <c r="F294" s="2">
        <v>1.1399999999999999</v>
      </c>
      <c r="G294" s="2">
        <v>0.38</v>
      </c>
    </row>
    <row r="295" spans="1:7" x14ac:dyDescent="0.2">
      <c r="A295" s="2">
        <v>198706</v>
      </c>
      <c r="B295" s="2">
        <v>3.94</v>
      </c>
      <c r="C295" s="2">
        <v>-2.21</v>
      </c>
      <c r="D295" s="2">
        <v>1.04</v>
      </c>
      <c r="E295" s="2">
        <v>1.7</v>
      </c>
      <c r="F295" s="2">
        <v>0.84</v>
      </c>
      <c r="G295" s="2">
        <v>0.48</v>
      </c>
    </row>
    <row r="296" spans="1:7" x14ac:dyDescent="0.2">
      <c r="A296" s="2">
        <v>198707</v>
      </c>
      <c r="B296" s="2">
        <v>3.85</v>
      </c>
      <c r="C296" s="2">
        <v>-1.1399999999999999</v>
      </c>
      <c r="D296" s="2">
        <v>0.68</v>
      </c>
      <c r="E296" s="2">
        <v>-0.61</v>
      </c>
      <c r="F296" s="2">
        <v>1.61</v>
      </c>
      <c r="G296" s="2">
        <v>0.46</v>
      </c>
    </row>
    <row r="297" spans="1:7" x14ac:dyDescent="0.2">
      <c r="A297" s="2">
        <v>198708</v>
      </c>
      <c r="B297" s="2">
        <v>3.52</v>
      </c>
      <c r="C297" s="2">
        <v>-0.94</v>
      </c>
      <c r="D297" s="2">
        <v>-0.93</v>
      </c>
      <c r="E297" s="2">
        <v>2.04</v>
      </c>
      <c r="F297" s="2">
        <v>-1.61</v>
      </c>
      <c r="G297" s="2">
        <v>0.47</v>
      </c>
    </row>
    <row r="298" spans="1:7" x14ac:dyDescent="0.2">
      <c r="A298" s="2">
        <v>198709</v>
      </c>
      <c r="B298" s="2">
        <v>-2.59</v>
      </c>
      <c r="C298" s="2">
        <v>0.38</v>
      </c>
      <c r="D298" s="2">
        <v>0.27</v>
      </c>
      <c r="E298" s="2">
        <v>-0.97</v>
      </c>
      <c r="F298" s="2">
        <v>1.87</v>
      </c>
      <c r="G298" s="2">
        <v>0.45</v>
      </c>
    </row>
    <row r="299" spans="1:7" x14ac:dyDescent="0.2">
      <c r="A299" s="2">
        <v>198710</v>
      </c>
      <c r="B299" s="2">
        <v>-23.24</v>
      </c>
      <c r="C299" s="2">
        <v>-8.07</v>
      </c>
      <c r="D299" s="2">
        <v>4.24</v>
      </c>
      <c r="E299" s="2">
        <v>2.04</v>
      </c>
      <c r="F299" s="2">
        <v>2.34</v>
      </c>
      <c r="G299" s="2">
        <v>0.6</v>
      </c>
    </row>
    <row r="300" spans="1:7" x14ac:dyDescent="0.2">
      <c r="A300" s="2">
        <v>198711</v>
      </c>
      <c r="B300" s="2">
        <v>-7.77</v>
      </c>
      <c r="C300" s="2">
        <v>2.85</v>
      </c>
      <c r="D300" s="2">
        <v>2.95</v>
      </c>
      <c r="E300" s="2">
        <v>-1.88</v>
      </c>
      <c r="F300" s="2">
        <v>0.68</v>
      </c>
      <c r="G300" s="2">
        <v>0.35</v>
      </c>
    </row>
    <row r="301" spans="1:7" x14ac:dyDescent="0.2">
      <c r="A301" s="2">
        <v>198712</v>
      </c>
      <c r="B301" s="2">
        <v>6.81</v>
      </c>
      <c r="C301" s="2">
        <v>0.06</v>
      </c>
      <c r="D301" s="2">
        <v>-4.43</v>
      </c>
      <c r="E301" s="2">
        <v>2.96</v>
      </c>
      <c r="F301" s="2">
        <v>-2.42</v>
      </c>
      <c r="G301" s="2">
        <v>0.39</v>
      </c>
    </row>
    <row r="302" spans="1:7" x14ac:dyDescent="0.2">
      <c r="A302" s="2">
        <v>198801</v>
      </c>
      <c r="B302" s="2">
        <v>4.21</v>
      </c>
      <c r="C302" s="2">
        <v>-0.51</v>
      </c>
      <c r="D302" s="2">
        <v>5.01</v>
      </c>
      <c r="E302" s="2">
        <v>-1.1399999999999999</v>
      </c>
      <c r="F302" s="2">
        <v>2.13</v>
      </c>
      <c r="G302" s="2">
        <v>0.28999999999999998</v>
      </c>
    </row>
    <row r="303" spans="1:7" x14ac:dyDescent="0.2">
      <c r="A303" s="2">
        <v>198802</v>
      </c>
      <c r="B303" s="2">
        <v>4.75</v>
      </c>
      <c r="C303" s="2">
        <v>3.32</v>
      </c>
      <c r="D303" s="2">
        <v>-1.71</v>
      </c>
      <c r="E303" s="2">
        <v>1.56</v>
      </c>
      <c r="F303" s="2">
        <v>-0.01</v>
      </c>
      <c r="G303" s="2">
        <v>0.46</v>
      </c>
    </row>
    <row r="304" spans="1:7" x14ac:dyDescent="0.2">
      <c r="A304" s="2">
        <v>198803</v>
      </c>
      <c r="B304" s="2">
        <v>-2.27</v>
      </c>
      <c r="C304" s="2">
        <v>6.25</v>
      </c>
      <c r="D304" s="2">
        <v>0.73</v>
      </c>
      <c r="E304" s="2">
        <v>-0.25</v>
      </c>
      <c r="F304" s="2">
        <v>1.8</v>
      </c>
      <c r="G304" s="2">
        <v>0.44</v>
      </c>
    </row>
    <row r="305" spans="1:7" x14ac:dyDescent="0.2">
      <c r="A305" s="2">
        <v>198804</v>
      </c>
      <c r="B305" s="2">
        <v>0.56000000000000005</v>
      </c>
      <c r="C305" s="2">
        <v>1.1599999999999999</v>
      </c>
      <c r="D305" s="2">
        <v>1.67</v>
      </c>
      <c r="E305" s="2">
        <v>-0.2</v>
      </c>
      <c r="F305" s="2">
        <v>1.92</v>
      </c>
      <c r="G305" s="2">
        <v>0.46</v>
      </c>
    </row>
    <row r="306" spans="1:7" x14ac:dyDescent="0.2">
      <c r="A306" s="2">
        <v>198805</v>
      </c>
      <c r="B306" s="2">
        <v>-0.28999999999999998</v>
      </c>
      <c r="C306" s="2">
        <v>-2.56</v>
      </c>
      <c r="D306" s="2">
        <v>2.42</v>
      </c>
      <c r="E306" s="2">
        <v>-0.74</v>
      </c>
      <c r="F306" s="2">
        <v>0.33</v>
      </c>
      <c r="G306" s="2">
        <v>0.51</v>
      </c>
    </row>
    <row r="307" spans="1:7" x14ac:dyDescent="0.2">
      <c r="A307" s="2">
        <v>198806</v>
      </c>
      <c r="B307" s="2">
        <v>4.79</v>
      </c>
      <c r="C307" s="2">
        <v>2.16</v>
      </c>
      <c r="D307" s="2">
        <v>-1.24</v>
      </c>
      <c r="E307" s="2">
        <v>1.47</v>
      </c>
      <c r="F307" s="2">
        <v>-3.37</v>
      </c>
      <c r="G307" s="2">
        <v>0.49</v>
      </c>
    </row>
    <row r="308" spans="1:7" x14ac:dyDescent="0.2">
      <c r="A308" s="2">
        <v>198807</v>
      </c>
      <c r="B308" s="2">
        <v>-1.25</v>
      </c>
      <c r="C308" s="2">
        <v>-0.21</v>
      </c>
      <c r="D308" s="2">
        <v>2.2200000000000002</v>
      </c>
      <c r="E308" s="2">
        <v>-0.57999999999999996</v>
      </c>
      <c r="F308" s="2">
        <v>1.52</v>
      </c>
      <c r="G308" s="2">
        <v>0.51</v>
      </c>
    </row>
    <row r="309" spans="1:7" x14ac:dyDescent="0.2">
      <c r="A309" s="2">
        <v>198808</v>
      </c>
      <c r="B309" s="2">
        <v>-3.31</v>
      </c>
      <c r="C309" s="2">
        <v>-0.03</v>
      </c>
      <c r="D309" s="2">
        <v>2.15</v>
      </c>
      <c r="E309" s="2">
        <v>-0.82</v>
      </c>
      <c r="F309" s="2">
        <v>1.76</v>
      </c>
      <c r="G309" s="2">
        <v>0.59</v>
      </c>
    </row>
    <row r="310" spans="1:7" x14ac:dyDescent="0.2">
      <c r="A310" s="2">
        <v>198809</v>
      </c>
      <c r="B310" s="2">
        <v>3.3</v>
      </c>
      <c r="C310" s="2">
        <v>-1.36</v>
      </c>
      <c r="D310" s="2">
        <v>-0.75</v>
      </c>
      <c r="E310" s="2">
        <v>1.76</v>
      </c>
      <c r="F310" s="2">
        <v>-0.61</v>
      </c>
      <c r="G310" s="2">
        <v>0.62</v>
      </c>
    </row>
    <row r="311" spans="1:7" x14ac:dyDescent="0.2">
      <c r="A311" s="2">
        <v>198810</v>
      </c>
      <c r="B311" s="2">
        <v>1.1499999999999999</v>
      </c>
      <c r="C311" s="2">
        <v>-2.95</v>
      </c>
      <c r="D311" s="2">
        <v>2.0499999999999998</v>
      </c>
      <c r="E311" s="2">
        <v>1.3</v>
      </c>
      <c r="F311" s="2">
        <v>1.03</v>
      </c>
      <c r="G311" s="2">
        <v>0.61</v>
      </c>
    </row>
    <row r="312" spans="1:7" x14ac:dyDescent="0.2">
      <c r="A312" s="2">
        <v>198811</v>
      </c>
      <c r="B312" s="2">
        <v>-2.29</v>
      </c>
      <c r="C312" s="2">
        <v>-1.65</v>
      </c>
      <c r="D312" s="2">
        <v>1.41</v>
      </c>
      <c r="E312" s="2">
        <v>-0.28000000000000003</v>
      </c>
      <c r="F312" s="2">
        <v>1.62</v>
      </c>
      <c r="G312" s="2">
        <v>0.56999999999999995</v>
      </c>
    </row>
    <row r="313" spans="1:7" x14ac:dyDescent="0.2">
      <c r="A313" s="2">
        <v>198812</v>
      </c>
      <c r="B313" s="2">
        <v>1.49</v>
      </c>
      <c r="C313" s="2">
        <v>2.0099999999999998</v>
      </c>
      <c r="D313" s="2">
        <v>-1.69</v>
      </c>
      <c r="E313" s="2">
        <v>0.69</v>
      </c>
      <c r="F313" s="2">
        <v>-0.38</v>
      </c>
      <c r="G313" s="2">
        <v>0.63</v>
      </c>
    </row>
    <row r="314" spans="1:7" x14ac:dyDescent="0.2">
      <c r="A314" s="2">
        <v>198901</v>
      </c>
      <c r="B314" s="2">
        <v>6.1</v>
      </c>
      <c r="C314" s="2">
        <v>-2.31</v>
      </c>
      <c r="D314" s="2">
        <v>0.6</v>
      </c>
      <c r="E314" s="2">
        <v>-0.95</v>
      </c>
      <c r="F314" s="2">
        <v>0.14000000000000001</v>
      </c>
      <c r="G314" s="2">
        <v>0.55000000000000004</v>
      </c>
    </row>
    <row r="315" spans="1:7" x14ac:dyDescent="0.2">
      <c r="A315" s="2">
        <v>198902</v>
      </c>
      <c r="B315" s="2">
        <v>-2.25</v>
      </c>
      <c r="C315" s="2">
        <v>2.71</v>
      </c>
      <c r="D315" s="2">
        <v>1.01</v>
      </c>
      <c r="E315" s="2">
        <v>-0.87</v>
      </c>
      <c r="F315" s="2">
        <v>1.81</v>
      </c>
      <c r="G315" s="2">
        <v>0.61</v>
      </c>
    </row>
    <row r="316" spans="1:7" x14ac:dyDescent="0.2">
      <c r="A316" s="2">
        <v>198903</v>
      </c>
      <c r="B316" s="2">
        <v>1.57</v>
      </c>
      <c r="C316" s="2">
        <v>0.68</v>
      </c>
      <c r="D316" s="2">
        <v>0.57999999999999996</v>
      </c>
      <c r="E316" s="2">
        <v>0.05</v>
      </c>
      <c r="F316" s="2">
        <v>0.72</v>
      </c>
      <c r="G316" s="2">
        <v>0.67</v>
      </c>
    </row>
    <row r="317" spans="1:7" x14ac:dyDescent="0.2">
      <c r="A317" s="2">
        <v>198904</v>
      </c>
      <c r="B317" s="2">
        <v>4.33</v>
      </c>
      <c r="C317" s="2">
        <v>-0.78</v>
      </c>
      <c r="D317" s="2">
        <v>-1.42</v>
      </c>
      <c r="E317" s="2">
        <v>0.71</v>
      </c>
      <c r="F317" s="2">
        <v>-0.56999999999999995</v>
      </c>
      <c r="G317" s="2">
        <v>0.67</v>
      </c>
    </row>
    <row r="318" spans="1:7" x14ac:dyDescent="0.2">
      <c r="A318" s="2">
        <v>198905</v>
      </c>
      <c r="B318" s="2">
        <v>3.35</v>
      </c>
      <c r="C318" s="2">
        <v>-0.01</v>
      </c>
      <c r="D318" s="2">
        <v>-0.88</v>
      </c>
      <c r="E318" s="2">
        <v>0.49</v>
      </c>
      <c r="F318" s="2">
        <v>-0.08</v>
      </c>
      <c r="G318" s="2">
        <v>0.79</v>
      </c>
    </row>
    <row r="319" spans="1:7" x14ac:dyDescent="0.2">
      <c r="A319" s="2">
        <v>198906</v>
      </c>
      <c r="B319" s="2">
        <v>-1.35</v>
      </c>
      <c r="C319" s="2">
        <v>-1.0900000000000001</v>
      </c>
      <c r="D319" s="2">
        <v>2.25</v>
      </c>
      <c r="E319" s="2">
        <v>0.27</v>
      </c>
      <c r="F319" s="2">
        <v>1.56</v>
      </c>
      <c r="G319" s="2">
        <v>0.71</v>
      </c>
    </row>
    <row r="320" spans="1:7" x14ac:dyDescent="0.2">
      <c r="A320" s="2">
        <v>198907</v>
      </c>
      <c r="B320" s="2">
        <v>7.2</v>
      </c>
      <c r="C320" s="2">
        <v>-4.1500000000000004</v>
      </c>
      <c r="D320" s="2">
        <v>-2.79</v>
      </c>
      <c r="E320" s="2">
        <v>1.98</v>
      </c>
      <c r="F320" s="2">
        <v>-0.57999999999999996</v>
      </c>
      <c r="G320" s="2">
        <v>0.7</v>
      </c>
    </row>
    <row r="321" spans="1:7" x14ac:dyDescent="0.2">
      <c r="A321" s="2">
        <v>198908</v>
      </c>
      <c r="B321" s="2">
        <v>1.44</v>
      </c>
      <c r="C321" s="2">
        <v>0.48</v>
      </c>
      <c r="D321" s="2">
        <v>0.6</v>
      </c>
      <c r="E321" s="2">
        <v>0.39</v>
      </c>
      <c r="F321" s="2">
        <v>-0.57999999999999996</v>
      </c>
      <c r="G321" s="2">
        <v>0.74</v>
      </c>
    </row>
    <row r="322" spans="1:7" x14ac:dyDescent="0.2">
      <c r="A322" s="2">
        <v>198909</v>
      </c>
      <c r="B322" s="2">
        <v>-0.76</v>
      </c>
      <c r="C322" s="2">
        <v>0.49</v>
      </c>
      <c r="D322" s="2">
        <v>-1.27</v>
      </c>
      <c r="E322" s="2">
        <v>1.4</v>
      </c>
      <c r="F322" s="2">
        <v>0.5</v>
      </c>
      <c r="G322" s="2">
        <v>0.65</v>
      </c>
    </row>
    <row r="323" spans="1:7" x14ac:dyDescent="0.2">
      <c r="A323" s="2">
        <v>198910</v>
      </c>
      <c r="B323" s="2">
        <v>-3.67</v>
      </c>
      <c r="C323" s="2">
        <v>-3.3</v>
      </c>
      <c r="D323" s="2">
        <v>-1.1100000000000001</v>
      </c>
      <c r="E323" s="2">
        <v>0.11</v>
      </c>
      <c r="F323" s="2">
        <v>-0.04</v>
      </c>
      <c r="G323" s="2">
        <v>0.68</v>
      </c>
    </row>
    <row r="324" spans="1:7" x14ac:dyDescent="0.2">
      <c r="A324" s="2">
        <v>198911</v>
      </c>
      <c r="B324" s="2">
        <v>1.03</v>
      </c>
      <c r="C324" s="2">
        <v>-1.29</v>
      </c>
      <c r="D324" s="2">
        <v>-1.0900000000000001</v>
      </c>
      <c r="E324" s="2">
        <v>-0.86</v>
      </c>
      <c r="F324" s="2">
        <v>1.41</v>
      </c>
      <c r="G324" s="2">
        <v>0.69</v>
      </c>
    </row>
    <row r="325" spans="1:7" x14ac:dyDescent="0.2">
      <c r="A325" s="2">
        <v>198912</v>
      </c>
      <c r="B325" s="2">
        <v>1.1599999999999999</v>
      </c>
      <c r="C325" s="2">
        <v>-2.27</v>
      </c>
      <c r="D325" s="2">
        <v>0.16</v>
      </c>
      <c r="E325" s="2">
        <v>-7.0000000000000007E-2</v>
      </c>
      <c r="F325" s="2">
        <v>1.42</v>
      </c>
      <c r="G325" s="2">
        <v>0.61</v>
      </c>
    </row>
    <row r="326" spans="1:7" x14ac:dyDescent="0.2">
      <c r="A326" s="2">
        <v>199001</v>
      </c>
      <c r="B326" s="2">
        <v>-7.85</v>
      </c>
      <c r="C326" s="2">
        <v>-1.31</v>
      </c>
      <c r="D326" s="2">
        <v>0.85</v>
      </c>
      <c r="E326" s="2">
        <v>-1.17</v>
      </c>
      <c r="F326" s="2">
        <v>1.35</v>
      </c>
      <c r="G326" s="2">
        <v>0.56999999999999995</v>
      </c>
    </row>
    <row r="327" spans="1:7" x14ac:dyDescent="0.2">
      <c r="A327" s="2">
        <v>199002</v>
      </c>
      <c r="B327" s="2">
        <v>1.1100000000000001</v>
      </c>
      <c r="C327" s="2">
        <v>1.17</v>
      </c>
      <c r="D327" s="2">
        <v>0.64</v>
      </c>
      <c r="E327" s="2">
        <v>-0.03</v>
      </c>
      <c r="F327" s="2">
        <v>-0.66</v>
      </c>
      <c r="G327" s="2">
        <v>0.56999999999999995</v>
      </c>
    </row>
    <row r="328" spans="1:7" x14ac:dyDescent="0.2">
      <c r="A328" s="2">
        <v>199003</v>
      </c>
      <c r="B328" s="2">
        <v>1.83</v>
      </c>
      <c r="C328" s="2">
        <v>1.62</v>
      </c>
      <c r="D328" s="2">
        <v>-2.92</v>
      </c>
      <c r="E328" s="2">
        <v>2.04</v>
      </c>
      <c r="F328" s="2">
        <v>-1.02</v>
      </c>
      <c r="G328" s="2">
        <v>0.64</v>
      </c>
    </row>
    <row r="329" spans="1:7" x14ac:dyDescent="0.2">
      <c r="A329" s="2">
        <v>199004</v>
      </c>
      <c r="B329" s="2">
        <v>-3.36</v>
      </c>
      <c r="C329" s="2">
        <v>-0.33</v>
      </c>
      <c r="D329" s="2">
        <v>-2.59</v>
      </c>
      <c r="E329" s="2">
        <v>1.78</v>
      </c>
      <c r="F329" s="2">
        <v>-0.98</v>
      </c>
      <c r="G329" s="2">
        <v>0.69</v>
      </c>
    </row>
    <row r="330" spans="1:7" x14ac:dyDescent="0.2">
      <c r="A330" s="2">
        <v>199005</v>
      </c>
      <c r="B330" s="2">
        <v>8.42</v>
      </c>
      <c r="C330" s="2">
        <v>-2.35</v>
      </c>
      <c r="D330" s="2">
        <v>-3.83</v>
      </c>
      <c r="E330" s="2">
        <v>1.57</v>
      </c>
      <c r="F330" s="2">
        <v>-1.68</v>
      </c>
      <c r="G330" s="2">
        <v>0.68</v>
      </c>
    </row>
    <row r="331" spans="1:7" x14ac:dyDescent="0.2">
      <c r="A331" s="2">
        <v>199006</v>
      </c>
      <c r="B331" s="2">
        <v>-1.0900000000000001</v>
      </c>
      <c r="C331" s="2">
        <v>1.35</v>
      </c>
      <c r="D331" s="2">
        <v>-1.93</v>
      </c>
      <c r="E331" s="2">
        <v>-1.03</v>
      </c>
      <c r="F331" s="2">
        <v>-0.39</v>
      </c>
      <c r="G331" s="2">
        <v>0.63</v>
      </c>
    </row>
    <row r="332" spans="1:7" x14ac:dyDescent="0.2">
      <c r="A332" s="2">
        <v>199007</v>
      </c>
      <c r="B332" s="2">
        <v>-1.9</v>
      </c>
      <c r="C332" s="2">
        <v>-3.16</v>
      </c>
      <c r="D332" s="2">
        <v>-0.03</v>
      </c>
      <c r="E332" s="2">
        <v>-0.18</v>
      </c>
      <c r="F332" s="2">
        <v>3.21</v>
      </c>
      <c r="G332" s="2">
        <v>0.68</v>
      </c>
    </row>
    <row r="333" spans="1:7" x14ac:dyDescent="0.2">
      <c r="A333" s="2">
        <v>199008</v>
      </c>
      <c r="B333" s="2">
        <v>-10.15</v>
      </c>
      <c r="C333" s="2">
        <v>-3.87</v>
      </c>
      <c r="D333" s="2">
        <v>1.64</v>
      </c>
      <c r="E333" s="2">
        <v>-0.35</v>
      </c>
      <c r="F333" s="2">
        <v>2.96</v>
      </c>
      <c r="G333" s="2">
        <v>0.66</v>
      </c>
    </row>
    <row r="334" spans="1:7" x14ac:dyDescent="0.2">
      <c r="A334" s="2">
        <v>199009</v>
      </c>
      <c r="B334" s="2">
        <v>-6.12</v>
      </c>
      <c r="C334" s="2">
        <v>-3.74</v>
      </c>
      <c r="D334" s="2">
        <v>0.64</v>
      </c>
      <c r="E334" s="2">
        <v>0.06</v>
      </c>
      <c r="F334" s="2">
        <v>3.67</v>
      </c>
      <c r="G334" s="2">
        <v>0.6</v>
      </c>
    </row>
    <row r="335" spans="1:7" x14ac:dyDescent="0.2">
      <c r="A335" s="2">
        <v>199010</v>
      </c>
      <c r="B335" s="2">
        <v>-1.92</v>
      </c>
      <c r="C335" s="2">
        <v>-5.12</v>
      </c>
      <c r="D335" s="2">
        <v>0.1</v>
      </c>
      <c r="E335" s="2">
        <v>2.97</v>
      </c>
      <c r="F335" s="2">
        <v>-0.3</v>
      </c>
      <c r="G335" s="2">
        <v>0.68</v>
      </c>
    </row>
    <row r="336" spans="1:7" x14ac:dyDescent="0.2">
      <c r="A336" s="2">
        <v>199011</v>
      </c>
      <c r="B336" s="2">
        <v>6.35</v>
      </c>
      <c r="C336" s="2">
        <v>7.0000000000000007E-2</v>
      </c>
      <c r="D336" s="2">
        <v>-3.1</v>
      </c>
      <c r="E336" s="2">
        <v>0.65</v>
      </c>
      <c r="F336" s="2">
        <v>-4.74</v>
      </c>
      <c r="G336" s="2">
        <v>0.56999999999999995</v>
      </c>
    </row>
    <row r="337" spans="1:7" x14ac:dyDescent="0.2">
      <c r="A337" s="2">
        <v>199012</v>
      </c>
      <c r="B337" s="2">
        <v>2.46</v>
      </c>
      <c r="C337" s="2">
        <v>0.67</v>
      </c>
      <c r="D337" s="2">
        <v>-1.7</v>
      </c>
      <c r="E337" s="2">
        <v>2.73</v>
      </c>
      <c r="F337" s="2">
        <v>-1.89</v>
      </c>
      <c r="G337" s="2">
        <v>0.6</v>
      </c>
    </row>
    <row r="338" spans="1:7" x14ac:dyDescent="0.2">
      <c r="A338" s="2">
        <v>199101</v>
      </c>
      <c r="B338" s="2">
        <v>4.6900000000000004</v>
      </c>
      <c r="C338" s="2">
        <v>3.91</v>
      </c>
      <c r="D338" s="2">
        <v>-1.6</v>
      </c>
      <c r="E338" s="2">
        <v>1.28</v>
      </c>
      <c r="F338" s="2">
        <v>-3.99</v>
      </c>
      <c r="G338" s="2">
        <v>0.52</v>
      </c>
    </row>
    <row r="339" spans="1:7" x14ac:dyDescent="0.2">
      <c r="A339" s="2">
        <v>199102</v>
      </c>
      <c r="B339" s="2">
        <v>7.19</v>
      </c>
      <c r="C339" s="2">
        <v>3.94</v>
      </c>
      <c r="D339" s="2">
        <v>-0.57999999999999996</v>
      </c>
      <c r="E339" s="2">
        <v>-0.2</v>
      </c>
      <c r="F339" s="2">
        <v>-0.33</v>
      </c>
      <c r="G339" s="2">
        <v>0.48</v>
      </c>
    </row>
    <row r="340" spans="1:7" x14ac:dyDescent="0.2">
      <c r="A340" s="2">
        <v>199103</v>
      </c>
      <c r="B340" s="2">
        <v>2.65</v>
      </c>
      <c r="C340" s="2">
        <v>3.83</v>
      </c>
      <c r="D340" s="2">
        <v>-1.39</v>
      </c>
      <c r="E340" s="2">
        <v>-0.53</v>
      </c>
      <c r="F340" s="2">
        <v>-1.06</v>
      </c>
      <c r="G340" s="2">
        <v>0.44</v>
      </c>
    </row>
    <row r="341" spans="1:7" x14ac:dyDescent="0.2">
      <c r="A341" s="2">
        <v>199104</v>
      </c>
      <c r="B341" s="2">
        <v>-0.28000000000000003</v>
      </c>
      <c r="C341" s="2">
        <v>0.31</v>
      </c>
      <c r="D341" s="2">
        <v>1.5</v>
      </c>
      <c r="E341" s="2">
        <v>0.62</v>
      </c>
      <c r="F341" s="2">
        <v>0.74</v>
      </c>
      <c r="G341" s="2">
        <v>0.53</v>
      </c>
    </row>
    <row r="342" spans="1:7" x14ac:dyDescent="0.2">
      <c r="A342" s="2">
        <v>199105</v>
      </c>
      <c r="B342" s="2">
        <v>3.65</v>
      </c>
      <c r="C342" s="2">
        <v>0.14000000000000001</v>
      </c>
      <c r="D342" s="2">
        <v>-0.52</v>
      </c>
      <c r="E342" s="2">
        <v>2</v>
      </c>
      <c r="F342" s="2">
        <v>-2.4300000000000002</v>
      </c>
      <c r="G342" s="2">
        <v>0.47</v>
      </c>
    </row>
    <row r="343" spans="1:7" x14ac:dyDescent="0.2">
      <c r="A343" s="2">
        <v>199106</v>
      </c>
      <c r="B343" s="2">
        <v>-4.9400000000000004</v>
      </c>
      <c r="C343" s="2">
        <v>0.24</v>
      </c>
      <c r="D343" s="2">
        <v>1.1499999999999999</v>
      </c>
      <c r="E343" s="2">
        <v>1.79</v>
      </c>
      <c r="F343" s="2">
        <v>0.65</v>
      </c>
      <c r="G343" s="2">
        <v>0.42</v>
      </c>
    </row>
    <row r="344" spans="1:7" x14ac:dyDescent="0.2">
      <c r="A344" s="2">
        <v>199107</v>
      </c>
      <c r="B344" s="2">
        <v>4.24</v>
      </c>
      <c r="C344" s="2">
        <v>-0.96</v>
      </c>
      <c r="D344" s="2">
        <v>-1.32</v>
      </c>
      <c r="E344" s="2">
        <v>1.6</v>
      </c>
      <c r="F344" s="2">
        <v>-1.36</v>
      </c>
      <c r="G344" s="2">
        <v>0.49</v>
      </c>
    </row>
    <row r="345" spans="1:7" x14ac:dyDescent="0.2">
      <c r="A345" s="2">
        <v>199108</v>
      </c>
      <c r="B345" s="2">
        <v>2.3199999999999998</v>
      </c>
      <c r="C345" s="2">
        <v>1.4</v>
      </c>
      <c r="D345" s="2">
        <v>-0.78</v>
      </c>
      <c r="E345" s="2">
        <v>0.84</v>
      </c>
      <c r="F345" s="2">
        <v>-0.34</v>
      </c>
      <c r="G345" s="2">
        <v>0.46</v>
      </c>
    </row>
    <row r="346" spans="1:7" x14ac:dyDescent="0.2">
      <c r="A346" s="2">
        <v>199109</v>
      </c>
      <c r="B346" s="2">
        <v>-1.59</v>
      </c>
      <c r="C346" s="2">
        <v>1.56</v>
      </c>
      <c r="D346" s="2">
        <v>-1.08</v>
      </c>
      <c r="E346" s="2">
        <v>-1.82</v>
      </c>
      <c r="F346" s="2">
        <v>0.08</v>
      </c>
      <c r="G346" s="2">
        <v>0.46</v>
      </c>
    </row>
    <row r="347" spans="1:7" x14ac:dyDescent="0.2">
      <c r="A347" s="2">
        <v>199110</v>
      </c>
      <c r="B347" s="2">
        <v>1.29</v>
      </c>
      <c r="C347" s="2">
        <v>0.91</v>
      </c>
      <c r="D347" s="2">
        <v>-0.47</v>
      </c>
      <c r="E347" s="2">
        <v>-1.7</v>
      </c>
      <c r="F347" s="2">
        <v>-0.23</v>
      </c>
      <c r="G347" s="2">
        <v>0.42</v>
      </c>
    </row>
    <row r="348" spans="1:7" x14ac:dyDescent="0.2">
      <c r="A348" s="2">
        <v>199111</v>
      </c>
      <c r="B348" s="2">
        <v>-4.1900000000000004</v>
      </c>
      <c r="C348" s="2">
        <v>-0.83</v>
      </c>
      <c r="D348" s="2">
        <v>-1.89</v>
      </c>
      <c r="E348" s="2">
        <v>1.1100000000000001</v>
      </c>
      <c r="F348" s="2">
        <v>0.01</v>
      </c>
      <c r="G348" s="2">
        <v>0.39</v>
      </c>
    </row>
    <row r="349" spans="1:7" x14ac:dyDescent="0.2">
      <c r="A349" s="2">
        <v>199112</v>
      </c>
      <c r="B349" s="2">
        <v>10.84</v>
      </c>
      <c r="C349" s="2">
        <v>-2.4</v>
      </c>
      <c r="D349" s="2">
        <v>-4.17</v>
      </c>
      <c r="E349" s="2">
        <v>3.55</v>
      </c>
      <c r="F349" s="2">
        <v>-3.12</v>
      </c>
      <c r="G349" s="2">
        <v>0.38</v>
      </c>
    </row>
    <row r="350" spans="1:7" x14ac:dyDescent="0.2">
      <c r="A350" s="2">
        <v>199201</v>
      </c>
      <c r="B350" s="2">
        <v>-0.59</v>
      </c>
      <c r="C350" s="2">
        <v>9.18</v>
      </c>
      <c r="D350" s="2">
        <v>4.71</v>
      </c>
      <c r="E350" s="2">
        <v>-1.32</v>
      </c>
      <c r="F350" s="2">
        <v>3.2</v>
      </c>
      <c r="G350" s="2">
        <v>0.34</v>
      </c>
    </row>
    <row r="351" spans="1:7" x14ac:dyDescent="0.2">
      <c r="A351" s="2">
        <v>199202</v>
      </c>
      <c r="B351" s="2">
        <v>1.0900000000000001</v>
      </c>
      <c r="C351" s="2">
        <v>1.33</v>
      </c>
      <c r="D351" s="2">
        <v>6.47</v>
      </c>
      <c r="E351" s="2">
        <v>0.08</v>
      </c>
      <c r="F351" s="2">
        <v>2.19</v>
      </c>
      <c r="G351" s="2">
        <v>0.28000000000000003</v>
      </c>
    </row>
    <row r="352" spans="1:7" x14ac:dyDescent="0.2">
      <c r="A352" s="2">
        <v>199203</v>
      </c>
      <c r="B352" s="2">
        <v>-2.66</v>
      </c>
      <c r="C352" s="2">
        <v>-0.93</v>
      </c>
      <c r="D352" s="2">
        <v>3.56</v>
      </c>
      <c r="E352" s="2">
        <v>-0.01</v>
      </c>
      <c r="F352" s="2">
        <v>1.95</v>
      </c>
      <c r="G352" s="2">
        <v>0.34</v>
      </c>
    </row>
    <row r="353" spans="1:7" x14ac:dyDescent="0.2">
      <c r="A353" s="2">
        <v>199204</v>
      </c>
      <c r="B353" s="2">
        <v>1.07</v>
      </c>
      <c r="C353" s="2">
        <v>-5.7</v>
      </c>
      <c r="D353" s="2">
        <v>4.34</v>
      </c>
      <c r="E353" s="2">
        <v>1.69</v>
      </c>
      <c r="F353" s="2">
        <v>2.23</v>
      </c>
      <c r="G353" s="2">
        <v>0.32</v>
      </c>
    </row>
    <row r="354" spans="1:7" x14ac:dyDescent="0.2">
      <c r="A354" s="2">
        <v>199205</v>
      </c>
      <c r="B354" s="2">
        <v>0.3</v>
      </c>
      <c r="C354" s="2">
        <v>0.21</v>
      </c>
      <c r="D354" s="2">
        <v>1.19</v>
      </c>
      <c r="E354" s="2">
        <v>-0.95</v>
      </c>
      <c r="F354" s="2">
        <v>0.48</v>
      </c>
      <c r="G354" s="2">
        <v>0.28000000000000003</v>
      </c>
    </row>
    <row r="355" spans="1:7" x14ac:dyDescent="0.2">
      <c r="A355" s="2">
        <v>199206</v>
      </c>
      <c r="B355" s="2">
        <v>-2.34</v>
      </c>
      <c r="C355" s="2">
        <v>-2.73</v>
      </c>
      <c r="D355" s="2">
        <v>3.24</v>
      </c>
      <c r="E355" s="2">
        <v>-0.05</v>
      </c>
      <c r="F355" s="2">
        <v>1.01</v>
      </c>
      <c r="G355" s="2">
        <v>0.32</v>
      </c>
    </row>
    <row r="356" spans="1:7" x14ac:dyDescent="0.2">
      <c r="A356" s="2">
        <v>199207</v>
      </c>
      <c r="B356" s="2">
        <v>3.77</v>
      </c>
      <c r="C356" s="2">
        <v>-0.62</v>
      </c>
      <c r="D356" s="2">
        <v>-0.56000000000000005</v>
      </c>
      <c r="E356" s="2">
        <v>1.3</v>
      </c>
      <c r="F356" s="2">
        <v>-0.91</v>
      </c>
      <c r="G356" s="2">
        <v>0.31</v>
      </c>
    </row>
    <row r="357" spans="1:7" x14ac:dyDescent="0.2">
      <c r="A357" s="2">
        <v>199208</v>
      </c>
      <c r="B357" s="2">
        <v>-2.38</v>
      </c>
      <c r="C357" s="2">
        <v>-0.42</v>
      </c>
      <c r="D357" s="2">
        <v>-1.1000000000000001</v>
      </c>
      <c r="E357" s="2">
        <v>3.72</v>
      </c>
      <c r="F357" s="2">
        <v>-1.65</v>
      </c>
      <c r="G357" s="2">
        <v>0.26</v>
      </c>
    </row>
    <row r="358" spans="1:7" x14ac:dyDescent="0.2">
      <c r="A358" s="2">
        <v>199209</v>
      </c>
      <c r="B358" s="2">
        <v>1.19</v>
      </c>
      <c r="C358" s="2">
        <v>0.48</v>
      </c>
      <c r="D358" s="2">
        <v>-0.26</v>
      </c>
      <c r="E358" s="2">
        <v>1.64</v>
      </c>
      <c r="F358" s="2">
        <v>-0.59</v>
      </c>
      <c r="G358" s="2">
        <v>0.26</v>
      </c>
    </row>
    <row r="359" spans="1:7" x14ac:dyDescent="0.2">
      <c r="A359" s="2">
        <v>199210</v>
      </c>
      <c r="B359" s="2">
        <v>1.02</v>
      </c>
      <c r="C359" s="2">
        <v>2.0699999999999998</v>
      </c>
      <c r="D359" s="2">
        <v>-1.98</v>
      </c>
      <c r="E359" s="2">
        <v>1.24</v>
      </c>
      <c r="F359" s="2">
        <v>-0.79</v>
      </c>
      <c r="G359" s="2">
        <v>0.23</v>
      </c>
    </row>
    <row r="360" spans="1:7" x14ac:dyDescent="0.2">
      <c r="A360" s="2">
        <v>199211</v>
      </c>
      <c r="B360" s="2">
        <v>4.13</v>
      </c>
      <c r="C360" s="2">
        <v>3.94</v>
      </c>
      <c r="D360" s="2">
        <v>-1.35</v>
      </c>
      <c r="E360" s="2">
        <v>-0.68</v>
      </c>
      <c r="F360" s="2">
        <v>-1.59</v>
      </c>
      <c r="G360" s="2">
        <v>0.23</v>
      </c>
    </row>
    <row r="361" spans="1:7" x14ac:dyDescent="0.2">
      <c r="A361" s="2">
        <v>199212</v>
      </c>
      <c r="B361" s="2">
        <v>1.53</v>
      </c>
      <c r="C361" s="2">
        <v>1.68</v>
      </c>
      <c r="D361" s="2">
        <v>2.62</v>
      </c>
      <c r="E361" s="2">
        <v>-0.48</v>
      </c>
      <c r="F361" s="2">
        <v>0.84</v>
      </c>
      <c r="G361" s="2">
        <v>0.28000000000000003</v>
      </c>
    </row>
    <row r="362" spans="1:7" x14ac:dyDescent="0.2">
      <c r="A362" s="2">
        <v>199301</v>
      </c>
      <c r="B362" s="2">
        <v>0.93</v>
      </c>
      <c r="C362" s="2">
        <v>1.93</v>
      </c>
      <c r="D362" s="2">
        <v>5.94</v>
      </c>
      <c r="E362" s="2">
        <v>-1.84</v>
      </c>
      <c r="F362" s="2">
        <v>2.91</v>
      </c>
      <c r="G362" s="2">
        <v>0.23</v>
      </c>
    </row>
    <row r="363" spans="1:7" x14ac:dyDescent="0.2">
      <c r="A363" s="2">
        <v>199302</v>
      </c>
      <c r="B363" s="2">
        <v>0.12</v>
      </c>
      <c r="C363" s="2">
        <v>-3.45</v>
      </c>
      <c r="D363" s="2">
        <v>6.42</v>
      </c>
      <c r="E363" s="2">
        <v>-0.42</v>
      </c>
      <c r="F363" s="2">
        <v>4.13</v>
      </c>
      <c r="G363" s="2">
        <v>0.22</v>
      </c>
    </row>
    <row r="364" spans="1:7" x14ac:dyDescent="0.2">
      <c r="A364" s="2">
        <v>199303</v>
      </c>
      <c r="B364" s="2">
        <v>2.2999999999999998</v>
      </c>
      <c r="C364" s="2">
        <v>0.09</v>
      </c>
      <c r="D364" s="2">
        <v>1.18</v>
      </c>
      <c r="E364" s="2">
        <v>-0.15</v>
      </c>
      <c r="F364" s="2">
        <v>0.9</v>
      </c>
      <c r="G364" s="2">
        <v>0.25</v>
      </c>
    </row>
    <row r="365" spans="1:7" x14ac:dyDescent="0.2">
      <c r="A365" s="2">
        <v>199304</v>
      </c>
      <c r="B365" s="2">
        <v>-3.05</v>
      </c>
      <c r="C365" s="2">
        <v>-0.85</v>
      </c>
      <c r="D365" s="2">
        <v>2.4900000000000002</v>
      </c>
      <c r="E365" s="2">
        <v>-3.61</v>
      </c>
      <c r="F365" s="2">
        <v>1.38</v>
      </c>
      <c r="G365" s="2">
        <v>0.24</v>
      </c>
    </row>
    <row r="366" spans="1:7" x14ac:dyDescent="0.2">
      <c r="A366" s="2">
        <v>199305</v>
      </c>
      <c r="B366" s="2">
        <v>2.89</v>
      </c>
      <c r="C366" s="2">
        <v>1.9</v>
      </c>
      <c r="D366" s="2">
        <v>-3.42</v>
      </c>
      <c r="E366" s="2">
        <v>-0.12</v>
      </c>
      <c r="F366" s="2">
        <v>-1.04</v>
      </c>
      <c r="G366" s="2">
        <v>0.22</v>
      </c>
    </row>
    <row r="367" spans="1:7" x14ac:dyDescent="0.2">
      <c r="A367" s="2">
        <v>199306</v>
      </c>
      <c r="B367" s="2">
        <v>0.31</v>
      </c>
      <c r="C367" s="2">
        <v>0.13</v>
      </c>
      <c r="D367" s="2">
        <v>2.75</v>
      </c>
      <c r="E367" s="2">
        <v>-0.92</v>
      </c>
      <c r="F367" s="2">
        <v>1.21</v>
      </c>
      <c r="G367" s="2">
        <v>0.25</v>
      </c>
    </row>
    <row r="368" spans="1:7" x14ac:dyDescent="0.2">
      <c r="A368" s="2">
        <v>199307</v>
      </c>
      <c r="B368" s="2">
        <v>-0.34</v>
      </c>
      <c r="C368" s="2">
        <v>0.95</v>
      </c>
      <c r="D368" s="2">
        <v>2.85</v>
      </c>
      <c r="E368" s="2">
        <v>-1.87</v>
      </c>
      <c r="F368" s="2">
        <v>2.06</v>
      </c>
      <c r="G368" s="2">
        <v>0.24</v>
      </c>
    </row>
    <row r="369" spans="1:7" x14ac:dyDescent="0.2">
      <c r="A369" s="2">
        <v>199308</v>
      </c>
      <c r="B369" s="2">
        <v>3.71</v>
      </c>
      <c r="C369" s="2">
        <v>0.1</v>
      </c>
      <c r="D369" s="2">
        <v>0.13</v>
      </c>
      <c r="E369" s="2">
        <v>-1.54</v>
      </c>
      <c r="F369" s="2">
        <v>-0.04</v>
      </c>
      <c r="G369" s="2">
        <v>0.25</v>
      </c>
    </row>
    <row r="370" spans="1:7" x14ac:dyDescent="0.2">
      <c r="A370" s="2">
        <v>199309</v>
      </c>
      <c r="B370" s="2">
        <v>-0.12</v>
      </c>
      <c r="C370" s="2">
        <v>2.98</v>
      </c>
      <c r="D370" s="2">
        <v>-0.31</v>
      </c>
      <c r="E370" s="2">
        <v>0.24</v>
      </c>
      <c r="F370" s="2">
        <v>-0.16</v>
      </c>
      <c r="G370" s="2">
        <v>0.26</v>
      </c>
    </row>
    <row r="371" spans="1:7" x14ac:dyDescent="0.2">
      <c r="A371" s="2">
        <v>199310</v>
      </c>
      <c r="B371" s="2">
        <v>1.41</v>
      </c>
      <c r="C371" s="2">
        <v>1.89</v>
      </c>
      <c r="D371" s="2">
        <v>-2.76</v>
      </c>
      <c r="E371" s="2">
        <v>0.56999999999999995</v>
      </c>
      <c r="F371" s="2">
        <v>0.6</v>
      </c>
      <c r="G371" s="2">
        <v>0.22</v>
      </c>
    </row>
    <row r="372" spans="1:7" x14ac:dyDescent="0.2">
      <c r="A372" s="2">
        <v>199311</v>
      </c>
      <c r="B372" s="2">
        <v>-1.89</v>
      </c>
      <c r="C372" s="2">
        <v>-1.27</v>
      </c>
      <c r="D372" s="2">
        <v>-0.74</v>
      </c>
      <c r="E372" s="2">
        <v>2.23</v>
      </c>
      <c r="F372" s="2">
        <v>-0.94</v>
      </c>
      <c r="G372" s="2">
        <v>0.25</v>
      </c>
    </row>
    <row r="373" spans="1:7" x14ac:dyDescent="0.2">
      <c r="A373" s="2">
        <v>199312</v>
      </c>
      <c r="B373" s="2">
        <v>1.65</v>
      </c>
      <c r="C373" s="2">
        <v>1.4</v>
      </c>
      <c r="D373" s="2">
        <v>0.32</v>
      </c>
      <c r="E373" s="2">
        <v>1.1599999999999999</v>
      </c>
      <c r="F373" s="2">
        <v>-0.34</v>
      </c>
      <c r="G373" s="2">
        <v>0.23</v>
      </c>
    </row>
    <row r="374" spans="1:7" x14ac:dyDescent="0.2">
      <c r="A374" s="2">
        <v>199401</v>
      </c>
      <c r="B374" s="2">
        <v>2.87</v>
      </c>
      <c r="C374" s="2">
        <v>-0.06</v>
      </c>
      <c r="D374" s="2">
        <v>1.1499999999999999</v>
      </c>
      <c r="E374" s="2">
        <v>-1.66</v>
      </c>
      <c r="F374" s="2">
        <v>1.43</v>
      </c>
      <c r="G374" s="2">
        <v>0.25</v>
      </c>
    </row>
    <row r="375" spans="1:7" x14ac:dyDescent="0.2">
      <c r="A375" s="2">
        <v>199402</v>
      </c>
      <c r="B375" s="2">
        <v>-2.5499999999999998</v>
      </c>
      <c r="C375" s="2">
        <v>2.67</v>
      </c>
      <c r="D375" s="2">
        <v>-1.54</v>
      </c>
      <c r="E375" s="2">
        <v>2.14</v>
      </c>
      <c r="F375" s="2">
        <v>-1</v>
      </c>
      <c r="G375" s="2">
        <v>0.21</v>
      </c>
    </row>
    <row r="376" spans="1:7" x14ac:dyDescent="0.2">
      <c r="A376" s="2">
        <v>199403</v>
      </c>
      <c r="B376" s="2">
        <v>-4.78</v>
      </c>
      <c r="C376" s="2">
        <v>-1.04</v>
      </c>
      <c r="D376" s="2">
        <v>1.6</v>
      </c>
      <c r="E376" s="2">
        <v>0.69</v>
      </c>
      <c r="F376" s="2">
        <v>1.28</v>
      </c>
      <c r="G376" s="2">
        <v>0.27</v>
      </c>
    </row>
    <row r="377" spans="1:7" x14ac:dyDescent="0.2">
      <c r="A377" s="2">
        <v>199404</v>
      </c>
      <c r="B377" s="2">
        <v>0.68</v>
      </c>
      <c r="C377" s="2">
        <v>-1.01</v>
      </c>
      <c r="D377" s="2">
        <v>1.66</v>
      </c>
      <c r="E377" s="2">
        <v>1.07</v>
      </c>
      <c r="F377" s="2">
        <v>1.1100000000000001</v>
      </c>
      <c r="G377" s="2">
        <v>0.27</v>
      </c>
    </row>
    <row r="378" spans="1:7" x14ac:dyDescent="0.2">
      <c r="A378" s="2">
        <v>199405</v>
      </c>
      <c r="B378" s="2">
        <v>0.57999999999999996</v>
      </c>
      <c r="C378" s="2">
        <v>-2.56</v>
      </c>
      <c r="D378" s="2">
        <v>0.67</v>
      </c>
      <c r="E378" s="2">
        <v>0.6</v>
      </c>
      <c r="F378" s="2">
        <v>0.68</v>
      </c>
      <c r="G378" s="2">
        <v>0.31</v>
      </c>
    </row>
    <row r="379" spans="1:7" x14ac:dyDescent="0.2">
      <c r="A379" s="2">
        <v>199406</v>
      </c>
      <c r="B379" s="2">
        <v>-3.03</v>
      </c>
      <c r="C379" s="2">
        <v>-0.5</v>
      </c>
      <c r="D379" s="2">
        <v>1.67</v>
      </c>
      <c r="E379" s="2">
        <v>1.21</v>
      </c>
      <c r="F379" s="2">
        <v>1.47</v>
      </c>
      <c r="G379" s="2">
        <v>0.31</v>
      </c>
    </row>
    <row r="380" spans="1:7" x14ac:dyDescent="0.2">
      <c r="A380" s="2">
        <v>199407</v>
      </c>
      <c r="B380" s="2">
        <v>2.82</v>
      </c>
      <c r="C380" s="2">
        <v>-1.85</v>
      </c>
      <c r="D380" s="2">
        <v>0.57999999999999996</v>
      </c>
      <c r="E380" s="2">
        <v>-0.65</v>
      </c>
      <c r="F380" s="2">
        <v>0.14000000000000001</v>
      </c>
      <c r="G380" s="2">
        <v>0.28000000000000003</v>
      </c>
    </row>
    <row r="381" spans="1:7" x14ac:dyDescent="0.2">
      <c r="A381" s="2">
        <v>199408</v>
      </c>
      <c r="B381" s="2">
        <v>4.01</v>
      </c>
      <c r="C381" s="2">
        <v>1.37</v>
      </c>
      <c r="D381" s="2">
        <v>-2.5099999999999998</v>
      </c>
      <c r="E381" s="2">
        <v>0.95</v>
      </c>
      <c r="F381" s="2">
        <v>-1.47</v>
      </c>
      <c r="G381" s="2">
        <v>0.37</v>
      </c>
    </row>
    <row r="382" spans="1:7" x14ac:dyDescent="0.2">
      <c r="A382" s="2">
        <v>199409</v>
      </c>
      <c r="B382" s="2">
        <v>-2.31</v>
      </c>
      <c r="C382" s="2">
        <v>2.8</v>
      </c>
      <c r="D382" s="2">
        <v>-1.89</v>
      </c>
      <c r="E382" s="2">
        <v>0.52</v>
      </c>
      <c r="F382" s="2">
        <v>0.93</v>
      </c>
      <c r="G382" s="2">
        <v>0.37</v>
      </c>
    </row>
    <row r="383" spans="1:7" x14ac:dyDescent="0.2">
      <c r="A383" s="2">
        <v>199410</v>
      </c>
      <c r="B383" s="2">
        <v>1.34</v>
      </c>
      <c r="C383" s="2">
        <v>-2.2999999999999998</v>
      </c>
      <c r="D383" s="2">
        <v>-1.62</v>
      </c>
      <c r="E383" s="2">
        <v>0.23</v>
      </c>
      <c r="F383" s="2">
        <v>-0.68</v>
      </c>
      <c r="G383" s="2">
        <v>0.38</v>
      </c>
    </row>
    <row r="384" spans="1:7" x14ac:dyDescent="0.2">
      <c r="A384" s="2">
        <v>199411</v>
      </c>
      <c r="B384" s="2">
        <v>-4.04</v>
      </c>
      <c r="C384" s="2">
        <v>7.0000000000000007E-2</v>
      </c>
      <c r="D384" s="2">
        <v>-0.7</v>
      </c>
      <c r="E384" s="2">
        <v>0.42</v>
      </c>
      <c r="F384" s="2">
        <v>-0.5</v>
      </c>
      <c r="G384" s="2">
        <v>0.37</v>
      </c>
    </row>
    <row r="385" spans="1:7" x14ac:dyDescent="0.2">
      <c r="A385" s="2">
        <v>199412</v>
      </c>
      <c r="B385" s="2">
        <v>0.86</v>
      </c>
      <c r="C385" s="2">
        <v>0</v>
      </c>
      <c r="D385" s="2">
        <v>-0.13</v>
      </c>
      <c r="E385" s="2">
        <v>0.37</v>
      </c>
      <c r="F385" s="2">
        <v>0.38</v>
      </c>
      <c r="G385" s="2">
        <v>0.44</v>
      </c>
    </row>
    <row r="386" spans="1:7" x14ac:dyDescent="0.2">
      <c r="A386" s="2">
        <v>199501</v>
      </c>
      <c r="B386" s="2">
        <v>1.8</v>
      </c>
      <c r="C386" s="2">
        <v>-3.06</v>
      </c>
      <c r="D386" s="2">
        <v>2.57</v>
      </c>
      <c r="E386" s="2">
        <v>0.17</v>
      </c>
      <c r="F386" s="2">
        <v>-0.75</v>
      </c>
      <c r="G386" s="2">
        <v>0.42</v>
      </c>
    </row>
    <row r="387" spans="1:7" x14ac:dyDescent="0.2">
      <c r="A387" s="2">
        <v>199502</v>
      </c>
      <c r="B387" s="2">
        <v>3.63</v>
      </c>
      <c r="C387" s="2">
        <v>-0.54</v>
      </c>
      <c r="D387" s="2">
        <v>1.08</v>
      </c>
      <c r="E387" s="2">
        <v>0.59</v>
      </c>
      <c r="F387" s="2">
        <v>-0.33</v>
      </c>
      <c r="G387" s="2">
        <v>0.4</v>
      </c>
    </row>
    <row r="388" spans="1:7" x14ac:dyDescent="0.2">
      <c r="A388" s="2">
        <v>199503</v>
      </c>
      <c r="B388" s="2">
        <v>2.19</v>
      </c>
      <c r="C388" s="2">
        <v>-0.51</v>
      </c>
      <c r="D388" s="2">
        <v>-2.15</v>
      </c>
      <c r="E388" s="2">
        <v>-0.17</v>
      </c>
      <c r="F388" s="2">
        <v>0.22</v>
      </c>
      <c r="G388" s="2">
        <v>0.46</v>
      </c>
    </row>
    <row r="389" spans="1:7" x14ac:dyDescent="0.2">
      <c r="A389" s="2">
        <v>199504</v>
      </c>
      <c r="B389" s="2">
        <v>2.11</v>
      </c>
      <c r="C389" s="2">
        <v>-0.22</v>
      </c>
      <c r="D389" s="2">
        <v>1.71</v>
      </c>
      <c r="E389" s="2">
        <v>0.41</v>
      </c>
      <c r="F389" s="2">
        <v>0.9</v>
      </c>
      <c r="G389" s="2">
        <v>0.44</v>
      </c>
    </row>
    <row r="390" spans="1:7" x14ac:dyDescent="0.2">
      <c r="A390" s="2">
        <v>199505</v>
      </c>
      <c r="B390" s="2">
        <v>2.9</v>
      </c>
      <c r="C390" s="2">
        <v>-2.19</v>
      </c>
      <c r="D390" s="2">
        <v>2.29</v>
      </c>
      <c r="E390" s="2">
        <v>0.39</v>
      </c>
      <c r="F390" s="2">
        <v>0.04</v>
      </c>
      <c r="G390" s="2">
        <v>0.54</v>
      </c>
    </row>
    <row r="391" spans="1:7" x14ac:dyDescent="0.2">
      <c r="A391" s="2">
        <v>199506</v>
      </c>
      <c r="B391" s="2">
        <v>2.72</v>
      </c>
      <c r="C391" s="2">
        <v>3.06</v>
      </c>
      <c r="D391" s="2">
        <v>-2.54</v>
      </c>
      <c r="E391" s="2">
        <v>-0.33</v>
      </c>
      <c r="F391" s="2">
        <v>-2.44</v>
      </c>
      <c r="G391" s="2">
        <v>0.47</v>
      </c>
    </row>
    <row r="392" spans="1:7" x14ac:dyDescent="0.2">
      <c r="A392" s="2">
        <v>199507</v>
      </c>
      <c r="B392" s="2">
        <v>3.72</v>
      </c>
      <c r="C392" s="2">
        <v>2.09</v>
      </c>
      <c r="D392" s="2">
        <v>-1.62</v>
      </c>
      <c r="E392" s="2">
        <v>0.3</v>
      </c>
      <c r="F392" s="2">
        <v>-1.65</v>
      </c>
      <c r="G392" s="2">
        <v>0.45</v>
      </c>
    </row>
    <row r="393" spans="1:7" x14ac:dyDescent="0.2">
      <c r="A393" s="2">
        <v>199508</v>
      </c>
      <c r="B393" s="2">
        <v>0.55000000000000004</v>
      </c>
      <c r="C393" s="2">
        <v>1.75</v>
      </c>
      <c r="D393" s="2">
        <v>2.79</v>
      </c>
      <c r="E393" s="2">
        <v>-1.24</v>
      </c>
      <c r="F393" s="2">
        <v>1.62</v>
      </c>
      <c r="G393" s="2">
        <v>0.47</v>
      </c>
    </row>
    <row r="394" spans="1:7" x14ac:dyDescent="0.2">
      <c r="A394" s="2">
        <v>199509</v>
      </c>
      <c r="B394" s="2">
        <v>3.35</v>
      </c>
      <c r="C394" s="2">
        <v>-1.88</v>
      </c>
      <c r="D394" s="2">
        <v>-0.04</v>
      </c>
      <c r="E394" s="2">
        <v>1.03</v>
      </c>
      <c r="F394" s="2">
        <v>0.36</v>
      </c>
      <c r="G394" s="2">
        <v>0.43</v>
      </c>
    </row>
    <row r="395" spans="1:7" x14ac:dyDescent="0.2">
      <c r="A395" s="2">
        <v>199510</v>
      </c>
      <c r="B395" s="2">
        <v>-1.52</v>
      </c>
      <c r="C395" s="2">
        <v>-4.04</v>
      </c>
      <c r="D395" s="2">
        <v>-0.5</v>
      </c>
      <c r="E395" s="2">
        <v>1.91</v>
      </c>
      <c r="F395" s="2">
        <v>-0.05</v>
      </c>
      <c r="G395" s="2">
        <v>0.47</v>
      </c>
    </row>
    <row r="396" spans="1:7" x14ac:dyDescent="0.2">
      <c r="A396" s="2">
        <v>199511</v>
      </c>
      <c r="B396" s="2">
        <v>3.96</v>
      </c>
      <c r="C396" s="2">
        <v>-1.07</v>
      </c>
      <c r="D396" s="2">
        <v>0.51</v>
      </c>
      <c r="E396" s="2">
        <v>-0.62</v>
      </c>
      <c r="F396" s="2">
        <v>1.1200000000000001</v>
      </c>
      <c r="G396" s="2">
        <v>0.42</v>
      </c>
    </row>
    <row r="397" spans="1:7" x14ac:dyDescent="0.2">
      <c r="A397" s="2">
        <v>199512</v>
      </c>
      <c r="B397" s="2">
        <v>1.03</v>
      </c>
      <c r="C397" s="2">
        <v>0.72</v>
      </c>
      <c r="D397" s="2">
        <v>0.22</v>
      </c>
      <c r="E397" s="2">
        <v>-1.37</v>
      </c>
      <c r="F397" s="2">
        <v>3.1</v>
      </c>
      <c r="G397" s="2">
        <v>0.49</v>
      </c>
    </row>
    <row r="398" spans="1:7" x14ac:dyDescent="0.2">
      <c r="A398" s="2">
        <v>199601</v>
      </c>
      <c r="B398" s="2">
        <v>2.2599999999999998</v>
      </c>
      <c r="C398" s="2">
        <v>-2.56</v>
      </c>
      <c r="D398" s="2">
        <v>0.38</v>
      </c>
      <c r="E398" s="2">
        <v>0.18</v>
      </c>
      <c r="F398" s="2">
        <v>2.31</v>
      </c>
      <c r="G398" s="2">
        <v>0.43</v>
      </c>
    </row>
    <row r="399" spans="1:7" x14ac:dyDescent="0.2">
      <c r="A399" s="2">
        <v>199602</v>
      </c>
      <c r="B399" s="2">
        <v>1.33</v>
      </c>
      <c r="C399" s="2">
        <v>1.77</v>
      </c>
      <c r="D399" s="2">
        <v>-1.08</v>
      </c>
      <c r="E399" s="2">
        <v>0.24</v>
      </c>
      <c r="F399" s="2">
        <v>-1.9</v>
      </c>
      <c r="G399" s="2">
        <v>0.39</v>
      </c>
    </row>
    <row r="400" spans="1:7" x14ac:dyDescent="0.2">
      <c r="A400" s="2">
        <v>199603</v>
      </c>
      <c r="B400" s="2">
        <v>0.73</v>
      </c>
      <c r="C400" s="2">
        <v>1.61</v>
      </c>
      <c r="D400" s="2">
        <v>0.35</v>
      </c>
      <c r="E400" s="2">
        <v>1.42</v>
      </c>
      <c r="F400" s="2">
        <v>-0.95</v>
      </c>
      <c r="G400" s="2">
        <v>0.39</v>
      </c>
    </row>
    <row r="401" spans="1:7" x14ac:dyDescent="0.2">
      <c r="A401" s="2">
        <v>199604</v>
      </c>
      <c r="B401" s="2">
        <v>2.06</v>
      </c>
      <c r="C401" s="2">
        <v>4.71</v>
      </c>
      <c r="D401" s="2">
        <v>-4.0199999999999996</v>
      </c>
      <c r="E401" s="2">
        <v>-0.14000000000000001</v>
      </c>
      <c r="F401" s="2">
        <v>-2.11</v>
      </c>
      <c r="G401" s="2">
        <v>0.46</v>
      </c>
    </row>
    <row r="402" spans="1:7" x14ac:dyDescent="0.2">
      <c r="A402" s="2">
        <v>199605</v>
      </c>
      <c r="B402" s="2">
        <v>2.36</v>
      </c>
      <c r="C402" s="2">
        <v>3.21</v>
      </c>
      <c r="D402" s="2">
        <v>-0.83</v>
      </c>
      <c r="E402" s="2">
        <v>0.12</v>
      </c>
      <c r="F402" s="2">
        <v>-0.3</v>
      </c>
      <c r="G402" s="2">
        <v>0.42</v>
      </c>
    </row>
    <row r="403" spans="1:7" x14ac:dyDescent="0.2">
      <c r="A403" s="2">
        <v>199606</v>
      </c>
      <c r="B403" s="2">
        <v>-1.1399999999999999</v>
      </c>
      <c r="C403" s="2">
        <v>-3.65</v>
      </c>
      <c r="D403" s="2">
        <v>2.35</v>
      </c>
      <c r="E403" s="2">
        <v>3.51</v>
      </c>
      <c r="F403" s="2">
        <v>1.22</v>
      </c>
      <c r="G403" s="2">
        <v>0.4</v>
      </c>
    </row>
    <row r="404" spans="1:7" x14ac:dyDescent="0.2">
      <c r="A404" s="2">
        <v>199607</v>
      </c>
      <c r="B404" s="2">
        <v>-5.97</v>
      </c>
      <c r="C404" s="2">
        <v>-3.81</v>
      </c>
      <c r="D404" s="2">
        <v>5.14</v>
      </c>
      <c r="E404" s="2">
        <v>2.95</v>
      </c>
      <c r="F404" s="2">
        <v>2.6</v>
      </c>
      <c r="G404" s="2">
        <v>0.45</v>
      </c>
    </row>
    <row r="405" spans="1:7" x14ac:dyDescent="0.2">
      <c r="A405" s="2">
        <v>199608</v>
      </c>
      <c r="B405" s="2">
        <v>2.77</v>
      </c>
      <c r="C405" s="2">
        <v>2.57</v>
      </c>
      <c r="D405" s="2">
        <v>-0.74</v>
      </c>
      <c r="E405" s="2">
        <v>-0.37</v>
      </c>
      <c r="F405" s="2">
        <v>-2.42</v>
      </c>
      <c r="G405" s="2">
        <v>0.41</v>
      </c>
    </row>
    <row r="406" spans="1:7" x14ac:dyDescent="0.2">
      <c r="A406" s="2">
        <v>199609</v>
      </c>
      <c r="B406" s="2">
        <v>5.01</v>
      </c>
      <c r="C406" s="2">
        <v>-1.39</v>
      </c>
      <c r="D406" s="2">
        <v>-2.72</v>
      </c>
      <c r="E406" s="2">
        <v>1.27</v>
      </c>
      <c r="F406" s="2">
        <v>-2.2200000000000002</v>
      </c>
      <c r="G406" s="2">
        <v>0.44</v>
      </c>
    </row>
    <row r="407" spans="1:7" x14ac:dyDescent="0.2">
      <c r="A407" s="2">
        <v>199610</v>
      </c>
      <c r="B407" s="2">
        <v>0.86</v>
      </c>
      <c r="C407" s="2">
        <v>-3.77</v>
      </c>
      <c r="D407" s="2">
        <v>4.9400000000000004</v>
      </c>
      <c r="E407" s="2">
        <v>1.4</v>
      </c>
      <c r="F407" s="2">
        <v>3.25</v>
      </c>
      <c r="G407" s="2">
        <v>0.42</v>
      </c>
    </row>
    <row r="408" spans="1:7" x14ac:dyDescent="0.2">
      <c r="A408" s="2">
        <v>199611</v>
      </c>
      <c r="B408" s="2">
        <v>6.25</v>
      </c>
      <c r="C408" s="2">
        <v>-3.8</v>
      </c>
      <c r="D408" s="2">
        <v>1.39</v>
      </c>
      <c r="E408" s="2">
        <v>2.12</v>
      </c>
      <c r="F408" s="2">
        <v>-0.79</v>
      </c>
      <c r="G408" s="2">
        <v>0.41</v>
      </c>
    </row>
    <row r="409" spans="1:7" x14ac:dyDescent="0.2">
      <c r="A409" s="2">
        <v>199612</v>
      </c>
      <c r="B409" s="2">
        <v>-1.7</v>
      </c>
      <c r="C409" s="2">
        <v>3.25</v>
      </c>
      <c r="D409" s="2">
        <v>1.31</v>
      </c>
      <c r="E409" s="2">
        <v>0.37</v>
      </c>
      <c r="F409" s="2">
        <v>1.49</v>
      </c>
      <c r="G409" s="2">
        <v>0.46</v>
      </c>
    </row>
    <row r="410" spans="1:7" x14ac:dyDescent="0.2">
      <c r="A410" s="2">
        <v>199701</v>
      </c>
      <c r="B410" s="2">
        <v>4.99</v>
      </c>
      <c r="C410" s="2">
        <v>-1.82</v>
      </c>
      <c r="D410" s="2">
        <v>-1.42</v>
      </c>
      <c r="E410" s="2">
        <v>1.19</v>
      </c>
      <c r="F410" s="2">
        <v>-0.02</v>
      </c>
      <c r="G410" s="2">
        <v>0.45</v>
      </c>
    </row>
    <row r="411" spans="1:7" x14ac:dyDescent="0.2">
      <c r="A411" s="2">
        <v>199702</v>
      </c>
      <c r="B411" s="2">
        <v>-0.49</v>
      </c>
      <c r="C411" s="2">
        <v>-2.59</v>
      </c>
      <c r="D411" s="2">
        <v>5.67</v>
      </c>
      <c r="E411" s="2">
        <v>0.67</v>
      </c>
      <c r="F411" s="2">
        <v>3.47</v>
      </c>
      <c r="G411" s="2">
        <v>0.39</v>
      </c>
    </row>
    <row r="412" spans="1:7" x14ac:dyDescent="0.2">
      <c r="A412" s="2">
        <v>199703</v>
      </c>
      <c r="B412" s="2">
        <v>-5.03</v>
      </c>
      <c r="C412" s="2">
        <v>-0.43</v>
      </c>
      <c r="D412" s="2">
        <v>3.39</v>
      </c>
      <c r="E412" s="2">
        <v>0.5</v>
      </c>
      <c r="F412" s="2">
        <v>1.66</v>
      </c>
      <c r="G412" s="2">
        <v>0.43</v>
      </c>
    </row>
    <row r="413" spans="1:7" x14ac:dyDescent="0.2">
      <c r="A413" s="2">
        <v>199704</v>
      </c>
      <c r="B413" s="2">
        <v>4.04</v>
      </c>
      <c r="C413" s="2">
        <v>-5.7</v>
      </c>
      <c r="D413" s="2">
        <v>7.0000000000000007E-2</v>
      </c>
      <c r="E413" s="2">
        <v>3.26</v>
      </c>
      <c r="F413" s="2">
        <v>-0.72</v>
      </c>
      <c r="G413" s="2">
        <v>0.43</v>
      </c>
    </row>
    <row r="414" spans="1:7" x14ac:dyDescent="0.2">
      <c r="A414" s="2">
        <v>199705</v>
      </c>
      <c r="B414" s="2">
        <v>6.74</v>
      </c>
      <c r="C414" s="2">
        <v>4.75</v>
      </c>
      <c r="D414" s="2">
        <v>-4.13</v>
      </c>
      <c r="E414" s="2">
        <v>-1.02</v>
      </c>
      <c r="F414" s="2">
        <v>-2.96</v>
      </c>
      <c r="G414" s="2">
        <v>0.49</v>
      </c>
    </row>
    <row r="415" spans="1:7" x14ac:dyDescent="0.2">
      <c r="A415" s="2">
        <v>199706</v>
      </c>
      <c r="B415" s="2">
        <v>4.0999999999999996</v>
      </c>
      <c r="C415" s="2">
        <v>1.19</v>
      </c>
      <c r="D415" s="2">
        <v>1.58</v>
      </c>
      <c r="E415" s="2">
        <v>0.56000000000000005</v>
      </c>
      <c r="F415" s="2">
        <v>0.66</v>
      </c>
      <c r="G415" s="2">
        <v>0.37</v>
      </c>
    </row>
    <row r="416" spans="1:7" x14ac:dyDescent="0.2">
      <c r="A416" s="2">
        <v>199707</v>
      </c>
      <c r="B416" s="2">
        <v>7.33</v>
      </c>
      <c r="C416" s="2">
        <v>-2.77</v>
      </c>
      <c r="D416" s="2">
        <v>0.26</v>
      </c>
      <c r="E416" s="2">
        <v>7.0000000000000007E-2</v>
      </c>
      <c r="F416" s="2">
        <v>-2.57</v>
      </c>
      <c r="G416" s="2">
        <v>0.43</v>
      </c>
    </row>
    <row r="417" spans="1:7" x14ac:dyDescent="0.2">
      <c r="A417" s="2">
        <v>199708</v>
      </c>
      <c r="B417" s="2">
        <v>-4.1500000000000004</v>
      </c>
      <c r="C417" s="2">
        <v>7.61</v>
      </c>
      <c r="D417" s="2">
        <v>1.18</v>
      </c>
      <c r="E417" s="2">
        <v>-1.1100000000000001</v>
      </c>
      <c r="F417" s="2">
        <v>-0.04</v>
      </c>
      <c r="G417" s="2">
        <v>0.41</v>
      </c>
    </row>
    <row r="418" spans="1:7" x14ac:dyDescent="0.2">
      <c r="A418" s="2">
        <v>199709</v>
      </c>
      <c r="B418" s="2">
        <v>5.35</v>
      </c>
      <c r="C418" s="2">
        <v>2.4900000000000002</v>
      </c>
      <c r="D418" s="2">
        <v>0.37</v>
      </c>
      <c r="E418" s="2">
        <v>-1.63</v>
      </c>
      <c r="F418" s="2">
        <v>-0.91</v>
      </c>
      <c r="G418" s="2">
        <v>0.44</v>
      </c>
    </row>
    <row r="419" spans="1:7" x14ac:dyDescent="0.2">
      <c r="A419" s="2">
        <v>199710</v>
      </c>
      <c r="B419" s="2">
        <v>-3.8</v>
      </c>
      <c r="C419" s="2">
        <v>-0.52</v>
      </c>
      <c r="D419" s="2">
        <v>2.27</v>
      </c>
      <c r="E419" s="2">
        <v>1</v>
      </c>
      <c r="F419" s="2">
        <v>1.94</v>
      </c>
      <c r="G419" s="2">
        <v>0.42</v>
      </c>
    </row>
    <row r="420" spans="1:7" x14ac:dyDescent="0.2">
      <c r="A420" s="2">
        <v>199711</v>
      </c>
      <c r="B420" s="2">
        <v>2.98</v>
      </c>
      <c r="C420" s="2">
        <v>-5.0999999999999996</v>
      </c>
      <c r="D420" s="2">
        <v>1.19</v>
      </c>
      <c r="E420" s="2">
        <v>2.8</v>
      </c>
      <c r="F420" s="2">
        <v>1.83</v>
      </c>
      <c r="G420" s="2">
        <v>0.39</v>
      </c>
    </row>
    <row r="421" spans="1:7" x14ac:dyDescent="0.2">
      <c r="A421" s="2">
        <v>199712</v>
      </c>
      <c r="B421" s="2">
        <v>1.32</v>
      </c>
      <c r="C421" s="2">
        <v>-2.04</v>
      </c>
      <c r="D421" s="2">
        <v>3.84</v>
      </c>
      <c r="E421" s="2">
        <v>0.75</v>
      </c>
      <c r="F421" s="2">
        <v>1.93</v>
      </c>
      <c r="G421" s="2">
        <v>0.48</v>
      </c>
    </row>
    <row r="422" spans="1:7" x14ac:dyDescent="0.2">
      <c r="A422" s="2">
        <v>199801</v>
      </c>
      <c r="B422" s="2">
        <v>0.15</v>
      </c>
      <c r="C422" s="2">
        <v>-1.36</v>
      </c>
      <c r="D422" s="2">
        <v>-1.63</v>
      </c>
      <c r="E422" s="2">
        <v>0.86</v>
      </c>
      <c r="F422" s="2">
        <v>-0.73</v>
      </c>
      <c r="G422" s="2">
        <v>0.43</v>
      </c>
    </row>
    <row r="423" spans="1:7" x14ac:dyDescent="0.2">
      <c r="A423" s="2">
        <v>199802</v>
      </c>
      <c r="B423" s="2">
        <v>7.04</v>
      </c>
      <c r="C423" s="2">
        <v>0.2</v>
      </c>
      <c r="D423" s="2">
        <v>-0.85</v>
      </c>
      <c r="E423" s="2">
        <v>-0.31</v>
      </c>
      <c r="F423" s="2">
        <v>-2.54</v>
      </c>
      <c r="G423" s="2">
        <v>0.39</v>
      </c>
    </row>
    <row r="424" spans="1:7" x14ac:dyDescent="0.2">
      <c r="A424" s="2">
        <v>199803</v>
      </c>
      <c r="B424" s="2">
        <v>4.76</v>
      </c>
      <c r="C424" s="2">
        <v>-0.65</v>
      </c>
      <c r="D424" s="2">
        <v>1.39</v>
      </c>
      <c r="E424" s="2">
        <v>-0.26</v>
      </c>
      <c r="F424" s="2">
        <v>-0.37</v>
      </c>
      <c r="G424" s="2">
        <v>0.39</v>
      </c>
    </row>
    <row r="425" spans="1:7" x14ac:dyDescent="0.2">
      <c r="A425" s="2">
        <v>199804</v>
      </c>
      <c r="B425" s="2">
        <v>0.73</v>
      </c>
      <c r="C425" s="2">
        <v>-0.01</v>
      </c>
      <c r="D425" s="2">
        <v>0.94</v>
      </c>
      <c r="E425" s="2">
        <v>-1.69</v>
      </c>
      <c r="F425" s="2">
        <v>-0.36</v>
      </c>
      <c r="G425" s="2">
        <v>0.43</v>
      </c>
    </row>
    <row r="426" spans="1:7" x14ac:dyDescent="0.2">
      <c r="A426" s="2">
        <v>199805</v>
      </c>
      <c r="B426" s="2">
        <v>-3.07</v>
      </c>
      <c r="C426" s="2">
        <v>-2.93</v>
      </c>
      <c r="D426" s="2">
        <v>3.4</v>
      </c>
      <c r="E426" s="2">
        <v>1.07</v>
      </c>
      <c r="F426" s="2">
        <v>2.59</v>
      </c>
      <c r="G426" s="2">
        <v>0.4</v>
      </c>
    </row>
    <row r="427" spans="1:7" x14ac:dyDescent="0.2">
      <c r="A427" s="2">
        <v>199806</v>
      </c>
      <c r="B427" s="2">
        <v>3.18</v>
      </c>
      <c r="C427" s="2">
        <v>-3.65</v>
      </c>
      <c r="D427" s="2">
        <v>-1.97</v>
      </c>
      <c r="E427" s="2">
        <v>-0.27</v>
      </c>
      <c r="F427" s="2">
        <v>-2.97</v>
      </c>
      <c r="G427" s="2">
        <v>0.41</v>
      </c>
    </row>
    <row r="428" spans="1:7" x14ac:dyDescent="0.2">
      <c r="A428" s="2">
        <v>199807</v>
      </c>
      <c r="B428" s="2">
        <v>-2.46</v>
      </c>
      <c r="C428" s="2">
        <v>-5.27</v>
      </c>
      <c r="D428" s="2">
        <v>-1.78</v>
      </c>
      <c r="E428" s="2">
        <v>1.74</v>
      </c>
      <c r="F428" s="2">
        <v>0.45</v>
      </c>
      <c r="G428" s="2">
        <v>0.4</v>
      </c>
    </row>
    <row r="429" spans="1:7" x14ac:dyDescent="0.2">
      <c r="A429" s="2">
        <v>199808</v>
      </c>
      <c r="B429" s="2">
        <v>-16.079999999999998</v>
      </c>
      <c r="C429" s="2">
        <v>-5.18</v>
      </c>
      <c r="D429" s="2">
        <v>3.53</v>
      </c>
      <c r="E429" s="2">
        <v>3.39</v>
      </c>
      <c r="F429" s="2">
        <v>5.89</v>
      </c>
      <c r="G429" s="2">
        <v>0.43</v>
      </c>
    </row>
    <row r="430" spans="1:7" x14ac:dyDescent="0.2">
      <c r="A430" s="2">
        <v>199809</v>
      </c>
      <c r="B430" s="2">
        <v>6.15</v>
      </c>
      <c r="C430" s="2">
        <v>-0.77</v>
      </c>
      <c r="D430" s="2">
        <v>-3.42</v>
      </c>
      <c r="E430" s="2">
        <v>-1.89</v>
      </c>
      <c r="F430" s="2">
        <v>-2.97</v>
      </c>
      <c r="G430" s="2">
        <v>0.46</v>
      </c>
    </row>
    <row r="431" spans="1:7" x14ac:dyDescent="0.2">
      <c r="A431" s="2">
        <v>199810</v>
      </c>
      <c r="B431" s="2">
        <v>7.13</v>
      </c>
      <c r="C431" s="2">
        <v>-3.43</v>
      </c>
      <c r="D431" s="2">
        <v>-2.23</v>
      </c>
      <c r="E431" s="2">
        <v>0.93</v>
      </c>
      <c r="F431" s="2">
        <v>0.32</v>
      </c>
      <c r="G431" s="2">
        <v>0.32</v>
      </c>
    </row>
    <row r="432" spans="1:7" x14ac:dyDescent="0.2">
      <c r="A432" s="2">
        <v>199811</v>
      </c>
      <c r="B432" s="2">
        <v>6.1</v>
      </c>
      <c r="C432" s="2">
        <v>0.74</v>
      </c>
      <c r="D432" s="2">
        <v>-3.25</v>
      </c>
      <c r="E432" s="2">
        <v>-0.85</v>
      </c>
      <c r="F432" s="2">
        <v>-1.2</v>
      </c>
      <c r="G432" s="2">
        <v>0.31</v>
      </c>
    </row>
    <row r="433" spans="1:7" x14ac:dyDescent="0.2">
      <c r="A433" s="2">
        <v>199812</v>
      </c>
      <c r="B433" s="2">
        <v>6.16</v>
      </c>
      <c r="C433" s="2">
        <v>-1.57</v>
      </c>
      <c r="D433" s="2">
        <v>-4.1900000000000004</v>
      </c>
      <c r="E433" s="2">
        <v>-0.75</v>
      </c>
      <c r="F433" s="2">
        <v>-3.4</v>
      </c>
      <c r="G433" s="2">
        <v>0.38</v>
      </c>
    </row>
    <row r="434" spans="1:7" x14ac:dyDescent="0.2">
      <c r="A434" s="2">
        <v>199901</v>
      </c>
      <c r="B434" s="2">
        <v>3.5</v>
      </c>
      <c r="C434" s="2">
        <v>-0.74</v>
      </c>
      <c r="D434" s="2">
        <v>-4.5999999999999996</v>
      </c>
      <c r="E434" s="2">
        <v>-2.79</v>
      </c>
      <c r="F434" s="2">
        <v>-6.77</v>
      </c>
      <c r="G434" s="2">
        <v>0.35</v>
      </c>
    </row>
    <row r="435" spans="1:7" x14ac:dyDescent="0.2">
      <c r="A435" s="2">
        <v>199902</v>
      </c>
      <c r="B435" s="2">
        <v>-4.08</v>
      </c>
      <c r="C435" s="2">
        <v>-5.23</v>
      </c>
      <c r="D435" s="2">
        <v>1.92</v>
      </c>
      <c r="E435" s="2">
        <v>-1.21</v>
      </c>
      <c r="F435" s="2">
        <v>4.07</v>
      </c>
      <c r="G435" s="2">
        <v>0.35</v>
      </c>
    </row>
    <row r="436" spans="1:7" x14ac:dyDescent="0.2">
      <c r="A436" s="2">
        <v>199903</v>
      </c>
      <c r="B436" s="2">
        <v>3.45</v>
      </c>
      <c r="C436" s="2">
        <v>-4.2300000000000004</v>
      </c>
      <c r="D436" s="2">
        <v>-2.74</v>
      </c>
      <c r="E436" s="2">
        <v>-4.07</v>
      </c>
      <c r="F436" s="2">
        <v>-1.41</v>
      </c>
      <c r="G436" s="2">
        <v>0.43</v>
      </c>
    </row>
    <row r="437" spans="1:7" x14ac:dyDescent="0.2">
      <c r="A437" s="2">
        <v>199904</v>
      </c>
      <c r="B437" s="2">
        <v>4.33</v>
      </c>
      <c r="C437" s="2">
        <v>4.53</v>
      </c>
      <c r="D437" s="2">
        <v>2.46</v>
      </c>
      <c r="E437" s="2">
        <v>-2.5299999999999998</v>
      </c>
      <c r="F437" s="2">
        <v>0.9</v>
      </c>
      <c r="G437" s="2">
        <v>0.37</v>
      </c>
    </row>
    <row r="438" spans="1:7" x14ac:dyDescent="0.2">
      <c r="A438" s="2">
        <v>199905</v>
      </c>
      <c r="B438" s="2">
        <v>-2.46</v>
      </c>
      <c r="C438" s="2">
        <v>3.71</v>
      </c>
      <c r="D438" s="2">
        <v>2.35</v>
      </c>
      <c r="E438" s="2">
        <v>0.93</v>
      </c>
      <c r="F438" s="2">
        <v>3.33</v>
      </c>
      <c r="G438" s="2">
        <v>0.34</v>
      </c>
    </row>
    <row r="439" spans="1:7" x14ac:dyDescent="0.2">
      <c r="A439" s="2">
        <v>199906</v>
      </c>
      <c r="B439" s="2">
        <v>4.7699999999999996</v>
      </c>
      <c r="C439" s="2">
        <v>2.29</v>
      </c>
      <c r="D439" s="2">
        <v>-3.19</v>
      </c>
      <c r="E439" s="2">
        <v>1.1399999999999999</v>
      </c>
      <c r="F439" s="2">
        <v>-3.23</v>
      </c>
      <c r="G439" s="2">
        <v>0.4</v>
      </c>
    </row>
    <row r="440" spans="1:7" x14ac:dyDescent="0.2">
      <c r="A440" s="2">
        <v>199907</v>
      </c>
      <c r="B440" s="2">
        <v>-3.49</v>
      </c>
      <c r="C440" s="2">
        <v>2.57</v>
      </c>
      <c r="D440" s="2">
        <v>-0.44</v>
      </c>
      <c r="E440" s="2">
        <v>0.36</v>
      </c>
      <c r="F440" s="2">
        <v>3.22</v>
      </c>
      <c r="G440" s="2">
        <v>0.38</v>
      </c>
    </row>
    <row r="441" spans="1:7" x14ac:dyDescent="0.2">
      <c r="A441" s="2">
        <v>199908</v>
      </c>
      <c r="B441" s="2">
        <v>-1.38</v>
      </c>
      <c r="C441" s="2">
        <v>-1.73</v>
      </c>
      <c r="D441" s="2">
        <v>-1.87</v>
      </c>
      <c r="E441" s="2">
        <v>-0.24</v>
      </c>
      <c r="F441" s="2">
        <v>0.64</v>
      </c>
      <c r="G441" s="2">
        <v>0.39</v>
      </c>
    </row>
    <row r="442" spans="1:7" x14ac:dyDescent="0.2">
      <c r="A442" s="2">
        <v>199909</v>
      </c>
      <c r="B442" s="2">
        <v>-2.79</v>
      </c>
      <c r="C442" s="2">
        <v>2.59</v>
      </c>
      <c r="D442" s="2">
        <v>-3.5</v>
      </c>
      <c r="E442" s="2">
        <v>-0.75</v>
      </c>
      <c r="F442" s="2">
        <v>-1.23</v>
      </c>
      <c r="G442" s="2">
        <v>0.39</v>
      </c>
    </row>
    <row r="443" spans="1:7" x14ac:dyDescent="0.2">
      <c r="A443" s="2">
        <v>199910</v>
      </c>
      <c r="B443" s="2">
        <v>6.12</v>
      </c>
      <c r="C443" s="2">
        <v>-6.91</v>
      </c>
      <c r="D443" s="2">
        <v>-3.37</v>
      </c>
      <c r="E443" s="2">
        <v>-1.75</v>
      </c>
      <c r="F443" s="2">
        <v>-1.19</v>
      </c>
      <c r="G443" s="2">
        <v>0.39</v>
      </c>
    </row>
    <row r="444" spans="1:7" x14ac:dyDescent="0.2">
      <c r="A444" s="2">
        <v>199911</v>
      </c>
      <c r="B444" s="2">
        <v>3.37</v>
      </c>
      <c r="C444" s="2">
        <v>5.8</v>
      </c>
      <c r="D444" s="2">
        <v>-6.11</v>
      </c>
      <c r="E444" s="2">
        <v>-4.2699999999999996</v>
      </c>
      <c r="F444" s="2">
        <v>-1.75</v>
      </c>
      <c r="G444" s="2">
        <v>0.36</v>
      </c>
    </row>
    <row r="445" spans="1:7" x14ac:dyDescent="0.2">
      <c r="A445" s="2">
        <v>199912</v>
      </c>
      <c r="B445" s="2">
        <v>7.72</v>
      </c>
      <c r="C445" s="2">
        <v>5.39</v>
      </c>
      <c r="D445" s="2">
        <v>-8.32</v>
      </c>
      <c r="E445" s="2">
        <v>-7.6</v>
      </c>
      <c r="F445" s="2">
        <v>-5.63</v>
      </c>
      <c r="G445" s="2">
        <v>0.44</v>
      </c>
    </row>
    <row r="446" spans="1:7" x14ac:dyDescent="0.2">
      <c r="A446" s="2">
        <v>200001</v>
      </c>
      <c r="B446" s="2">
        <v>-4.74</v>
      </c>
      <c r="C446" s="2">
        <v>4.4400000000000004</v>
      </c>
      <c r="D446" s="2">
        <v>-1.91</v>
      </c>
      <c r="E446" s="2">
        <v>-6.31</v>
      </c>
      <c r="F446" s="2">
        <v>4.75</v>
      </c>
      <c r="G446" s="2">
        <v>0.41</v>
      </c>
    </row>
    <row r="447" spans="1:7" x14ac:dyDescent="0.2">
      <c r="A447" s="2">
        <v>200002</v>
      </c>
      <c r="B447" s="2">
        <v>2.4500000000000002</v>
      </c>
      <c r="C447" s="2">
        <v>18.34</v>
      </c>
      <c r="D447" s="2">
        <v>-9.6999999999999993</v>
      </c>
      <c r="E447" s="2">
        <v>-18.73</v>
      </c>
      <c r="F447" s="2">
        <v>-0.36</v>
      </c>
      <c r="G447" s="2">
        <v>0.43</v>
      </c>
    </row>
    <row r="448" spans="1:7" x14ac:dyDescent="0.2">
      <c r="A448" s="2">
        <v>200003</v>
      </c>
      <c r="B448" s="2">
        <v>5.2</v>
      </c>
      <c r="C448" s="2">
        <v>-15.35</v>
      </c>
      <c r="D448" s="2">
        <v>8.17</v>
      </c>
      <c r="E448" s="2">
        <v>11.82</v>
      </c>
      <c r="F448" s="2">
        <v>-1.65</v>
      </c>
      <c r="G448" s="2">
        <v>0.47</v>
      </c>
    </row>
    <row r="449" spans="1:7" x14ac:dyDescent="0.2">
      <c r="A449" s="2">
        <v>200004</v>
      </c>
      <c r="B449" s="2">
        <v>-6.4</v>
      </c>
      <c r="C449" s="2">
        <v>-5.01</v>
      </c>
      <c r="D449" s="2">
        <v>7.26</v>
      </c>
      <c r="E449" s="2">
        <v>7.66</v>
      </c>
      <c r="F449" s="2">
        <v>5.65</v>
      </c>
      <c r="G449" s="2">
        <v>0.46</v>
      </c>
    </row>
    <row r="450" spans="1:7" x14ac:dyDescent="0.2">
      <c r="A450" s="2">
        <v>200005</v>
      </c>
      <c r="B450" s="2">
        <v>-4.42</v>
      </c>
      <c r="C450" s="2">
        <v>-3.84</v>
      </c>
      <c r="D450" s="2">
        <v>4.8099999999999996</v>
      </c>
      <c r="E450" s="2">
        <v>4.17</v>
      </c>
      <c r="F450" s="2">
        <v>1.3</v>
      </c>
      <c r="G450" s="2">
        <v>0.5</v>
      </c>
    </row>
    <row r="451" spans="1:7" x14ac:dyDescent="0.2">
      <c r="A451" s="2">
        <v>200006</v>
      </c>
      <c r="B451" s="2">
        <v>4.6399999999999997</v>
      </c>
      <c r="C451" s="2">
        <v>9.93</v>
      </c>
      <c r="D451" s="2">
        <v>-8.43</v>
      </c>
      <c r="E451" s="2">
        <v>-8.32</v>
      </c>
      <c r="F451" s="2">
        <v>-2.93</v>
      </c>
      <c r="G451" s="2">
        <v>0.4</v>
      </c>
    </row>
    <row r="452" spans="1:7" x14ac:dyDescent="0.2">
      <c r="A452" s="2">
        <v>200007</v>
      </c>
      <c r="B452" s="2">
        <v>-2.5099999999999998</v>
      </c>
      <c r="C452" s="2">
        <v>-1.03</v>
      </c>
      <c r="D452" s="2">
        <v>8.3000000000000007</v>
      </c>
      <c r="E452" s="2">
        <v>5.82</v>
      </c>
      <c r="F452" s="2">
        <v>2.95</v>
      </c>
      <c r="G452" s="2">
        <v>0.48</v>
      </c>
    </row>
    <row r="453" spans="1:7" x14ac:dyDescent="0.2">
      <c r="A453" s="2">
        <v>200008</v>
      </c>
      <c r="B453" s="2">
        <v>7.03</v>
      </c>
      <c r="C453" s="2">
        <v>-1.04</v>
      </c>
      <c r="D453" s="2">
        <v>-1.38</v>
      </c>
      <c r="E453" s="2">
        <v>-3.22</v>
      </c>
      <c r="F453" s="2">
        <v>1.0900000000000001</v>
      </c>
      <c r="G453" s="2">
        <v>0.5</v>
      </c>
    </row>
    <row r="454" spans="1:7" x14ac:dyDescent="0.2">
      <c r="A454" s="2">
        <v>200009</v>
      </c>
      <c r="B454" s="2">
        <v>-5.45</v>
      </c>
      <c r="C454" s="2">
        <v>0.19</v>
      </c>
      <c r="D454" s="2">
        <v>7.17</v>
      </c>
      <c r="E454" s="2">
        <v>2.56</v>
      </c>
      <c r="F454" s="2">
        <v>5.53</v>
      </c>
      <c r="G454" s="2">
        <v>0.51</v>
      </c>
    </row>
    <row r="455" spans="1:7" x14ac:dyDescent="0.2">
      <c r="A455" s="2">
        <v>200010</v>
      </c>
      <c r="B455" s="2">
        <v>-2.76</v>
      </c>
      <c r="C455" s="2">
        <v>-2.64</v>
      </c>
      <c r="D455" s="2">
        <v>5.7</v>
      </c>
      <c r="E455" s="2">
        <v>9.6</v>
      </c>
      <c r="F455" s="2">
        <v>3.82</v>
      </c>
      <c r="G455" s="2">
        <v>0.56000000000000005</v>
      </c>
    </row>
    <row r="456" spans="1:7" x14ac:dyDescent="0.2">
      <c r="A456" s="2">
        <v>200011</v>
      </c>
      <c r="B456" s="2">
        <v>-10.72</v>
      </c>
      <c r="C456" s="2">
        <v>-0.6</v>
      </c>
      <c r="D456" s="2">
        <v>12.32</v>
      </c>
      <c r="E456" s="2">
        <v>13.09</v>
      </c>
      <c r="F456" s="2">
        <v>8.39</v>
      </c>
      <c r="G456" s="2">
        <v>0.51</v>
      </c>
    </row>
    <row r="457" spans="1:7" x14ac:dyDescent="0.2">
      <c r="A457" s="2">
        <v>200012</v>
      </c>
      <c r="B457" s="2">
        <v>1.19</v>
      </c>
      <c r="C457" s="2">
        <v>3.26</v>
      </c>
      <c r="D457" s="2">
        <v>7.61</v>
      </c>
      <c r="E457" s="2">
        <v>1.72</v>
      </c>
      <c r="F457" s="2">
        <v>4.78</v>
      </c>
      <c r="G457" s="2">
        <v>0.5</v>
      </c>
    </row>
    <row r="458" spans="1:7" x14ac:dyDescent="0.2">
      <c r="A458" s="2">
        <v>200101</v>
      </c>
      <c r="B458" s="2">
        <v>3.13</v>
      </c>
      <c r="C458" s="2">
        <v>5.5</v>
      </c>
      <c r="D458" s="2">
        <v>-5.09</v>
      </c>
      <c r="E458" s="2">
        <v>-4.7</v>
      </c>
      <c r="F458" s="2">
        <v>-5</v>
      </c>
      <c r="G458" s="2">
        <v>0.54</v>
      </c>
    </row>
    <row r="459" spans="1:7" x14ac:dyDescent="0.2">
      <c r="A459" s="2">
        <v>200102</v>
      </c>
      <c r="B459" s="2">
        <v>-10.050000000000001</v>
      </c>
      <c r="C459" s="2">
        <v>2.82</v>
      </c>
      <c r="D459" s="2">
        <v>12.48</v>
      </c>
      <c r="E459" s="2">
        <v>9.11</v>
      </c>
      <c r="F459" s="2">
        <v>9.0500000000000007</v>
      </c>
      <c r="G459" s="2">
        <v>0.38</v>
      </c>
    </row>
    <row r="460" spans="1:7" x14ac:dyDescent="0.2">
      <c r="A460" s="2">
        <v>200103</v>
      </c>
      <c r="B460" s="2">
        <v>-7.26</v>
      </c>
      <c r="C460" s="2">
        <v>2.33</v>
      </c>
      <c r="D460" s="2">
        <v>6.42</v>
      </c>
      <c r="E460" s="2">
        <v>3.36</v>
      </c>
      <c r="F460" s="2">
        <v>3.91</v>
      </c>
      <c r="G460" s="2">
        <v>0.42</v>
      </c>
    </row>
    <row r="461" spans="1:7" x14ac:dyDescent="0.2">
      <c r="A461" s="2">
        <v>200104</v>
      </c>
      <c r="B461" s="2">
        <v>7.94</v>
      </c>
      <c r="C461" s="2">
        <v>-0.86</v>
      </c>
      <c r="D461" s="2">
        <v>-4.68</v>
      </c>
      <c r="E461" s="2">
        <v>-3.07</v>
      </c>
      <c r="F461" s="2">
        <v>-3.19</v>
      </c>
      <c r="G461" s="2">
        <v>0.39</v>
      </c>
    </row>
    <row r="462" spans="1:7" x14ac:dyDescent="0.2">
      <c r="A462" s="2">
        <v>200105</v>
      </c>
      <c r="B462" s="2">
        <v>0.72</v>
      </c>
      <c r="C462" s="2">
        <v>3.59</v>
      </c>
      <c r="D462" s="2">
        <v>3.38</v>
      </c>
      <c r="E462" s="2">
        <v>0.26</v>
      </c>
      <c r="F462" s="2">
        <v>1.88</v>
      </c>
      <c r="G462" s="2">
        <v>0.32</v>
      </c>
    </row>
    <row r="463" spans="1:7" x14ac:dyDescent="0.2">
      <c r="A463" s="2">
        <v>200106</v>
      </c>
      <c r="B463" s="2">
        <v>-1.94</v>
      </c>
      <c r="C463" s="2">
        <v>6.57</v>
      </c>
      <c r="D463" s="2">
        <v>-1.1299999999999999</v>
      </c>
      <c r="E463" s="2">
        <v>1.6</v>
      </c>
      <c r="F463" s="2">
        <v>-1.5</v>
      </c>
      <c r="G463" s="2">
        <v>0.28000000000000003</v>
      </c>
    </row>
    <row r="464" spans="1:7" x14ac:dyDescent="0.2">
      <c r="A464" s="2">
        <v>200107</v>
      </c>
      <c r="B464" s="2">
        <v>-2.13</v>
      </c>
      <c r="C464" s="2">
        <v>-2.83</v>
      </c>
      <c r="D464" s="2">
        <v>5.21</v>
      </c>
      <c r="E464" s="2">
        <v>7.42</v>
      </c>
      <c r="F464" s="2">
        <v>3.06</v>
      </c>
      <c r="G464" s="2">
        <v>0.3</v>
      </c>
    </row>
    <row r="465" spans="1:7" x14ac:dyDescent="0.2">
      <c r="A465" s="2">
        <v>200108</v>
      </c>
      <c r="B465" s="2">
        <v>-6.46</v>
      </c>
      <c r="C465" s="2">
        <v>2.71</v>
      </c>
      <c r="D465" s="2">
        <v>2.2999999999999998</v>
      </c>
      <c r="E465" s="2">
        <v>4.05</v>
      </c>
      <c r="F465" s="2">
        <v>6.56</v>
      </c>
      <c r="G465" s="2">
        <v>0.31</v>
      </c>
    </row>
    <row r="466" spans="1:7" x14ac:dyDescent="0.2">
      <c r="A466" s="2">
        <v>200109</v>
      </c>
      <c r="B466" s="2">
        <v>-9.25</v>
      </c>
      <c r="C466" s="2">
        <v>-5.73</v>
      </c>
      <c r="D466" s="2">
        <v>1.45</v>
      </c>
      <c r="E466" s="2">
        <v>5</v>
      </c>
      <c r="F466" s="2">
        <v>3.2</v>
      </c>
      <c r="G466" s="2">
        <v>0.28000000000000003</v>
      </c>
    </row>
    <row r="467" spans="1:7" x14ac:dyDescent="0.2">
      <c r="A467" s="2">
        <v>200110</v>
      </c>
      <c r="B467" s="2">
        <v>2.46</v>
      </c>
      <c r="C467" s="2">
        <v>5.28</v>
      </c>
      <c r="D467" s="2">
        <v>-7.66</v>
      </c>
      <c r="E467" s="2">
        <v>-2.99</v>
      </c>
      <c r="F467" s="2">
        <v>-4.54</v>
      </c>
      <c r="G467" s="2">
        <v>0.22</v>
      </c>
    </row>
    <row r="468" spans="1:7" x14ac:dyDescent="0.2">
      <c r="A468" s="2">
        <v>200111</v>
      </c>
      <c r="B468" s="2">
        <v>7.54</v>
      </c>
      <c r="C468" s="2">
        <v>-0.31</v>
      </c>
      <c r="D468" s="2">
        <v>2.2200000000000002</v>
      </c>
      <c r="E468" s="2">
        <v>-3.72</v>
      </c>
      <c r="F468" s="2">
        <v>-1.62</v>
      </c>
      <c r="G468" s="2">
        <v>0.17</v>
      </c>
    </row>
    <row r="469" spans="1:7" x14ac:dyDescent="0.2">
      <c r="A469" s="2">
        <v>200112</v>
      </c>
      <c r="B469" s="2">
        <v>1.6</v>
      </c>
      <c r="C469" s="2">
        <v>5.16</v>
      </c>
      <c r="D469" s="2">
        <v>0.85</v>
      </c>
      <c r="E469" s="2">
        <v>0.35</v>
      </c>
      <c r="F469" s="2">
        <v>-0.27</v>
      </c>
      <c r="G469" s="2">
        <v>0.15</v>
      </c>
    </row>
    <row r="470" spans="1:7" x14ac:dyDescent="0.2">
      <c r="A470" s="2">
        <v>200201</v>
      </c>
      <c r="B470" s="2">
        <v>-1.44</v>
      </c>
      <c r="C470" s="2">
        <v>1.26</v>
      </c>
      <c r="D470" s="2">
        <v>3.44</v>
      </c>
      <c r="E470" s="2">
        <v>4.6900000000000004</v>
      </c>
      <c r="F470" s="2">
        <v>2.83</v>
      </c>
      <c r="G470" s="2">
        <v>0.14000000000000001</v>
      </c>
    </row>
    <row r="471" spans="1:7" x14ac:dyDescent="0.2">
      <c r="A471" s="2">
        <v>200202</v>
      </c>
      <c r="B471" s="2">
        <v>-2.29</v>
      </c>
      <c r="C471" s="2">
        <v>-0.36</v>
      </c>
      <c r="D471" s="2">
        <v>2.16</v>
      </c>
      <c r="E471" s="2">
        <v>8.06</v>
      </c>
      <c r="F471" s="2">
        <v>5.1100000000000003</v>
      </c>
      <c r="G471" s="2">
        <v>0.13</v>
      </c>
    </row>
    <row r="472" spans="1:7" x14ac:dyDescent="0.2">
      <c r="A472" s="2">
        <v>200203</v>
      </c>
      <c r="B472" s="2">
        <v>4.24</v>
      </c>
      <c r="C472" s="2">
        <v>4.25</v>
      </c>
      <c r="D472" s="2">
        <v>1.06</v>
      </c>
      <c r="E472" s="2">
        <v>-1.78</v>
      </c>
      <c r="F472" s="2">
        <v>0.56999999999999995</v>
      </c>
      <c r="G472" s="2">
        <v>0.13</v>
      </c>
    </row>
    <row r="473" spans="1:7" x14ac:dyDescent="0.2">
      <c r="A473" s="2">
        <v>200204</v>
      </c>
      <c r="B473" s="2">
        <v>-5.2</v>
      </c>
      <c r="C473" s="2">
        <v>6.72</v>
      </c>
      <c r="D473" s="2">
        <v>3.88</v>
      </c>
      <c r="E473" s="2">
        <v>4.5599999999999996</v>
      </c>
      <c r="F473" s="2">
        <v>5.38</v>
      </c>
      <c r="G473" s="2">
        <v>0.15</v>
      </c>
    </row>
    <row r="474" spans="1:7" x14ac:dyDescent="0.2">
      <c r="A474" s="2">
        <v>200205</v>
      </c>
      <c r="B474" s="2">
        <v>-1.38</v>
      </c>
      <c r="C474" s="2">
        <v>-3.02</v>
      </c>
      <c r="D474" s="2">
        <v>1.53</v>
      </c>
      <c r="E474" s="2">
        <v>2.37</v>
      </c>
      <c r="F474" s="2">
        <v>2.4300000000000002</v>
      </c>
      <c r="G474" s="2">
        <v>0.14000000000000001</v>
      </c>
    </row>
    <row r="475" spans="1:7" x14ac:dyDescent="0.2">
      <c r="A475" s="2">
        <v>200206</v>
      </c>
      <c r="B475" s="2">
        <v>-7.21</v>
      </c>
      <c r="C475" s="2">
        <v>3.89</v>
      </c>
      <c r="D475" s="2">
        <v>-0.03</v>
      </c>
      <c r="E475" s="2">
        <v>3.93</v>
      </c>
      <c r="F475" s="2">
        <v>2.4900000000000002</v>
      </c>
      <c r="G475" s="2">
        <v>0.13</v>
      </c>
    </row>
    <row r="476" spans="1:7" x14ac:dyDescent="0.2">
      <c r="A476" s="2">
        <v>200207</v>
      </c>
      <c r="B476" s="2">
        <v>-8.18</v>
      </c>
      <c r="C476" s="2">
        <v>-6.43</v>
      </c>
      <c r="D476" s="2">
        <v>-3.85</v>
      </c>
      <c r="E476" s="2">
        <v>3.79</v>
      </c>
      <c r="F476" s="2">
        <v>-0.99</v>
      </c>
      <c r="G476" s="2">
        <v>0.15</v>
      </c>
    </row>
    <row r="477" spans="1:7" x14ac:dyDescent="0.2">
      <c r="A477" s="2">
        <v>200208</v>
      </c>
      <c r="B477" s="2">
        <v>0.5</v>
      </c>
      <c r="C477" s="2">
        <v>-1.3</v>
      </c>
      <c r="D477" s="2">
        <v>3.29</v>
      </c>
      <c r="E477" s="2">
        <v>1.36</v>
      </c>
      <c r="F477" s="2">
        <v>-1.46</v>
      </c>
      <c r="G477" s="2">
        <v>0.14000000000000001</v>
      </c>
    </row>
    <row r="478" spans="1:7" x14ac:dyDescent="0.2">
      <c r="A478" s="2">
        <v>200209</v>
      </c>
      <c r="B478" s="2">
        <v>-10.35</v>
      </c>
      <c r="C478" s="2">
        <v>3.07</v>
      </c>
      <c r="D478" s="2">
        <v>1.47</v>
      </c>
      <c r="E478" s="2">
        <v>3.29</v>
      </c>
      <c r="F478" s="2">
        <v>-2.19</v>
      </c>
      <c r="G478" s="2">
        <v>0.14000000000000001</v>
      </c>
    </row>
    <row r="479" spans="1:7" x14ac:dyDescent="0.2">
      <c r="A479" s="2">
        <v>200210</v>
      </c>
      <c r="B479" s="2">
        <v>7.84</v>
      </c>
      <c r="C479" s="2">
        <v>-4.3</v>
      </c>
      <c r="D479" s="2">
        <v>-3.94</v>
      </c>
      <c r="E479" s="2">
        <v>-3.4</v>
      </c>
      <c r="F479" s="2">
        <v>0.77</v>
      </c>
      <c r="G479" s="2">
        <v>0.14000000000000001</v>
      </c>
    </row>
    <row r="480" spans="1:7" x14ac:dyDescent="0.2">
      <c r="A480" s="2">
        <v>200211</v>
      </c>
      <c r="B480" s="2">
        <v>5.96</v>
      </c>
      <c r="C480" s="2">
        <v>2.93</v>
      </c>
      <c r="D480" s="2">
        <v>-1.21</v>
      </c>
      <c r="E480" s="2">
        <v>-9.2100000000000009</v>
      </c>
      <c r="F480" s="2">
        <v>5.17</v>
      </c>
      <c r="G480" s="2">
        <v>0.12</v>
      </c>
    </row>
    <row r="481" spans="1:7" x14ac:dyDescent="0.2">
      <c r="A481" s="2">
        <v>200212</v>
      </c>
      <c r="B481" s="2">
        <v>-5.76</v>
      </c>
      <c r="C481" s="2">
        <v>0.62</v>
      </c>
      <c r="D481" s="2">
        <v>2.14</v>
      </c>
      <c r="E481" s="2">
        <v>6.29</v>
      </c>
      <c r="F481" s="2">
        <v>-1.68</v>
      </c>
      <c r="G481" s="2">
        <v>0.11</v>
      </c>
    </row>
    <row r="482" spans="1:7" x14ac:dyDescent="0.2">
      <c r="A482" s="2">
        <v>200301</v>
      </c>
      <c r="B482" s="2">
        <v>-2.57</v>
      </c>
      <c r="C482" s="2">
        <v>0.72</v>
      </c>
      <c r="D482" s="2">
        <v>-0.81</v>
      </c>
      <c r="E482" s="2">
        <v>-1</v>
      </c>
      <c r="F482" s="2">
        <v>0.71</v>
      </c>
      <c r="G482" s="2">
        <v>0.1</v>
      </c>
    </row>
    <row r="483" spans="1:7" x14ac:dyDescent="0.2">
      <c r="A483" s="2">
        <v>200302</v>
      </c>
      <c r="B483" s="2">
        <v>-1.88</v>
      </c>
      <c r="C483" s="2">
        <v>-0.93</v>
      </c>
      <c r="D483" s="2">
        <v>-1.38</v>
      </c>
      <c r="E483" s="2">
        <v>0.83</v>
      </c>
      <c r="F483" s="2">
        <v>-0.61</v>
      </c>
      <c r="G483" s="2">
        <v>0.09</v>
      </c>
    </row>
    <row r="484" spans="1:7" x14ac:dyDescent="0.2">
      <c r="A484" s="2">
        <v>200303</v>
      </c>
      <c r="B484" s="2">
        <v>1.0900000000000001</v>
      </c>
      <c r="C484" s="2">
        <v>0.67</v>
      </c>
      <c r="D484" s="2">
        <v>-1.91</v>
      </c>
      <c r="E484" s="2">
        <v>1.85</v>
      </c>
      <c r="F484" s="2">
        <v>-0.75</v>
      </c>
      <c r="G484" s="2">
        <v>0.1</v>
      </c>
    </row>
    <row r="485" spans="1:7" x14ac:dyDescent="0.2">
      <c r="A485" s="2">
        <v>200304</v>
      </c>
      <c r="B485" s="2">
        <v>8.2200000000000006</v>
      </c>
      <c r="C485" s="2">
        <v>1.04</v>
      </c>
      <c r="D485" s="2">
        <v>1.17</v>
      </c>
      <c r="E485" s="2">
        <v>-4.7</v>
      </c>
      <c r="F485" s="2">
        <v>1.0900000000000001</v>
      </c>
      <c r="G485" s="2">
        <v>0.1</v>
      </c>
    </row>
    <row r="486" spans="1:7" x14ac:dyDescent="0.2">
      <c r="A486" s="2">
        <v>200305</v>
      </c>
      <c r="B486" s="2">
        <v>6.05</v>
      </c>
      <c r="C486" s="2">
        <v>4.87</v>
      </c>
      <c r="D486" s="2">
        <v>0.5</v>
      </c>
      <c r="E486" s="2">
        <v>-7.06</v>
      </c>
      <c r="F486" s="2">
        <v>2.99</v>
      </c>
      <c r="G486" s="2">
        <v>0.09</v>
      </c>
    </row>
    <row r="487" spans="1:7" x14ac:dyDescent="0.2">
      <c r="A487" s="2">
        <v>200306</v>
      </c>
      <c r="B487" s="2">
        <v>1.42</v>
      </c>
      <c r="C487" s="2">
        <v>1.68</v>
      </c>
      <c r="D487" s="2">
        <v>0.15</v>
      </c>
      <c r="E487" s="2">
        <v>0.48</v>
      </c>
      <c r="F487" s="2">
        <v>-0.35</v>
      </c>
      <c r="G487" s="2">
        <v>0.1</v>
      </c>
    </row>
    <row r="488" spans="1:7" x14ac:dyDescent="0.2">
      <c r="A488" s="2">
        <v>200307</v>
      </c>
      <c r="B488" s="2">
        <v>2.35</v>
      </c>
      <c r="C488" s="2">
        <v>4.54</v>
      </c>
      <c r="D488" s="2">
        <v>-1.24</v>
      </c>
      <c r="E488" s="2">
        <v>-4.1500000000000004</v>
      </c>
      <c r="F488" s="2">
        <v>1.77</v>
      </c>
      <c r="G488" s="2">
        <v>7.0000000000000007E-2</v>
      </c>
    </row>
    <row r="489" spans="1:7" x14ac:dyDescent="0.2">
      <c r="A489" s="2">
        <v>200308</v>
      </c>
      <c r="B489" s="2">
        <v>2.34</v>
      </c>
      <c r="C489" s="2">
        <v>2.48</v>
      </c>
      <c r="D489" s="2">
        <v>1.54</v>
      </c>
      <c r="E489" s="2">
        <v>-2.2400000000000002</v>
      </c>
      <c r="F489" s="2">
        <v>2.13</v>
      </c>
      <c r="G489" s="2">
        <v>7.0000000000000007E-2</v>
      </c>
    </row>
    <row r="490" spans="1:7" x14ac:dyDescent="0.2">
      <c r="A490" s="2">
        <v>200309</v>
      </c>
      <c r="B490" s="2">
        <v>-1.24</v>
      </c>
      <c r="C490" s="2">
        <v>0.55000000000000004</v>
      </c>
      <c r="D490" s="2">
        <v>0.15</v>
      </c>
      <c r="E490" s="2">
        <v>1</v>
      </c>
      <c r="F490" s="2">
        <v>0.35</v>
      </c>
      <c r="G490" s="2">
        <v>0.08</v>
      </c>
    </row>
    <row r="491" spans="1:7" x14ac:dyDescent="0.2">
      <c r="A491" s="2">
        <v>200310</v>
      </c>
      <c r="B491" s="2">
        <v>6.08</v>
      </c>
      <c r="C491" s="2">
        <v>2.71</v>
      </c>
      <c r="D491" s="2">
        <v>1.97</v>
      </c>
      <c r="E491" s="2">
        <v>-1.35</v>
      </c>
      <c r="F491" s="2">
        <v>1.54</v>
      </c>
      <c r="G491" s="2">
        <v>7.0000000000000007E-2</v>
      </c>
    </row>
    <row r="492" spans="1:7" x14ac:dyDescent="0.2">
      <c r="A492" s="2">
        <v>200311</v>
      </c>
      <c r="B492" s="2">
        <v>1.35</v>
      </c>
      <c r="C492" s="2">
        <v>2.33</v>
      </c>
      <c r="D492" s="2">
        <v>1.78</v>
      </c>
      <c r="E492" s="2">
        <v>0.19</v>
      </c>
      <c r="F492" s="2">
        <v>1.8</v>
      </c>
      <c r="G492" s="2">
        <v>7.0000000000000007E-2</v>
      </c>
    </row>
    <row r="493" spans="1:7" x14ac:dyDescent="0.2">
      <c r="A493" s="2">
        <v>200312</v>
      </c>
      <c r="B493" s="2">
        <v>4.29</v>
      </c>
      <c r="C493" s="2">
        <v>-2.4900000000000002</v>
      </c>
      <c r="D493" s="2">
        <v>1.61</v>
      </c>
      <c r="E493" s="2">
        <v>0.56999999999999995</v>
      </c>
      <c r="F493" s="2">
        <v>0.94</v>
      </c>
      <c r="G493" s="2">
        <v>0.08</v>
      </c>
    </row>
    <row r="494" spans="1:7" x14ac:dyDescent="0.2">
      <c r="A494" s="2">
        <v>200401</v>
      </c>
      <c r="B494" s="2">
        <v>2.15</v>
      </c>
      <c r="C494" s="2">
        <v>2.4500000000000002</v>
      </c>
      <c r="D494" s="2">
        <v>2.48</v>
      </c>
      <c r="E494" s="2">
        <v>-3.67</v>
      </c>
      <c r="F494" s="2">
        <v>3.38</v>
      </c>
      <c r="G494" s="2">
        <v>7.0000000000000007E-2</v>
      </c>
    </row>
    <row r="495" spans="1:7" x14ac:dyDescent="0.2">
      <c r="A495" s="2">
        <v>200402</v>
      </c>
      <c r="B495" s="2">
        <v>1.4</v>
      </c>
      <c r="C495" s="2">
        <v>-0.93</v>
      </c>
      <c r="D495" s="2">
        <v>0.91</v>
      </c>
      <c r="E495" s="2">
        <v>2.1800000000000002</v>
      </c>
      <c r="F495" s="2">
        <v>-1.21</v>
      </c>
      <c r="G495" s="2">
        <v>0.06</v>
      </c>
    </row>
    <row r="496" spans="1:7" x14ac:dyDescent="0.2">
      <c r="A496" s="2">
        <v>200403</v>
      </c>
      <c r="B496" s="2">
        <v>-1.32</v>
      </c>
      <c r="C496" s="2">
        <v>2.1</v>
      </c>
      <c r="D496" s="2">
        <v>0.28000000000000003</v>
      </c>
      <c r="E496" s="2">
        <v>1.56</v>
      </c>
      <c r="F496" s="2">
        <v>-0.98</v>
      </c>
      <c r="G496" s="2">
        <v>0.09</v>
      </c>
    </row>
    <row r="497" spans="1:7" x14ac:dyDescent="0.2">
      <c r="A497" s="2">
        <v>200404</v>
      </c>
      <c r="B497" s="2">
        <v>-1.83</v>
      </c>
      <c r="C497" s="2">
        <v>-2.0099999999999998</v>
      </c>
      <c r="D497" s="2">
        <v>-3.09</v>
      </c>
      <c r="E497" s="2">
        <v>3.46</v>
      </c>
      <c r="F497" s="2">
        <v>-2.84</v>
      </c>
      <c r="G497" s="2">
        <v>0.08</v>
      </c>
    </row>
    <row r="498" spans="1:7" x14ac:dyDescent="0.2">
      <c r="A498" s="2">
        <v>200405</v>
      </c>
      <c r="B498" s="2">
        <v>1.17</v>
      </c>
      <c r="C498" s="2">
        <v>-0.38</v>
      </c>
      <c r="D498" s="2">
        <v>-0.24</v>
      </c>
      <c r="E498" s="2">
        <v>-1.18</v>
      </c>
      <c r="F498" s="2">
        <v>0.02</v>
      </c>
      <c r="G498" s="2">
        <v>0.06</v>
      </c>
    </row>
    <row r="499" spans="1:7" x14ac:dyDescent="0.2">
      <c r="A499" s="2">
        <v>200406</v>
      </c>
      <c r="B499" s="2">
        <v>1.86</v>
      </c>
      <c r="C499" s="2">
        <v>2.56</v>
      </c>
      <c r="D499" s="2">
        <v>1.19</v>
      </c>
      <c r="E499" s="2">
        <v>1.2</v>
      </c>
      <c r="F499" s="2">
        <v>-0.39</v>
      </c>
      <c r="G499" s="2">
        <v>0.08</v>
      </c>
    </row>
    <row r="500" spans="1:7" x14ac:dyDescent="0.2">
      <c r="A500" s="2">
        <v>200407</v>
      </c>
      <c r="B500" s="2">
        <v>-4.0599999999999996</v>
      </c>
      <c r="C500" s="2">
        <v>-2.95</v>
      </c>
      <c r="D500" s="2">
        <v>3.23</v>
      </c>
      <c r="E500" s="2">
        <v>5.33</v>
      </c>
      <c r="F500" s="2">
        <v>-1.66</v>
      </c>
      <c r="G500" s="2">
        <v>0.1</v>
      </c>
    </row>
    <row r="501" spans="1:7" x14ac:dyDescent="0.2">
      <c r="A501" s="2">
        <v>200408</v>
      </c>
      <c r="B501" s="2">
        <v>0.08</v>
      </c>
      <c r="C501" s="2">
        <v>-1.1599999999999999</v>
      </c>
      <c r="D501" s="2">
        <v>1</v>
      </c>
      <c r="E501" s="2">
        <v>1.18</v>
      </c>
      <c r="F501" s="2">
        <v>-1.44</v>
      </c>
      <c r="G501" s="2">
        <v>0.11</v>
      </c>
    </row>
    <row r="502" spans="1:7" x14ac:dyDescent="0.2">
      <c r="A502" s="2">
        <v>200409</v>
      </c>
      <c r="B502" s="2">
        <v>1.6</v>
      </c>
      <c r="C502" s="2">
        <v>3.27</v>
      </c>
      <c r="D502" s="2">
        <v>-0.01</v>
      </c>
      <c r="E502" s="2">
        <v>-1.48</v>
      </c>
      <c r="F502" s="2">
        <v>-1.89</v>
      </c>
      <c r="G502" s="2">
        <v>0.11</v>
      </c>
    </row>
    <row r="503" spans="1:7" x14ac:dyDescent="0.2">
      <c r="A503" s="2">
        <v>200410</v>
      </c>
      <c r="B503" s="2">
        <v>1.43</v>
      </c>
      <c r="C503" s="2">
        <v>0.19</v>
      </c>
      <c r="D503" s="2">
        <v>-0.22</v>
      </c>
      <c r="E503" s="2">
        <v>-0.52</v>
      </c>
      <c r="F503" s="2">
        <v>0.49</v>
      </c>
      <c r="G503" s="2">
        <v>0.11</v>
      </c>
    </row>
    <row r="504" spans="1:7" x14ac:dyDescent="0.2">
      <c r="A504" s="2">
        <v>200411</v>
      </c>
      <c r="B504" s="2">
        <v>4.54</v>
      </c>
      <c r="C504" s="2">
        <v>4.1100000000000003</v>
      </c>
      <c r="D504" s="2">
        <v>1.42</v>
      </c>
      <c r="E504" s="2">
        <v>-0.59</v>
      </c>
      <c r="F504" s="2">
        <v>-0.21</v>
      </c>
      <c r="G504" s="2">
        <v>0.15</v>
      </c>
    </row>
    <row r="505" spans="1:7" x14ac:dyDescent="0.2">
      <c r="A505" s="2">
        <v>200412</v>
      </c>
      <c r="B505" s="2">
        <v>3.43</v>
      </c>
      <c r="C505" s="2">
        <v>-0.05</v>
      </c>
      <c r="D505" s="2">
        <v>-0.22</v>
      </c>
      <c r="E505" s="2">
        <v>-1.1599999999999999</v>
      </c>
      <c r="F505" s="2">
        <v>0.46</v>
      </c>
      <c r="G505" s="2">
        <v>0.16</v>
      </c>
    </row>
    <row r="506" spans="1:7" x14ac:dyDescent="0.2">
      <c r="A506" s="2">
        <v>200501</v>
      </c>
      <c r="B506" s="2">
        <v>-2.76</v>
      </c>
      <c r="C506" s="2">
        <v>-1.18</v>
      </c>
      <c r="D506" s="2">
        <v>2.06</v>
      </c>
      <c r="E506" s="2">
        <v>2.73</v>
      </c>
      <c r="F506" s="2">
        <v>-1.46</v>
      </c>
      <c r="G506" s="2">
        <v>0.16</v>
      </c>
    </row>
    <row r="507" spans="1:7" x14ac:dyDescent="0.2">
      <c r="A507" s="2">
        <v>200502</v>
      </c>
      <c r="B507" s="2">
        <v>1.89</v>
      </c>
      <c r="C507" s="2">
        <v>-0.3</v>
      </c>
      <c r="D507" s="2">
        <v>1.53</v>
      </c>
      <c r="E507" s="2">
        <v>1.45</v>
      </c>
      <c r="F507" s="2">
        <v>-0.05</v>
      </c>
      <c r="G507" s="2">
        <v>0.16</v>
      </c>
    </row>
    <row r="508" spans="1:7" x14ac:dyDescent="0.2">
      <c r="A508" s="2">
        <v>200503</v>
      </c>
      <c r="B508" s="2">
        <v>-1.97</v>
      </c>
      <c r="C508" s="2">
        <v>-1.42</v>
      </c>
      <c r="D508" s="2">
        <v>2.04</v>
      </c>
      <c r="E508" s="2">
        <v>0.47</v>
      </c>
      <c r="F508" s="2">
        <v>1.29</v>
      </c>
      <c r="G508" s="2">
        <v>0.21</v>
      </c>
    </row>
    <row r="509" spans="1:7" x14ac:dyDescent="0.2">
      <c r="A509" s="2">
        <v>200504</v>
      </c>
      <c r="B509" s="2">
        <v>-2.61</v>
      </c>
      <c r="C509" s="2">
        <v>-3.98</v>
      </c>
      <c r="D509" s="2">
        <v>0.06</v>
      </c>
      <c r="E509" s="2">
        <v>0.97</v>
      </c>
      <c r="F509" s="2">
        <v>-0.94</v>
      </c>
      <c r="G509" s="2">
        <v>0.21</v>
      </c>
    </row>
    <row r="510" spans="1:7" x14ac:dyDescent="0.2">
      <c r="A510" s="2">
        <v>200505</v>
      </c>
      <c r="B510" s="2">
        <v>3.65</v>
      </c>
      <c r="C510" s="2">
        <v>2.79</v>
      </c>
      <c r="D510" s="2">
        <v>-0.64</v>
      </c>
      <c r="E510" s="2">
        <v>-1</v>
      </c>
      <c r="F510" s="2">
        <v>0.3</v>
      </c>
      <c r="G510" s="2">
        <v>0.24</v>
      </c>
    </row>
    <row r="511" spans="1:7" x14ac:dyDescent="0.2">
      <c r="A511" s="2">
        <v>200506</v>
      </c>
      <c r="B511" s="2">
        <v>0.56999999999999995</v>
      </c>
      <c r="C511" s="2">
        <v>3.28</v>
      </c>
      <c r="D511" s="2">
        <v>2.82</v>
      </c>
      <c r="E511" s="2">
        <v>0.97</v>
      </c>
      <c r="F511" s="2">
        <v>-0.51</v>
      </c>
      <c r="G511" s="2">
        <v>0.23</v>
      </c>
    </row>
    <row r="512" spans="1:7" x14ac:dyDescent="0.2">
      <c r="A512" s="2">
        <v>200507</v>
      </c>
      <c r="B512" s="2">
        <v>3.92</v>
      </c>
      <c r="C512" s="2">
        <v>2.8</v>
      </c>
      <c r="D512" s="2">
        <v>-0.78</v>
      </c>
      <c r="E512" s="2">
        <v>-1.22</v>
      </c>
      <c r="F512" s="2">
        <v>-0.81</v>
      </c>
      <c r="G512" s="2">
        <v>0.24</v>
      </c>
    </row>
    <row r="513" spans="1:7" x14ac:dyDescent="0.2">
      <c r="A513" s="2">
        <v>200508</v>
      </c>
      <c r="B513" s="2">
        <v>-1.22</v>
      </c>
      <c r="C513" s="2">
        <v>-0.89</v>
      </c>
      <c r="D513" s="2">
        <v>1.32</v>
      </c>
      <c r="E513" s="2">
        <v>-2.0499999999999998</v>
      </c>
      <c r="F513" s="2">
        <v>0.36</v>
      </c>
      <c r="G513" s="2">
        <v>0.3</v>
      </c>
    </row>
    <row r="514" spans="1:7" x14ac:dyDescent="0.2">
      <c r="A514" s="2">
        <v>200509</v>
      </c>
      <c r="B514" s="2">
        <v>0.49</v>
      </c>
      <c r="C514" s="2">
        <v>-0.35</v>
      </c>
      <c r="D514" s="2">
        <v>0.72</v>
      </c>
      <c r="E514" s="2">
        <v>0.27</v>
      </c>
      <c r="F514" s="2">
        <v>-0.6</v>
      </c>
      <c r="G514" s="2">
        <v>0.28999999999999998</v>
      </c>
    </row>
    <row r="515" spans="1:7" x14ac:dyDescent="0.2">
      <c r="A515" s="2">
        <v>200510</v>
      </c>
      <c r="B515" s="2">
        <v>-2.02</v>
      </c>
      <c r="C515" s="2">
        <v>-1.45</v>
      </c>
      <c r="D515" s="2">
        <v>0.43</v>
      </c>
      <c r="E515" s="2">
        <v>-0.94</v>
      </c>
      <c r="F515" s="2">
        <v>-1.3</v>
      </c>
      <c r="G515" s="2">
        <v>0.27</v>
      </c>
    </row>
    <row r="516" spans="1:7" x14ac:dyDescent="0.2">
      <c r="A516" s="2">
        <v>200511</v>
      </c>
      <c r="B516" s="2">
        <v>3.61</v>
      </c>
      <c r="C516" s="2">
        <v>0.85</v>
      </c>
      <c r="D516" s="2">
        <v>-1.18</v>
      </c>
      <c r="E516" s="2">
        <v>-0.74</v>
      </c>
      <c r="F516" s="2">
        <v>-1.1399999999999999</v>
      </c>
      <c r="G516" s="2">
        <v>0.31</v>
      </c>
    </row>
    <row r="517" spans="1:7" x14ac:dyDescent="0.2">
      <c r="A517" s="2">
        <v>200512</v>
      </c>
      <c r="B517" s="2">
        <v>-0.25</v>
      </c>
      <c r="C517" s="2">
        <v>-0.21</v>
      </c>
      <c r="D517" s="2">
        <v>0.2</v>
      </c>
      <c r="E517" s="2">
        <v>0.21</v>
      </c>
      <c r="F517" s="2">
        <v>0.23</v>
      </c>
      <c r="G517" s="2">
        <v>0.32</v>
      </c>
    </row>
    <row r="518" spans="1:7" x14ac:dyDescent="0.2">
      <c r="A518" s="2">
        <v>200601</v>
      </c>
      <c r="B518" s="2">
        <v>3.04</v>
      </c>
      <c r="C518" s="2">
        <v>5.75</v>
      </c>
      <c r="D518" s="2">
        <v>1.08</v>
      </c>
      <c r="E518" s="2">
        <v>-0.64</v>
      </c>
      <c r="F518" s="2">
        <v>-0.46</v>
      </c>
      <c r="G518" s="2">
        <v>0.35</v>
      </c>
    </row>
    <row r="519" spans="1:7" x14ac:dyDescent="0.2">
      <c r="A519" s="2">
        <v>200602</v>
      </c>
      <c r="B519" s="2">
        <v>-0.3</v>
      </c>
      <c r="C519" s="2">
        <v>-0.42</v>
      </c>
      <c r="D519" s="2">
        <v>-0.35</v>
      </c>
      <c r="E519" s="2">
        <v>-0.51</v>
      </c>
      <c r="F519" s="2">
        <v>1.91</v>
      </c>
      <c r="G519" s="2">
        <v>0.34</v>
      </c>
    </row>
    <row r="520" spans="1:7" x14ac:dyDescent="0.2">
      <c r="A520" s="2">
        <v>200603</v>
      </c>
      <c r="B520" s="2">
        <v>1.46</v>
      </c>
      <c r="C520" s="2">
        <v>3.4</v>
      </c>
      <c r="D520" s="2">
        <v>0.59</v>
      </c>
      <c r="E520" s="2">
        <v>0.09</v>
      </c>
      <c r="F520" s="2">
        <v>-0.41</v>
      </c>
      <c r="G520" s="2">
        <v>0.37</v>
      </c>
    </row>
    <row r="521" spans="1:7" x14ac:dyDescent="0.2">
      <c r="A521" s="2">
        <v>200604</v>
      </c>
      <c r="B521" s="2">
        <v>0.73</v>
      </c>
      <c r="C521" s="2">
        <v>-0.84</v>
      </c>
      <c r="D521" s="2">
        <v>2.34</v>
      </c>
      <c r="E521" s="2">
        <v>1.8</v>
      </c>
      <c r="F521" s="2">
        <v>0.01</v>
      </c>
      <c r="G521" s="2">
        <v>0.36</v>
      </c>
    </row>
    <row r="522" spans="1:7" x14ac:dyDescent="0.2">
      <c r="A522" s="2">
        <v>200605</v>
      </c>
      <c r="B522" s="2">
        <v>-3.57</v>
      </c>
      <c r="C522" s="2">
        <v>-2.85</v>
      </c>
      <c r="D522" s="2">
        <v>2.42</v>
      </c>
      <c r="E522" s="2">
        <v>1.1499999999999999</v>
      </c>
      <c r="F522" s="2">
        <v>1.46</v>
      </c>
      <c r="G522" s="2">
        <v>0.43</v>
      </c>
    </row>
    <row r="523" spans="1:7" x14ac:dyDescent="0.2">
      <c r="A523" s="2">
        <v>200606</v>
      </c>
      <c r="B523" s="2">
        <v>-0.35</v>
      </c>
      <c r="C523" s="2">
        <v>-0.24</v>
      </c>
      <c r="D523" s="2">
        <v>0.85</v>
      </c>
      <c r="E523" s="2">
        <v>1.33</v>
      </c>
      <c r="F523" s="2">
        <v>-7.0000000000000007E-2</v>
      </c>
      <c r="G523" s="2">
        <v>0.4</v>
      </c>
    </row>
    <row r="524" spans="1:7" x14ac:dyDescent="0.2">
      <c r="A524" s="2">
        <v>200607</v>
      </c>
      <c r="B524" s="2">
        <v>-0.78</v>
      </c>
      <c r="C524" s="2">
        <v>-3.64</v>
      </c>
      <c r="D524" s="2">
        <v>2.62</v>
      </c>
      <c r="E524" s="2">
        <v>1.63</v>
      </c>
      <c r="F524" s="2">
        <v>0.9</v>
      </c>
      <c r="G524" s="2">
        <v>0.4</v>
      </c>
    </row>
    <row r="525" spans="1:7" x14ac:dyDescent="0.2">
      <c r="A525" s="2">
        <v>200608</v>
      </c>
      <c r="B525" s="2">
        <v>2.0299999999999998</v>
      </c>
      <c r="C525" s="2">
        <v>0.44</v>
      </c>
      <c r="D525" s="2">
        <v>-2.06</v>
      </c>
      <c r="E525" s="2">
        <v>-1.86</v>
      </c>
      <c r="F525" s="2">
        <v>2.09</v>
      </c>
      <c r="G525" s="2">
        <v>0.42</v>
      </c>
    </row>
    <row r="526" spans="1:7" x14ac:dyDescent="0.2">
      <c r="A526" s="2">
        <v>200609</v>
      </c>
      <c r="B526" s="2">
        <v>1.84</v>
      </c>
      <c r="C526" s="2">
        <v>-1.46</v>
      </c>
      <c r="D526" s="2">
        <v>0.08</v>
      </c>
      <c r="E526" s="2">
        <v>0.82</v>
      </c>
      <c r="F526" s="2">
        <v>0.6</v>
      </c>
      <c r="G526" s="2">
        <v>0.41</v>
      </c>
    </row>
    <row r="527" spans="1:7" x14ac:dyDescent="0.2">
      <c r="A527" s="2">
        <v>200610</v>
      </c>
      <c r="B527" s="2">
        <v>3.23</v>
      </c>
      <c r="C527" s="2">
        <v>1.98</v>
      </c>
      <c r="D527" s="2">
        <v>-0.3</v>
      </c>
      <c r="E527" s="2">
        <v>-0.12</v>
      </c>
      <c r="F527" s="2">
        <v>0.28000000000000003</v>
      </c>
      <c r="G527" s="2">
        <v>0.41</v>
      </c>
    </row>
    <row r="528" spans="1:7" x14ac:dyDescent="0.2">
      <c r="A528" s="2">
        <v>200611</v>
      </c>
      <c r="B528" s="2">
        <v>1.71</v>
      </c>
      <c r="C528" s="2">
        <v>0.71</v>
      </c>
      <c r="D528" s="2">
        <v>0.14000000000000001</v>
      </c>
      <c r="E528" s="2">
        <v>0.15</v>
      </c>
      <c r="F528" s="2">
        <v>-0.81</v>
      </c>
      <c r="G528" s="2">
        <v>0.42</v>
      </c>
    </row>
    <row r="529" spans="1:7" x14ac:dyDescent="0.2">
      <c r="A529" s="2">
        <v>200612</v>
      </c>
      <c r="B529" s="2">
        <v>0.87</v>
      </c>
      <c r="C529" s="2">
        <v>-0.82</v>
      </c>
      <c r="D529" s="2">
        <v>2.73</v>
      </c>
      <c r="E529" s="2">
        <v>-0.72</v>
      </c>
      <c r="F529" s="2">
        <v>2.06</v>
      </c>
      <c r="G529" s="2">
        <v>0.4</v>
      </c>
    </row>
    <row r="530" spans="1:7" x14ac:dyDescent="0.2">
      <c r="A530" s="2">
        <v>200701</v>
      </c>
      <c r="B530" s="2">
        <v>1.4</v>
      </c>
      <c r="C530" s="2">
        <v>0.08</v>
      </c>
      <c r="D530" s="2">
        <v>-0.69</v>
      </c>
      <c r="E530" s="2">
        <v>0.25</v>
      </c>
      <c r="F530" s="2">
        <v>0.38</v>
      </c>
      <c r="G530" s="2">
        <v>0.44</v>
      </c>
    </row>
    <row r="531" spans="1:7" x14ac:dyDescent="0.2">
      <c r="A531" s="2">
        <v>200702</v>
      </c>
      <c r="B531" s="2">
        <v>-1.96</v>
      </c>
      <c r="C531" s="2">
        <v>1.28</v>
      </c>
      <c r="D531" s="2">
        <v>-0.13</v>
      </c>
      <c r="E531" s="2">
        <v>-0.51</v>
      </c>
      <c r="F531" s="2">
        <v>-0.71</v>
      </c>
      <c r="G531" s="2">
        <v>0.38</v>
      </c>
    </row>
    <row r="532" spans="1:7" x14ac:dyDescent="0.2">
      <c r="A532" s="2">
        <v>200703</v>
      </c>
      <c r="B532" s="2">
        <v>0.68</v>
      </c>
      <c r="C532" s="2">
        <v>0.19</v>
      </c>
      <c r="D532" s="2">
        <v>-0.96</v>
      </c>
      <c r="E532" s="2">
        <v>0.64</v>
      </c>
      <c r="F532" s="2">
        <v>-0.65</v>
      </c>
      <c r="G532" s="2">
        <v>0.43</v>
      </c>
    </row>
    <row r="533" spans="1:7" x14ac:dyDescent="0.2">
      <c r="A533" s="2">
        <v>200704</v>
      </c>
      <c r="B533" s="2">
        <v>3.49</v>
      </c>
      <c r="C533" s="2">
        <v>-2.0299999999999998</v>
      </c>
      <c r="D533" s="2">
        <v>-1.46</v>
      </c>
      <c r="E533" s="2">
        <v>1.1499999999999999</v>
      </c>
      <c r="F533" s="2">
        <v>1.04</v>
      </c>
      <c r="G533" s="2">
        <v>0.44</v>
      </c>
    </row>
    <row r="534" spans="1:7" x14ac:dyDescent="0.2">
      <c r="A534" s="2">
        <v>200705</v>
      </c>
      <c r="B534" s="2">
        <v>3.24</v>
      </c>
      <c r="C534" s="2">
        <v>0.4</v>
      </c>
      <c r="D534" s="2">
        <v>-0.65</v>
      </c>
      <c r="E534" s="2">
        <v>1.58</v>
      </c>
      <c r="F534" s="2">
        <v>-1.36</v>
      </c>
      <c r="G534" s="2">
        <v>0.41</v>
      </c>
    </row>
    <row r="535" spans="1:7" x14ac:dyDescent="0.2">
      <c r="A535" s="2">
        <v>200706</v>
      </c>
      <c r="B535" s="2">
        <v>-1.96</v>
      </c>
      <c r="C535" s="2">
        <v>0.75</v>
      </c>
      <c r="D535" s="2">
        <v>-1.07</v>
      </c>
      <c r="E535" s="2">
        <v>0.53</v>
      </c>
      <c r="F535" s="2">
        <v>0.08</v>
      </c>
      <c r="G535" s="2">
        <v>0.4</v>
      </c>
    </row>
    <row r="536" spans="1:7" x14ac:dyDescent="0.2">
      <c r="A536" s="2">
        <v>200707</v>
      </c>
      <c r="B536" s="2">
        <v>-3.73</v>
      </c>
      <c r="C536" s="2">
        <v>-2.98</v>
      </c>
      <c r="D536" s="2">
        <v>-3.72</v>
      </c>
      <c r="E536" s="2">
        <v>0.2</v>
      </c>
      <c r="F536" s="2">
        <v>-1.1299999999999999</v>
      </c>
      <c r="G536" s="2">
        <v>0.4</v>
      </c>
    </row>
    <row r="537" spans="1:7" x14ac:dyDescent="0.2">
      <c r="A537" s="2">
        <v>200708</v>
      </c>
      <c r="B537" s="2">
        <v>0.92</v>
      </c>
      <c r="C537" s="2">
        <v>-0.37</v>
      </c>
      <c r="D537" s="2">
        <v>-1.86</v>
      </c>
      <c r="E537" s="2">
        <v>-1.21</v>
      </c>
      <c r="F537" s="2">
        <v>-0.53</v>
      </c>
      <c r="G537" s="2">
        <v>0.42</v>
      </c>
    </row>
    <row r="538" spans="1:7" x14ac:dyDescent="0.2">
      <c r="A538" s="2">
        <v>200709</v>
      </c>
      <c r="B538" s="2">
        <v>3.22</v>
      </c>
      <c r="C538" s="2">
        <v>-2.4300000000000002</v>
      </c>
      <c r="D538" s="2">
        <v>-2.23</v>
      </c>
      <c r="E538" s="2">
        <v>-0.52</v>
      </c>
      <c r="F538" s="2">
        <v>-3.02</v>
      </c>
      <c r="G538" s="2">
        <v>0.32</v>
      </c>
    </row>
    <row r="539" spans="1:7" x14ac:dyDescent="0.2">
      <c r="A539" s="2">
        <v>200710</v>
      </c>
      <c r="B539" s="2">
        <v>1.8</v>
      </c>
      <c r="C539" s="2">
        <v>-0.03</v>
      </c>
      <c r="D539" s="2">
        <v>-3.05</v>
      </c>
      <c r="E539" s="2">
        <v>-0.3</v>
      </c>
      <c r="F539" s="2">
        <v>-0.09</v>
      </c>
      <c r="G539" s="2">
        <v>0.32</v>
      </c>
    </row>
    <row r="540" spans="1:7" x14ac:dyDescent="0.2">
      <c r="A540" s="2">
        <v>200711</v>
      </c>
      <c r="B540" s="2">
        <v>-4.83</v>
      </c>
      <c r="C540" s="2">
        <v>-3.01</v>
      </c>
      <c r="D540" s="2">
        <v>-0.95</v>
      </c>
      <c r="E540" s="2">
        <v>1.89</v>
      </c>
      <c r="F540" s="2">
        <v>-0.28999999999999998</v>
      </c>
      <c r="G540" s="2">
        <v>0.34</v>
      </c>
    </row>
    <row r="541" spans="1:7" x14ac:dyDescent="0.2">
      <c r="A541" s="2">
        <v>200712</v>
      </c>
      <c r="B541" s="2">
        <v>-0.87</v>
      </c>
      <c r="C541" s="2">
        <v>0.15</v>
      </c>
      <c r="D541" s="2">
        <v>-0.54</v>
      </c>
      <c r="E541" s="2">
        <v>0.87</v>
      </c>
      <c r="F541" s="2">
        <v>-1.04</v>
      </c>
      <c r="G541" s="2">
        <v>0.27</v>
      </c>
    </row>
    <row r="542" spans="1:7" x14ac:dyDescent="0.2">
      <c r="A542" s="2">
        <v>200801</v>
      </c>
      <c r="B542" s="2">
        <v>-6.36</v>
      </c>
      <c r="C542" s="2">
        <v>-0.66</v>
      </c>
      <c r="D542" s="2">
        <v>3.98</v>
      </c>
      <c r="E542" s="2">
        <v>2.14</v>
      </c>
      <c r="F542" s="2">
        <v>2.14</v>
      </c>
      <c r="G542" s="2">
        <v>0.21</v>
      </c>
    </row>
    <row r="543" spans="1:7" x14ac:dyDescent="0.2">
      <c r="A543" s="2">
        <v>200802</v>
      </c>
      <c r="B543" s="2">
        <v>-3.09</v>
      </c>
      <c r="C543" s="2">
        <v>-0.66</v>
      </c>
      <c r="D543" s="2">
        <v>-0.84</v>
      </c>
      <c r="E543" s="2">
        <v>0.88</v>
      </c>
      <c r="F543" s="2">
        <v>-0.93</v>
      </c>
      <c r="G543" s="2">
        <v>0.13</v>
      </c>
    </row>
    <row r="544" spans="1:7" x14ac:dyDescent="0.2">
      <c r="A544" s="2">
        <v>200803</v>
      </c>
      <c r="B544" s="2">
        <v>-0.93</v>
      </c>
      <c r="C544" s="2">
        <v>0.56000000000000005</v>
      </c>
      <c r="D544" s="2">
        <v>0.3</v>
      </c>
      <c r="E544" s="2">
        <v>0.79</v>
      </c>
      <c r="F544" s="2">
        <v>0.5</v>
      </c>
      <c r="G544" s="2">
        <v>0.17</v>
      </c>
    </row>
    <row r="545" spans="1:7" x14ac:dyDescent="0.2">
      <c r="A545" s="2">
        <v>200804</v>
      </c>
      <c r="B545" s="2">
        <v>4.5999999999999996</v>
      </c>
      <c r="C545" s="2">
        <v>-1.1399999999999999</v>
      </c>
      <c r="D545" s="2">
        <v>-1.04</v>
      </c>
      <c r="E545" s="2">
        <v>1.63</v>
      </c>
      <c r="F545" s="2">
        <v>-2.4700000000000002</v>
      </c>
      <c r="G545" s="2">
        <v>0.18</v>
      </c>
    </row>
    <row r="546" spans="1:7" x14ac:dyDescent="0.2">
      <c r="A546" s="2">
        <v>200805</v>
      </c>
      <c r="B546" s="2">
        <v>1.86</v>
      </c>
      <c r="C546" s="2">
        <v>3.06</v>
      </c>
      <c r="D546" s="2">
        <v>-1.49</v>
      </c>
      <c r="E546" s="2">
        <v>0.93</v>
      </c>
      <c r="F546" s="2">
        <v>-0.06</v>
      </c>
      <c r="G546" s="2">
        <v>0.18</v>
      </c>
    </row>
    <row r="547" spans="1:7" x14ac:dyDescent="0.2">
      <c r="A547" s="2">
        <v>200806</v>
      </c>
      <c r="B547" s="2">
        <v>-8.44</v>
      </c>
      <c r="C547" s="2">
        <v>1.1499999999999999</v>
      </c>
      <c r="D547" s="2">
        <v>-2.67</v>
      </c>
      <c r="E547" s="2">
        <v>4.96</v>
      </c>
      <c r="F547" s="2">
        <v>-0.55000000000000004</v>
      </c>
      <c r="G547" s="2">
        <v>0.17</v>
      </c>
    </row>
    <row r="548" spans="1:7" x14ac:dyDescent="0.2">
      <c r="A548" s="2">
        <v>200807</v>
      </c>
      <c r="B548" s="2">
        <v>-0.77</v>
      </c>
      <c r="C548" s="2">
        <v>3.72</v>
      </c>
      <c r="D548" s="2">
        <v>5.42</v>
      </c>
      <c r="E548" s="2">
        <v>-1.37</v>
      </c>
      <c r="F548" s="2">
        <v>1.08</v>
      </c>
      <c r="G548" s="2">
        <v>0.15</v>
      </c>
    </row>
    <row r="549" spans="1:7" x14ac:dyDescent="0.2">
      <c r="A549" s="2">
        <v>200808</v>
      </c>
      <c r="B549" s="2">
        <v>1.53</v>
      </c>
      <c r="C549" s="2">
        <v>3.46</v>
      </c>
      <c r="D549" s="2">
        <v>1.59</v>
      </c>
      <c r="E549" s="2">
        <v>1.86</v>
      </c>
      <c r="F549" s="2">
        <v>0.84</v>
      </c>
      <c r="G549" s="2">
        <v>0.13</v>
      </c>
    </row>
    <row r="550" spans="1:7" x14ac:dyDescent="0.2">
      <c r="A550" s="2">
        <v>200809</v>
      </c>
      <c r="B550" s="2">
        <v>-9.24</v>
      </c>
      <c r="C550" s="2">
        <v>0.25</v>
      </c>
      <c r="D550" s="2">
        <v>5.92</v>
      </c>
      <c r="E550" s="2">
        <v>2.41</v>
      </c>
      <c r="F550" s="2">
        <v>1.78</v>
      </c>
      <c r="G550" s="2">
        <v>0.15</v>
      </c>
    </row>
    <row r="551" spans="1:7" x14ac:dyDescent="0.2">
      <c r="A551" s="2">
        <v>200810</v>
      </c>
      <c r="B551" s="2">
        <v>-17.23</v>
      </c>
      <c r="C551" s="2">
        <v>-3.34</v>
      </c>
      <c r="D551" s="2">
        <v>-2.2999999999999998</v>
      </c>
      <c r="E551" s="2">
        <v>3.04</v>
      </c>
      <c r="F551" s="2">
        <v>2.0499999999999998</v>
      </c>
      <c r="G551" s="2">
        <v>0.08</v>
      </c>
    </row>
    <row r="552" spans="1:7" x14ac:dyDescent="0.2">
      <c r="A552" s="2">
        <v>200811</v>
      </c>
      <c r="B552" s="2">
        <v>-7.86</v>
      </c>
      <c r="C552" s="2">
        <v>-3.89</v>
      </c>
      <c r="D552" s="2">
        <v>-6.31</v>
      </c>
      <c r="E552" s="2">
        <v>4.53</v>
      </c>
      <c r="F552" s="2">
        <v>2.74</v>
      </c>
      <c r="G552" s="2">
        <v>0.03</v>
      </c>
    </row>
    <row r="553" spans="1:7" x14ac:dyDescent="0.2">
      <c r="A553" s="2">
        <v>200812</v>
      </c>
      <c r="B553" s="2">
        <v>1.74</v>
      </c>
      <c r="C553" s="2">
        <v>3.29</v>
      </c>
      <c r="D553" s="2">
        <v>0.15</v>
      </c>
      <c r="E553" s="2">
        <v>0.06</v>
      </c>
      <c r="F553" s="2">
        <v>-1.49</v>
      </c>
      <c r="G553" s="2">
        <v>0</v>
      </c>
    </row>
    <row r="554" spans="1:7" x14ac:dyDescent="0.2">
      <c r="A554" s="2">
        <v>200901</v>
      </c>
      <c r="B554" s="2">
        <v>-8.1199999999999992</v>
      </c>
      <c r="C554" s="2">
        <v>-2.13</v>
      </c>
      <c r="D554" s="2">
        <v>-11.29</v>
      </c>
      <c r="E554" s="2">
        <v>0.18</v>
      </c>
      <c r="F554" s="2">
        <v>-1.1599999999999999</v>
      </c>
      <c r="G554" s="2">
        <v>0</v>
      </c>
    </row>
    <row r="555" spans="1:7" x14ac:dyDescent="0.2">
      <c r="A555" s="2">
        <v>200902</v>
      </c>
      <c r="B555" s="2">
        <v>-10.1</v>
      </c>
      <c r="C555" s="2">
        <v>-1.33</v>
      </c>
      <c r="D555" s="2">
        <v>-6.95</v>
      </c>
      <c r="E555" s="2">
        <v>1.19</v>
      </c>
      <c r="F555" s="2">
        <v>-1.02</v>
      </c>
      <c r="G555" s="2">
        <v>0.01</v>
      </c>
    </row>
    <row r="556" spans="1:7" x14ac:dyDescent="0.2">
      <c r="A556" s="2">
        <v>200903</v>
      </c>
      <c r="B556" s="2">
        <v>8.9499999999999993</v>
      </c>
      <c r="C556" s="2">
        <v>0.68</v>
      </c>
      <c r="D556" s="2">
        <v>3.48</v>
      </c>
      <c r="E556" s="2">
        <v>-2.52</v>
      </c>
      <c r="F556" s="2">
        <v>-2.2400000000000002</v>
      </c>
      <c r="G556" s="2">
        <v>0.02</v>
      </c>
    </row>
    <row r="557" spans="1:7" x14ac:dyDescent="0.2">
      <c r="A557" s="2">
        <v>200904</v>
      </c>
      <c r="B557" s="2">
        <v>10.18</v>
      </c>
      <c r="C557" s="2">
        <v>7.13</v>
      </c>
      <c r="D557" s="2">
        <v>5.36</v>
      </c>
      <c r="E557" s="2">
        <v>1.31</v>
      </c>
      <c r="F557" s="2">
        <v>0.13</v>
      </c>
      <c r="G557" s="2">
        <v>0.01</v>
      </c>
    </row>
    <row r="558" spans="1:7" x14ac:dyDescent="0.2">
      <c r="A558" s="2">
        <v>200905</v>
      </c>
      <c r="B558" s="2">
        <v>5.21</v>
      </c>
      <c r="C558" s="2">
        <v>-2.3199999999999998</v>
      </c>
      <c r="D558" s="2">
        <v>0.27</v>
      </c>
      <c r="E558" s="2">
        <v>-0.78</v>
      </c>
      <c r="F558" s="2">
        <v>-2.16</v>
      </c>
      <c r="G558" s="2">
        <v>0</v>
      </c>
    </row>
    <row r="559" spans="1:7" x14ac:dyDescent="0.2">
      <c r="A559" s="2">
        <v>200906</v>
      </c>
      <c r="B559" s="2">
        <v>0.43</v>
      </c>
      <c r="C559" s="2">
        <v>2.29</v>
      </c>
      <c r="D559" s="2">
        <v>-2.73</v>
      </c>
      <c r="E559" s="2">
        <v>-1.41</v>
      </c>
      <c r="F559" s="2">
        <v>-0.33</v>
      </c>
      <c r="G559" s="2">
        <v>0.01</v>
      </c>
    </row>
    <row r="560" spans="1:7" x14ac:dyDescent="0.2">
      <c r="A560" s="2">
        <v>200907</v>
      </c>
      <c r="B560" s="2">
        <v>7.72</v>
      </c>
      <c r="C560" s="2">
        <v>2.39</v>
      </c>
      <c r="D560" s="2">
        <v>4.84</v>
      </c>
      <c r="E560" s="2">
        <v>-0.46</v>
      </c>
      <c r="F560" s="2">
        <v>3.14</v>
      </c>
      <c r="G560" s="2">
        <v>0.01</v>
      </c>
    </row>
    <row r="561" spans="1:7" x14ac:dyDescent="0.2">
      <c r="A561" s="2">
        <v>200908</v>
      </c>
      <c r="B561" s="2">
        <v>3.33</v>
      </c>
      <c r="C561" s="2">
        <v>-0.09</v>
      </c>
      <c r="D561" s="2">
        <v>7.63</v>
      </c>
      <c r="E561" s="2">
        <v>-3.02</v>
      </c>
      <c r="F561" s="2">
        <v>3.34</v>
      </c>
      <c r="G561" s="2">
        <v>0.01</v>
      </c>
    </row>
    <row r="562" spans="1:7" x14ac:dyDescent="0.2">
      <c r="A562" s="2">
        <v>200909</v>
      </c>
      <c r="B562" s="2">
        <v>4.08</v>
      </c>
      <c r="C562" s="2">
        <v>2.73</v>
      </c>
      <c r="D562" s="2">
        <v>1.04</v>
      </c>
      <c r="E562" s="2">
        <v>1.31</v>
      </c>
      <c r="F562" s="2">
        <v>0.35</v>
      </c>
      <c r="G562" s="2">
        <v>0.01</v>
      </c>
    </row>
    <row r="563" spans="1:7" x14ac:dyDescent="0.2">
      <c r="A563" s="2">
        <v>200910</v>
      </c>
      <c r="B563" s="2">
        <v>-2.59</v>
      </c>
      <c r="C563" s="2">
        <v>-4.93</v>
      </c>
      <c r="D563" s="2">
        <v>-4.2</v>
      </c>
      <c r="E563" s="2">
        <v>4.17</v>
      </c>
      <c r="F563" s="2">
        <v>-1.49</v>
      </c>
      <c r="G563" s="2">
        <v>0</v>
      </c>
    </row>
    <row r="564" spans="1:7" x14ac:dyDescent="0.2">
      <c r="A564" s="2">
        <v>200911</v>
      </c>
      <c r="B564" s="2">
        <v>5.56</v>
      </c>
      <c r="C564" s="2">
        <v>-2.68</v>
      </c>
      <c r="D564" s="2">
        <v>-0.34</v>
      </c>
      <c r="E564" s="2">
        <v>1</v>
      </c>
      <c r="F564" s="2">
        <v>0.12</v>
      </c>
      <c r="G564" s="2">
        <v>0</v>
      </c>
    </row>
    <row r="565" spans="1:7" x14ac:dyDescent="0.2">
      <c r="A565" s="2">
        <v>200912</v>
      </c>
      <c r="B565" s="2">
        <v>2.75</v>
      </c>
      <c r="C565" s="2">
        <v>6.23</v>
      </c>
      <c r="D565" s="2">
        <v>-0.17</v>
      </c>
      <c r="E565" s="2">
        <v>1.02</v>
      </c>
      <c r="F565" s="2">
        <v>-0.09</v>
      </c>
      <c r="G565" s="2">
        <v>0.01</v>
      </c>
    </row>
    <row r="566" spans="1:7" x14ac:dyDescent="0.2">
      <c r="A566" s="2">
        <v>201001</v>
      </c>
      <c r="B566" s="2">
        <v>-3.36</v>
      </c>
      <c r="C566" s="2">
        <v>0.34</v>
      </c>
      <c r="D566" s="2">
        <v>0.43</v>
      </c>
      <c r="E566" s="2">
        <v>-1.27</v>
      </c>
      <c r="F566" s="2">
        <v>0.46</v>
      </c>
      <c r="G566" s="2">
        <v>0</v>
      </c>
    </row>
    <row r="567" spans="1:7" x14ac:dyDescent="0.2">
      <c r="A567" s="2">
        <v>201002</v>
      </c>
      <c r="B567" s="2">
        <v>3.4</v>
      </c>
      <c r="C567" s="2">
        <v>1.51</v>
      </c>
      <c r="D567" s="2">
        <v>3.23</v>
      </c>
      <c r="E567" s="2">
        <v>-0.27</v>
      </c>
      <c r="F567" s="2">
        <v>1.43</v>
      </c>
      <c r="G567" s="2">
        <v>0</v>
      </c>
    </row>
    <row r="568" spans="1:7" x14ac:dyDescent="0.2">
      <c r="A568" s="2">
        <v>201003</v>
      </c>
      <c r="B568" s="2">
        <v>6.31</v>
      </c>
      <c r="C568" s="2">
        <v>1.85</v>
      </c>
      <c r="D568" s="2">
        <v>2.21</v>
      </c>
      <c r="E568" s="2">
        <v>-0.65</v>
      </c>
      <c r="F568" s="2">
        <v>1.69</v>
      </c>
      <c r="G568" s="2">
        <v>0.01</v>
      </c>
    </row>
    <row r="569" spans="1:7" x14ac:dyDescent="0.2">
      <c r="A569" s="2">
        <v>201004</v>
      </c>
      <c r="B569" s="2">
        <v>2</v>
      </c>
      <c r="C569" s="2">
        <v>4.9800000000000004</v>
      </c>
      <c r="D569" s="2">
        <v>2.89</v>
      </c>
      <c r="E569" s="2">
        <v>0.69</v>
      </c>
      <c r="F569" s="2">
        <v>1.72</v>
      </c>
      <c r="G569" s="2">
        <v>0.01</v>
      </c>
    </row>
    <row r="570" spans="1:7" x14ac:dyDescent="0.2">
      <c r="A570" s="2">
        <v>201005</v>
      </c>
      <c r="B570" s="2">
        <v>-7.89</v>
      </c>
      <c r="C570" s="2">
        <v>0.04</v>
      </c>
      <c r="D570" s="2">
        <v>-2.44</v>
      </c>
      <c r="E570" s="2">
        <v>1.3</v>
      </c>
      <c r="F570" s="2">
        <v>-0.22</v>
      </c>
      <c r="G570" s="2">
        <v>0.01</v>
      </c>
    </row>
    <row r="571" spans="1:7" x14ac:dyDescent="0.2">
      <c r="A571" s="2">
        <v>201006</v>
      </c>
      <c r="B571" s="2">
        <v>-5.57</v>
      </c>
      <c r="C571" s="2">
        <v>-2.4700000000000002</v>
      </c>
      <c r="D571" s="2">
        <v>-4.7</v>
      </c>
      <c r="E571" s="2">
        <v>-0.16</v>
      </c>
      <c r="F571" s="2">
        <v>-1.55</v>
      </c>
      <c r="G571" s="2">
        <v>0.01</v>
      </c>
    </row>
    <row r="572" spans="1:7" x14ac:dyDescent="0.2">
      <c r="A572" s="2">
        <v>201007</v>
      </c>
      <c r="B572" s="2">
        <v>6.93</v>
      </c>
      <c r="C572" s="2">
        <v>0.14000000000000001</v>
      </c>
      <c r="D572" s="2">
        <v>-0.33</v>
      </c>
      <c r="E572" s="2">
        <v>0.27</v>
      </c>
      <c r="F572" s="2">
        <v>1.98</v>
      </c>
      <c r="G572" s="2">
        <v>0.01</v>
      </c>
    </row>
    <row r="573" spans="1:7" x14ac:dyDescent="0.2">
      <c r="A573" s="2">
        <v>201008</v>
      </c>
      <c r="B573" s="2">
        <v>-4.7699999999999996</v>
      </c>
      <c r="C573" s="2">
        <v>-3.13</v>
      </c>
      <c r="D573" s="2">
        <v>-1.93</v>
      </c>
      <c r="E573" s="2">
        <v>0.57999999999999996</v>
      </c>
      <c r="F573" s="2">
        <v>-1.61</v>
      </c>
      <c r="G573" s="2">
        <v>0.01</v>
      </c>
    </row>
    <row r="574" spans="1:7" x14ac:dyDescent="0.2">
      <c r="A574" s="2">
        <v>201009</v>
      </c>
      <c r="B574" s="2">
        <v>9.5399999999999991</v>
      </c>
      <c r="C574" s="2">
        <v>3.77</v>
      </c>
      <c r="D574" s="2">
        <v>-3.18</v>
      </c>
      <c r="E574" s="2">
        <v>-0.18</v>
      </c>
      <c r="F574" s="2">
        <v>0.36</v>
      </c>
      <c r="G574" s="2">
        <v>0.01</v>
      </c>
    </row>
    <row r="575" spans="1:7" x14ac:dyDescent="0.2">
      <c r="A575" s="2">
        <v>201010</v>
      </c>
      <c r="B575" s="2">
        <v>3.88</v>
      </c>
      <c r="C575" s="2">
        <v>0.86</v>
      </c>
      <c r="D575" s="2">
        <v>-2.5099999999999998</v>
      </c>
      <c r="E575" s="2">
        <v>1.31</v>
      </c>
      <c r="F575" s="2">
        <v>-0.33</v>
      </c>
      <c r="G575" s="2">
        <v>0.01</v>
      </c>
    </row>
    <row r="576" spans="1:7" x14ac:dyDescent="0.2">
      <c r="A576" s="2">
        <v>201011</v>
      </c>
      <c r="B576" s="2">
        <v>0.6</v>
      </c>
      <c r="C576" s="2">
        <v>3.64</v>
      </c>
      <c r="D576" s="2">
        <v>-0.92</v>
      </c>
      <c r="E576" s="2">
        <v>0.38</v>
      </c>
      <c r="F576" s="2">
        <v>1.63</v>
      </c>
      <c r="G576" s="2">
        <v>0.01</v>
      </c>
    </row>
    <row r="577" spans="1:7" x14ac:dyDescent="0.2">
      <c r="A577" s="2">
        <v>201012</v>
      </c>
      <c r="B577" s="2">
        <v>6.82</v>
      </c>
      <c r="C577" s="2">
        <v>0.99</v>
      </c>
      <c r="D577" s="2">
        <v>3.76</v>
      </c>
      <c r="E577" s="2">
        <v>-3.52</v>
      </c>
      <c r="F577" s="2">
        <v>3.21</v>
      </c>
      <c r="G577" s="2">
        <v>0.01</v>
      </c>
    </row>
    <row r="578" spans="1:7" x14ac:dyDescent="0.2">
      <c r="A578" s="2">
        <v>201101</v>
      </c>
      <c r="B578" s="2">
        <v>1.99</v>
      </c>
      <c r="C578" s="2">
        <v>-2.38</v>
      </c>
      <c r="D578" s="2">
        <v>0.75</v>
      </c>
      <c r="E578" s="2">
        <v>-0.65</v>
      </c>
      <c r="F578" s="2">
        <v>0.77</v>
      </c>
      <c r="G578" s="2">
        <v>0.01</v>
      </c>
    </row>
    <row r="579" spans="1:7" x14ac:dyDescent="0.2">
      <c r="A579" s="2">
        <v>201102</v>
      </c>
      <c r="B579" s="2">
        <v>3.49</v>
      </c>
      <c r="C579" s="2">
        <v>1.65</v>
      </c>
      <c r="D579" s="2">
        <v>1.27</v>
      </c>
      <c r="E579" s="2">
        <v>-1.93</v>
      </c>
      <c r="F579" s="2">
        <v>0.87</v>
      </c>
      <c r="G579" s="2">
        <v>0.01</v>
      </c>
    </row>
    <row r="580" spans="1:7" x14ac:dyDescent="0.2">
      <c r="A580" s="2">
        <v>201103</v>
      </c>
      <c r="B580" s="2">
        <v>0.46</v>
      </c>
      <c r="C580" s="2">
        <v>2.63</v>
      </c>
      <c r="D580" s="2">
        <v>-1.85</v>
      </c>
      <c r="E580" s="2">
        <v>1.8</v>
      </c>
      <c r="F580" s="2">
        <v>-0.05</v>
      </c>
      <c r="G580" s="2">
        <v>0.01</v>
      </c>
    </row>
    <row r="581" spans="1:7" x14ac:dyDescent="0.2">
      <c r="A581" s="2">
        <v>201104</v>
      </c>
      <c r="B581" s="2">
        <v>2.9</v>
      </c>
      <c r="C581" s="2">
        <v>-0.5</v>
      </c>
      <c r="D581" s="2">
        <v>-2.4900000000000002</v>
      </c>
      <c r="E581" s="2">
        <v>1.1100000000000001</v>
      </c>
      <c r="F581" s="2">
        <v>-0.86</v>
      </c>
      <c r="G581" s="2">
        <v>0</v>
      </c>
    </row>
    <row r="582" spans="1:7" x14ac:dyDescent="0.2">
      <c r="A582" s="2">
        <v>201105</v>
      </c>
      <c r="B582" s="2">
        <v>-1.27</v>
      </c>
      <c r="C582" s="2">
        <v>-0.71</v>
      </c>
      <c r="D582" s="2">
        <v>-2</v>
      </c>
      <c r="E582" s="2">
        <v>1.91</v>
      </c>
      <c r="F582" s="2">
        <v>-1.5</v>
      </c>
      <c r="G582" s="2">
        <v>0</v>
      </c>
    </row>
    <row r="583" spans="1:7" x14ac:dyDescent="0.2">
      <c r="A583" s="2">
        <v>201106</v>
      </c>
      <c r="B583" s="2">
        <v>-1.75</v>
      </c>
      <c r="C583" s="2">
        <v>0.13</v>
      </c>
      <c r="D583" s="2">
        <v>-0.39</v>
      </c>
      <c r="E583" s="2">
        <v>2.4300000000000002</v>
      </c>
      <c r="F583" s="2">
        <v>-1.51</v>
      </c>
      <c r="G583" s="2">
        <v>0</v>
      </c>
    </row>
    <row r="584" spans="1:7" x14ac:dyDescent="0.2">
      <c r="A584" s="2">
        <v>201107</v>
      </c>
      <c r="B584" s="2">
        <v>-2.35</v>
      </c>
      <c r="C584" s="2">
        <v>-1.2</v>
      </c>
      <c r="D584" s="2">
        <v>-0.9</v>
      </c>
      <c r="E584" s="2">
        <v>2.68</v>
      </c>
      <c r="F584" s="2">
        <v>-1.82</v>
      </c>
      <c r="G584" s="2">
        <v>0</v>
      </c>
    </row>
    <row r="585" spans="1:7" x14ac:dyDescent="0.2">
      <c r="A585" s="2">
        <v>201108</v>
      </c>
      <c r="B585" s="2">
        <v>-5.99</v>
      </c>
      <c r="C585" s="2">
        <v>-3.2</v>
      </c>
      <c r="D585" s="2">
        <v>-2.36</v>
      </c>
      <c r="E585" s="2">
        <v>3.3</v>
      </c>
      <c r="F585" s="2">
        <v>-0.38</v>
      </c>
      <c r="G585" s="2">
        <v>0.01</v>
      </c>
    </row>
    <row r="586" spans="1:7" x14ac:dyDescent="0.2">
      <c r="A586" s="2">
        <v>201109</v>
      </c>
      <c r="B586" s="2">
        <v>-7.59</v>
      </c>
      <c r="C586" s="2">
        <v>-3.65</v>
      </c>
      <c r="D586" s="2">
        <v>-1.72</v>
      </c>
      <c r="E586" s="2">
        <v>2.04</v>
      </c>
      <c r="F586" s="2">
        <v>0.26</v>
      </c>
      <c r="G586" s="2">
        <v>0</v>
      </c>
    </row>
    <row r="587" spans="1:7" x14ac:dyDescent="0.2">
      <c r="A587" s="2">
        <v>201110</v>
      </c>
      <c r="B587" s="2">
        <v>11.35</v>
      </c>
      <c r="C587" s="2">
        <v>3.46</v>
      </c>
      <c r="D587" s="2">
        <v>0.1</v>
      </c>
      <c r="E587" s="2">
        <v>-2.16</v>
      </c>
      <c r="F587" s="2">
        <v>-0.86</v>
      </c>
      <c r="G587" s="2">
        <v>0</v>
      </c>
    </row>
    <row r="588" spans="1:7" x14ac:dyDescent="0.2">
      <c r="A588" s="2">
        <v>201111</v>
      </c>
      <c r="B588" s="2">
        <v>-0.28000000000000003</v>
      </c>
      <c r="C588" s="2">
        <v>-0.27</v>
      </c>
      <c r="D588" s="2">
        <v>-0.45</v>
      </c>
      <c r="E588" s="2">
        <v>1.86</v>
      </c>
      <c r="F588" s="2">
        <v>1.49</v>
      </c>
      <c r="G588" s="2">
        <v>0</v>
      </c>
    </row>
    <row r="589" spans="1:7" x14ac:dyDescent="0.2">
      <c r="A589" s="2">
        <v>201112</v>
      </c>
      <c r="B589" s="2">
        <v>0.74</v>
      </c>
      <c r="C589" s="2">
        <v>-0.33</v>
      </c>
      <c r="D589" s="2">
        <v>1.63</v>
      </c>
      <c r="E589" s="2">
        <v>0.98</v>
      </c>
      <c r="F589" s="2">
        <v>2.5099999999999998</v>
      </c>
      <c r="G589" s="2">
        <v>0</v>
      </c>
    </row>
    <row r="590" spans="1:7" x14ac:dyDescent="0.2">
      <c r="A590" s="2">
        <v>201201</v>
      </c>
      <c r="B590" s="2">
        <v>5.05</v>
      </c>
      <c r="C590" s="2">
        <v>2.0499999999999998</v>
      </c>
      <c r="D590" s="2">
        <v>-0.97</v>
      </c>
      <c r="E590" s="2">
        <v>-2.0099999999999998</v>
      </c>
      <c r="F590" s="2">
        <v>-1.43</v>
      </c>
      <c r="G590" s="2">
        <v>0</v>
      </c>
    </row>
    <row r="591" spans="1:7" x14ac:dyDescent="0.2">
      <c r="A591" s="2">
        <v>201202</v>
      </c>
      <c r="B591" s="2">
        <v>4.42</v>
      </c>
      <c r="C591" s="2">
        <v>-1.7</v>
      </c>
      <c r="D591" s="2">
        <v>0.43</v>
      </c>
      <c r="E591" s="2">
        <v>-0.48</v>
      </c>
      <c r="F591" s="2">
        <v>-0.01</v>
      </c>
      <c r="G591" s="2">
        <v>0</v>
      </c>
    </row>
    <row r="592" spans="1:7" x14ac:dyDescent="0.2">
      <c r="A592" s="2">
        <v>201203</v>
      </c>
      <c r="B592" s="2">
        <v>3.11</v>
      </c>
      <c r="C592" s="2">
        <v>-0.47</v>
      </c>
      <c r="D592" s="2">
        <v>1.1399999999999999</v>
      </c>
      <c r="E592" s="2">
        <v>-0.54</v>
      </c>
      <c r="F592" s="2">
        <v>0.74</v>
      </c>
      <c r="G592" s="2">
        <v>0</v>
      </c>
    </row>
    <row r="593" spans="1:7" x14ac:dyDescent="0.2">
      <c r="A593" s="2">
        <v>201204</v>
      </c>
      <c r="B593" s="2">
        <v>-0.85</v>
      </c>
      <c r="C593" s="2">
        <v>-0.55000000000000004</v>
      </c>
      <c r="D593" s="2">
        <v>-0.78</v>
      </c>
      <c r="E593" s="2">
        <v>1.3</v>
      </c>
      <c r="F593" s="2">
        <v>0.65</v>
      </c>
      <c r="G593" s="2">
        <v>0</v>
      </c>
    </row>
    <row r="594" spans="1:7" x14ac:dyDescent="0.2">
      <c r="A594" s="2">
        <v>201205</v>
      </c>
      <c r="B594" s="2">
        <v>-6.19</v>
      </c>
      <c r="C594" s="2">
        <v>-0.12</v>
      </c>
      <c r="D594" s="2">
        <v>-1.06</v>
      </c>
      <c r="E594" s="2">
        <v>2.08</v>
      </c>
      <c r="F594" s="2">
        <v>2.3199999999999998</v>
      </c>
      <c r="G594" s="2">
        <v>0.01</v>
      </c>
    </row>
    <row r="595" spans="1:7" x14ac:dyDescent="0.2">
      <c r="A595" s="2">
        <v>201206</v>
      </c>
      <c r="B595" s="2">
        <v>3.89</v>
      </c>
      <c r="C595" s="2">
        <v>0.84</v>
      </c>
      <c r="D595" s="2">
        <v>0.62</v>
      </c>
      <c r="E595" s="2">
        <v>-1.0900000000000001</v>
      </c>
      <c r="F595" s="2">
        <v>0.46</v>
      </c>
      <c r="G595" s="2">
        <v>0</v>
      </c>
    </row>
    <row r="596" spans="1:7" x14ac:dyDescent="0.2">
      <c r="A596" s="2">
        <v>201207</v>
      </c>
      <c r="B596" s="2">
        <v>0.79</v>
      </c>
      <c r="C596" s="2">
        <v>-2.8</v>
      </c>
      <c r="D596" s="2">
        <v>-0.02</v>
      </c>
      <c r="E596" s="2">
        <v>1.1000000000000001</v>
      </c>
      <c r="F596" s="2">
        <v>0.09</v>
      </c>
      <c r="G596" s="2">
        <v>0</v>
      </c>
    </row>
    <row r="597" spans="1:7" x14ac:dyDescent="0.2">
      <c r="A597" s="2">
        <v>201208</v>
      </c>
      <c r="B597" s="2">
        <v>2.5499999999999998</v>
      </c>
      <c r="C597" s="2">
        <v>0.45</v>
      </c>
      <c r="D597" s="2">
        <v>1.3</v>
      </c>
      <c r="E597" s="2">
        <v>-1.33</v>
      </c>
      <c r="F597" s="2">
        <v>-0.86</v>
      </c>
      <c r="G597" s="2">
        <v>0.01</v>
      </c>
    </row>
    <row r="598" spans="1:7" x14ac:dyDescent="0.2">
      <c r="A598" s="2">
        <v>201209</v>
      </c>
      <c r="B598" s="2">
        <v>2.73</v>
      </c>
      <c r="C598" s="2">
        <v>0.61</v>
      </c>
      <c r="D598" s="2">
        <v>1.6</v>
      </c>
      <c r="E598" s="2">
        <v>-1.49</v>
      </c>
      <c r="F598" s="2">
        <v>1.54</v>
      </c>
      <c r="G598" s="2">
        <v>0.01</v>
      </c>
    </row>
    <row r="599" spans="1:7" x14ac:dyDescent="0.2">
      <c r="A599" s="2">
        <v>201210</v>
      </c>
      <c r="B599" s="2">
        <v>-1.76</v>
      </c>
      <c r="C599" s="2">
        <v>-0.9</v>
      </c>
      <c r="D599" s="2">
        <v>3.59</v>
      </c>
      <c r="E599" s="2">
        <v>-1.34</v>
      </c>
      <c r="F599" s="2">
        <v>2.5099999999999998</v>
      </c>
      <c r="G599" s="2">
        <v>0.01</v>
      </c>
    </row>
    <row r="600" spans="1:7" x14ac:dyDescent="0.2">
      <c r="A600" s="2">
        <v>201211</v>
      </c>
      <c r="B600" s="2">
        <v>0.78</v>
      </c>
      <c r="C600" s="2">
        <v>0.47</v>
      </c>
      <c r="D600" s="2">
        <v>-0.84</v>
      </c>
      <c r="E600" s="2">
        <v>0.6</v>
      </c>
      <c r="F600" s="2">
        <v>0.84</v>
      </c>
      <c r="G600" s="2">
        <v>0.01</v>
      </c>
    </row>
    <row r="601" spans="1:7" x14ac:dyDescent="0.2">
      <c r="A601" s="2">
        <v>201212</v>
      </c>
      <c r="B601" s="2">
        <v>1.18</v>
      </c>
      <c r="C601" s="2">
        <v>1.91</v>
      </c>
      <c r="D601" s="2">
        <v>3.51</v>
      </c>
      <c r="E601" s="2">
        <v>-1.85</v>
      </c>
      <c r="F601" s="2">
        <v>0.88</v>
      </c>
      <c r="G601" s="2">
        <v>0.01</v>
      </c>
    </row>
    <row r="602" spans="1:7" x14ac:dyDescent="0.2">
      <c r="A602" s="2">
        <v>201301</v>
      </c>
      <c r="B602" s="2">
        <v>5.57</v>
      </c>
      <c r="C602" s="2">
        <v>0.47</v>
      </c>
      <c r="D602" s="2">
        <v>0.96</v>
      </c>
      <c r="E602" s="2">
        <v>-1.93</v>
      </c>
      <c r="F602" s="2">
        <v>1.42</v>
      </c>
      <c r="G602" s="2">
        <v>0</v>
      </c>
    </row>
    <row r="603" spans="1:7" x14ac:dyDescent="0.2">
      <c r="A603" s="2">
        <v>201302</v>
      </c>
      <c r="B603" s="2">
        <v>1.29</v>
      </c>
      <c r="C603" s="2">
        <v>-0.25</v>
      </c>
      <c r="D603" s="2">
        <v>0.11</v>
      </c>
      <c r="E603" s="2">
        <v>-0.67</v>
      </c>
      <c r="F603" s="2">
        <v>0.54</v>
      </c>
      <c r="G603" s="2">
        <v>0</v>
      </c>
    </row>
    <row r="604" spans="1:7" x14ac:dyDescent="0.2">
      <c r="A604" s="2">
        <v>201303</v>
      </c>
      <c r="B604" s="2">
        <v>4.03</v>
      </c>
      <c r="C604" s="2">
        <v>0.86</v>
      </c>
      <c r="D604" s="2">
        <v>-0.19</v>
      </c>
      <c r="E604" s="2">
        <v>0.14000000000000001</v>
      </c>
      <c r="F604" s="2">
        <v>1.37</v>
      </c>
      <c r="G604" s="2">
        <v>0</v>
      </c>
    </row>
    <row r="605" spans="1:7" x14ac:dyDescent="0.2">
      <c r="A605" s="2">
        <v>201304</v>
      </c>
      <c r="B605" s="2">
        <v>1.55</v>
      </c>
      <c r="C605" s="2">
        <v>-2.25</v>
      </c>
      <c r="D605" s="2">
        <v>0.45</v>
      </c>
      <c r="E605" s="2">
        <v>0.27</v>
      </c>
      <c r="F605" s="2">
        <v>0.37</v>
      </c>
      <c r="G605" s="2">
        <v>0</v>
      </c>
    </row>
    <row r="606" spans="1:7" x14ac:dyDescent="0.2">
      <c r="A606" s="2">
        <v>201305</v>
      </c>
      <c r="B606" s="2">
        <v>2.8</v>
      </c>
      <c r="C606" s="2">
        <v>2.09</v>
      </c>
      <c r="D606" s="2">
        <v>2.63</v>
      </c>
      <c r="E606" s="2">
        <v>-1.97</v>
      </c>
      <c r="F606" s="2">
        <v>-0.91</v>
      </c>
      <c r="G606" s="2">
        <v>0</v>
      </c>
    </row>
    <row r="607" spans="1:7" x14ac:dyDescent="0.2">
      <c r="A607" s="2">
        <v>201306</v>
      </c>
      <c r="B607" s="2">
        <v>-1.2</v>
      </c>
      <c r="C607" s="2">
        <v>1.56</v>
      </c>
      <c r="D607" s="2">
        <v>0.03</v>
      </c>
      <c r="E607" s="2">
        <v>-0.38</v>
      </c>
      <c r="F607" s="2">
        <v>0.01</v>
      </c>
      <c r="G607" s="2">
        <v>0</v>
      </c>
    </row>
    <row r="608" spans="1:7" x14ac:dyDescent="0.2">
      <c r="A608" s="2">
        <v>201307</v>
      </c>
      <c r="B608" s="2">
        <v>5.65</v>
      </c>
      <c r="C608" s="2">
        <v>1.8</v>
      </c>
      <c r="D608" s="2">
        <v>0.56999999999999995</v>
      </c>
      <c r="E608" s="2">
        <v>-1.35</v>
      </c>
      <c r="F608" s="2">
        <v>0.52</v>
      </c>
      <c r="G608" s="2">
        <v>0</v>
      </c>
    </row>
    <row r="609" spans="1:7" x14ac:dyDescent="0.2">
      <c r="A609" s="2">
        <v>201308</v>
      </c>
      <c r="B609" s="2">
        <v>-2.71</v>
      </c>
      <c r="C609" s="2">
        <v>-0.06</v>
      </c>
      <c r="D609" s="2">
        <v>-2.69</v>
      </c>
      <c r="E609" s="2">
        <v>0.66</v>
      </c>
      <c r="F609" s="2">
        <v>-2.16</v>
      </c>
      <c r="G609" s="2">
        <v>0</v>
      </c>
    </row>
    <row r="610" spans="1:7" x14ac:dyDescent="0.2">
      <c r="A610" s="2">
        <v>201309</v>
      </c>
      <c r="B610" s="2">
        <v>3.77</v>
      </c>
      <c r="C610" s="2">
        <v>2.66</v>
      </c>
      <c r="D610" s="2">
        <v>-1.22</v>
      </c>
      <c r="E610" s="2">
        <v>-0.57999999999999996</v>
      </c>
      <c r="F610" s="2">
        <v>-1.4</v>
      </c>
      <c r="G610" s="2">
        <v>0</v>
      </c>
    </row>
    <row r="611" spans="1:7" x14ac:dyDescent="0.2">
      <c r="A611" s="2">
        <v>201310</v>
      </c>
      <c r="B611" s="2">
        <v>4.18</v>
      </c>
      <c r="C611" s="2">
        <v>-1.51</v>
      </c>
      <c r="D611" s="2">
        <v>1.25</v>
      </c>
      <c r="E611" s="2">
        <v>2.78</v>
      </c>
      <c r="F611" s="2">
        <v>0.92</v>
      </c>
      <c r="G611" s="2">
        <v>0</v>
      </c>
    </row>
    <row r="612" spans="1:7" x14ac:dyDescent="0.2">
      <c r="A612" s="2">
        <v>201311</v>
      </c>
      <c r="B612" s="2">
        <v>3.13</v>
      </c>
      <c r="C612" s="2">
        <v>1.4</v>
      </c>
      <c r="D612" s="2">
        <v>0.32</v>
      </c>
      <c r="E612" s="2">
        <v>0.14000000000000001</v>
      </c>
      <c r="F612" s="2">
        <v>0.05</v>
      </c>
      <c r="G612" s="2">
        <v>0</v>
      </c>
    </row>
    <row r="613" spans="1:7" x14ac:dyDescent="0.2">
      <c r="A613" s="2">
        <v>201312</v>
      </c>
      <c r="B613" s="2">
        <v>2.81</v>
      </c>
      <c r="C613" s="2">
        <v>-0.44</v>
      </c>
      <c r="D613" s="2">
        <v>-0.02</v>
      </c>
      <c r="E613" s="2">
        <v>-0.46</v>
      </c>
      <c r="F613" s="2">
        <v>0.08</v>
      </c>
      <c r="G613" s="2">
        <v>0</v>
      </c>
    </row>
    <row r="614" spans="1:7" x14ac:dyDescent="0.2">
      <c r="A614" s="2">
        <v>201401</v>
      </c>
      <c r="B614" s="2">
        <v>-3.32</v>
      </c>
      <c r="C614" s="2">
        <v>0.57999999999999996</v>
      </c>
      <c r="D614" s="2">
        <v>-2.0699999999999998</v>
      </c>
      <c r="E614" s="2">
        <v>-3.88</v>
      </c>
      <c r="F614" s="2">
        <v>-1.43</v>
      </c>
      <c r="G614" s="2">
        <v>0</v>
      </c>
    </row>
    <row r="615" spans="1:7" x14ac:dyDescent="0.2">
      <c r="A615" s="2">
        <v>201402</v>
      </c>
      <c r="B615" s="2">
        <v>4.6500000000000004</v>
      </c>
      <c r="C615" s="2">
        <v>0.16</v>
      </c>
      <c r="D615" s="2">
        <v>-0.31</v>
      </c>
      <c r="E615" s="2">
        <v>-0.23</v>
      </c>
      <c r="F615" s="2">
        <v>-0.47</v>
      </c>
      <c r="G615" s="2">
        <v>0</v>
      </c>
    </row>
    <row r="616" spans="1:7" x14ac:dyDescent="0.2">
      <c r="A616" s="2">
        <v>201403</v>
      </c>
      <c r="B616" s="2">
        <v>0.43</v>
      </c>
      <c r="C616" s="2">
        <v>-1.1299999999999999</v>
      </c>
      <c r="D616" s="2">
        <v>4.93</v>
      </c>
      <c r="E616" s="2">
        <v>2.13</v>
      </c>
      <c r="F616" s="2">
        <v>1.98</v>
      </c>
      <c r="G616" s="2">
        <v>0</v>
      </c>
    </row>
    <row r="617" spans="1:7" x14ac:dyDescent="0.2">
      <c r="A617" s="2">
        <v>201404</v>
      </c>
      <c r="B617" s="2">
        <v>-0.19</v>
      </c>
      <c r="C617" s="2">
        <v>-4.1399999999999997</v>
      </c>
      <c r="D617" s="2">
        <v>1.17</v>
      </c>
      <c r="E617" s="2">
        <v>3.48</v>
      </c>
      <c r="F617" s="2">
        <v>1.04</v>
      </c>
      <c r="G617" s="2">
        <v>0</v>
      </c>
    </row>
    <row r="618" spans="1:7" x14ac:dyDescent="0.2">
      <c r="A618" s="2">
        <v>201405</v>
      </c>
      <c r="B618" s="2">
        <v>2.06</v>
      </c>
      <c r="C618" s="2">
        <v>-1.89</v>
      </c>
      <c r="D618" s="2">
        <v>-0.13</v>
      </c>
      <c r="E618" s="2">
        <v>0.05</v>
      </c>
      <c r="F618" s="2">
        <v>-1.01</v>
      </c>
      <c r="G618" s="2">
        <v>0</v>
      </c>
    </row>
    <row r="619" spans="1:7" x14ac:dyDescent="0.2">
      <c r="A619" s="2">
        <v>201406</v>
      </c>
      <c r="B619" s="2">
        <v>2.61</v>
      </c>
      <c r="C619" s="2">
        <v>3.1</v>
      </c>
      <c r="D619" s="2">
        <v>-0.7</v>
      </c>
      <c r="E619" s="2">
        <v>-1.89</v>
      </c>
      <c r="F619" s="2">
        <v>-1.98</v>
      </c>
      <c r="G619" s="2">
        <v>0</v>
      </c>
    </row>
    <row r="620" spans="1:7" x14ac:dyDescent="0.2">
      <c r="A620" s="2">
        <v>201407</v>
      </c>
      <c r="B620" s="2">
        <v>-2.04</v>
      </c>
      <c r="C620" s="2">
        <v>-4.29</v>
      </c>
      <c r="D620" s="2">
        <v>0.03</v>
      </c>
      <c r="E620" s="2">
        <v>0.88</v>
      </c>
      <c r="F620" s="2">
        <v>0.51</v>
      </c>
      <c r="G620" s="2">
        <v>0</v>
      </c>
    </row>
    <row r="621" spans="1:7" x14ac:dyDescent="0.2">
      <c r="A621" s="2">
        <v>201408</v>
      </c>
      <c r="B621" s="2">
        <v>4.24</v>
      </c>
      <c r="C621" s="2">
        <v>0.31</v>
      </c>
      <c r="D621" s="2">
        <v>-0.45</v>
      </c>
      <c r="E621" s="2">
        <v>-0.63</v>
      </c>
      <c r="F621" s="2">
        <v>-0.69</v>
      </c>
      <c r="G621" s="2">
        <v>0</v>
      </c>
    </row>
    <row r="622" spans="1:7" x14ac:dyDescent="0.2">
      <c r="A622" s="2">
        <v>201409</v>
      </c>
      <c r="B622" s="2">
        <v>-1.97</v>
      </c>
      <c r="C622" s="2">
        <v>-3.73</v>
      </c>
      <c r="D622" s="2">
        <v>-1.34</v>
      </c>
      <c r="E622" s="2">
        <v>1.31</v>
      </c>
      <c r="F622" s="2">
        <v>-0.49</v>
      </c>
      <c r="G622" s="2">
        <v>0</v>
      </c>
    </row>
    <row r="623" spans="1:7" x14ac:dyDescent="0.2">
      <c r="A623" s="2">
        <v>201410</v>
      </c>
      <c r="B623" s="2">
        <v>2.52</v>
      </c>
      <c r="C623" s="2">
        <v>3.72</v>
      </c>
      <c r="D623" s="2">
        <v>-1.81</v>
      </c>
      <c r="E623" s="2">
        <v>-0.55000000000000004</v>
      </c>
      <c r="F623" s="2">
        <v>-0.09</v>
      </c>
      <c r="G623" s="2">
        <v>0</v>
      </c>
    </row>
    <row r="624" spans="1:7" x14ac:dyDescent="0.2">
      <c r="A624" s="2">
        <v>201411</v>
      </c>
      <c r="B624" s="2">
        <v>2.5499999999999998</v>
      </c>
      <c r="C624" s="2">
        <v>-2.2799999999999998</v>
      </c>
      <c r="D624" s="2">
        <v>-3.09</v>
      </c>
      <c r="E624" s="2">
        <v>1.5</v>
      </c>
      <c r="F624" s="2">
        <v>0.26</v>
      </c>
      <c r="G624" s="2">
        <v>0</v>
      </c>
    </row>
    <row r="625" spans="1:7" x14ac:dyDescent="0.2">
      <c r="A625" s="2">
        <v>201412</v>
      </c>
      <c r="B625" s="2">
        <v>-0.06</v>
      </c>
      <c r="C625" s="2">
        <v>2.86</v>
      </c>
      <c r="D625" s="2">
        <v>2.27</v>
      </c>
      <c r="E625" s="2">
        <v>-1.22</v>
      </c>
      <c r="F625" s="2">
        <v>0.96</v>
      </c>
      <c r="G625" s="2">
        <v>0</v>
      </c>
    </row>
    <row r="626" spans="1:7" x14ac:dyDescent="0.2">
      <c r="A626" s="2">
        <v>201501</v>
      </c>
      <c r="B626" s="2">
        <v>-3.11</v>
      </c>
      <c r="C626" s="2">
        <v>-0.91</v>
      </c>
      <c r="D626" s="2">
        <v>-3.58</v>
      </c>
      <c r="E626" s="2">
        <v>1.6</v>
      </c>
      <c r="F626" s="2">
        <v>-1.66</v>
      </c>
      <c r="G626" s="2">
        <v>0</v>
      </c>
    </row>
    <row r="627" spans="1:7" x14ac:dyDescent="0.2">
      <c r="A627" s="2">
        <v>201502</v>
      </c>
      <c r="B627" s="2">
        <v>6.13</v>
      </c>
      <c r="C627" s="2">
        <v>0.31</v>
      </c>
      <c r="D627" s="2">
        <v>-1.86</v>
      </c>
      <c r="E627" s="2">
        <v>-1.1000000000000001</v>
      </c>
      <c r="F627" s="2">
        <v>-1.79</v>
      </c>
      <c r="G627" s="2">
        <v>0</v>
      </c>
    </row>
    <row r="628" spans="1:7" x14ac:dyDescent="0.2">
      <c r="A628" s="2">
        <v>201503</v>
      </c>
      <c r="B628" s="2">
        <v>-1.1200000000000001</v>
      </c>
      <c r="C628" s="2">
        <v>3.07</v>
      </c>
      <c r="D628" s="2">
        <v>-0.37</v>
      </c>
      <c r="E628" s="2">
        <v>0.09</v>
      </c>
      <c r="F628" s="2">
        <v>-0.51</v>
      </c>
      <c r="G628" s="2">
        <v>0</v>
      </c>
    </row>
    <row r="629" spans="1:7" x14ac:dyDescent="0.2">
      <c r="A629" s="2">
        <v>201504</v>
      </c>
      <c r="B629" s="2">
        <v>0.59</v>
      </c>
      <c r="C629" s="2">
        <v>-3.06</v>
      </c>
      <c r="D629" s="2">
        <v>1.82</v>
      </c>
      <c r="E629" s="2">
        <v>0.02</v>
      </c>
      <c r="F629" s="2">
        <v>-0.65</v>
      </c>
      <c r="G629" s="2">
        <v>0</v>
      </c>
    </row>
    <row r="630" spans="1:7" x14ac:dyDescent="0.2">
      <c r="A630" s="2">
        <v>201505</v>
      </c>
      <c r="B630" s="2">
        <v>1.36</v>
      </c>
      <c r="C630" s="2">
        <v>0.82</v>
      </c>
      <c r="D630" s="2">
        <v>-1.1399999999999999</v>
      </c>
      <c r="E630" s="2">
        <v>-1.78</v>
      </c>
      <c r="F630" s="2">
        <v>-0.72</v>
      </c>
      <c r="G630" s="2">
        <v>0</v>
      </c>
    </row>
    <row r="631" spans="1:7" x14ac:dyDescent="0.2">
      <c r="A631" s="2">
        <v>201506</v>
      </c>
      <c r="B631" s="2">
        <v>-1.53</v>
      </c>
      <c r="C631" s="2">
        <v>2.89</v>
      </c>
      <c r="D631" s="2">
        <v>-0.79</v>
      </c>
      <c r="E631" s="2">
        <v>0.45</v>
      </c>
      <c r="F631" s="2">
        <v>-1.57</v>
      </c>
      <c r="G631" s="2">
        <v>0</v>
      </c>
    </row>
    <row r="632" spans="1:7" x14ac:dyDescent="0.2">
      <c r="A632" s="2">
        <v>201507</v>
      </c>
      <c r="B632" s="2">
        <v>1.54</v>
      </c>
      <c r="C632" s="2">
        <v>-4.58</v>
      </c>
      <c r="D632" s="2">
        <v>-4.13</v>
      </c>
      <c r="E632" s="2">
        <v>0.31</v>
      </c>
      <c r="F632" s="2">
        <v>-2.46</v>
      </c>
      <c r="G632" s="2">
        <v>0</v>
      </c>
    </row>
    <row r="633" spans="1:7" x14ac:dyDescent="0.2">
      <c r="A633" s="2">
        <v>201508</v>
      </c>
      <c r="B633" s="2">
        <v>-6.04</v>
      </c>
      <c r="C633" s="2">
        <v>0.24</v>
      </c>
      <c r="D633" s="2">
        <v>2.77</v>
      </c>
      <c r="E633" s="2">
        <v>0.69</v>
      </c>
      <c r="F633" s="2">
        <v>1.24</v>
      </c>
      <c r="G633" s="2">
        <v>0</v>
      </c>
    </row>
    <row r="634" spans="1:7" x14ac:dyDescent="0.2">
      <c r="A634" s="2">
        <v>201509</v>
      </c>
      <c r="B634" s="2">
        <v>-3.07</v>
      </c>
      <c r="C634" s="2">
        <v>-2.8</v>
      </c>
      <c r="D634" s="2">
        <v>0.56000000000000005</v>
      </c>
      <c r="E634" s="2">
        <v>1.8</v>
      </c>
      <c r="F634" s="2">
        <v>-0.6</v>
      </c>
      <c r="G634" s="2">
        <v>0</v>
      </c>
    </row>
    <row r="635" spans="1:7" x14ac:dyDescent="0.2">
      <c r="A635" s="2">
        <v>201510</v>
      </c>
      <c r="B635" s="2">
        <v>7.75</v>
      </c>
      <c r="C635" s="2">
        <v>-2.0499999999999998</v>
      </c>
      <c r="D635" s="2">
        <v>-0.46</v>
      </c>
      <c r="E635" s="2">
        <v>0.86</v>
      </c>
      <c r="F635" s="2">
        <v>0.55000000000000004</v>
      </c>
      <c r="G635" s="2">
        <v>0</v>
      </c>
    </row>
    <row r="636" spans="1:7" x14ac:dyDescent="0.2">
      <c r="A636" s="2">
        <v>201511</v>
      </c>
      <c r="B636" s="2">
        <v>0.56000000000000005</v>
      </c>
      <c r="C636" s="2">
        <v>3.29</v>
      </c>
      <c r="D636" s="2">
        <v>-0.42</v>
      </c>
      <c r="E636" s="2">
        <v>-2.71</v>
      </c>
      <c r="F636" s="2">
        <v>-1.03</v>
      </c>
      <c r="G636" s="2">
        <v>0</v>
      </c>
    </row>
    <row r="637" spans="1:7" x14ac:dyDescent="0.2">
      <c r="A637" s="2">
        <v>201512</v>
      </c>
      <c r="B637" s="2">
        <v>-2.17</v>
      </c>
      <c r="C637" s="2">
        <v>-2.97</v>
      </c>
      <c r="D637" s="2">
        <v>-2.61</v>
      </c>
      <c r="E637" s="2">
        <v>0.45</v>
      </c>
      <c r="F637" s="2">
        <v>0.03</v>
      </c>
      <c r="G637" s="2">
        <v>0.01</v>
      </c>
    </row>
    <row r="638" spans="1:7" x14ac:dyDescent="0.2">
      <c r="A638" s="2">
        <v>201601</v>
      </c>
      <c r="B638" s="2">
        <v>-5.77</v>
      </c>
      <c r="C638" s="2">
        <v>-3.48</v>
      </c>
      <c r="D638" s="2">
        <v>2.09</v>
      </c>
      <c r="E638" s="2">
        <v>2.8</v>
      </c>
      <c r="F638" s="2">
        <v>3.07</v>
      </c>
      <c r="G638" s="2">
        <v>0.01</v>
      </c>
    </row>
    <row r="639" spans="1:7" x14ac:dyDescent="0.2">
      <c r="A639" s="2">
        <v>201602</v>
      </c>
      <c r="B639" s="2">
        <v>-7.0000000000000007E-2</v>
      </c>
      <c r="C639" s="2">
        <v>0.85</v>
      </c>
      <c r="D639" s="2">
        <v>-0.56999999999999995</v>
      </c>
      <c r="E639" s="2">
        <v>3.28</v>
      </c>
      <c r="F639" s="2">
        <v>1.99</v>
      </c>
      <c r="G639" s="2">
        <v>0.02</v>
      </c>
    </row>
    <row r="640" spans="1:7" x14ac:dyDescent="0.2">
      <c r="A640" s="2">
        <v>201603</v>
      </c>
      <c r="B640" s="2">
        <v>6.96</v>
      </c>
      <c r="C640" s="2">
        <v>1.08</v>
      </c>
      <c r="D640" s="2">
        <v>1.19</v>
      </c>
      <c r="E640" s="2">
        <v>0.76</v>
      </c>
      <c r="F640" s="2">
        <v>-0.04</v>
      </c>
      <c r="G640" s="2">
        <v>0.02</v>
      </c>
    </row>
    <row r="641" spans="1:7" x14ac:dyDescent="0.2">
      <c r="A641" s="2">
        <v>201604</v>
      </c>
      <c r="B641" s="2">
        <v>0.91</v>
      </c>
      <c r="C641" s="2">
        <v>1.22</v>
      </c>
      <c r="D641" s="2">
        <v>3.28</v>
      </c>
      <c r="E641" s="2">
        <v>-2.92</v>
      </c>
      <c r="F641" s="2">
        <v>1.86</v>
      </c>
      <c r="G641" s="2">
        <v>0.01</v>
      </c>
    </row>
    <row r="642" spans="1:7" x14ac:dyDescent="0.2">
      <c r="A642" s="2">
        <v>201605</v>
      </c>
      <c r="B642" s="2">
        <v>1.78</v>
      </c>
      <c r="C642" s="2">
        <v>-0.62</v>
      </c>
      <c r="D642" s="2">
        <v>-1.66</v>
      </c>
      <c r="E642" s="2">
        <v>-1.07</v>
      </c>
      <c r="F642" s="2">
        <v>-2.4900000000000002</v>
      </c>
      <c r="G642" s="2">
        <v>0.01</v>
      </c>
    </row>
    <row r="643" spans="1:7" x14ac:dyDescent="0.2">
      <c r="A643" s="2">
        <v>201606</v>
      </c>
      <c r="B643" s="2">
        <v>-0.05</v>
      </c>
      <c r="C643" s="2">
        <v>0.44</v>
      </c>
      <c r="D643" s="2">
        <v>-1.48</v>
      </c>
      <c r="E643" s="2">
        <v>1.39</v>
      </c>
      <c r="F643" s="2">
        <v>1.91</v>
      </c>
      <c r="G643" s="2">
        <v>0.02</v>
      </c>
    </row>
    <row r="644" spans="1:7" x14ac:dyDescent="0.2">
      <c r="A644" s="2">
        <v>201607</v>
      </c>
      <c r="B644" s="2">
        <v>3.95</v>
      </c>
      <c r="C644" s="2">
        <v>2.4900000000000002</v>
      </c>
      <c r="D644" s="2">
        <v>-1.27</v>
      </c>
      <c r="E644" s="2">
        <v>1.25</v>
      </c>
      <c r="F644" s="2">
        <v>-1.19</v>
      </c>
      <c r="G644" s="2">
        <v>0.02</v>
      </c>
    </row>
    <row r="645" spans="1:7" x14ac:dyDescent="0.2">
      <c r="A645" s="2">
        <v>201608</v>
      </c>
      <c r="B645" s="2">
        <v>0.49</v>
      </c>
      <c r="C645" s="2">
        <v>1.7</v>
      </c>
      <c r="D645" s="2">
        <v>3.13</v>
      </c>
      <c r="E645" s="2">
        <v>-1.88</v>
      </c>
      <c r="F645" s="2">
        <v>-0.34</v>
      </c>
      <c r="G645" s="2">
        <v>0.02</v>
      </c>
    </row>
    <row r="646" spans="1:7" x14ac:dyDescent="0.2">
      <c r="A646" s="2">
        <v>201609</v>
      </c>
      <c r="B646" s="2">
        <v>0.25</v>
      </c>
      <c r="C646" s="2">
        <v>1.86</v>
      </c>
      <c r="D646" s="2">
        <v>-1.23</v>
      </c>
      <c r="E646" s="2">
        <v>-2.23</v>
      </c>
      <c r="F646" s="2">
        <v>0.03</v>
      </c>
      <c r="G646" s="2">
        <v>0.02</v>
      </c>
    </row>
    <row r="647" spans="1:7" x14ac:dyDescent="0.2">
      <c r="A647" s="2">
        <v>201610</v>
      </c>
      <c r="B647" s="2">
        <v>-2.02</v>
      </c>
      <c r="C647" s="2">
        <v>-4.04</v>
      </c>
      <c r="D647" s="2">
        <v>4.12</v>
      </c>
      <c r="E647" s="2">
        <v>0.96</v>
      </c>
      <c r="F647" s="2">
        <v>0.28000000000000003</v>
      </c>
      <c r="G647" s="2">
        <v>0.02</v>
      </c>
    </row>
    <row r="648" spans="1:7" x14ac:dyDescent="0.2">
      <c r="A648" s="2">
        <v>201611</v>
      </c>
      <c r="B648" s="2">
        <v>4.8600000000000003</v>
      </c>
      <c r="C648" s="2">
        <v>7.04</v>
      </c>
      <c r="D648" s="2">
        <v>8.19</v>
      </c>
      <c r="E648" s="2">
        <v>-0.21</v>
      </c>
      <c r="F648" s="2">
        <v>3.69</v>
      </c>
      <c r="G648" s="2">
        <v>0.01</v>
      </c>
    </row>
    <row r="649" spans="1:7" x14ac:dyDescent="0.2">
      <c r="A649" s="2">
        <v>201612</v>
      </c>
      <c r="B649" s="2">
        <v>1.81</v>
      </c>
      <c r="C649" s="2">
        <v>0.39</v>
      </c>
      <c r="D649" s="2">
        <v>3.56</v>
      </c>
      <c r="E649" s="2">
        <v>1.23</v>
      </c>
      <c r="F649" s="2">
        <v>-0.22</v>
      </c>
      <c r="G649" s="2">
        <v>0.03</v>
      </c>
    </row>
    <row r="650" spans="1:7" x14ac:dyDescent="0.2">
      <c r="A650" s="2">
        <v>201701</v>
      </c>
      <c r="B650" s="2">
        <v>1.94</v>
      </c>
      <c r="C650" s="2">
        <v>-1.43</v>
      </c>
      <c r="D650" s="2">
        <v>-2.76</v>
      </c>
      <c r="E650" s="2">
        <v>-0.5</v>
      </c>
      <c r="F650" s="2">
        <v>-0.99</v>
      </c>
      <c r="G650" s="2">
        <v>0.04</v>
      </c>
    </row>
    <row r="651" spans="1:7" x14ac:dyDescent="0.2">
      <c r="A651" s="2">
        <v>201702</v>
      </c>
      <c r="B651" s="2">
        <v>3.57</v>
      </c>
      <c r="C651" s="2">
        <v>-2.21</v>
      </c>
      <c r="D651" s="2">
        <v>-1.68</v>
      </c>
      <c r="E651" s="2">
        <v>0.45</v>
      </c>
      <c r="F651" s="2">
        <v>-1.83</v>
      </c>
      <c r="G651" s="2">
        <v>0.04</v>
      </c>
    </row>
    <row r="652" spans="1:7" x14ac:dyDescent="0.2">
      <c r="A652" s="2">
        <v>201703</v>
      </c>
      <c r="B652" s="2">
        <v>0.17</v>
      </c>
      <c r="C652" s="2">
        <v>0.74</v>
      </c>
      <c r="D652" s="2">
        <v>-3.32</v>
      </c>
      <c r="E652" s="2">
        <v>0.62</v>
      </c>
      <c r="F652" s="2">
        <v>-0.94</v>
      </c>
      <c r="G652" s="2">
        <v>0.03</v>
      </c>
    </row>
    <row r="653" spans="1:7" x14ac:dyDescent="0.2">
      <c r="A653" s="2">
        <v>201704</v>
      </c>
      <c r="B653" s="2">
        <v>1.0900000000000001</v>
      </c>
      <c r="C653" s="2">
        <v>0.47</v>
      </c>
      <c r="D653" s="2">
        <v>-2.1</v>
      </c>
      <c r="E653" s="2">
        <v>1.91</v>
      </c>
      <c r="F653" s="2">
        <v>-1.6</v>
      </c>
      <c r="G653" s="2">
        <v>0.05</v>
      </c>
    </row>
    <row r="654" spans="1:7" x14ac:dyDescent="0.2">
      <c r="A654" s="2">
        <v>201705</v>
      </c>
      <c r="B654" s="2">
        <v>1.06</v>
      </c>
      <c r="C654" s="2">
        <v>-3.03</v>
      </c>
      <c r="D654" s="2">
        <v>-3.78</v>
      </c>
      <c r="E654" s="2">
        <v>0.95</v>
      </c>
      <c r="F654" s="2">
        <v>-1.81</v>
      </c>
      <c r="G654" s="2">
        <v>0.06</v>
      </c>
    </row>
    <row r="655" spans="1:7" x14ac:dyDescent="0.2">
      <c r="A655" s="2">
        <v>201706</v>
      </c>
      <c r="B655" s="2">
        <v>0.78</v>
      </c>
      <c r="C655" s="2">
        <v>2.57</v>
      </c>
      <c r="D655" s="2">
        <v>1.48</v>
      </c>
      <c r="E655" s="2">
        <v>-2.25</v>
      </c>
      <c r="F655" s="2">
        <v>0.01</v>
      </c>
      <c r="G655" s="2">
        <v>0.06</v>
      </c>
    </row>
    <row r="656" spans="1:7" x14ac:dyDescent="0.2">
      <c r="A656" s="2">
        <v>201707</v>
      </c>
      <c r="B656" s="2">
        <v>1.87</v>
      </c>
      <c r="C656" s="2">
        <v>-1.66</v>
      </c>
      <c r="D656" s="2">
        <v>-0.24</v>
      </c>
      <c r="E656" s="2">
        <v>-0.69</v>
      </c>
      <c r="F656" s="2">
        <v>-0.12</v>
      </c>
      <c r="G656" s="2">
        <v>7.0000000000000007E-2</v>
      </c>
    </row>
    <row r="657" spans="1:7" x14ac:dyDescent="0.2">
      <c r="A657" s="2">
        <v>201708</v>
      </c>
      <c r="B657" s="2">
        <v>0.16</v>
      </c>
      <c r="C657" s="2">
        <v>-1.82</v>
      </c>
      <c r="D657" s="2">
        <v>-2.09</v>
      </c>
      <c r="E657" s="2">
        <v>0.15</v>
      </c>
      <c r="F657" s="2">
        <v>-2.37</v>
      </c>
      <c r="G657" s="2">
        <v>0.09</v>
      </c>
    </row>
    <row r="658" spans="1:7" x14ac:dyDescent="0.2">
      <c r="A658" s="2">
        <v>201709</v>
      </c>
      <c r="B658" s="2">
        <v>2.5099999999999998</v>
      </c>
      <c r="C658" s="2">
        <v>4.7699999999999996</v>
      </c>
      <c r="D658" s="2">
        <v>3.12</v>
      </c>
      <c r="E658" s="2">
        <v>-1.46</v>
      </c>
      <c r="F658" s="2">
        <v>1.68</v>
      </c>
      <c r="G658" s="2">
        <v>0.09</v>
      </c>
    </row>
    <row r="659" spans="1:7" x14ac:dyDescent="0.2">
      <c r="A659" s="2">
        <v>201710</v>
      </c>
      <c r="B659" s="2">
        <v>2.25</v>
      </c>
      <c r="C659" s="2">
        <v>-1.93</v>
      </c>
      <c r="D659" s="2">
        <v>0.21</v>
      </c>
      <c r="E659" s="2">
        <v>0.92</v>
      </c>
      <c r="F659" s="2">
        <v>-3.24</v>
      </c>
      <c r="G659" s="2">
        <v>0.09</v>
      </c>
    </row>
    <row r="660" spans="1:7" x14ac:dyDescent="0.2">
      <c r="A660" s="2">
        <v>201711</v>
      </c>
      <c r="B660" s="2">
        <v>3.12</v>
      </c>
      <c r="C660" s="2">
        <v>-0.36</v>
      </c>
      <c r="D660" s="2">
        <v>-0.08</v>
      </c>
      <c r="E660" s="2">
        <v>3.19</v>
      </c>
      <c r="F660" s="2">
        <v>-7.0000000000000007E-2</v>
      </c>
      <c r="G660" s="2">
        <v>0.08</v>
      </c>
    </row>
    <row r="661" spans="1:7" x14ac:dyDescent="0.2">
      <c r="A661" s="2">
        <v>201712</v>
      </c>
      <c r="B661" s="2">
        <v>1.06</v>
      </c>
      <c r="C661" s="2">
        <v>-1.07</v>
      </c>
      <c r="D661" s="2">
        <v>0.05</v>
      </c>
      <c r="E661" s="2">
        <v>0.74</v>
      </c>
      <c r="F661" s="2">
        <v>1.66</v>
      </c>
      <c r="G661" s="2">
        <v>0.09</v>
      </c>
    </row>
    <row r="662" spans="1:7" x14ac:dyDescent="0.2">
      <c r="A662" s="2">
        <v>201801</v>
      </c>
      <c r="B662" s="2">
        <v>5.57</v>
      </c>
      <c r="C662" s="2">
        <v>-3.21</v>
      </c>
      <c r="D662" s="2">
        <v>-1.33</v>
      </c>
      <c r="E662" s="2">
        <v>-0.72</v>
      </c>
      <c r="F662" s="2">
        <v>-1</v>
      </c>
      <c r="G662" s="2">
        <v>0.12</v>
      </c>
    </row>
    <row r="663" spans="1:7" x14ac:dyDescent="0.2">
      <c r="A663" s="2">
        <v>201802</v>
      </c>
      <c r="B663" s="2">
        <v>-3.65</v>
      </c>
      <c r="C663" s="2">
        <v>0.31</v>
      </c>
      <c r="D663" s="2">
        <v>-1.07</v>
      </c>
      <c r="E663" s="2">
        <v>0.54</v>
      </c>
      <c r="F663" s="2">
        <v>-2.39</v>
      </c>
      <c r="G663" s="2">
        <v>0.11</v>
      </c>
    </row>
    <row r="664" spans="1:7" x14ac:dyDescent="0.2">
      <c r="A664" s="2">
        <v>201803</v>
      </c>
      <c r="B664" s="2">
        <v>-2.35</v>
      </c>
      <c r="C664" s="2">
        <v>3.58</v>
      </c>
      <c r="D664" s="2">
        <v>-0.23</v>
      </c>
      <c r="E664" s="2">
        <v>-0.46</v>
      </c>
      <c r="F664" s="2">
        <v>0</v>
      </c>
      <c r="G664" s="2">
        <v>0.11</v>
      </c>
    </row>
    <row r="665" spans="1:7" x14ac:dyDescent="0.2">
      <c r="A665" s="2">
        <v>201804</v>
      </c>
      <c r="B665" s="2">
        <v>0.28000000000000003</v>
      </c>
      <c r="C665" s="2">
        <v>0.93</v>
      </c>
      <c r="D665" s="2">
        <v>0.54</v>
      </c>
      <c r="E665" s="2">
        <v>-2.4300000000000002</v>
      </c>
      <c r="F665" s="2">
        <v>1.27</v>
      </c>
      <c r="G665" s="2">
        <v>0.14000000000000001</v>
      </c>
    </row>
    <row r="666" spans="1:7" x14ac:dyDescent="0.2">
      <c r="A666" s="2">
        <v>201805</v>
      </c>
      <c r="B666" s="2">
        <v>2.65</v>
      </c>
      <c r="C666" s="2">
        <v>4.74</v>
      </c>
      <c r="D666" s="2">
        <v>-3.18</v>
      </c>
      <c r="E666" s="2">
        <v>-2.04</v>
      </c>
      <c r="F666" s="2">
        <v>-1.47</v>
      </c>
      <c r="G666" s="2">
        <v>0.14000000000000001</v>
      </c>
    </row>
    <row r="667" spans="1:7" x14ac:dyDescent="0.2">
      <c r="A667" s="2">
        <v>201806</v>
      </c>
      <c r="B667" s="2">
        <v>0.48</v>
      </c>
      <c r="C667" s="2">
        <v>0.81</v>
      </c>
      <c r="D667" s="2">
        <v>-2.33</v>
      </c>
      <c r="E667" s="2">
        <v>0.79</v>
      </c>
      <c r="F667" s="2">
        <v>0.24</v>
      </c>
      <c r="G667" s="2">
        <v>0.14000000000000001</v>
      </c>
    </row>
    <row r="668" spans="1:7" x14ac:dyDescent="0.2">
      <c r="A668" s="2">
        <v>201807</v>
      </c>
      <c r="B668" s="2">
        <v>3.19</v>
      </c>
      <c r="C668" s="2">
        <v>-1.93</v>
      </c>
      <c r="D668" s="2">
        <v>0.47</v>
      </c>
      <c r="E668" s="2">
        <v>1.56</v>
      </c>
      <c r="F668" s="2">
        <v>0.35</v>
      </c>
      <c r="G668" s="2">
        <v>0.16</v>
      </c>
    </row>
    <row r="669" spans="1:7" x14ac:dyDescent="0.2">
      <c r="A669" s="2">
        <v>201808</v>
      </c>
      <c r="B669" s="2">
        <v>3.44</v>
      </c>
      <c r="C669" s="2">
        <v>0.63</v>
      </c>
      <c r="D669" s="2">
        <v>-3.99</v>
      </c>
      <c r="E669" s="2">
        <v>-0.28999999999999998</v>
      </c>
      <c r="F669" s="2">
        <v>-2.65</v>
      </c>
      <c r="G669" s="2">
        <v>0.16</v>
      </c>
    </row>
    <row r="670" spans="1:7" x14ac:dyDescent="0.2">
      <c r="A670" s="2">
        <v>201809</v>
      </c>
      <c r="B670" s="2">
        <v>0.06</v>
      </c>
      <c r="C670" s="2">
        <v>-2.4900000000000002</v>
      </c>
      <c r="D670" s="2">
        <v>-1.69</v>
      </c>
      <c r="E670" s="2">
        <v>0.64</v>
      </c>
      <c r="F670" s="2">
        <v>1.3</v>
      </c>
      <c r="G670" s="2">
        <v>0.15</v>
      </c>
    </row>
    <row r="671" spans="1:7" x14ac:dyDescent="0.2">
      <c r="A671" s="2">
        <v>201810</v>
      </c>
      <c r="B671" s="2">
        <v>-7.68</v>
      </c>
      <c r="C671" s="2">
        <v>-4.45</v>
      </c>
      <c r="D671" s="2">
        <v>3.44</v>
      </c>
      <c r="E671" s="2">
        <v>0.93</v>
      </c>
      <c r="F671" s="2">
        <v>3.59</v>
      </c>
      <c r="G671" s="2">
        <v>0.19</v>
      </c>
    </row>
    <row r="672" spans="1:7" x14ac:dyDescent="0.2">
      <c r="A672" s="2">
        <v>201811</v>
      </c>
      <c r="B672" s="2">
        <v>1.69</v>
      </c>
      <c r="C672" s="2">
        <v>-0.77</v>
      </c>
      <c r="D672" s="2">
        <v>0.27</v>
      </c>
      <c r="E672" s="2">
        <v>-0.55000000000000004</v>
      </c>
      <c r="F672" s="2">
        <v>0.37</v>
      </c>
      <c r="G672" s="2">
        <v>0.18</v>
      </c>
    </row>
    <row r="673" spans="1:7" x14ac:dyDescent="0.2">
      <c r="A673" s="2">
        <v>201812</v>
      </c>
      <c r="B673" s="2">
        <v>-9.57</v>
      </c>
      <c r="C673" s="2">
        <v>-2.88</v>
      </c>
      <c r="D673" s="2">
        <v>-1.86</v>
      </c>
      <c r="E673" s="2">
        <v>-0.02</v>
      </c>
      <c r="F673" s="2">
        <v>0.22</v>
      </c>
      <c r="G673" s="2">
        <v>0.2</v>
      </c>
    </row>
    <row r="674" spans="1:7" x14ac:dyDescent="0.2">
      <c r="A674" s="2">
        <v>201901</v>
      </c>
      <c r="B674" s="2">
        <v>8.4</v>
      </c>
      <c r="C674" s="2">
        <v>3.02</v>
      </c>
      <c r="D674" s="2">
        <v>-0.45</v>
      </c>
      <c r="E674" s="2">
        <v>-0.79</v>
      </c>
      <c r="F674" s="2">
        <v>-1.51</v>
      </c>
      <c r="G674" s="2">
        <v>0.21</v>
      </c>
    </row>
    <row r="675" spans="1:7" x14ac:dyDescent="0.2">
      <c r="A675" s="2">
        <v>201902</v>
      </c>
      <c r="B675" s="2">
        <v>3.4</v>
      </c>
      <c r="C675" s="2">
        <v>1.74</v>
      </c>
      <c r="D675" s="2">
        <v>-2.68</v>
      </c>
      <c r="E675" s="2">
        <v>0.12</v>
      </c>
      <c r="F675" s="2">
        <v>-1.6</v>
      </c>
      <c r="G675" s="2">
        <v>0.18</v>
      </c>
    </row>
    <row r="676" spans="1:7" x14ac:dyDescent="0.2">
      <c r="A676" s="2">
        <v>201903</v>
      </c>
      <c r="B676" s="2">
        <v>1.1000000000000001</v>
      </c>
      <c r="C676" s="2">
        <v>-3.5</v>
      </c>
      <c r="D676" s="2">
        <v>-4.0999999999999996</v>
      </c>
      <c r="E676" s="2">
        <v>0.89</v>
      </c>
      <c r="F676" s="2">
        <v>-0.96</v>
      </c>
      <c r="G676" s="2">
        <v>0.19</v>
      </c>
    </row>
    <row r="677" spans="1:7" x14ac:dyDescent="0.2">
      <c r="A677" s="2">
        <v>201904</v>
      </c>
      <c r="B677" s="2">
        <v>3.97</v>
      </c>
      <c r="C677" s="2">
        <v>-1.17</v>
      </c>
      <c r="D677" s="2">
        <v>2.14</v>
      </c>
      <c r="E677" s="2">
        <v>1.61</v>
      </c>
      <c r="F677" s="2">
        <v>-2.2000000000000002</v>
      </c>
      <c r="G677" s="2">
        <v>0.21</v>
      </c>
    </row>
    <row r="678" spans="1:7" x14ac:dyDescent="0.2">
      <c r="A678" s="2">
        <v>201905</v>
      </c>
      <c r="B678" s="2">
        <v>-6.94</v>
      </c>
      <c r="C678" s="2">
        <v>-1.58</v>
      </c>
      <c r="D678" s="2">
        <v>-2.34</v>
      </c>
      <c r="E678" s="2">
        <v>-0.47</v>
      </c>
      <c r="F678" s="2">
        <v>1.75</v>
      </c>
      <c r="G678" s="2">
        <v>0.21</v>
      </c>
    </row>
    <row r="679" spans="1:7" x14ac:dyDescent="0.2">
      <c r="A679" s="2">
        <v>201906</v>
      </c>
      <c r="B679" s="2">
        <v>6.93</v>
      </c>
      <c r="C679" s="2">
        <v>0.36</v>
      </c>
      <c r="D679" s="2">
        <v>-0.72</v>
      </c>
      <c r="E679" s="2">
        <v>0.91</v>
      </c>
      <c r="F679" s="2">
        <v>-0.43</v>
      </c>
      <c r="G679" s="2">
        <v>0.18</v>
      </c>
    </row>
    <row r="680" spans="1:7" x14ac:dyDescent="0.2">
      <c r="A680" s="2">
        <v>201907</v>
      </c>
      <c r="B680" s="2">
        <v>1.19</v>
      </c>
      <c r="C680" s="2">
        <v>-1.78</v>
      </c>
      <c r="D680" s="2">
        <v>0.47</v>
      </c>
      <c r="E680" s="2">
        <v>-7.0000000000000007E-2</v>
      </c>
      <c r="F680" s="2">
        <v>0.37</v>
      </c>
      <c r="G680" s="2">
        <v>0.19</v>
      </c>
    </row>
    <row r="681" spans="1:7" x14ac:dyDescent="0.2">
      <c r="A681" s="2">
        <v>201908</v>
      </c>
      <c r="B681" s="2">
        <v>-2.58</v>
      </c>
      <c r="C681" s="2">
        <v>-3.23</v>
      </c>
      <c r="D681" s="2">
        <v>-4.76</v>
      </c>
      <c r="E681" s="2">
        <v>0.55000000000000004</v>
      </c>
      <c r="F681" s="2">
        <v>-0.69</v>
      </c>
      <c r="G681" s="2">
        <v>0.16</v>
      </c>
    </row>
    <row r="682" spans="1:7" x14ac:dyDescent="0.2">
      <c r="A682" s="2">
        <v>201909</v>
      </c>
      <c r="B682" s="2">
        <v>1.43</v>
      </c>
      <c r="C682" s="2">
        <v>0.27</v>
      </c>
      <c r="D682" s="2">
        <v>6.74</v>
      </c>
      <c r="E682" s="2">
        <v>1.84</v>
      </c>
      <c r="F682" s="2">
        <v>3.36</v>
      </c>
      <c r="G682" s="2">
        <v>0.18</v>
      </c>
    </row>
    <row r="683" spans="1:7" x14ac:dyDescent="0.2">
      <c r="A683" s="2">
        <v>201910</v>
      </c>
      <c r="B683" s="2">
        <v>2.06</v>
      </c>
      <c r="C683" s="2">
        <v>0.26</v>
      </c>
      <c r="D683" s="2">
        <v>-1.92</v>
      </c>
      <c r="E683" s="2">
        <v>0.44</v>
      </c>
      <c r="F683" s="2">
        <v>-0.96</v>
      </c>
      <c r="G683" s="2">
        <v>0.16</v>
      </c>
    </row>
    <row r="684" spans="1:7" x14ac:dyDescent="0.2">
      <c r="A684" s="2">
        <v>201911</v>
      </c>
      <c r="B684" s="2">
        <v>3.87</v>
      </c>
      <c r="C684" s="2">
        <v>0.44</v>
      </c>
      <c r="D684" s="2">
        <v>-2.0099999999999998</v>
      </c>
      <c r="E684" s="2">
        <v>-1.59</v>
      </c>
      <c r="F684" s="2">
        <v>-1.25</v>
      </c>
      <c r="G684" s="2">
        <v>0.12</v>
      </c>
    </row>
    <row r="685" spans="1:7" x14ac:dyDescent="0.2">
      <c r="A685" s="2">
        <v>201912</v>
      </c>
      <c r="B685" s="2">
        <v>2.77</v>
      </c>
      <c r="C685" s="2">
        <v>0.97</v>
      </c>
      <c r="D685" s="2">
        <v>1.76</v>
      </c>
      <c r="E685" s="2">
        <v>0</v>
      </c>
      <c r="F685" s="2">
        <v>1.23</v>
      </c>
      <c r="G685" s="2">
        <v>0.14000000000000001</v>
      </c>
    </row>
    <row r="686" spans="1:7" x14ac:dyDescent="0.2">
      <c r="A686" s="2">
        <v>202001</v>
      </c>
      <c r="B686" s="2">
        <v>-0.11</v>
      </c>
      <c r="C686" s="2">
        <v>-4.37</v>
      </c>
      <c r="D686" s="2">
        <v>-6.22</v>
      </c>
      <c r="E686" s="2">
        <v>-1.18</v>
      </c>
      <c r="F686" s="2">
        <v>-2.3199999999999998</v>
      </c>
      <c r="G686" s="2">
        <v>0.13</v>
      </c>
    </row>
    <row r="687" spans="1:7" x14ac:dyDescent="0.2">
      <c r="A687" s="2">
        <v>202002</v>
      </c>
      <c r="B687" s="2">
        <v>-8.1300000000000008</v>
      </c>
      <c r="C687" s="2">
        <v>0.03</v>
      </c>
      <c r="D687" s="2">
        <v>-3.79</v>
      </c>
      <c r="E687" s="2">
        <v>-1.47</v>
      </c>
      <c r="F687" s="2">
        <v>-2.5099999999999998</v>
      </c>
      <c r="G687" s="2">
        <v>0.12</v>
      </c>
    </row>
    <row r="688" spans="1:7" x14ac:dyDescent="0.2">
      <c r="A688" s="2">
        <v>202003</v>
      </c>
      <c r="B688" s="2">
        <v>-13.39</v>
      </c>
      <c r="C688" s="2">
        <v>-8.31</v>
      </c>
      <c r="D688" s="2">
        <v>-13.97</v>
      </c>
      <c r="E688" s="2">
        <v>-1.5</v>
      </c>
      <c r="F688" s="2">
        <v>1.26</v>
      </c>
      <c r="G688" s="2">
        <v>0.13</v>
      </c>
    </row>
    <row r="689" spans="1:7" x14ac:dyDescent="0.2">
      <c r="A689" s="2">
        <v>202004</v>
      </c>
      <c r="B689" s="2">
        <v>13.65</v>
      </c>
      <c r="C689" s="2">
        <v>2.59</v>
      </c>
      <c r="D689" s="2">
        <v>-1.23</v>
      </c>
      <c r="E689" s="2">
        <v>2.7</v>
      </c>
      <c r="F689" s="2">
        <v>-1.01</v>
      </c>
      <c r="G689" s="2">
        <v>0</v>
      </c>
    </row>
    <row r="690" spans="1:7" x14ac:dyDescent="0.2">
      <c r="A690" s="2">
        <v>202005</v>
      </c>
      <c r="B690" s="2">
        <v>5.58</v>
      </c>
      <c r="C690" s="2">
        <v>1.98</v>
      </c>
      <c r="D690" s="2">
        <v>-4.8899999999999997</v>
      </c>
      <c r="E690" s="2">
        <v>0.95</v>
      </c>
      <c r="F690" s="2">
        <v>-3.25</v>
      </c>
      <c r="G690" s="2">
        <v>0.01</v>
      </c>
    </row>
    <row r="691" spans="1:7" x14ac:dyDescent="0.2">
      <c r="A691" s="2">
        <v>202006</v>
      </c>
      <c r="B691" s="2">
        <v>2.46</v>
      </c>
      <c r="C691" s="2">
        <v>1.97</v>
      </c>
      <c r="D691" s="2">
        <v>-2.17</v>
      </c>
      <c r="E691" s="2">
        <v>0.09</v>
      </c>
      <c r="F691" s="2">
        <v>0.53</v>
      </c>
      <c r="G691" s="2">
        <v>0.01</v>
      </c>
    </row>
    <row r="692" spans="1:7" x14ac:dyDescent="0.2">
      <c r="A692" s="2">
        <v>202007</v>
      </c>
      <c r="B692" s="2">
        <v>5.77</v>
      </c>
      <c r="C692" s="2">
        <v>-3.2</v>
      </c>
      <c r="D692" s="2">
        <v>-1.38</v>
      </c>
      <c r="E692" s="2">
        <v>0.41</v>
      </c>
      <c r="F692" s="2">
        <v>0.96</v>
      </c>
      <c r="G692" s="2">
        <v>0.01</v>
      </c>
    </row>
    <row r="693" spans="1:7" x14ac:dyDescent="0.2">
      <c r="A693" s="2">
        <v>202008</v>
      </c>
      <c r="B693" s="2">
        <v>7.63</v>
      </c>
      <c r="C693" s="2">
        <v>-0.89</v>
      </c>
      <c r="D693" s="2">
        <v>-2.95</v>
      </c>
      <c r="E693" s="2">
        <v>4.26</v>
      </c>
      <c r="F693" s="2">
        <v>-1.2</v>
      </c>
      <c r="G693" s="2">
        <v>0.01</v>
      </c>
    </row>
    <row r="694" spans="1:7" x14ac:dyDescent="0.2">
      <c r="A694" s="2">
        <v>202009</v>
      </c>
      <c r="B694" s="2">
        <v>-3.63</v>
      </c>
      <c r="C694" s="2">
        <v>0.02</v>
      </c>
      <c r="D694" s="2">
        <v>-2.68</v>
      </c>
      <c r="E694" s="2">
        <v>-1.4</v>
      </c>
      <c r="F694" s="2">
        <v>-1.89</v>
      </c>
      <c r="G694" s="2">
        <v>0.01</v>
      </c>
    </row>
    <row r="695" spans="1:7" x14ac:dyDescent="0.2">
      <c r="A695" s="2">
        <v>202010</v>
      </c>
      <c r="B695" s="2">
        <v>-2.1</v>
      </c>
      <c r="C695" s="2">
        <v>4.6399999999999997</v>
      </c>
      <c r="D695" s="2">
        <v>4.21</v>
      </c>
      <c r="E695" s="2">
        <v>-0.75</v>
      </c>
      <c r="F695" s="2">
        <v>-0.76</v>
      </c>
      <c r="G695" s="2">
        <v>0.01</v>
      </c>
    </row>
    <row r="696" spans="1:7" x14ac:dyDescent="0.2">
      <c r="A696" s="2">
        <v>202011</v>
      </c>
      <c r="B696" s="2">
        <v>12.47</v>
      </c>
      <c r="C696" s="2">
        <v>7.12</v>
      </c>
      <c r="D696" s="2">
        <v>2.14</v>
      </c>
      <c r="E696" s="2">
        <v>-2.21</v>
      </c>
      <c r="F696" s="2">
        <v>1.37</v>
      </c>
      <c r="G696" s="2">
        <v>0.01</v>
      </c>
    </row>
    <row r="697" spans="1:7" x14ac:dyDescent="0.2">
      <c r="A697" s="2">
        <v>202012</v>
      </c>
      <c r="B697" s="2">
        <v>4.63</v>
      </c>
      <c r="C697" s="2">
        <v>4.79</v>
      </c>
      <c r="D697" s="2">
        <v>-1.51</v>
      </c>
      <c r="E697" s="2">
        <v>-1.98</v>
      </c>
      <c r="F697" s="2">
        <v>-0.11</v>
      </c>
      <c r="G697" s="2">
        <v>0.01</v>
      </c>
    </row>
    <row r="698" spans="1:7" x14ac:dyDescent="0.2">
      <c r="A698" s="2">
        <v>202101</v>
      </c>
      <c r="B698" s="2">
        <v>-0.03</v>
      </c>
      <c r="C698" s="2">
        <v>6.91</v>
      </c>
      <c r="D698" s="2">
        <v>2.96</v>
      </c>
      <c r="E698" s="2">
        <v>-3.8</v>
      </c>
      <c r="F698" s="2">
        <v>4.9000000000000004</v>
      </c>
      <c r="G698" s="2">
        <v>0.01</v>
      </c>
    </row>
    <row r="699" spans="1:7" x14ac:dyDescent="0.2">
      <c r="A699" s="2">
        <v>202102</v>
      </c>
      <c r="B699" s="2">
        <v>2.78</v>
      </c>
      <c r="C699" s="2">
        <v>4.53</v>
      </c>
      <c r="D699" s="2">
        <v>7.18</v>
      </c>
      <c r="E699" s="2">
        <v>0.3</v>
      </c>
      <c r="F699" s="2">
        <v>-1.94</v>
      </c>
      <c r="G699" s="2">
        <v>0</v>
      </c>
    </row>
    <row r="700" spans="1:7" x14ac:dyDescent="0.2">
      <c r="A700" s="2">
        <v>202103</v>
      </c>
      <c r="B700" s="2">
        <v>3.08</v>
      </c>
      <c r="C700" s="2">
        <v>-0.86</v>
      </c>
      <c r="D700" s="2">
        <v>7.4</v>
      </c>
      <c r="E700" s="2">
        <v>6.46</v>
      </c>
      <c r="F700" s="2">
        <v>3.41</v>
      </c>
      <c r="G700" s="2">
        <v>0</v>
      </c>
    </row>
    <row r="701" spans="1:7" x14ac:dyDescent="0.2">
      <c r="A701" s="2">
        <v>202104</v>
      </c>
      <c r="B701" s="2">
        <v>4.93</v>
      </c>
      <c r="C701" s="2">
        <v>-3.15</v>
      </c>
      <c r="D701" s="2">
        <v>-0.94</v>
      </c>
      <c r="E701" s="2">
        <v>2.48</v>
      </c>
      <c r="F701" s="2">
        <v>-2.69</v>
      </c>
      <c r="G701" s="2">
        <v>0</v>
      </c>
    </row>
    <row r="702" spans="1:7" x14ac:dyDescent="0.2">
      <c r="A702" s="2">
        <v>202105</v>
      </c>
      <c r="B702" s="2">
        <v>0.28999999999999998</v>
      </c>
      <c r="C702" s="2">
        <v>1.23</v>
      </c>
      <c r="D702" s="2">
        <v>7.08</v>
      </c>
      <c r="E702" s="2">
        <v>2.5299999999999998</v>
      </c>
      <c r="F702" s="2">
        <v>3.01</v>
      </c>
      <c r="G702" s="2">
        <v>0</v>
      </c>
    </row>
    <row r="703" spans="1:7" x14ac:dyDescent="0.2">
      <c r="A703" s="2">
        <v>202106</v>
      </c>
      <c r="B703" s="2">
        <v>2.75</v>
      </c>
      <c r="C703" s="2">
        <v>-0.34</v>
      </c>
      <c r="D703" s="2">
        <v>-7.82</v>
      </c>
      <c r="E703" s="2">
        <v>-2.1800000000000002</v>
      </c>
      <c r="F703" s="2">
        <v>-0.95</v>
      </c>
      <c r="G703" s="2">
        <v>0</v>
      </c>
    </row>
    <row r="704" spans="1:7" x14ac:dyDescent="0.2">
      <c r="A704" s="2">
        <v>202107</v>
      </c>
      <c r="B704" s="2">
        <v>1.27</v>
      </c>
      <c r="C704" s="2">
        <v>-4.62</v>
      </c>
      <c r="D704" s="2">
        <v>-1.76</v>
      </c>
      <c r="E704" s="2">
        <v>5.49</v>
      </c>
      <c r="F704" s="2">
        <v>-0.48</v>
      </c>
      <c r="G704" s="2">
        <v>0</v>
      </c>
    </row>
    <row r="705" spans="1:7" x14ac:dyDescent="0.2">
      <c r="A705" s="2">
        <v>202108</v>
      </c>
      <c r="B705" s="2">
        <v>2.91</v>
      </c>
      <c r="C705" s="2">
        <v>-0.67</v>
      </c>
      <c r="D705" s="2">
        <v>-0.16</v>
      </c>
      <c r="E705" s="2">
        <v>-0.3</v>
      </c>
      <c r="F705" s="2">
        <v>-1.76</v>
      </c>
      <c r="G705" s="2">
        <v>0</v>
      </c>
    </row>
    <row r="706" spans="1:7" x14ac:dyDescent="0.2">
      <c r="A706" s="2">
        <v>202109</v>
      </c>
      <c r="B706" s="2">
        <v>-4.37</v>
      </c>
      <c r="C706" s="2">
        <v>1.1399999999999999</v>
      </c>
      <c r="D706" s="2">
        <v>5.08</v>
      </c>
      <c r="E706" s="2">
        <v>-1.9</v>
      </c>
      <c r="F706" s="2">
        <v>2.14</v>
      </c>
      <c r="G706" s="2">
        <v>0</v>
      </c>
    </row>
    <row r="707" spans="1:7" x14ac:dyDescent="0.2">
      <c r="A707" s="2">
        <v>202110</v>
      </c>
      <c r="B707" s="2">
        <v>6.65</v>
      </c>
      <c r="C707" s="2">
        <v>-2.7</v>
      </c>
      <c r="D707" s="2">
        <v>-0.48</v>
      </c>
      <c r="E707" s="2">
        <v>1.68</v>
      </c>
      <c r="F707" s="2">
        <v>-1.44</v>
      </c>
      <c r="G707" s="2">
        <v>0</v>
      </c>
    </row>
    <row r="708" spans="1:7" x14ac:dyDescent="0.2">
      <c r="A708" s="2">
        <v>202111</v>
      </c>
      <c r="B708" s="2">
        <v>-1.55</v>
      </c>
      <c r="C708" s="2">
        <v>-1.76</v>
      </c>
      <c r="D708" s="2">
        <v>-0.44</v>
      </c>
      <c r="E708" s="2">
        <v>7.22</v>
      </c>
      <c r="F708" s="2">
        <v>1.74</v>
      </c>
      <c r="G708" s="2">
        <v>0</v>
      </c>
    </row>
    <row r="709" spans="1:7" x14ac:dyDescent="0.2">
      <c r="A709" s="2">
        <v>202112</v>
      </c>
      <c r="B709" s="2">
        <v>3.1</v>
      </c>
      <c r="C709" s="2">
        <v>-0.77</v>
      </c>
      <c r="D709" s="2">
        <v>3.28</v>
      </c>
      <c r="E709" s="2">
        <v>4.92</v>
      </c>
      <c r="F709" s="2">
        <v>4.43</v>
      </c>
      <c r="G709" s="2">
        <v>0.01</v>
      </c>
    </row>
    <row r="710" spans="1:7" x14ac:dyDescent="0.2">
      <c r="A710" s="2">
        <v>202201</v>
      </c>
      <c r="B710" s="2">
        <v>-6.25</v>
      </c>
      <c r="C710" s="2">
        <v>-4.05</v>
      </c>
      <c r="D710" s="2">
        <v>12.75</v>
      </c>
      <c r="E710" s="2">
        <v>0.87</v>
      </c>
      <c r="F710" s="2">
        <v>7.71</v>
      </c>
      <c r="G710" s="2">
        <v>0</v>
      </c>
    </row>
    <row r="711" spans="1:7" x14ac:dyDescent="0.2">
      <c r="A711" s="2">
        <v>202202</v>
      </c>
      <c r="B711" s="2">
        <v>-2.29</v>
      </c>
      <c r="C711" s="2">
        <v>2.96</v>
      </c>
      <c r="D711" s="2">
        <v>3.04</v>
      </c>
      <c r="E711" s="2">
        <v>-2.08</v>
      </c>
      <c r="F711" s="2">
        <v>3.13</v>
      </c>
      <c r="G711" s="2">
        <v>0</v>
      </c>
    </row>
    <row r="712" spans="1:7" x14ac:dyDescent="0.2">
      <c r="A712" s="2">
        <v>202203</v>
      </c>
      <c r="B712" s="2">
        <v>3.05</v>
      </c>
      <c r="C712" s="2">
        <v>-2.15</v>
      </c>
      <c r="D712" s="2">
        <v>-1.8</v>
      </c>
      <c r="E712" s="2">
        <v>-1.56</v>
      </c>
      <c r="F712" s="2">
        <v>3.17</v>
      </c>
      <c r="G712" s="2">
        <v>0.01</v>
      </c>
    </row>
    <row r="713" spans="1:7" x14ac:dyDescent="0.2">
      <c r="A713" s="2">
        <v>202204</v>
      </c>
      <c r="B713" s="2">
        <v>-9.4600000000000009</v>
      </c>
      <c r="C713" s="2">
        <v>-0.4</v>
      </c>
      <c r="D713" s="2">
        <v>6.19</v>
      </c>
      <c r="E713" s="2">
        <v>3.63</v>
      </c>
      <c r="F713" s="2">
        <v>5.92</v>
      </c>
      <c r="G713" s="2">
        <v>0.01</v>
      </c>
    </row>
    <row r="714" spans="1:7" x14ac:dyDescent="0.2">
      <c r="A714" s="2">
        <v>202205</v>
      </c>
      <c r="B714" s="2">
        <v>-0.34</v>
      </c>
      <c r="C714" s="2">
        <v>-0.06</v>
      </c>
      <c r="D714" s="2">
        <v>8.41</v>
      </c>
      <c r="E714" s="2">
        <v>1.44</v>
      </c>
      <c r="F714" s="2">
        <v>3.98</v>
      </c>
      <c r="G714" s="2">
        <v>0.03</v>
      </c>
    </row>
    <row r="715" spans="1:7" x14ac:dyDescent="0.2">
      <c r="A715" s="2">
        <v>202206</v>
      </c>
      <c r="B715" s="2">
        <v>-8.43</v>
      </c>
      <c r="C715" s="2">
        <v>1.3</v>
      </c>
      <c r="D715" s="2">
        <v>-5.97</v>
      </c>
      <c r="E715" s="2">
        <v>1.86</v>
      </c>
      <c r="F715" s="2">
        <v>-4.7</v>
      </c>
      <c r="G715" s="2">
        <v>0.06</v>
      </c>
    </row>
    <row r="716" spans="1:7" x14ac:dyDescent="0.2">
      <c r="A716" s="2">
        <v>202207</v>
      </c>
      <c r="B716" s="2">
        <v>9.57</v>
      </c>
      <c r="C716" s="2">
        <v>1.87</v>
      </c>
      <c r="D716" s="2">
        <v>-4.0999999999999996</v>
      </c>
      <c r="E716" s="2">
        <v>0.68</v>
      </c>
      <c r="F716" s="2">
        <v>-6.94</v>
      </c>
      <c r="G716" s="2">
        <v>0.08</v>
      </c>
    </row>
    <row r="717" spans="1:7" x14ac:dyDescent="0.2">
      <c r="A717" s="2">
        <v>202208</v>
      </c>
      <c r="B717" s="2">
        <v>-3.77</v>
      </c>
      <c r="C717" s="2">
        <v>1.51</v>
      </c>
      <c r="D717" s="2">
        <v>0.31</v>
      </c>
      <c r="E717" s="2">
        <v>-4.8</v>
      </c>
      <c r="F717" s="2">
        <v>1.3</v>
      </c>
      <c r="G717" s="2">
        <v>0.19</v>
      </c>
    </row>
    <row r="718" spans="1:7" x14ac:dyDescent="0.2">
      <c r="A718" s="2">
        <v>202209</v>
      </c>
      <c r="B718" s="2">
        <v>-9.35</v>
      </c>
      <c r="C718" s="2">
        <v>-1</v>
      </c>
      <c r="D718" s="2">
        <v>0.03</v>
      </c>
      <c r="E718" s="2">
        <v>-1.5</v>
      </c>
      <c r="F718" s="2">
        <v>-0.85</v>
      </c>
      <c r="G718" s="2">
        <v>0.19</v>
      </c>
    </row>
    <row r="719" spans="1:7" x14ac:dyDescent="0.2">
      <c r="A719" s="2">
        <v>202210</v>
      </c>
      <c r="B719" s="2">
        <v>7.83</v>
      </c>
      <c r="C719" s="2">
        <v>1.87</v>
      </c>
      <c r="D719" s="2">
        <v>8.0500000000000007</v>
      </c>
      <c r="E719" s="2">
        <v>3.07</v>
      </c>
      <c r="F719" s="2">
        <v>6.56</v>
      </c>
      <c r="G719" s="2">
        <v>0.23</v>
      </c>
    </row>
    <row r="720" spans="1:7" x14ac:dyDescent="0.2">
      <c r="A720" s="2">
        <v>202211</v>
      </c>
      <c r="B720" s="2">
        <v>4.5999999999999996</v>
      </c>
      <c r="C720" s="2">
        <v>-2.68</v>
      </c>
      <c r="D720" s="2">
        <v>1.39</v>
      </c>
      <c r="E720" s="2">
        <v>6.02</v>
      </c>
      <c r="F720" s="2">
        <v>3.11</v>
      </c>
      <c r="G720" s="2">
        <v>0.28999999999999998</v>
      </c>
    </row>
    <row r="721" spans="1:7" x14ac:dyDescent="0.2">
      <c r="A721" s="2">
        <v>202212</v>
      </c>
      <c r="B721" s="2">
        <v>-6.41</v>
      </c>
      <c r="C721" s="2">
        <v>-0.13</v>
      </c>
      <c r="D721" s="2">
        <v>1.36</v>
      </c>
      <c r="E721" s="2">
        <v>0.08</v>
      </c>
      <c r="F721" s="2">
        <v>4.18</v>
      </c>
      <c r="G721" s="2">
        <v>0.33</v>
      </c>
    </row>
    <row r="723" spans="1:7" x14ac:dyDescent="0.2">
      <c r="A723" s="2" t="s">
        <v>24</v>
      </c>
    </row>
    <row r="724" spans="1:7" x14ac:dyDescent="0.2">
      <c r="B724" s="2" t="s">
        <v>18</v>
      </c>
      <c r="C724" s="2" t="s">
        <v>19</v>
      </c>
      <c r="D724" s="2" t="s">
        <v>20</v>
      </c>
      <c r="E724" s="2" t="s">
        <v>21</v>
      </c>
      <c r="F724" s="2" t="s">
        <v>22</v>
      </c>
      <c r="G724" s="2" t="s">
        <v>23</v>
      </c>
    </row>
    <row r="725" spans="1:7" x14ac:dyDescent="0.2">
      <c r="A725" s="2">
        <v>1964</v>
      </c>
      <c r="B725" s="2">
        <v>12.54</v>
      </c>
      <c r="C725" s="2">
        <v>0.47</v>
      </c>
      <c r="D725" s="2">
        <v>9.7200000000000006</v>
      </c>
      <c r="E725" s="2">
        <v>-3.34</v>
      </c>
      <c r="F725" s="2">
        <v>6.87</v>
      </c>
      <c r="G725" s="2">
        <v>3.54</v>
      </c>
    </row>
    <row r="726" spans="1:7" x14ac:dyDescent="0.2">
      <c r="A726" s="2">
        <v>1965</v>
      </c>
      <c r="B726" s="2">
        <v>10.52</v>
      </c>
      <c r="C726" s="2">
        <v>24.45</v>
      </c>
      <c r="D726" s="2">
        <v>7.11</v>
      </c>
      <c r="E726" s="2">
        <v>-0.93</v>
      </c>
      <c r="F726" s="2">
        <v>-3.38</v>
      </c>
      <c r="G726" s="2">
        <v>3.93</v>
      </c>
    </row>
    <row r="727" spans="1:7" x14ac:dyDescent="0.2">
      <c r="A727" s="2">
        <v>1966</v>
      </c>
      <c r="B727" s="2">
        <v>-13.51</v>
      </c>
      <c r="C727" s="2">
        <v>2.37</v>
      </c>
      <c r="D727" s="2">
        <v>-0.86</v>
      </c>
      <c r="E727" s="2">
        <v>0</v>
      </c>
      <c r="F727" s="2">
        <v>-0.79</v>
      </c>
      <c r="G727" s="2">
        <v>4.76</v>
      </c>
    </row>
    <row r="728" spans="1:7" x14ac:dyDescent="0.2">
      <c r="A728" s="2">
        <v>1967</v>
      </c>
      <c r="B728" s="2">
        <v>24.49</v>
      </c>
      <c r="C728" s="2">
        <v>50.51</v>
      </c>
      <c r="D728" s="2">
        <v>-8.14</v>
      </c>
      <c r="E728" s="2">
        <v>7.9</v>
      </c>
      <c r="F728" s="2">
        <v>-15.31</v>
      </c>
      <c r="G728" s="2">
        <v>4.21</v>
      </c>
    </row>
    <row r="729" spans="1:7" x14ac:dyDescent="0.2">
      <c r="A729" s="2">
        <v>1968</v>
      </c>
      <c r="B729" s="2">
        <v>8.7899999999999991</v>
      </c>
      <c r="C729" s="2">
        <v>25.96</v>
      </c>
      <c r="D729" s="2">
        <v>18.559999999999999</v>
      </c>
      <c r="E729" s="2">
        <v>-13.6</v>
      </c>
      <c r="F729" s="2">
        <v>16.53</v>
      </c>
      <c r="G729" s="2">
        <v>5.21</v>
      </c>
    </row>
    <row r="730" spans="1:7" x14ac:dyDescent="0.2">
      <c r="A730" s="2">
        <v>1969</v>
      </c>
      <c r="B730" s="2">
        <v>-17.54</v>
      </c>
      <c r="C730" s="2">
        <v>-14.09</v>
      </c>
      <c r="D730" s="2">
        <v>-10.050000000000001</v>
      </c>
      <c r="E730" s="2">
        <v>11.82</v>
      </c>
      <c r="F730" s="2">
        <v>-4.17</v>
      </c>
      <c r="G730" s="2">
        <v>6.58</v>
      </c>
    </row>
    <row r="731" spans="1:7" x14ac:dyDescent="0.2">
      <c r="A731" s="2">
        <v>1970</v>
      </c>
      <c r="B731" s="2">
        <v>-6.49</v>
      </c>
      <c r="C731" s="2">
        <v>-12.57</v>
      </c>
      <c r="D731" s="2">
        <v>21.52</v>
      </c>
      <c r="E731" s="2">
        <v>-3.05</v>
      </c>
      <c r="F731" s="2">
        <v>24.61</v>
      </c>
      <c r="G731" s="2">
        <v>6.52</v>
      </c>
    </row>
    <row r="732" spans="1:7" x14ac:dyDescent="0.2">
      <c r="A732" s="2">
        <v>1971</v>
      </c>
      <c r="B732" s="2">
        <v>11.78</v>
      </c>
      <c r="C732" s="2">
        <v>6.02</v>
      </c>
      <c r="D732" s="2">
        <v>-11.3</v>
      </c>
      <c r="E732" s="2">
        <v>10.45</v>
      </c>
      <c r="F732" s="2">
        <v>-5.61</v>
      </c>
      <c r="G732" s="2">
        <v>4.3899999999999997</v>
      </c>
    </row>
    <row r="733" spans="1:7" x14ac:dyDescent="0.2">
      <c r="A733" s="2">
        <v>1972</v>
      </c>
      <c r="B733" s="2">
        <v>13.05</v>
      </c>
      <c r="C733" s="2">
        <v>-11.76</v>
      </c>
      <c r="D733" s="2">
        <v>1.8</v>
      </c>
      <c r="E733" s="2">
        <v>8.2799999999999994</v>
      </c>
      <c r="F733" s="2">
        <v>-3.13</v>
      </c>
      <c r="G733" s="2">
        <v>3.84</v>
      </c>
    </row>
    <row r="734" spans="1:7" x14ac:dyDescent="0.2">
      <c r="A734" s="2">
        <v>1973</v>
      </c>
      <c r="B734" s="2">
        <v>-26.18</v>
      </c>
      <c r="C734" s="2">
        <v>-20.18</v>
      </c>
      <c r="D734" s="2">
        <v>17.47</v>
      </c>
      <c r="E734" s="2">
        <v>-8.76</v>
      </c>
      <c r="F734" s="2">
        <v>7.18</v>
      </c>
      <c r="G734" s="2">
        <v>6.93</v>
      </c>
    </row>
    <row r="735" spans="1:7" x14ac:dyDescent="0.2">
      <c r="A735" s="2">
        <v>1974</v>
      </c>
      <c r="B735" s="2">
        <v>-35.75</v>
      </c>
      <c r="C735" s="2">
        <v>0.56000000000000005</v>
      </c>
      <c r="D735" s="2">
        <v>9.9600000000000009</v>
      </c>
      <c r="E735" s="2">
        <v>-4.43</v>
      </c>
      <c r="F735" s="2">
        <v>22.74</v>
      </c>
      <c r="G735" s="2">
        <v>8</v>
      </c>
    </row>
    <row r="736" spans="1:7" x14ac:dyDescent="0.2">
      <c r="A736" s="2">
        <v>1975</v>
      </c>
      <c r="B736" s="2">
        <v>32.44</v>
      </c>
      <c r="C736" s="2">
        <v>19.13</v>
      </c>
      <c r="D736" s="2">
        <v>9.14</v>
      </c>
      <c r="E736" s="2">
        <v>0.92</v>
      </c>
      <c r="F736" s="2">
        <v>0.4</v>
      </c>
      <c r="G736" s="2">
        <v>5.8</v>
      </c>
    </row>
    <row r="737" spans="1:7" x14ac:dyDescent="0.2">
      <c r="A737" s="2">
        <v>1976</v>
      </c>
      <c r="B737" s="2">
        <v>21.91</v>
      </c>
      <c r="C737" s="2">
        <v>19.920000000000002</v>
      </c>
      <c r="D737" s="2">
        <v>24.38</v>
      </c>
      <c r="E737" s="2">
        <v>-6.53</v>
      </c>
      <c r="F737" s="2">
        <v>7.42</v>
      </c>
      <c r="G737" s="2">
        <v>5.08</v>
      </c>
    </row>
    <row r="738" spans="1:7" x14ac:dyDescent="0.2">
      <c r="A738" s="2">
        <v>1977</v>
      </c>
      <c r="B738" s="2">
        <v>-8.26</v>
      </c>
      <c r="C738" s="2">
        <v>24.48</v>
      </c>
      <c r="D738" s="2">
        <v>7.46</v>
      </c>
      <c r="E738" s="2">
        <v>2.4300000000000002</v>
      </c>
      <c r="F738" s="2">
        <v>-0.01</v>
      </c>
      <c r="G738" s="2">
        <v>5.12</v>
      </c>
    </row>
    <row r="739" spans="1:7" x14ac:dyDescent="0.2">
      <c r="A739" s="2">
        <v>1978</v>
      </c>
      <c r="B739" s="2">
        <v>1.03</v>
      </c>
      <c r="C739" s="2">
        <v>13.77</v>
      </c>
      <c r="D739" s="2">
        <v>0.67</v>
      </c>
      <c r="E739" s="2">
        <v>4.97</v>
      </c>
      <c r="F739" s="2">
        <v>4.2300000000000004</v>
      </c>
      <c r="G739" s="2">
        <v>7.18</v>
      </c>
    </row>
    <row r="740" spans="1:7" x14ac:dyDescent="0.2">
      <c r="A740" s="2">
        <v>1979</v>
      </c>
      <c r="B740" s="2">
        <v>13.09</v>
      </c>
      <c r="C740" s="2">
        <v>21.05</v>
      </c>
      <c r="D740" s="2">
        <v>-2.33</v>
      </c>
      <c r="E740" s="2">
        <v>-3.28</v>
      </c>
      <c r="F740" s="2">
        <v>-1.66</v>
      </c>
      <c r="G740" s="2">
        <v>10.38</v>
      </c>
    </row>
    <row r="741" spans="1:7" x14ac:dyDescent="0.2">
      <c r="A741" s="2">
        <v>1980</v>
      </c>
      <c r="B741" s="2">
        <v>22.13</v>
      </c>
      <c r="C741" s="2">
        <v>4.84</v>
      </c>
      <c r="D741" s="2">
        <v>-24.61</v>
      </c>
      <c r="E741" s="2">
        <v>13.83</v>
      </c>
      <c r="F741" s="2">
        <v>-12.35</v>
      </c>
      <c r="G741" s="2">
        <v>11.24</v>
      </c>
    </row>
    <row r="742" spans="1:7" x14ac:dyDescent="0.2">
      <c r="A742" s="2">
        <v>1981</v>
      </c>
      <c r="B742" s="2">
        <v>-18.13</v>
      </c>
      <c r="C742" s="2">
        <v>7.3</v>
      </c>
      <c r="D742" s="2">
        <v>25.04</v>
      </c>
      <c r="E742" s="2">
        <v>-1.42</v>
      </c>
      <c r="F742" s="2">
        <v>10.84</v>
      </c>
      <c r="G742" s="2">
        <v>14.71</v>
      </c>
    </row>
    <row r="743" spans="1:7" x14ac:dyDescent="0.2">
      <c r="A743" s="2">
        <v>1982</v>
      </c>
      <c r="B743" s="2">
        <v>10.66</v>
      </c>
      <c r="C743" s="2">
        <v>7.24</v>
      </c>
      <c r="D743" s="2">
        <v>13.29</v>
      </c>
      <c r="E743" s="2">
        <v>-4.2300000000000004</v>
      </c>
      <c r="F743" s="2">
        <v>17.71</v>
      </c>
      <c r="G743" s="2">
        <v>10.54</v>
      </c>
    </row>
    <row r="744" spans="1:7" x14ac:dyDescent="0.2">
      <c r="A744" s="2">
        <v>1983</v>
      </c>
      <c r="B744" s="2">
        <v>13.75</v>
      </c>
      <c r="C744" s="2">
        <v>12.21</v>
      </c>
      <c r="D744" s="2">
        <v>20.52</v>
      </c>
      <c r="E744" s="2">
        <v>0.59</v>
      </c>
      <c r="F744" s="2">
        <v>15.98</v>
      </c>
      <c r="G744" s="2">
        <v>8.8000000000000007</v>
      </c>
    </row>
    <row r="745" spans="1:7" x14ac:dyDescent="0.2">
      <c r="A745" s="2">
        <v>1984</v>
      </c>
      <c r="B745" s="2">
        <v>-6.05</v>
      </c>
      <c r="C745" s="2">
        <v>-8.27</v>
      </c>
      <c r="D745" s="2">
        <v>19.13</v>
      </c>
      <c r="E745" s="2">
        <v>15.18</v>
      </c>
      <c r="F745" s="2">
        <v>3.64</v>
      </c>
      <c r="G745" s="2">
        <v>9.85</v>
      </c>
    </row>
    <row r="746" spans="1:7" x14ac:dyDescent="0.2">
      <c r="A746" s="2">
        <v>1985</v>
      </c>
      <c r="B746" s="2">
        <v>24.91</v>
      </c>
      <c r="C746" s="2">
        <v>-0.27</v>
      </c>
      <c r="D746" s="2">
        <v>1.29</v>
      </c>
      <c r="E746" s="2">
        <v>11.95</v>
      </c>
      <c r="F746" s="2">
        <v>-2.99</v>
      </c>
      <c r="G746" s="2">
        <v>7.72</v>
      </c>
    </row>
    <row r="747" spans="1:7" x14ac:dyDescent="0.2">
      <c r="A747" s="2">
        <v>1986</v>
      </c>
      <c r="B747" s="2">
        <v>10.119999999999999</v>
      </c>
      <c r="C747" s="2">
        <v>-10.32</v>
      </c>
      <c r="D747" s="2">
        <v>9.34</v>
      </c>
      <c r="E747" s="2">
        <v>6.98</v>
      </c>
      <c r="F747" s="2">
        <v>10.63</v>
      </c>
      <c r="G747" s="2">
        <v>6.16</v>
      </c>
    </row>
    <row r="748" spans="1:7" x14ac:dyDescent="0.2">
      <c r="A748" s="2">
        <v>1987</v>
      </c>
      <c r="B748" s="2">
        <v>-3.87</v>
      </c>
      <c r="C748" s="2">
        <v>-11.18</v>
      </c>
      <c r="D748" s="2">
        <v>-1.7</v>
      </c>
      <c r="E748" s="2">
        <v>6.12</v>
      </c>
      <c r="F748" s="2">
        <v>6.7</v>
      </c>
      <c r="G748" s="2">
        <v>5.47</v>
      </c>
    </row>
    <row r="749" spans="1:7" x14ac:dyDescent="0.2">
      <c r="A749" s="2">
        <v>1988</v>
      </c>
      <c r="B749" s="2">
        <v>11.55</v>
      </c>
      <c r="C749" s="2">
        <v>6.4</v>
      </c>
      <c r="D749" s="2">
        <v>14.99</v>
      </c>
      <c r="E749" s="2">
        <v>2.94</v>
      </c>
      <c r="F749" s="2">
        <v>9.58</v>
      </c>
      <c r="G749" s="2">
        <v>6.35</v>
      </c>
    </row>
    <row r="750" spans="1:7" x14ac:dyDescent="0.2">
      <c r="A750" s="2">
        <v>1989</v>
      </c>
      <c r="B750" s="2">
        <v>20.49</v>
      </c>
      <c r="C750" s="2">
        <v>-13.23</v>
      </c>
      <c r="D750" s="2">
        <v>-4.03</v>
      </c>
      <c r="E750" s="2">
        <v>2.95</v>
      </c>
      <c r="F750" s="2">
        <v>7.66</v>
      </c>
      <c r="G750" s="2">
        <v>8.3699999999999992</v>
      </c>
    </row>
    <row r="751" spans="1:7" x14ac:dyDescent="0.2">
      <c r="A751" s="2">
        <v>1990</v>
      </c>
      <c r="B751" s="2">
        <v>-13.95</v>
      </c>
      <c r="C751" s="2">
        <v>-14.02</v>
      </c>
      <c r="D751" s="2">
        <v>-10.029999999999999</v>
      </c>
      <c r="E751" s="2">
        <v>7.61</v>
      </c>
      <c r="F751" s="2">
        <v>0.79</v>
      </c>
      <c r="G751" s="2">
        <v>7.81</v>
      </c>
    </row>
    <row r="752" spans="1:7" x14ac:dyDescent="0.2">
      <c r="A752" s="2">
        <v>1991</v>
      </c>
      <c r="B752" s="2">
        <v>29.18</v>
      </c>
      <c r="C752" s="2">
        <v>15.81</v>
      </c>
      <c r="D752" s="2">
        <v>-14.72</v>
      </c>
      <c r="E752" s="2">
        <v>11.61</v>
      </c>
      <c r="F752" s="2">
        <v>-14.87</v>
      </c>
      <c r="G752" s="2">
        <v>5.6</v>
      </c>
    </row>
    <row r="753" spans="1:7" x14ac:dyDescent="0.2">
      <c r="A753" s="2">
        <v>1992</v>
      </c>
      <c r="B753" s="2">
        <v>6.23</v>
      </c>
      <c r="C753" s="2">
        <v>9.08</v>
      </c>
      <c r="D753" s="2">
        <v>24.49</v>
      </c>
      <c r="E753" s="2">
        <v>7.38</v>
      </c>
      <c r="F753" s="2">
        <v>7.32</v>
      </c>
      <c r="G753" s="2">
        <v>3.51</v>
      </c>
    </row>
    <row r="754" spans="1:7" x14ac:dyDescent="0.2">
      <c r="A754" s="2">
        <v>1993</v>
      </c>
      <c r="B754" s="2">
        <v>8.2100000000000009</v>
      </c>
      <c r="C754" s="2">
        <v>6.26</v>
      </c>
      <c r="D754" s="2">
        <v>16.96</v>
      </c>
      <c r="E754" s="2">
        <v>-6.91</v>
      </c>
      <c r="F754" s="2">
        <v>12.3</v>
      </c>
      <c r="G754" s="2">
        <v>2.9</v>
      </c>
    </row>
    <row r="755" spans="1:7" x14ac:dyDescent="0.2">
      <c r="A755" s="2">
        <v>1994</v>
      </c>
      <c r="B755" s="2">
        <v>-4.0999999999999996</v>
      </c>
      <c r="C755" s="2">
        <v>-2.33</v>
      </c>
      <c r="D755" s="2">
        <v>-0.89</v>
      </c>
      <c r="E755" s="2">
        <v>5.82</v>
      </c>
      <c r="F755" s="2">
        <v>3.8</v>
      </c>
      <c r="G755" s="2">
        <v>3.9</v>
      </c>
    </row>
    <row r="756" spans="1:7" x14ac:dyDescent="0.2">
      <c r="A756" s="2">
        <v>1995</v>
      </c>
      <c r="B756" s="2">
        <v>31.22</v>
      </c>
      <c r="C756" s="2">
        <v>-8.1199999999999992</v>
      </c>
      <c r="D756" s="2">
        <v>5.97</v>
      </c>
      <c r="E756" s="2">
        <v>1.67</v>
      </c>
      <c r="F756" s="2">
        <v>2.89</v>
      </c>
      <c r="G756" s="2">
        <v>5.6</v>
      </c>
    </row>
    <row r="757" spans="1:7" x14ac:dyDescent="0.2">
      <c r="A757" s="2">
        <v>1996</v>
      </c>
      <c r="B757" s="2">
        <v>15.96</v>
      </c>
      <c r="C757" s="2">
        <v>-2.86</v>
      </c>
      <c r="D757" s="2">
        <v>8.67</v>
      </c>
      <c r="E757" s="2">
        <v>15.55</v>
      </c>
      <c r="F757" s="2">
        <v>0.86</v>
      </c>
      <c r="G757" s="2">
        <v>5.21</v>
      </c>
    </row>
    <row r="758" spans="1:7" x14ac:dyDescent="0.2">
      <c r="A758" s="2">
        <v>1997</v>
      </c>
      <c r="B758" s="2">
        <v>25.96</v>
      </c>
      <c r="C758" s="2">
        <v>-6.33</v>
      </c>
      <c r="D758" s="2">
        <v>19.010000000000002</v>
      </c>
      <c r="E758" s="2">
        <v>8.8000000000000007</v>
      </c>
      <c r="F758" s="2">
        <v>6.19</v>
      </c>
      <c r="G758" s="2">
        <v>5.26</v>
      </c>
    </row>
    <row r="759" spans="1:7" x14ac:dyDescent="0.2">
      <c r="A759" s="2">
        <v>1998</v>
      </c>
      <c r="B759" s="2">
        <v>19.46</v>
      </c>
      <c r="C759" s="2">
        <v>-28.02</v>
      </c>
      <c r="D759" s="2">
        <v>-10.47</v>
      </c>
      <c r="E759" s="2">
        <v>3.54</v>
      </c>
      <c r="F759" s="2">
        <v>-4.68</v>
      </c>
      <c r="G759" s="2">
        <v>4.8600000000000003</v>
      </c>
    </row>
    <row r="760" spans="1:7" x14ac:dyDescent="0.2">
      <c r="A760" s="2">
        <v>1999</v>
      </c>
      <c r="B760" s="2">
        <v>20.57</v>
      </c>
      <c r="C760" s="2">
        <v>8.85</v>
      </c>
      <c r="D760" s="2">
        <v>-31.65</v>
      </c>
      <c r="E760" s="2">
        <v>-28.03</v>
      </c>
      <c r="F760" s="2">
        <v>-8.3800000000000008</v>
      </c>
      <c r="G760" s="2">
        <v>4.68</v>
      </c>
    </row>
    <row r="761" spans="1:7" x14ac:dyDescent="0.2">
      <c r="A761" s="2">
        <v>2000</v>
      </c>
      <c r="B761" s="2">
        <v>-17.600000000000001</v>
      </c>
      <c r="C761" s="2">
        <v>3.69</v>
      </c>
      <c r="D761" s="2">
        <v>44.99</v>
      </c>
      <c r="E761" s="2">
        <v>23.22</v>
      </c>
      <c r="F761" s="2">
        <v>30.66</v>
      </c>
      <c r="G761" s="2">
        <v>5.89</v>
      </c>
    </row>
    <row r="762" spans="1:7" x14ac:dyDescent="0.2">
      <c r="A762" s="2">
        <v>2001</v>
      </c>
      <c r="B762" s="2">
        <v>-15.21</v>
      </c>
      <c r="C762" s="2">
        <v>23.17</v>
      </c>
      <c r="D762" s="2">
        <v>18.54</v>
      </c>
      <c r="E762" s="2">
        <v>18.989999999999998</v>
      </c>
      <c r="F762" s="2">
        <v>13.62</v>
      </c>
      <c r="G762" s="2">
        <v>3.83</v>
      </c>
    </row>
    <row r="763" spans="1:7" x14ac:dyDescent="0.2">
      <c r="A763" s="2">
        <v>2002</v>
      </c>
      <c r="B763" s="2">
        <v>-22.76</v>
      </c>
      <c r="C763" s="2">
        <v>5.9</v>
      </c>
      <c r="D763" s="2">
        <v>8.16</v>
      </c>
      <c r="E763" s="2">
        <v>20.85</v>
      </c>
      <c r="F763" s="2">
        <v>14.22</v>
      </c>
      <c r="G763" s="2">
        <v>1.65</v>
      </c>
    </row>
    <row r="764" spans="1:7" x14ac:dyDescent="0.2">
      <c r="A764" s="2">
        <v>2003</v>
      </c>
      <c r="B764" s="2">
        <v>30.75</v>
      </c>
      <c r="C764" s="2">
        <v>24.73</v>
      </c>
      <c r="D764" s="2">
        <v>4.97</v>
      </c>
      <c r="E764" s="2">
        <v>-20.64</v>
      </c>
      <c r="F764" s="2">
        <v>16.43</v>
      </c>
      <c r="G764" s="2">
        <v>1.02</v>
      </c>
    </row>
    <row r="765" spans="1:7" x14ac:dyDescent="0.2">
      <c r="A765" s="2">
        <v>2004</v>
      </c>
      <c r="B765" s="2">
        <v>10.72</v>
      </c>
      <c r="C765" s="2">
        <v>7.48</v>
      </c>
      <c r="D765" s="2">
        <v>7.63</v>
      </c>
      <c r="E765" s="2">
        <v>8.34</v>
      </c>
      <c r="F765" s="2">
        <v>-7.58</v>
      </c>
      <c r="G765" s="2">
        <v>1.2</v>
      </c>
    </row>
    <row r="766" spans="1:7" x14ac:dyDescent="0.2">
      <c r="A766" s="2">
        <v>2005</v>
      </c>
      <c r="B766" s="2">
        <v>3.09</v>
      </c>
      <c r="C766" s="2">
        <v>-0.76</v>
      </c>
      <c r="D766" s="2">
        <v>9.41</v>
      </c>
      <c r="E766" s="2">
        <v>1.43</v>
      </c>
      <c r="F766" s="2">
        <v>-4.92</v>
      </c>
      <c r="G766" s="2">
        <v>2.98</v>
      </c>
    </row>
    <row r="767" spans="1:7" x14ac:dyDescent="0.2">
      <c r="A767" s="2">
        <v>2006</v>
      </c>
      <c r="B767" s="2">
        <v>10.6</v>
      </c>
      <c r="C767" s="2">
        <v>1.56</v>
      </c>
      <c r="D767" s="2">
        <v>11.92</v>
      </c>
      <c r="E767" s="2">
        <v>3.8</v>
      </c>
      <c r="F767" s="2">
        <v>8.83</v>
      </c>
      <c r="G767" s="2">
        <v>4.8</v>
      </c>
    </row>
    <row r="768" spans="1:7" x14ac:dyDescent="0.2">
      <c r="A768" s="2">
        <v>2007</v>
      </c>
      <c r="B768" s="2">
        <v>1.04</v>
      </c>
      <c r="C768" s="2">
        <v>-8.31</v>
      </c>
      <c r="D768" s="2">
        <v>-17.28</v>
      </c>
      <c r="E768" s="2">
        <v>4.91</v>
      </c>
      <c r="F768" s="2">
        <v>-7.54</v>
      </c>
      <c r="G768" s="2">
        <v>4.66</v>
      </c>
    </row>
    <row r="769" spans="1:7" x14ac:dyDescent="0.2">
      <c r="A769" s="2">
        <v>2008</v>
      </c>
      <c r="B769" s="2">
        <v>-38.340000000000003</v>
      </c>
      <c r="C769" s="2">
        <v>2.78</v>
      </c>
      <c r="D769" s="2">
        <v>1</v>
      </c>
      <c r="E769" s="2">
        <v>14.71</v>
      </c>
      <c r="F769" s="2">
        <v>4.21</v>
      </c>
      <c r="G769" s="2">
        <v>1.6</v>
      </c>
    </row>
    <row r="770" spans="1:7" x14ac:dyDescent="0.2">
      <c r="A770" s="2">
        <v>2009</v>
      </c>
      <c r="B770" s="2">
        <v>28.26</v>
      </c>
      <c r="C770" s="2">
        <v>7.87</v>
      </c>
      <c r="D770" s="2">
        <v>-9.65</v>
      </c>
      <c r="E770" s="2">
        <v>3.33</v>
      </c>
      <c r="F770" s="2">
        <v>-2.59</v>
      </c>
      <c r="G770" s="2">
        <v>0.1</v>
      </c>
    </row>
    <row r="771" spans="1:7" x14ac:dyDescent="0.2">
      <c r="A771" s="2">
        <v>2010</v>
      </c>
      <c r="B771" s="2">
        <v>17.37</v>
      </c>
      <c r="C771" s="2">
        <v>13.66</v>
      </c>
      <c r="D771" s="2">
        <v>-5.22</v>
      </c>
      <c r="E771" s="2">
        <v>-1.44</v>
      </c>
      <c r="F771" s="2">
        <v>9.7200000000000006</v>
      </c>
      <c r="G771" s="2">
        <v>0.12</v>
      </c>
    </row>
    <row r="772" spans="1:7" x14ac:dyDescent="0.2">
      <c r="A772" s="2">
        <v>2011</v>
      </c>
      <c r="B772" s="2">
        <v>0.44</v>
      </c>
      <c r="C772" s="2">
        <v>-5.48</v>
      </c>
      <c r="D772" s="2">
        <v>-8.42</v>
      </c>
      <c r="E772" s="2">
        <v>13.51</v>
      </c>
      <c r="F772" s="2">
        <v>-1.17</v>
      </c>
      <c r="G772" s="2">
        <v>0.04</v>
      </c>
    </row>
    <row r="773" spans="1:7" x14ac:dyDescent="0.2">
      <c r="A773" s="2">
        <v>2012</v>
      </c>
      <c r="B773" s="2">
        <v>16.27</v>
      </c>
      <c r="C773" s="2">
        <v>-0.52</v>
      </c>
      <c r="D773" s="2">
        <v>10</v>
      </c>
      <c r="E773" s="2">
        <v>-5.35</v>
      </c>
      <c r="F773" s="2">
        <v>9.3699999999999992</v>
      </c>
      <c r="G773" s="2">
        <v>0.06</v>
      </c>
    </row>
    <row r="774" spans="1:7" x14ac:dyDescent="0.2">
      <c r="A774" s="2">
        <v>2013</v>
      </c>
      <c r="B774" s="2">
        <v>35.200000000000003</v>
      </c>
      <c r="C774" s="2">
        <v>8.35</v>
      </c>
      <c r="D774" s="2">
        <v>2.6</v>
      </c>
      <c r="E774" s="2">
        <v>-4.17</v>
      </c>
      <c r="F774" s="2">
        <v>0.93</v>
      </c>
      <c r="G774" s="2">
        <v>0.02</v>
      </c>
    </row>
    <row r="775" spans="1:7" x14ac:dyDescent="0.2">
      <c r="A775" s="2">
        <v>2014</v>
      </c>
      <c r="B775" s="2">
        <v>11.71</v>
      </c>
      <c r="C775" s="2">
        <v>-7.96</v>
      </c>
      <c r="D775" s="2">
        <v>-1.45</v>
      </c>
      <c r="E775" s="2">
        <v>1.3</v>
      </c>
      <c r="F775" s="2">
        <v>-1.39</v>
      </c>
      <c r="G775" s="2">
        <v>0.02</v>
      </c>
    </row>
    <row r="776" spans="1:7" x14ac:dyDescent="0.2">
      <c r="A776" s="2">
        <v>2015</v>
      </c>
      <c r="B776" s="2">
        <v>0.09</v>
      </c>
      <c r="C776" s="2">
        <v>-5.89</v>
      </c>
      <c r="D776" s="2">
        <v>-9.65</v>
      </c>
      <c r="E776" s="2">
        <v>1.07</v>
      </c>
      <c r="F776" s="2">
        <v>-8.74</v>
      </c>
      <c r="G776" s="2">
        <v>0.02</v>
      </c>
    </row>
    <row r="777" spans="1:7" x14ac:dyDescent="0.2">
      <c r="A777" s="2">
        <v>2016</v>
      </c>
      <c r="B777" s="2">
        <v>13.3</v>
      </c>
      <c r="C777" s="2">
        <v>9.1999999999999993</v>
      </c>
      <c r="D777" s="2">
        <v>22.75</v>
      </c>
      <c r="E777" s="2">
        <v>4.33</v>
      </c>
      <c r="F777" s="2">
        <v>9.86</v>
      </c>
      <c r="G777" s="2">
        <v>0.2</v>
      </c>
    </row>
    <row r="778" spans="1:7" x14ac:dyDescent="0.2">
      <c r="A778" s="2">
        <v>2017</v>
      </c>
      <c r="B778" s="2">
        <v>21.51</v>
      </c>
      <c r="C778" s="2">
        <v>-6.1</v>
      </c>
      <c r="D778" s="2">
        <v>-13.51</v>
      </c>
      <c r="E778" s="2">
        <v>4.8</v>
      </c>
      <c r="F778" s="2">
        <v>-11.46</v>
      </c>
      <c r="G778" s="2">
        <v>0.8</v>
      </c>
    </row>
    <row r="779" spans="1:7" x14ac:dyDescent="0.2">
      <c r="A779" s="2">
        <v>2018</v>
      </c>
      <c r="B779" s="2">
        <v>-6.95</v>
      </c>
      <c r="C779" s="2">
        <v>-5.13</v>
      </c>
      <c r="D779" s="2">
        <v>-9.73</v>
      </c>
      <c r="E779" s="2">
        <v>-1.32</v>
      </c>
      <c r="F779" s="2">
        <v>0.08</v>
      </c>
      <c r="G779" s="2">
        <v>1.83</v>
      </c>
    </row>
    <row r="780" spans="1:7" x14ac:dyDescent="0.2">
      <c r="A780" s="2">
        <v>2019</v>
      </c>
      <c r="B780" s="2">
        <v>28.28</v>
      </c>
      <c r="C780" s="2">
        <v>-6.15</v>
      </c>
      <c r="D780" s="2">
        <v>-10.34</v>
      </c>
      <c r="E780" s="2">
        <v>4.32</v>
      </c>
      <c r="F780" s="2">
        <v>-3.09</v>
      </c>
      <c r="G780" s="2">
        <v>2.15</v>
      </c>
    </row>
    <row r="781" spans="1:7" x14ac:dyDescent="0.2">
      <c r="A781" s="2">
        <v>2020</v>
      </c>
      <c r="B781" s="2">
        <v>23.66</v>
      </c>
      <c r="C781" s="2">
        <v>3.4</v>
      </c>
      <c r="D781" s="2">
        <v>-46.57</v>
      </c>
      <c r="E781" s="2">
        <v>-5.14</v>
      </c>
      <c r="F781" s="2">
        <v>-11.61</v>
      </c>
      <c r="G781" s="2">
        <v>0.45</v>
      </c>
    </row>
    <row r="782" spans="1:7" x14ac:dyDescent="0.2">
      <c r="A782" s="2">
        <v>2021</v>
      </c>
      <c r="B782" s="2">
        <v>23.56</v>
      </c>
      <c r="C782" s="2">
        <v>-1.1299999999999999</v>
      </c>
      <c r="D782" s="2">
        <v>25.57</v>
      </c>
      <c r="E782" s="2">
        <v>26.9</v>
      </c>
      <c r="F782" s="2">
        <v>12.09</v>
      </c>
      <c r="G782" s="2">
        <v>0.04</v>
      </c>
    </row>
    <row r="783" spans="1:7" x14ac:dyDescent="0.2">
      <c r="A783" s="2">
        <v>2022</v>
      </c>
      <c r="B783" s="2">
        <v>-21.6</v>
      </c>
      <c r="C783" s="2">
        <v>-1.45</v>
      </c>
      <c r="D783" s="2">
        <v>25.85</v>
      </c>
      <c r="E783" s="2">
        <v>5.99</v>
      </c>
      <c r="F783" s="2">
        <v>22.24</v>
      </c>
      <c r="G783" s="2">
        <v>1.43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Q1</vt:lpstr>
      <vt:lpstr>Q2</vt:lpstr>
      <vt:lpstr>AMZN</vt:lpstr>
      <vt:lpstr>GM</vt:lpstr>
      <vt:lpstr>JPM</vt:lpstr>
      <vt:lpstr>FF5 Factors</vt:lpstr>
    </vt:vector>
  </TitlesOfParts>
  <Company>The University of Hong Kong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Faculty of Business and Economics</dc:creator>
  <cp:lastModifiedBy>jadonng@connect.hku.hk</cp:lastModifiedBy>
  <dcterms:created xsi:type="dcterms:W3CDTF">2023-02-03T11:16:54Z</dcterms:created>
  <dcterms:modified xsi:type="dcterms:W3CDTF">2025-05-05T13:57:31Z</dcterms:modified>
</cp:coreProperties>
</file>