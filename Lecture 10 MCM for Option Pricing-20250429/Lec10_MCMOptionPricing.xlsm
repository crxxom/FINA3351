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donng/Desktop/Fina3351/Lecture 10 MCM for Option Pricing-20250429/"/>
    </mc:Choice>
  </mc:AlternateContent>
  <xr:revisionPtr revIDLastSave="0" documentId="13_ncr:1_{854C7E03-19F5-3547-837F-64979048A99C}" xr6:coauthVersionLast="47" xr6:coauthVersionMax="47" xr10:uidLastSave="{00000000-0000-0000-0000-000000000000}"/>
  <bookViews>
    <workbookView xWindow="0" yWindow="720" windowWidth="29400" windowHeight="18400" activeTab="2" xr2:uid="{109E4E60-C5AD-43B3-A30E-30B59F68368D}"/>
  </bookViews>
  <sheets>
    <sheet name="Euro_Binomial" sheetId="1" r:id="rId1"/>
    <sheet name="Euro_GBM" sheetId="6" r:id="rId2"/>
    <sheet name="Asian_Binomial" sheetId="5" r:id="rId3"/>
    <sheet name="Asian_GBM" sheetId="7" r:id="rId4"/>
  </sheets>
  <functionGroups builtInGroupCount="19"/>
  <definedNames>
    <definedName name="d" localSheetId="2">Asian_Binomial!$F$6</definedName>
    <definedName name="d" localSheetId="0">Euro_Binomial!$F$6</definedName>
    <definedName name="dt" localSheetId="2">Asian_Binomial!$F$4</definedName>
    <definedName name="dt" localSheetId="0">Euro_Binomial!$F$4</definedName>
    <definedName name="K" localSheetId="2">Asian_Binomial!$B$6</definedName>
    <definedName name="K" localSheetId="3">Asian_GBM!$B$6</definedName>
    <definedName name="K" localSheetId="0">Euro_Binomial!$B$6</definedName>
    <definedName name="K" localSheetId="1">Euro_GBM!$B$6</definedName>
    <definedName name="n" localSheetId="2">Asian_Binomial!$B$11</definedName>
    <definedName name="n" localSheetId="3">Asian_GBM!$B$11</definedName>
    <definedName name="n" localSheetId="0">Euro_Binomial!$B$11</definedName>
    <definedName name="optType" localSheetId="2">Asian_Binomial!$B$4</definedName>
    <definedName name="optType" localSheetId="3">Asian_GBM!$B$4</definedName>
    <definedName name="optType" localSheetId="0">Euro_Binomial!$B$4</definedName>
    <definedName name="optType" localSheetId="1">Euro_GBM!$B$4</definedName>
    <definedName name="p" localSheetId="2">Asian_Binomial!$F$7</definedName>
    <definedName name="p" localSheetId="0">Euro_Binomial!$F$7</definedName>
    <definedName name="q" localSheetId="2">Asian_Binomial!$B$9</definedName>
    <definedName name="q" localSheetId="3">Asian_GBM!$B$9</definedName>
    <definedName name="q" localSheetId="0">Euro_Binomial!$B$9</definedName>
    <definedName name="q" localSheetId="1">Euro_GBM!$B$9</definedName>
    <definedName name="rr" localSheetId="2">Asian_Binomial!$B$8</definedName>
    <definedName name="rr" localSheetId="3">Asian_GBM!$B$8</definedName>
    <definedName name="rr" localSheetId="0">Euro_Binomial!$B$8</definedName>
    <definedName name="rr" localSheetId="1">Euro_GBM!$B$8</definedName>
    <definedName name="Runs" localSheetId="3">Asian_GBM!$B$12</definedName>
    <definedName name="Runs" localSheetId="1">Euro_GBM!$B$11</definedName>
    <definedName name="S" localSheetId="2">Asian_Binomial!$B$5</definedName>
    <definedName name="S" localSheetId="3">Asian_GBM!$B$5</definedName>
    <definedName name="S" localSheetId="0">Euro_Binomial!$B$5</definedName>
    <definedName name="S" localSheetId="1">Euro_GBM!$B$5</definedName>
    <definedName name="T" localSheetId="2">Asian_Binomial!$B$7</definedName>
    <definedName name="T" localSheetId="3">Asian_GBM!$B$7</definedName>
    <definedName name="T" localSheetId="0">Euro_Binomial!$B$7</definedName>
    <definedName name="T" localSheetId="1">Euro_GBM!$B$7</definedName>
    <definedName name="u" localSheetId="2">Asian_Binomial!$F$5</definedName>
    <definedName name="u" localSheetId="0">Euro_Binomial!$F$5</definedName>
    <definedName name="v" localSheetId="2">Asian_Binomial!$B$10</definedName>
    <definedName name="v" localSheetId="3">Asian_GBM!$B$10</definedName>
    <definedName name="v" localSheetId="0">Euro_Binomial!$B$10</definedName>
    <definedName name="v" localSheetId="1">Euro_GBM!$B$10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6" l="1" a="1"/>
  <c r="B15" i="6"/>
  <c r="B15" i="7" a="1"/>
  <c r="B15" i="7"/>
  <c r="B19" i="6" a="1"/>
  <c r="B19" i="6"/>
  <c r="B20" i="6" a="1"/>
  <c r="B20" i="6"/>
  <c r="B21" i="6" a="1"/>
  <c r="B21" i="6"/>
  <c r="B22" i="6" a="1"/>
  <c r="B22" i="6"/>
  <c r="B23" i="6" a="1"/>
  <c r="B23" i="6"/>
  <c r="B24" i="6" a="1"/>
  <c r="B24" i="6"/>
  <c r="B25" i="6" a="1"/>
  <c r="B25" i="6"/>
  <c r="B26" i="6" a="1"/>
  <c r="B26" i="6"/>
  <c r="B27" i="6" a="1"/>
  <c r="B27" i="6"/>
  <c r="B28" i="6" a="1"/>
  <c r="B28" i="6"/>
  <c r="B29" i="6" a="1"/>
  <c r="B29" i="6"/>
  <c r="B30" i="6" a="1"/>
  <c r="B30" i="6"/>
  <c r="B31" i="6" a="1"/>
  <c r="B31" i="6"/>
  <c r="B32" i="6" a="1"/>
  <c r="B32" i="6"/>
  <c r="B33" i="6" a="1"/>
  <c r="B33" i="6"/>
  <c r="B34" i="6" a="1"/>
  <c r="B34" i="6"/>
  <c r="B35" i="6" a="1"/>
  <c r="B35" i="6"/>
  <c r="B36" i="6" a="1"/>
  <c r="B36" i="6"/>
  <c r="B37" i="6" a="1"/>
  <c r="B37" i="6"/>
  <c r="B38" i="6" a="1"/>
  <c r="B38" i="6"/>
  <c r="B39" i="6" a="1"/>
  <c r="B39" i="6"/>
  <c r="B40" i="6" a="1"/>
  <c r="B40" i="6"/>
  <c r="B41" i="6" a="1"/>
  <c r="B41" i="6"/>
  <c r="B42" i="6" a="1"/>
  <c r="B42" i="6"/>
  <c r="B43" i="6" a="1"/>
  <c r="B43" i="6"/>
  <c r="B44" i="6" a="1"/>
  <c r="B44" i="6"/>
  <c r="B45" i="6" a="1"/>
  <c r="B45" i="6"/>
  <c r="B46" i="6" a="1"/>
  <c r="B46" i="6"/>
  <c r="B47" i="6" a="1"/>
  <c r="B47" i="6"/>
  <c r="B48" i="6" a="1"/>
  <c r="B48" i="6"/>
  <c r="B49" i="6" a="1"/>
  <c r="B49" i="6"/>
  <c r="B50" i="6" a="1"/>
  <c r="B50" i="6"/>
  <c r="B51" i="6" a="1"/>
  <c r="B51" i="6"/>
  <c r="B52" i="6" a="1"/>
  <c r="B52" i="6"/>
  <c r="B53" i="6" a="1"/>
  <c r="B53" i="6"/>
  <c r="B54" i="6" a="1"/>
  <c r="B54" i="6"/>
  <c r="B55" i="6" a="1"/>
  <c r="B55" i="6"/>
  <c r="B56" i="6" a="1"/>
  <c r="B56" i="6"/>
  <c r="B57" i="6" a="1"/>
  <c r="B57" i="6"/>
  <c r="B58" i="6" a="1"/>
  <c r="B58" i="6"/>
  <c r="B59" i="6" a="1"/>
  <c r="B59" i="6"/>
  <c r="B60" i="6" a="1"/>
  <c r="B60" i="6"/>
  <c r="B61" i="6" a="1"/>
  <c r="B61" i="6"/>
  <c r="B62" i="6" a="1"/>
  <c r="B62" i="6"/>
  <c r="B63" i="6" a="1"/>
  <c r="B63" i="6"/>
  <c r="B64" i="6" a="1"/>
  <c r="B64" i="6"/>
  <c r="B65" i="6" a="1"/>
  <c r="B65" i="6"/>
  <c r="B66" i="6" a="1"/>
  <c r="B66" i="6"/>
  <c r="B67" i="6" a="1"/>
  <c r="B67" i="6"/>
  <c r="B68" i="6" a="1"/>
  <c r="B68" i="6"/>
  <c r="B69" i="6" a="1"/>
  <c r="B69" i="6"/>
  <c r="B70" i="6" a="1"/>
  <c r="B70" i="6"/>
  <c r="B71" i="6" a="1"/>
  <c r="B71" i="6"/>
  <c r="B72" i="6" a="1"/>
  <c r="B72" i="6"/>
  <c r="B73" i="6" a="1"/>
  <c r="B73" i="6"/>
  <c r="B74" i="6" a="1"/>
  <c r="B74" i="6"/>
  <c r="B75" i="6" a="1"/>
  <c r="B75" i="6"/>
  <c r="B76" i="6" a="1"/>
  <c r="B76" i="6"/>
  <c r="B77" i="6" a="1"/>
  <c r="B77" i="6"/>
  <c r="B78" i="6" a="1"/>
  <c r="B78" i="6"/>
  <c r="B79" i="6" a="1"/>
  <c r="B79" i="6"/>
  <c r="B80" i="6" a="1"/>
  <c r="B80" i="6"/>
  <c r="B81" i="6" a="1"/>
  <c r="B81" i="6"/>
  <c r="B82" i="6" a="1"/>
  <c r="B82" i="6"/>
  <c r="B83" i="6" a="1"/>
  <c r="B83" i="6"/>
  <c r="B84" i="6" a="1"/>
  <c r="B84" i="6"/>
  <c r="B85" i="6" a="1"/>
  <c r="B85" i="6"/>
  <c r="B86" i="6" a="1"/>
  <c r="B86" i="6"/>
  <c r="B87" i="6" a="1"/>
  <c r="B87" i="6"/>
  <c r="B88" i="6" a="1"/>
  <c r="B88" i="6"/>
  <c r="B89" i="6" a="1"/>
  <c r="B89" i="6"/>
  <c r="B90" i="6" a="1"/>
  <c r="B90" i="6"/>
  <c r="B91" i="6" a="1"/>
  <c r="B91" i="6"/>
  <c r="B92" i="6" a="1"/>
  <c r="B92" i="6"/>
  <c r="B93" i="6" a="1"/>
  <c r="B93" i="6"/>
  <c r="B94" i="6" a="1"/>
  <c r="B94" i="6"/>
  <c r="B95" i="6" a="1"/>
  <c r="B95" i="6"/>
  <c r="B96" i="6" a="1"/>
  <c r="B96" i="6"/>
  <c r="B97" i="6" a="1"/>
  <c r="B97" i="6"/>
  <c r="B98" i="6" a="1"/>
  <c r="B98" i="6"/>
  <c r="B99" i="6" a="1"/>
  <c r="B99" i="6"/>
  <c r="B100" i="6" a="1"/>
  <c r="B100" i="6"/>
  <c r="B101" i="6" a="1"/>
  <c r="B101" i="6"/>
  <c r="B102" i="6" a="1"/>
  <c r="B102" i="6"/>
  <c r="B103" i="6" a="1"/>
  <c r="B103" i="6"/>
  <c r="B104" i="6" a="1"/>
  <c r="B104" i="6"/>
  <c r="B105" i="6" a="1"/>
  <c r="B105" i="6"/>
  <c r="B106" i="6" a="1"/>
  <c r="B106" i="6"/>
  <c r="B107" i="6" a="1"/>
  <c r="B107" i="6"/>
  <c r="B108" i="6" a="1"/>
  <c r="B108" i="6"/>
  <c r="B109" i="6" a="1"/>
  <c r="B109" i="6"/>
  <c r="B110" i="6" a="1"/>
  <c r="B110" i="6"/>
  <c r="B111" i="6" a="1"/>
  <c r="B111" i="6"/>
  <c r="B112" i="6" a="1"/>
  <c r="B112" i="6"/>
  <c r="B113" i="6" a="1"/>
  <c r="B113" i="6"/>
  <c r="B114" i="6" a="1"/>
  <c r="B114" i="6"/>
  <c r="B115" i="6" a="1"/>
  <c r="B115" i="6"/>
  <c r="B116" i="6" a="1"/>
  <c r="B116" i="6"/>
  <c r="B117" i="6" a="1"/>
  <c r="B117" i="6"/>
  <c r="B18" i="6" a="1"/>
  <c r="B18" i="6"/>
  <c r="B48" i="1" a="1"/>
  <c r="B30" i="5" a="1"/>
  <c r="B48" i="1"/>
  <c r="B30" i="5"/>
  <c r="F4" i="5"/>
  <c r="F4" i="1"/>
  <c r="B47" i="1" a="1"/>
  <c r="B47" i="1"/>
  <c r="C55" i="6"/>
  <c r="C107" i="6"/>
  <c r="C59" i="6"/>
  <c r="C66" i="6"/>
  <c r="C27" i="6"/>
  <c r="C79" i="6"/>
  <c r="C31" i="6"/>
  <c r="C52" i="6"/>
  <c r="C22" i="6"/>
  <c r="C44" i="6"/>
  <c r="C20" i="6"/>
  <c r="C48" i="6"/>
  <c r="C41" i="6"/>
  <c r="C108" i="6"/>
  <c r="C62" i="6"/>
  <c r="C26" i="6"/>
  <c r="C49" i="6"/>
  <c r="C110" i="6"/>
  <c r="C37" i="6"/>
  <c r="C63" i="6"/>
  <c r="C96" i="6"/>
  <c r="C81" i="6"/>
  <c r="C25" i="6"/>
  <c r="C46" i="6"/>
  <c r="C74" i="6"/>
  <c r="C86" i="6"/>
  <c r="C98" i="6"/>
  <c r="C42" i="6"/>
  <c r="C99" i="6"/>
  <c r="C117" i="6"/>
  <c r="C88" i="6"/>
  <c r="C113" i="6"/>
  <c r="C30" i="6"/>
  <c r="C73" i="6"/>
  <c r="C77" i="6"/>
  <c r="C85" i="6"/>
  <c r="C84" i="6"/>
  <c r="C33" i="6"/>
  <c r="C35" i="6"/>
  <c r="C83" i="6"/>
  <c r="C71" i="6"/>
  <c r="C115" i="6"/>
  <c r="C53" i="6"/>
  <c r="C21" i="6"/>
  <c r="C50" i="6"/>
  <c r="C64" i="6"/>
  <c r="C111" i="6"/>
  <c r="C29" i="6"/>
  <c r="C102" i="6"/>
  <c r="C39" i="6"/>
  <c r="C70" i="6"/>
  <c r="C38" i="6"/>
  <c r="C109" i="6"/>
  <c r="C57" i="6"/>
  <c r="C91" i="6"/>
  <c r="C87" i="6"/>
  <c r="C51" i="6"/>
  <c r="C105" i="6"/>
  <c r="C116" i="6"/>
  <c r="C103" i="6"/>
  <c r="C100" i="6"/>
  <c r="C65" i="6"/>
  <c r="C112" i="6"/>
  <c r="C106" i="6"/>
  <c r="C60" i="6"/>
  <c r="C101" i="6"/>
  <c r="C92" i="6"/>
  <c r="C89" i="6"/>
  <c r="C54" i="6"/>
  <c r="C94" i="6"/>
  <c r="C90" i="6"/>
  <c r="C72" i="6"/>
  <c r="C80" i="6"/>
  <c r="C78" i="6"/>
  <c r="C43" i="6"/>
  <c r="C40" i="6"/>
  <c r="C114" i="6"/>
  <c r="C76" i="6"/>
  <c r="C75" i="6"/>
  <c r="C24" i="6"/>
  <c r="C69" i="6"/>
  <c r="C67" i="6"/>
  <c r="C32" i="6"/>
  <c r="C68" i="6"/>
  <c r="C97" i="6"/>
  <c r="C61" i="6"/>
  <c r="C58" i="6"/>
  <c r="C56" i="6"/>
  <c r="C19" i="6"/>
  <c r="C93" i="6"/>
  <c r="C28" i="6"/>
  <c r="C47" i="6"/>
  <c r="C45" i="6"/>
  <c r="C23" i="6"/>
  <c r="C18" i="6"/>
  <c r="C95" i="6"/>
  <c r="C82" i="6"/>
  <c r="C104" i="6"/>
  <c r="C36" i="6"/>
  <c r="C34" i="6"/>
  <c r="F5" i="5"/>
  <c r="F5" i="1"/>
  <c r="C44" i="1"/>
  <c r="B14" i="6"/>
  <c r="F6" i="5"/>
  <c r="F6" i="1"/>
  <c r="C39" i="1"/>
  <c r="C43" i="1"/>
  <c r="C38" i="1"/>
  <c r="C41" i="1"/>
  <c r="C42" i="1"/>
  <c r="C40" i="1"/>
  <c r="F7" i="5"/>
  <c r="F7" i="1"/>
  <c r="D42" i="1"/>
  <c r="D43" i="1"/>
  <c r="D44" i="1"/>
  <c r="C26" i="1"/>
  <c r="W26" i="1"/>
  <c r="AQ26" i="1"/>
  <c r="BK26" i="1"/>
  <c r="CE26" i="1"/>
  <c r="D27" i="1"/>
  <c r="D26" i="1"/>
  <c r="D32" i="1" s="1"/>
  <c r="D33" i="1" s="1"/>
  <c r="D34" i="1" s="1"/>
  <c r="E26" i="1"/>
  <c r="Y26" i="1"/>
  <c r="AS26" i="1"/>
  <c r="BM26" i="1"/>
  <c r="F26" i="1"/>
  <c r="Z26" i="1"/>
  <c r="AT26" i="1"/>
  <c r="AT32" i="1" s="1"/>
  <c r="AT33" i="1" s="1"/>
  <c r="AT34" i="1" s="1"/>
  <c r="BN26" i="1"/>
  <c r="CH26" i="1"/>
  <c r="G27" i="1"/>
  <c r="AA27" i="1"/>
  <c r="AU27" i="1"/>
  <c r="BO27" i="1"/>
  <c r="CI27" i="1"/>
  <c r="H28" i="1"/>
  <c r="AB28" i="1"/>
  <c r="AV28" i="1"/>
  <c r="BP28" i="1"/>
  <c r="CJ28" i="1"/>
  <c r="I29" i="1"/>
  <c r="AC29" i="1"/>
  <c r="AW29" i="1"/>
  <c r="BQ29" i="1"/>
  <c r="CK29" i="1"/>
  <c r="CK32" i="1" s="1"/>
  <c r="CK33" i="1" s="1"/>
  <c r="CK34" i="1" s="1"/>
  <c r="J30" i="1"/>
  <c r="AD30" i="1"/>
  <c r="AX30" i="1"/>
  <c r="BR30" i="1"/>
  <c r="CL30" i="1"/>
  <c r="K31" i="1"/>
  <c r="AE31" i="1"/>
  <c r="AY31" i="1"/>
  <c r="BS31" i="1"/>
  <c r="CM31" i="1"/>
  <c r="B26" i="1"/>
  <c r="G26" i="1"/>
  <c r="AA26" i="1"/>
  <c r="AU26" i="1"/>
  <c r="BO26" i="1"/>
  <c r="CI26" i="1"/>
  <c r="H27" i="1"/>
  <c r="AB27" i="1"/>
  <c r="AV27" i="1"/>
  <c r="BP27" i="1"/>
  <c r="CJ27" i="1"/>
  <c r="I28" i="1"/>
  <c r="AC28" i="1"/>
  <c r="AW28" i="1"/>
  <c r="BQ28" i="1"/>
  <c r="CK28" i="1"/>
  <c r="J29" i="1"/>
  <c r="AD29" i="1"/>
  <c r="AX29" i="1"/>
  <c r="BR29" i="1"/>
  <c r="CL29" i="1"/>
  <c r="K30" i="1"/>
  <c r="AE30" i="1"/>
  <c r="AY30" i="1"/>
  <c r="BS30" i="1"/>
  <c r="CM30" i="1"/>
  <c r="L31" i="1"/>
  <c r="AF31" i="1"/>
  <c r="AZ31" i="1"/>
  <c r="BT31" i="1"/>
  <c r="CN31" i="1"/>
  <c r="AB26" i="1"/>
  <c r="AV26" i="1"/>
  <c r="BP26" i="1"/>
  <c r="CJ26" i="1"/>
  <c r="I27" i="1"/>
  <c r="AC27" i="1"/>
  <c r="AW27" i="1"/>
  <c r="BQ27" i="1"/>
  <c r="CK27" i="1"/>
  <c r="J28" i="1"/>
  <c r="AD28" i="1"/>
  <c r="AX28" i="1"/>
  <c r="BR28" i="1"/>
  <c r="CL28" i="1"/>
  <c r="K29" i="1"/>
  <c r="AE29" i="1"/>
  <c r="AY29" i="1"/>
  <c r="BS29" i="1"/>
  <c r="CM29" i="1"/>
  <c r="L30" i="1"/>
  <c r="AF30" i="1"/>
  <c r="AZ30" i="1"/>
  <c r="BT30" i="1"/>
  <c r="CN30" i="1"/>
  <c r="H26" i="1"/>
  <c r="I26" i="1"/>
  <c r="J26" i="1"/>
  <c r="K26" i="1"/>
  <c r="AE26" i="1"/>
  <c r="AY26" i="1"/>
  <c r="BS26" i="1"/>
  <c r="CM26" i="1"/>
  <c r="L27" i="1"/>
  <c r="AF27" i="1"/>
  <c r="AZ27" i="1"/>
  <c r="BT27" i="1"/>
  <c r="CN27" i="1"/>
  <c r="M28" i="1"/>
  <c r="AG28" i="1"/>
  <c r="BA28" i="1"/>
  <c r="L26" i="1"/>
  <c r="AL26" i="1"/>
  <c r="BQ26" i="1"/>
  <c r="CQ26" i="1"/>
  <c r="U27" i="1"/>
  <c r="AS27" i="1"/>
  <c r="BU27" i="1"/>
  <c r="BU32" i="1" s="1"/>
  <c r="BU33" i="1" s="1"/>
  <c r="BU34" i="1" s="1"/>
  <c r="CS27" i="1"/>
  <c r="V28" i="1"/>
  <c r="AT28" i="1"/>
  <c r="BU28" i="1"/>
  <c r="CR28" i="1"/>
  <c r="T29" i="1"/>
  <c r="AQ29" i="1"/>
  <c r="BN29" i="1"/>
  <c r="CN29" i="1"/>
  <c r="P30" i="1"/>
  <c r="AM30" i="1"/>
  <c r="BJ30" i="1"/>
  <c r="CG30" i="1"/>
  <c r="I31" i="1"/>
  <c r="AG31" i="1"/>
  <c r="BC31" i="1"/>
  <c r="BY31" i="1"/>
  <c r="CU31" i="1"/>
  <c r="CT29" i="1"/>
  <c r="CD27" i="1"/>
  <c r="M26" i="1"/>
  <c r="AM26" i="1"/>
  <c r="BR26" i="1"/>
  <c r="CR26" i="1"/>
  <c r="V27" i="1"/>
  <c r="AT27" i="1"/>
  <c r="BV27" i="1"/>
  <c r="CT27" i="1"/>
  <c r="W28" i="1"/>
  <c r="AU28" i="1"/>
  <c r="BV28" i="1"/>
  <c r="CS28" i="1"/>
  <c r="U29" i="1"/>
  <c r="AR29" i="1"/>
  <c r="BO29" i="1"/>
  <c r="CO29" i="1"/>
  <c r="Q30" i="1"/>
  <c r="AN30" i="1"/>
  <c r="BK30" i="1"/>
  <c r="BK32" i="1" s="1"/>
  <c r="BK33" i="1" s="1"/>
  <c r="BK34" i="1" s="1"/>
  <c r="CH30" i="1"/>
  <c r="J31" i="1"/>
  <c r="AH31" i="1"/>
  <c r="BD31" i="1"/>
  <c r="BZ31" i="1"/>
  <c r="CV31" i="1"/>
  <c r="O26" i="1"/>
  <c r="X27" i="1"/>
  <c r="X32" i="1" s="1"/>
  <c r="X33" i="1" s="1"/>
  <c r="X34" i="1" s="1"/>
  <c r="BX27" i="1"/>
  <c r="CV27" i="1"/>
  <c r="AZ28" i="1"/>
  <c r="CU28" i="1"/>
  <c r="AT29" i="1"/>
  <c r="CQ29" i="1"/>
  <c r="AP30" i="1"/>
  <c r="CJ30" i="1"/>
  <c r="CJ32" i="1" s="1"/>
  <c r="CJ33" i="1" s="1"/>
  <c r="CJ34" i="1" s="1"/>
  <c r="AJ31" i="1"/>
  <c r="CB31" i="1"/>
  <c r="P26" i="1"/>
  <c r="BV26" i="1"/>
  <c r="CU26" i="1"/>
  <c r="Y27" i="1"/>
  <c r="BA27" i="1"/>
  <c r="BY27" i="1"/>
  <c r="Z28" i="1"/>
  <c r="BB28" i="1"/>
  <c r="CV28" i="1"/>
  <c r="AU29" i="1"/>
  <c r="CR29" i="1"/>
  <c r="AQ30" i="1"/>
  <c r="CK30" i="1"/>
  <c r="AK31" i="1"/>
  <c r="CC31" i="1"/>
  <c r="AW26" i="1"/>
  <c r="AD27" i="1"/>
  <c r="CA27" i="1"/>
  <c r="AE28" i="1"/>
  <c r="C29" i="1"/>
  <c r="AZ29" i="1"/>
  <c r="BW29" i="1"/>
  <c r="BP30" i="1"/>
  <c r="Q31" i="1"/>
  <c r="BI31" i="1"/>
  <c r="AX26" i="1"/>
  <c r="C27" i="1"/>
  <c r="BD27" i="1"/>
  <c r="E28" i="1"/>
  <c r="BE28" i="1"/>
  <c r="AA29" i="1"/>
  <c r="BX29" i="1"/>
  <c r="AT30" i="1"/>
  <c r="CQ30" i="1"/>
  <c r="BJ31" i="1"/>
  <c r="B31" i="1"/>
  <c r="BA26" i="1"/>
  <c r="F29" i="1"/>
  <c r="F32" i="1" s="1"/>
  <c r="F33" i="1" s="1"/>
  <c r="F34" i="1" s="1"/>
  <c r="BC29" i="1"/>
  <c r="CW29" i="1"/>
  <c r="Y30" i="1"/>
  <c r="CS30" i="1"/>
  <c r="AP31" i="1"/>
  <c r="B29" i="1"/>
  <c r="BB26" i="1"/>
  <c r="CE27" i="1"/>
  <c r="CE28" i="1"/>
  <c r="CA29" i="1"/>
  <c r="N26" i="1"/>
  <c r="AN26" i="1"/>
  <c r="BT26" i="1"/>
  <c r="CS26" i="1"/>
  <c r="W27" i="1"/>
  <c r="AX27" i="1"/>
  <c r="BW27" i="1"/>
  <c r="CU27" i="1"/>
  <c r="X28" i="1"/>
  <c r="AY28" i="1"/>
  <c r="BW28" i="1"/>
  <c r="CT28" i="1"/>
  <c r="V29" i="1"/>
  <c r="AS29" i="1"/>
  <c r="BP29" i="1"/>
  <c r="BP32" i="1" s="1"/>
  <c r="BP33" i="1" s="1"/>
  <c r="BP34" i="1" s="1"/>
  <c r="CP29" i="1"/>
  <c r="R30" i="1"/>
  <c r="AO30" i="1"/>
  <c r="BL30" i="1"/>
  <c r="CI30" i="1"/>
  <c r="M31" i="1"/>
  <c r="AI31" i="1"/>
  <c r="BE31" i="1"/>
  <c r="CA31" i="1"/>
  <c r="CW31" i="1"/>
  <c r="AO26" i="1"/>
  <c r="BU26" i="1"/>
  <c r="CT26" i="1"/>
  <c r="AY27" i="1"/>
  <c r="Y28" i="1"/>
  <c r="BX28" i="1"/>
  <c r="W29" i="1"/>
  <c r="BT29" i="1"/>
  <c r="S30" i="1"/>
  <c r="BM30" i="1"/>
  <c r="BF31" i="1"/>
  <c r="AP26" i="1"/>
  <c r="CW27" i="1"/>
  <c r="BY28" i="1"/>
  <c r="X29" i="1"/>
  <c r="BU29" i="1"/>
  <c r="T30" i="1"/>
  <c r="BN30" i="1"/>
  <c r="O31" i="1"/>
  <c r="BG31" i="1"/>
  <c r="BX26" i="1"/>
  <c r="CW26" i="1"/>
  <c r="BC27" i="1"/>
  <c r="D28" i="1"/>
  <c r="CA28" i="1"/>
  <c r="Z29" i="1"/>
  <c r="V30" i="1"/>
  <c r="CP30" i="1"/>
  <c r="AM31" i="1"/>
  <c r="CE31" i="1"/>
  <c r="S26" i="1"/>
  <c r="AE27" i="1"/>
  <c r="CB27" i="1"/>
  <c r="AF28" i="1"/>
  <c r="CB28" i="1"/>
  <c r="BA29" i="1"/>
  <c r="W30" i="1"/>
  <c r="BQ30" i="1"/>
  <c r="AN31" i="1"/>
  <c r="CF31" i="1"/>
  <c r="CA26" i="1"/>
  <c r="CD28" i="1"/>
  <c r="BZ29" i="1"/>
  <c r="T31" i="1"/>
  <c r="V26" i="1"/>
  <c r="K28" i="1"/>
  <c r="AG29" i="1"/>
  <c r="AW30" i="1"/>
  <c r="U31" i="1"/>
  <c r="N31" i="1"/>
  <c r="G28" i="1"/>
  <c r="Q26" i="1"/>
  <c r="AR26" i="1"/>
  <c r="BW26" i="1"/>
  <c r="CV26" i="1"/>
  <c r="Z27" i="1"/>
  <c r="BB27" i="1"/>
  <c r="BZ27" i="1"/>
  <c r="C28" i="1"/>
  <c r="C32" i="1" s="1"/>
  <c r="C33" i="1" s="1"/>
  <c r="C34" i="1" s="1"/>
  <c r="AA28" i="1"/>
  <c r="BC28" i="1"/>
  <c r="BZ28" i="1"/>
  <c r="CW28" i="1"/>
  <c r="Y29" i="1"/>
  <c r="AV29" i="1"/>
  <c r="BV29" i="1"/>
  <c r="CS29" i="1"/>
  <c r="U30" i="1"/>
  <c r="AR30" i="1"/>
  <c r="BO30" i="1"/>
  <c r="BO32" i="1" s="1"/>
  <c r="BO33" i="1" s="1"/>
  <c r="BO34" i="1" s="1"/>
  <c r="CO30" i="1"/>
  <c r="P31" i="1"/>
  <c r="AL31" i="1"/>
  <c r="BH31" i="1"/>
  <c r="CD31" i="1"/>
  <c r="R26" i="1"/>
  <c r="BD28" i="1"/>
  <c r="AS30" i="1"/>
  <c r="BY26" i="1"/>
  <c r="D29" i="1"/>
  <c r="CU29" i="1"/>
  <c r="R31" i="1"/>
  <c r="F27" i="1"/>
  <c r="BV30" i="1"/>
  <c r="AI27" i="1"/>
  <c r="AH27" i="1"/>
  <c r="BG27" i="1"/>
  <c r="BD29" i="1"/>
  <c r="CT30" i="1"/>
  <c r="T26" i="1"/>
  <c r="AZ26" i="1"/>
  <c r="BZ26" i="1"/>
  <c r="E27" i="1"/>
  <c r="AG27" i="1"/>
  <c r="BE27" i="1"/>
  <c r="CC27" i="1"/>
  <c r="F28" i="1"/>
  <c r="AH28" i="1"/>
  <c r="BF28" i="1"/>
  <c r="CC28" i="1"/>
  <c r="E29" i="1"/>
  <c r="AB29" i="1"/>
  <c r="BB29" i="1"/>
  <c r="BY29" i="1"/>
  <c r="CV29" i="1"/>
  <c r="X30" i="1"/>
  <c r="AU30" i="1"/>
  <c r="BU30" i="1"/>
  <c r="CR30" i="1"/>
  <c r="S31" i="1"/>
  <c r="AO31" i="1"/>
  <c r="BK31" i="1"/>
  <c r="CG31" i="1"/>
  <c r="B30" i="1"/>
  <c r="AI28" i="1"/>
  <c r="CH31" i="1"/>
  <c r="J27" i="1"/>
  <c r="AJ28" i="1"/>
  <c r="G29" i="1"/>
  <c r="Z30" i="1"/>
  <c r="U26" i="1"/>
  <c r="BF27" i="1"/>
  <c r="BG28" i="1"/>
  <c r="AF29" i="1"/>
  <c r="AF32" i="1" s="1"/>
  <c r="AF33" i="1" s="1"/>
  <c r="AF34" i="1" s="1"/>
  <c r="AV30" i="1"/>
  <c r="BL31" i="1"/>
  <c r="CB26" i="1"/>
  <c r="BH28" i="1"/>
  <c r="C30" i="1"/>
  <c r="X26" i="1"/>
  <c r="BC26" i="1"/>
  <c r="CC26" i="1"/>
  <c r="K27" i="1"/>
  <c r="AJ27" i="1"/>
  <c r="BH27" i="1"/>
  <c r="CF27" i="1"/>
  <c r="L28" i="1"/>
  <c r="AK28" i="1"/>
  <c r="BI28" i="1"/>
  <c r="CF28" i="1"/>
  <c r="H29" i="1"/>
  <c r="AH29" i="1"/>
  <c r="BE29" i="1"/>
  <c r="CB29" i="1"/>
  <c r="D30" i="1"/>
  <c r="AA30" i="1"/>
  <c r="BA30" i="1"/>
  <c r="BX30" i="1"/>
  <c r="CU30" i="1"/>
  <c r="V31" i="1"/>
  <c r="AR31" i="1"/>
  <c r="BN31" i="1"/>
  <c r="CJ31" i="1"/>
  <c r="B27" i="1"/>
  <c r="AC26" i="1"/>
  <c r="BD26" i="1"/>
  <c r="CD26" i="1"/>
  <c r="CD32" i="1" s="1"/>
  <c r="CD33" i="1" s="1"/>
  <c r="CD34" i="1" s="1"/>
  <c r="M27" i="1"/>
  <c r="AK27" i="1"/>
  <c r="BI27" i="1"/>
  <c r="CG27" i="1"/>
  <c r="N28" i="1"/>
  <c r="AL28" i="1"/>
  <c r="BJ28" i="1"/>
  <c r="BJ32" i="1" s="1"/>
  <c r="BJ33" i="1" s="1"/>
  <c r="BJ34" i="1" s="1"/>
  <c r="CG28" i="1"/>
  <c r="L29" i="1"/>
  <c r="L32" i="1" s="1"/>
  <c r="L33" i="1" s="1"/>
  <c r="L34" i="1" s="1"/>
  <c r="AI29" i="1"/>
  <c r="BF29" i="1"/>
  <c r="CC29" i="1"/>
  <c r="E30" i="1"/>
  <c r="AB30" i="1"/>
  <c r="BB30" i="1"/>
  <c r="BY30" i="1"/>
  <c r="CV30" i="1"/>
  <c r="W31" i="1"/>
  <c r="AS31" i="1"/>
  <c r="BO31" i="1"/>
  <c r="CK31" i="1"/>
  <c r="AD26" i="1"/>
  <c r="CP26" i="1"/>
  <c r="BR27" i="1"/>
  <c r="AQ28" i="1"/>
  <c r="AQ32" i="1" s="1"/>
  <c r="AQ33" i="1" s="1"/>
  <c r="AQ34" i="1" s="1"/>
  <c r="P29" i="1"/>
  <c r="CF29" i="1"/>
  <c r="BD30" i="1"/>
  <c r="H31" i="1"/>
  <c r="BU31" i="1"/>
  <c r="AG26" i="1"/>
  <c r="Y31" i="1"/>
  <c r="CI31" i="1"/>
  <c r="S27" i="1"/>
  <c r="CO31" i="1"/>
  <c r="BO28" i="1"/>
  <c r="BF26" i="1"/>
  <c r="AQ31" i="1"/>
  <c r="BT28" i="1"/>
  <c r="CR31" i="1"/>
  <c r="N30" i="1"/>
  <c r="N32" i="1" s="1"/>
  <c r="N33" i="1" s="1"/>
  <c r="N34" i="1" s="1"/>
  <c r="BI26" i="1"/>
  <c r="AV31" i="1"/>
  <c r="BH29" i="1"/>
  <c r="BL26" i="1"/>
  <c r="BJ29" i="1"/>
  <c r="BA31" i="1"/>
  <c r="U28" i="1"/>
  <c r="BL29" i="1"/>
  <c r="AN28" i="1"/>
  <c r="AL30" i="1"/>
  <c r="CO26" i="1"/>
  <c r="AF26" i="1"/>
  <c r="N27" i="1"/>
  <c r="BS27" i="1"/>
  <c r="AR28" i="1"/>
  <c r="Q29" i="1"/>
  <c r="CG29" i="1"/>
  <c r="BE30" i="1"/>
  <c r="X31" i="1"/>
  <c r="BV31" i="1"/>
  <c r="O27" i="1"/>
  <c r="CH27" i="1"/>
  <c r="AS28" i="1"/>
  <c r="R29" i="1"/>
  <c r="CH29" i="1"/>
  <c r="BF30" i="1"/>
  <c r="BW31" i="1"/>
  <c r="AA31" i="1"/>
  <c r="AK26" i="1"/>
  <c r="AM29" i="1"/>
  <c r="H30" i="1"/>
  <c r="AL27" i="1"/>
  <c r="AL32" i="1" s="1"/>
  <c r="AL33" i="1" s="1"/>
  <c r="AL34" i="1" s="1"/>
  <c r="CA30" i="1"/>
  <c r="AO29" i="1"/>
  <c r="AT31" i="1"/>
  <c r="BH26" i="1"/>
  <c r="CI28" i="1"/>
  <c r="R28" i="1"/>
  <c r="B28" i="1"/>
  <c r="B32" i="1" s="1"/>
  <c r="B33" i="1" s="1"/>
  <c r="B34" i="1" s="1"/>
  <c r="BI29" i="1"/>
  <c r="AR27" i="1"/>
  <c r="C31" i="1"/>
  <c r="CK26" i="1"/>
  <c r="BM29" i="1"/>
  <c r="BP31" i="1"/>
  <c r="BM27" i="1"/>
  <c r="BM32" i="1" s="1"/>
  <c r="BM33" i="1" s="1"/>
  <c r="BM34" i="1" s="1"/>
  <c r="O29" i="1"/>
  <c r="AH26" i="1"/>
  <c r="AH32" i="1" s="1"/>
  <c r="AH33" i="1" s="1"/>
  <c r="AH34" i="1" s="1"/>
  <c r="P27" i="1"/>
  <c r="CL27" i="1"/>
  <c r="BK28" i="1"/>
  <c r="S29" i="1"/>
  <c r="CI29" i="1"/>
  <c r="BG30" i="1"/>
  <c r="Z31" i="1"/>
  <c r="BX31" i="1"/>
  <c r="BH30" i="1"/>
  <c r="CP27" i="1"/>
  <c r="AC31" i="1"/>
  <c r="CQ27" i="1"/>
  <c r="AD31" i="1"/>
  <c r="CR27" i="1"/>
  <c r="I30" i="1"/>
  <c r="I32" i="1" s="1"/>
  <c r="I33" i="1" s="1"/>
  <c r="I34" i="1" s="1"/>
  <c r="BG26" i="1"/>
  <c r="BG32" i="1" s="1"/>
  <c r="BG33" i="1" s="1"/>
  <c r="BG34" i="1" s="1"/>
  <c r="AN27" i="1"/>
  <c r="CS31" i="1"/>
  <c r="BG29" i="1"/>
  <c r="O30" i="1"/>
  <c r="AP27" i="1"/>
  <c r="AW31" i="1"/>
  <c r="CN28" i="1"/>
  <c r="CO28" i="1"/>
  <c r="CP28" i="1"/>
  <c r="AM28" i="1"/>
  <c r="AK30" i="1"/>
  <c r="N29" i="1"/>
  <c r="BN27" i="1"/>
  <c r="AI26" i="1"/>
  <c r="Q27" i="1"/>
  <c r="CM27" i="1"/>
  <c r="BL28" i="1"/>
  <c r="AJ29" i="1"/>
  <c r="CJ29" i="1"/>
  <c r="AL29" i="1"/>
  <c r="G30" i="1"/>
  <c r="BE26" i="1"/>
  <c r="CP31" i="1"/>
  <c r="AN29" i="1"/>
  <c r="AM27" i="1"/>
  <c r="CB30" i="1"/>
  <c r="CH28" i="1"/>
  <c r="AO27" i="1"/>
  <c r="CT31" i="1"/>
  <c r="AC30" i="1"/>
  <c r="S28" i="1"/>
  <c r="CF30" i="1"/>
  <c r="CF26" i="1"/>
  <c r="AI30" i="1"/>
  <c r="CQ28" i="1"/>
  <c r="M29" i="1"/>
  <c r="CD29" i="1"/>
  <c r="CE29" i="1"/>
  <c r="BR31" i="1"/>
  <c r="AJ26" i="1"/>
  <c r="AJ32" i="1" s="1"/>
  <c r="AJ33" i="1" s="1"/>
  <c r="AJ34" i="1" s="1"/>
  <c r="R27" i="1"/>
  <c r="CO27" i="1"/>
  <c r="BM28" i="1"/>
  <c r="AK29" i="1"/>
  <c r="F30" i="1"/>
  <c r="BI30" i="1"/>
  <c r="AB31" i="1"/>
  <c r="CL31" i="1"/>
  <c r="BN28" i="1"/>
  <c r="T27" i="1"/>
  <c r="BZ30" i="1"/>
  <c r="BS28" i="1"/>
  <c r="CQ31" i="1"/>
  <c r="O28" i="1"/>
  <c r="M30" i="1"/>
  <c r="P28" i="1"/>
  <c r="P32" i="1" s="1"/>
  <c r="P33" i="1" s="1"/>
  <c r="P34" i="1" s="1"/>
  <c r="AU31" i="1"/>
  <c r="Q28" i="1"/>
  <c r="CD30" i="1"/>
  <c r="CM28" i="1"/>
  <c r="CE30" i="1"/>
  <c r="AQ27" i="1"/>
  <c r="AX31" i="1"/>
  <c r="T28" i="1"/>
  <c r="T32" i="1" s="1"/>
  <c r="T33" i="1" s="1"/>
  <c r="T34" i="1" s="1"/>
  <c r="CW30" i="1"/>
  <c r="BJ27" i="1"/>
  <c r="BK27" i="1"/>
  <c r="BM31" i="1"/>
  <c r="E31" i="1"/>
  <c r="CN26" i="1"/>
  <c r="BC30" i="1"/>
  <c r="BW30" i="1"/>
  <c r="AP29" i="1"/>
  <c r="BJ26" i="1"/>
  <c r="AH30" i="1"/>
  <c r="AJ30" i="1"/>
  <c r="F31" i="1"/>
  <c r="CC30" i="1"/>
  <c r="AG30" i="1"/>
  <c r="BB31" i="1"/>
  <c r="D31" i="1"/>
  <c r="AO28" i="1"/>
  <c r="BK29" i="1"/>
  <c r="BL27" i="1"/>
  <c r="BQ31" i="1"/>
  <c r="G31" i="1"/>
  <c r="CG26" i="1"/>
  <c r="CG32" i="1" s="1"/>
  <c r="CG33" i="1" s="1"/>
  <c r="CG34" i="1" s="1"/>
  <c r="CL26" i="1"/>
  <c r="CL32" i="1" s="1"/>
  <c r="CL33" i="1" s="1"/>
  <c r="CL34" i="1" s="1"/>
  <c r="AP28" i="1"/>
  <c r="C17" i="1"/>
  <c r="D17" i="1"/>
  <c r="C18" i="1"/>
  <c r="D18" i="1"/>
  <c r="C19" i="1"/>
  <c r="D19" i="1"/>
  <c r="B18" i="1"/>
  <c r="B19" i="1"/>
  <c r="D15" i="1"/>
  <c r="D39" i="1"/>
  <c r="D40" i="1"/>
  <c r="D41" i="1"/>
  <c r="D38" i="1"/>
  <c r="B45" i="1"/>
  <c r="C14" i="5"/>
  <c r="C20" i="5" s="1"/>
  <c r="C21" i="5" s="1"/>
  <c r="C22" i="5" s="1"/>
  <c r="E16" i="5"/>
  <c r="G18" i="5"/>
  <c r="J18" i="5"/>
  <c r="I16" i="5"/>
  <c r="H14" i="5"/>
  <c r="H20" i="5" s="1"/>
  <c r="D17" i="5"/>
  <c r="F15" i="5"/>
  <c r="K19" i="5"/>
  <c r="D18" i="5"/>
  <c r="D16" i="5"/>
  <c r="D14" i="5"/>
  <c r="D20" i="5" s="1"/>
  <c r="F16" i="5"/>
  <c r="H18" i="5"/>
  <c r="K18" i="5"/>
  <c r="C19" i="5"/>
  <c r="K14" i="5"/>
  <c r="K20" i="5" s="1"/>
  <c r="G15" i="5"/>
  <c r="J15" i="5"/>
  <c r="E14" i="5"/>
  <c r="E20" i="5" s="1"/>
  <c r="G16" i="5"/>
  <c r="I18" i="5"/>
  <c r="H16" i="5"/>
  <c r="J16" i="5"/>
  <c r="J19" i="5"/>
  <c r="K17" i="5"/>
  <c r="F14" i="5"/>
  <c r="F20" i="5" s="1"/>
  <c r="F19" i="5"/>
  <c r="H17" i="5"/>
  <c r="J17" i="5"/>
  <c r="K15" i="5"/>
  <c r="F18" i="5"/>
  <c r="G14" i="5"/>
  <c r="G20" i="5" s="1"/>
  <c r="I15" i="5"/>
  <c r="E18" i="5"/>
  <c r="I14" i="5"/>
  <c r="I20" i="5" s="1"/>
  <c r="I21" i="5" s="1"/>
  <c r="K16" i="5"/>
  <c r="D19" i="5"/>
  <c r="H15" i="5"/>
  <c r="J14" i="5"/>
  <c r="J20" i="5" s="1"/>
  <c r="C17" i="5"/>
  <c r="E19" i="5"/>
  <c r="C15" i="5"/>
  <c r="E17" i="5"/>
  <c r="G19" i="5"/>
  <c r="D15" i="5"/>
  <c r="F17" i="5"/>
  <c r="H19" i="5"/>
  <c r="E15" i="5"/>
  <c r="G17" i="5"/>
  <c r="I19" i="5"/>
  <c r="I17" i="5"/>
  <c r="C18" i="5"/>
  <c r="C16" i="5"/>
  <c r="B18" i="5"/>
  <c r="B19" i="5"/>
  <c r="C14" i="1"/>
  <c r="D16" i="1"/>
  <c r="B16" i="1"/>
  <c r="D14" i="1"/>
  <c r="B17" i="1"/>
  <c r="C15" i="1"/>
  <c r="C16" i="1"/>
  <c r="B15" i="1"/>
  <c r="B15" i="5"/>
  <c r="B16" i="5"/>
  <c r="B17" i="5"/>
  <c r="B14" i="5"/>
  <c r="B20" i="5" s="1"/>
  <c r="B14" i="1"/>
  <c r="CQ32" i="1"/>
  <c r="CQ33" i="1" s="1"/>
  <c r="CQ34" i="1" s="1"/>
  <c r="BF32" i="1"/>
  <c r="BF33" i="1" s="1"/>
  <c r="BF34" i="1" s="1"/>
  <c r="L23" i="5" a="1"/>
  <c r="CX33" i="1" a="1"/>
  <c r="C15" i="7" a="1"/>
  <c r="L27" i="5" a="1"/>
  <c r="C30" i="5" a="1"/>
  <c r="E20" i="1" a="1"/>
  <c r="L20" i="5" a="1"/>
  <c r="CX27" i="1" a="1"/>
  <c r="C14" i="6" a="1"/>
  <c r="CX32" i="1" a="1"/>
  <c r="E15" i="1" a="1"/>
  <c r="L22" i="5" a="1"/>
  <c r="CX30" i="1" a="1"/>
  <c r="L19" i="5" a="1"/>
  <c r="E21" i="1" a="1"/>
  <c r="E17" i="1" a="1"/>
  <c r="CX28" i="1" a="1"/>
  <c r="C47" i="1" a="1"/>
  <c r="E19" i="1" a="1"/>
  <c r="C45" i="1" a="1"/>
  <c r="C15" i="6" a="1"/>
  <c r="E14" i="1" a="1"/>
  <c r="E16" i="1" a="1"/>
  <c r="CX26" i="1" a="1"/>
  <c r="E22" i="1" a="1"/>
  <c r="E18" i="1" a="1"/>
  <c r="L24" i="5" a="1"/>
  <c r="C28" i="5" a="1"/>
  <c r="L21" i="5" a="1"/>
  <c r="C35" i="1" a="1"/>
  <c r="L15" i="5" a="1"/>
  <c r="L18" i="5" a="1"/>
  <c r="L25" i="5" a="1"/>
  <c r="L17" i="5" a="1"/>
  <c r="L26" i="5" a="1"/>
  <c r="L16" i="5" a="1"/>
  <c r="CX29" i="1" a="1"/>
  <c r="C23" i="1" a="1"/>
  <c r="CX31" i="1" a="1"/>
  <c r="C48" i="1" a="1"/>
  <c r="CX34" i="1" a="1"/>
  <c r="L14" i="5" a="1"/>
  <c r="AD32" i="1" l="1"/>
  <c r="AD33" i="1" s="1"/>
  <c r="AD34" i="1" s="1"/>
  <c r="CT32" i="1"/>
  <c r="CT33" i="1" s="1"/>
  <c r="CT34" i="1" s="1"/>
  <c r="M32" i="1"/>
  <c r="M33" i="1" s="1"/>
  <c r="M34" i="1" s="1"/>
  <c r="CW32" i="1"/>
  <c r="CW33" i="1" s="1"/>
  <c r="CW34" i="1" s="1"/>
  <c r="CR32" i="1"/>
  <c r="CR33" i="1" s="1"/>
  <c r="CR34" i="1" s="1"/>
  <c r="BS32" i="1"/>
  <c r="BS33" i="1" s="1"/>
  <c r="BS34" i="1" s="1"/>
  <c r="AW32" i="1"/>
  <c r="AW33" i="1" s="1"/>
  <c r="AW34" i="1" s="1"/>
  <c r="B21" i="5"/>
  <c r="B22" i="5" s="1"/>
  <c r="B23" i="5" s="1"/>
  <c r="B24" i="5" s="1"/>
  <c r="B25" i="5" s="1"/>
  <c r="I22" i="5"/>
  <c r="I23" i="5" s="1"/>
  <c r="C23" i="5"/>
  <c r="C24" i="5" s="1"/>
  <c r="C25" i="5" s="1"/>
  <c r="CC32" i="1"/>
  <c r="CC33" i="1" s="1"/>
  <c r="CC34" i="1" s="1"/>
  <c r="AY32" i="1"/>
  <c r="AY33" i="1" s="1"/>
  <c r="AY34" i="1" s="1"/>
  <c r="BT32" i="1"/>
  <c r="BT33" i="1" s="1"/>
  <c r="BT34" i="1" s="1"/>
  <c r="AC32" i="1"/>
  <c r="AC33" i="1" s="1"/>
  <c r="AC34" i="1" s="1"/>
  <c r="AZ32" i="1"/>
  <c r="AZ33" i="1" s="1"/>
  <c r="AZ34" i="1" s="1"/>
  <c r="AE32" i="1"/>
  <c r="AE33" i="1" s="1"/>
  <c r="AE34" i="1" s="1"/>
  <c r="D20" i="1"/>
  <c r="D21" i="1" s="1" a="1"/>
  <c r="D21" i="1" s="1"/>
  <c r="D22" i="1" s="1"/>
  <c r="BW32" i="1"/>
  <c r="BW33" i="1" s="1"/>
  <c r="BW34" i="1" s="1"/>
  <c r="C20" i="1"/>
  <c r="C21" i="1" s="1" a="1"/>
  <c r="C21" i="1" s="1"/>
  <c r="C22" i="1" s="1"/>
  <c r="BV32" i="1"/>
  <c r="BV33" i="1" s="1"/>
  <c r="BV34" i="1" s="1"/>
  <c r="AK32" i="1"/>
  <c r="AK33" i="1" s="1"/>
  <c r="AK34" i="1" s="1"/>
  <c r="AA32" i="1"/>
  <c r="AA33" i="1" s="1"/>
  <c r="AA34" i="1" s="1"/>
  <c r="AU32" i="1"/>
  <c r="AU33" i="1" s="1"/>
  <c r="AU34" i="1" s="1"/>
  <c r="CE32" i="1"/>
  <c r="CE33" i="1" s="1"/>
  <c r="CE34" i="1" s="1"/>
  <c r="BN32" i="1"/>
  <c r="BN33" i="1" s="1"/>
  <c r="BN34" i="1" s="1"/>
  <c r="BR32" i="1"/>
  <c r="BR33" i="1" s="1"/>
  <c r="BR34" i="1" s="1"/>
  <c r="K32" i="1"/>
  <c r="K33" i="1" s="1"/>
  <c r="K34" i="1" s="1"/>
  <c r="V32" i="1"/>
  <c r="V33" i="1" s="1"/>
  <c r="V34" i="1" s="1"/>
  <c r="Y32" i="1"/>
  <c r="Y33" i="1" s="1"/>
  <c r="Y34" i="1" s="1"/>
  <c r="CP32" i="1"/>
  <c r="CP33" i="1" s="1"/>
  <c r="CP34" i="1" s="1"/>
  <c r="BD32" i="1"/>
  <c r="BD33" i="1" s="1"/>
  <c r="BD34" i="1" s="1"/>
  <c r="BZ32" i="1"/>
  <c r="BZ33" i="1" s="1"/>
  <c r="BZ34" i="1" s="1"/>
  <c r="Q32" i="1"/>
  <c r="Q33" i="1" s="1"/>
  <c r="Q34" i="1" s="1"/>
  <c r="BA32" i="1"/>
  <c r="BA33" i="1" s="1"/>
  <c r="BA34" i="1" s="1"/>
  <c r="O32" i="1"/>
  <c r="O33" i="1" s="1"/>
  <c r="O34" i="1" s="1"/>
  <c r="AM32" i="1"/>
  <c r="AM33" i="1" s="1"/>
  <c r="AM34" i="1" s="1"/>
  <c r="CI32" i="1"/>
  <c r="CI33" i="1" s="1"/>
  <c r="CI34" i="1" s="1"/>
  <c r="Z32" i="1"/>
  <c r="Z33" i="1" s="1"/>
  <c r="Z34" i="1" s="1"/>
  <c r="AS32" i="1"/>
  <c r="AS33" i="1" s="1"/>
  <c r="AS34" i="1" s="1"/>
  <c r="AR32" i="1"/>
  <c r="AR33" i="1" s="1"/>
  <c r="AR34" i="1" s="1"/>
  <c r="AX32" i="1"/>
  <c r="AX33" i="1" s="1"/>
  <c r="AX34" i="1" s="1"/>
  <c r="AB32" i="1"/>
  <c r="AB33" i="1" s="1"/>
  <c r="AB34" i="1" s="1"/>
  <c r="AI32" i="1"/>
  <c r="AI33" i="1" s="1"/>
  <c r="AI34" i="1" s="1"/>
  <c r="BX32" i="1"/>
  <c r="BX33" i="1" s="1"/>
  <c r="BX34" i="1" s="1"/>
  <c r="W32" i="1"/>
  <c r="W33" i="1" s="1"/>
  <c r="W34" i="1" s="1"/>
  <c r="K21" i="5"/>
  <c r="K22" i="5" s="1"/>
  <c r="K23" i="5" s="1"/>
  <c r="K24" i="5" s="1"/>
  <c r="K25" i="5" s="1"/>
  <c r="B20" i="1"/>
  <c r="B21" i="1" s="1"/>
  <c r="B22" i="1" s="1"/>
  <c r="AP32" i="1"/>
  <c r="AP33" i="1" s="1"/>
  <c r="AP34" i="1" s="1"/>
  <c r="R32" i="1"/>
  <c r="R33" i="1" s="1"/>
  <c r="R34" i="1" s="1"/>
  <c r="CF32" i="1"/>
  <c r="CF33" i="1" s="1"/>
  <c r="CF34" i="1" s="1"/>
  <c r="BL32" i="1"/>
  <c r="BL33" i="1" s="1"/>
  <c r="BL34" i="1" s="1"/>
  <c r="AN32" i="1"/>
  <c r="AN33" i="1" s="1"/>
  <c r="AN34" i="1" s="1"/>
  <c r="BI32" i="1"/>
  <c r="BI33" i="1" s="1"/>
  <c r="BI34" i="1" s="1"/>
  <c r="BH32" i="1"/>
  <c r="BH33" i="1" s="1"/>
  <c r="BH34" i="1" s="1"/>
  <c r="CB32" i="1"/>
  <c r="CB33" i="1" s="1"/>
  <c r="CB34" i="1" s="1"/>
  <c r="G32" i="1"/>
  <c r="G33" i="1" s="1"/>
  <c r="G34" i="1" s="1"/>
  <c r="AO32" i="1"/>
  <c r="AO33" i="1" s="1"/>
  <c r="AO34" i="1" s="1"/>
  <c r="BE32" i="1"/>
  <c r="BE33" i="1" s="1"/>
  <c r="BE34" i="1" s="1"/>
  <c r="BY32" i="1"/>
  <c r="BY33" i="1" s="1"/>
  <c r="BY34" i="1" s="1"/>
  <c r="CO32" i="1"/>
  <c r="CO33" i="1" s="1"/>
  <c r="CO34" i="1" s="1"/>
  <c r="CV32" i="1"/>
  <c r="CV33" i="1" s="1"/>
  <c r="CV34" i="1" s="1"/>
  <c r="AG32" i="1"/>
  <c r="AG33" i="1" s="1"/>
  <c r="AG34" i="1" s="1"/>
  <c r="S32" i="1"/>
  <c r="S33" i="1" s="1"/>
  <c r="S34" i="1" s="1"/>
  <c r="BC32" i="1"/>
  <c r="BC33" i="1" s="1"/>
  <c r="BC34" i="1" s="1"/>
  <c r="CU32" i="1"/>
  <c r="CU33" i="1" s="1"/>
  <c r="CU34" i="1" s="1"/>
  <c r="CA32" i="1"/>
  <c r="CA33" i="1" s="1"/>
  <c r="CA34" i="1" s="1"/>
  <c r="BB32" i="1"/>
  <c r="BB33" i="1" s="1"/>
  <c r="BB34" i="1" s="1"/>
  <c r="U32" i="1"/>
  <c r="U33" i="1" s="1"/>
  <c r="U34" i="1" s="1"/>
  <c r="CN32" i="1"/>
  <c r="CN33" i="1" s="1"/>
  <c r="CN34" i="1" s="1"/>
  <c r="CS32" i="1"/>
  <c r="CS33" i="1" s="1"/>
  <c r="CS34" i="1" s="1"/>
  <c r="CM32" i="1"/>
  <c r="CM33" i="1" s="1"/>
  <c r="CM34" i="1" s="1"/>
  <c r="BQ32" i="1"/>
  <c r="BQ33" i="1" s="1"/>
  <c r="BQ34" i="1" s="1"/>
  <c r="H32" i="1"/>
  <c r="H33" i="1" s="1"/>
  <c r="H34" i="1" s="1"/>
  <c r="J32" i="1"/>
  <c r="J33" i="1" s="1"/>
  <c r="J34" i="1" s="1"/>
  <c r="AV32" i="1"/>
  <c r="AV33" i="1" s="1"/>
  <c r="AV34" i="1" s="1"/>
  <c r="CH32" i="1"/>
  <c r="CH33" i="1" s="1"/>
  <c r="CH34" i="1" s="1"/>
  <c r="E32" i="1"/>
  <c r="E33" i="1" s="1"/>
  <c r="E34" i="1" s="1"/>
  <c r="E20" i="1"/>
  <c r="C23" i="1"/>
  <c r="L26" i="5"/>
  <c r="L25" i="5"/>
  <c r="L24" i="5"/>
  <c r="CX30" i="1"/>
  <c r="C15" i="6"/>
  <c r="L20" i="5"/>
  <c r="C30" i="5"/>
  <c r="CX34" i="1"/>
  <c r="L14" i="5"/>
  <c r="L18" i="5"/>
  <c r="E18" i="1"/>
  <c r="L22" i="5"/>
  <c r="C14" i="6"/>
  <c r="C47" i="1"/>
  <c r="L27" i="5"/>
  <c r="C48" i="1"/>
  <c r="CX31" i="1"/>
  <c r="L15" i="5"/>
  <c r="E22" i="1"/>
  <c r="E15" i="1"/>
  <c r="C45" i="1"/>
  <c r="CX28" i="1"/>
  <c r="C15" i="7"/>
  <c r="CX29" i="1"/>
  <c r="C28" i="5"/>
  <c r="C35" i="1"/>
  <c r="CX26" i="1"/>
  <c r="CX32" i="1"/>
  <c r="E19" i="1"/>
  <c r="E17" i="1"/>
  <c r="CX33" i="1"/>
  <c r="L16" i="5"/>
  <c r="L17" i="5"/>
  <c r="L21" i="5"/>
  <c r="E16" i="1"/>
  <c r="E14" i="1"/>
  <c r="CX27" i="1"/>
  <c r="E21" i="1"/>
  <c r="L23" i="5"/>
  <c r="L19" i="5"/>
  <c r="H21" i="5"/>
  <c r="H22" i="5" s="1"/>
  <c r="H23" i="5" s="1"/>
  <c r="H24" i="5" s="1"/>
  <c r="H25" i="5" s="1"/>
  <c r="E21" i="5"/>
  <c r="E22" i="5" s="1"/>
  <c r="E23" i="5" s="1"/>
  <c r="E24" i="5" s="1"/>
  <c r="E25" i="5" s="1"/>
  <c r="F21" i="5"/>
  <c r="F22" i="5" s="1"/>
  <c r="F23" i="5" s="1"/>
  <c r="F24" i="5" s="1"/>
  <c r="F25" i="5" s="1"/>
  <c r="F26" i="5" s="1"/>
  <c r="F27" i="5" s="1"/>
  <c r="D21" i="5"/>
  <c r="D22" i="5" s="1"/>
  <c r="D23" i="5" s="1"/>
  <c r="D24" i="5" s="1"/>
  <c r="D25" i="5" s="1"/>
  <c r="J21" i="5"/>
  <c r="J22" i="5" s="1"/>
  <c r="J23" i="5" s="1"/>
  <c r="J24" i="5" s="1"/>
  <c r="J25" i="5" s="1"/>
  <c r="G21" i="5"/>
  <c r="G22" i="5" s="1"/>
  <c r="G23" i="5" s="1"/>
  <c r="G24" i="5" s="1"/>
  <c r="G25" i="5" s="1"/>
  <c r="C26" i="5"/>
  <c r="C27" i="5" s="1"/>
  <c r="I24" i="5" l="1"/>
  <c r="I25" i="5" s="1"/>
  <c r="I26" i="5"/>
  <c r="I27" i="5" s="1"/>
  <c r="B35" i="1"/>
  <c r="B23" i="1"/>
  <c r="K26" i="5"/>
  <c r="K27" i="5" s="1"/>
  <c r="D26" i="5"/>
  <c r="D27" i="5" s="1"/>
  <c r="J26" i="5"/>
  <c r="J27" i="5" s="1"/>
  <c r="E26" i="5"/>
  <c r="E27" i="5" s="1"/>
  <c r="G26" i="5"/>
  <c r="G27" i="5" s="1"/>
  <c r="B26" i="5"/>
  <c r="B27" i="5" s="1"/>
  <c r="H26" i="5"/>
  <c r="H27" i="5" s="1"/>
  <c r="B28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<sst xmlns="http://schemas.openxmlformats.org/spreadsheetml/2006/main" count="237" uniqueCount="166">
  <si>
    <t>Call or Put (c = 1 or p = -1)</t>
  </si>
  <si>
    <t>Stock price (S)</t>
  </si>
  <si>
    <t>Strike price (K)</t>
  </si>
  <si>
    <t>Number of steps (n)</t>
  </si>
  <si>
    <t>p</t>
  </si>
  <si>
    <t>Terminal stock price</t>
  </si>
  <si>
    <t>Option payoff</t>
  </si>
  <si>
    <t>Average discounted payoff</t>
  </si>
  <si>
    <t>Computing the actual option price with state prices</t>
  </si>
  <si>
    <t>Actual option price</t>
  </si>
  <si>
    <t>Random paths and the Monte Carlo price (3 paths)</t>
  </si>
  <si>
    <t>Random paths and the Monte Carlo price (100 paths)</t>
  </si>
  <si>
    <t>u</t>
  </si>
  <si>
    <t>Option Inputs</t>
  </si>
  <si>
    <t>Time to maturity (T)</t>
  </si>
  <si>
    <t>YEAR</t>
  </si>
  <si>
    <t>Dividend yield (q)</t>
  </si>
  <si>
    <t>Movement of each step</t>
  </si>
  <si>
    <t>Step (dt)</t>
  </si>
  <si>
    <t xml:space="preserve">   Up movement multiplier</t>
  </si>
  <si>
    <t>d</t>
  </si>
  <si>
    <t xml:space="preserve">   Down movement multiplier,  = 1/u</t>
  </si>
  <si>
    <t xml:space="preserve">   Risk-neutral probability of up movement</t>
  </si>
  <si>
    <t>Total down moves</t>
  </si>
  <si>
    <t>Volatilty (v)</t>
  </si>
  <si>
    <t>Riskfree rate (rr)</t>
  </si>
  <si>
    <t>Black-Scholes price</t>
  </si>
  <si>
    <t>Period 1, up (0) or down (1)?</t>
  </si>
  <si>
    <t>Period 2, up (0) or down (1)?</t>
  </si>
  <si>
    <t>Period 3, up (0) or down (1)?</t>
  </si>
  <si>
    <t>Period 4, up (0) or down (1)?</t>
  </si>
  <si>
    <t>Stock price in period 1</t>
  </si>
  <si>
    <t>Stock price in period 2</t>
  </si>
  <si>
    <t>Stock price in period 3</t>
  </si>
  <si>
    <t>Stock price in period 4</t>
  </si>
  <si>
    <t>European option simulation: GBM model</t>
  </si>
  <si>
    <t>MC value=</t>
  </si>
  <si>
    <t>simulation #</t>
  </si>
  <si>
    <t>stock price S(T)</t>
  </si>
  <si>
    <t>option payoff</t>
  </si>
  <si>
    <t>MC price of European option based on GBM model:</t>
  </si>
  <si>
    <t>No. of simulations (Runs)</t>
  </si>
  <si>
    <t>Asian option simulation: GBM model</t>
  </si>
  <si>
    <t>MC price of Asian option based on GBM model:</t>
  </si>
  <si>
    <t>No. of periods (in the time series simulation)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</si>
  <si>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</si>
  <si>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</si>
  <si>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</si>
  <si>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</si>
  <si>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</si>
  <si>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</si>
  <si>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</si>
  <si>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</si>
  <si>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</si>
  <si>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</si>
  <si>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Run 11</t>
  </si>
  <si>
    <t>Run 12</t>
  </si>
  <si>
    <t>Run 13</t>
  </si>
  <si>
    <t>Run 14</t>
  </si>
  <si>
    <t>Run 15</t>
  </si>
  <si>
    <t>Run 16</t>
  </si>
  <si>
    <t>Run 17</t>
  </si>
  <si>
    <t>Run 18</t>
  </si>
  <si>
    <t>Run 19</t>
  </si>
  <si>
    <t>Run 20</t>
  </si>
  <si>
    <t>Run 21</t>
  </si>
  <si>
    <t>Run 22</t>
  </si>
  <si>
    <t>Run 23</t>
  </si>
  <si>
    <t>Run 24</t>
  </si>
  <si>
    <t>Run 25</t>
  </si>
  <si>
    <t>Run 26</t>
  </si>
  <si>
    <t>Run 27</t>
  </si>
  <si>
    <t>Run 28</t>
  </si>
  <si>
    <t>Run 29</t>
  </si>
  <si>
    <t>Run 30</t>
  </si>
  <si>
    <t>Run 31</t>
  </si>
  <si>
    <t>Run 32</t>
  </si>
  <si>
    <t>Run 33</t>
  </si>
  <si>
    <t>Run 34</t>
  </si>
  <si>
    <t>Run 35</t>
  </si>
  <si>
    <t>Run 36</t>
  </si>
  <si>
    <t>Run 37</t>
  </si>
  <si>
    <t>Run 38</t>
  </si>
  <si>
    <t>Run 39</t>
  </si>
  <si>
    <t>Run 40</t>
  </si>
  <si>
    <t>Run 41</t>
  </si>
  <si>
    <t>Run 42</t>
  </si>
  <si>
    <t>Run 43</t>
  </si>
  <si>
    <t>Run 44</t>
  </si>
  <si>
    <t>Run 45</t>
  </si>
  <si>
    <t>Run 46</t>
  </si>
  <si>
    <t>Run 47</t>
  </si>
  <si>
    <t>Run 48</t>
  </si>
  <si>
    <t>Run 49</t>
  </si>
  <si>
    <t>Run 50</t>
  </si>
  <si>
    <t>Run 51</t>
  </si>
  <si>
    <t>Run 52</t>
  </si>
  <si>
    <t>Run 53</t>
  </si>
  <si>
    <t>Run 54</t>
  </si>
  <si>
    <t>Run 55</t>
  </si>
  <si>
    <t>Run 56</t>
  </si>
  <si>
    <t>Run 57</t>
  </si>
  <si>
    <t>Run 58</t>
  </si>
  <si>
    <t>Run 59</t>
  </si>
  <si>
    <t>Run 60</t>
  </si>
  <si>
    <t>Run 61</t>
  </si>
  <si>
    <t>Run 62</t>
  </si>
  <si>
    <t>Run 63</t>
  </si>
  <si>
    <t>Run 64</t>
  </si>
  <si>
    <t>Run 65</t>
  </si>
  <si>
    <t>Run 66</t>
  </si>
  <si>
    <t>Run 67</t>
  </si>
  <si>
    <t>Run 68</t>
  </si>
  <si>
    <t>Run 69</t>
  </si>
  <si>
    <t>Run 70</t>
  </si>
  <si>
    <t>Run 71</t>
  </si>
  <si>
    <t>Run 72</t>
  </si>
  <si>
    <t>Run 73</t>
  </si>
  <si>
    <t>Run 74</t>
  </si>
  <si>
    <t>Run 75</t>
  </si>
  <si>
    <t>Run 76</t>
  </si>
  <si>
    <t>Run 77</t>
  </si>
  <si>
    <t>Run 78</t>
  </si>
  <si>
    <t>Run 79</t>
  </si>
  <si>
    <t>Run 80</t>
  </si>
  <si>
    <t>Run 81</t>
  </si>
  <si>
    <t>Run 82</t>
  </si>
  <si>
    <t>Run 83</t>
  </si>
  <si>
    <t>Run 84</t>
  </si>
  <si>
    <t>Run 85</t>
  </si>
  <si>
    <t>Run 86</t>
  </si>
  <si>
    <t>Run 87</t>
  </si>
  <si>
    <t>Run 88</t>
  </si>
  <si>
    <t>Run 89</t>
  </si>
  <si>
    <t>Run 90</t>
  </si>
  <si>
    <t>Run 91</t>
  </si>
  <si>
    <t>Run 92</t>
  </si>
  <si>
    <t>Run 93</t>
  </si>
  <si>
    <t>Run 94</t>
  </si>
  <si>
    <t>Run 95</t>
  </si>
  <si>
    <t>Run 96</t>
  </si>
  <si>
    <t>Run 97</t>
  </si>
  <si>
    <t>Run 98</t>
  </si>
  <si>
    <t>Run 99</t>
  </si>
  <si>
    <t>Run 100</t>
  </si>
  <si>
    <t xml:space="preserve">Payoff </t>
  </si>
  <si>
    <t xml:space="preserve">Number of down move </t>
  </si>
  <si>
    <t xml:space="preserve">Probability </t>
  </si>
  <si>
    <t>MC price based on 4-period CRR tree and 10000 runs</t>
  </si>
  <si>
    <t>Period 6, up (0) or down (1)?</t>
  </si>
  <si>
    <t>Period 5, up (0) or down (1)?</t>
  </si>
  <si>
    <t>Stock price in period 5</t>
  </si>
  <si>
    <t>Stock price in period 6</t>
  </si>
  <si>
    <t>Average stock price (in period 1 to 6)</t>
  </si>
  <si>
    <t>State (uuuuuu)</t>
  </si>
  <si>
    <t>State (uuuuud)</t>
  </si>
  <si>
    <t>State (uuuudd)</t>
  </si>
  <si>
    <t>State (uuuddd)</t>
  </si>
  <si>
    <t>State (uudddd)</t>
  </si>
  <si>
    <t>State (uddddd)</t>
  </si>
  <si>
    <t>State (dddddd)</t>
  </si>
  <si>
    <t>Monte Carlo price based on 6-period CRR tree and 10000 runs</t>
  </si>
  <si>
    <t>Asian option simulation: in a 6-period CRR model</t>
  </si>
  <si>
    <t>European option simulation: in a 6-period CRR model</t>
  </si>
  <si>
    <t>(Arithemetic average of stock price is calculated at the end of each month)</t>
  </si>
  <si>
    <t>Random paths and the Monte Carlo price (10 paths)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</si>
</sst>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0"/>
    <numFmt numFmtId="166" formatCode="0.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6"/>
      <color theme="1"/>
      <name val="Calibri"/>
      <family val="2"/>
    </font>
    <font>
      <sz val="11"/>
      <color rgb="FF0070C0"/>
      <name val="Calibri"/>
      <family val="2"/>
    </font>
    <font>
      <sz val="8"/>
      <name val="Calibri"/>
      <family val="2"/>
      <scheme val="minor"/>
    </font>
    <font>
      <b/>
      <sz val="11"/>
      <color rgb="FF0070C0"/>
      <name val="Calibri"/>
      <family val="2"/>
    </font>
    <font>
      <b/>
      <sz val="11"/>
      <color rgb="FFFF0000"/>
      <name val="Calibri"/>
      <family val="2"/>
    </font>
    <font>
      <sz val="9"/>
      <name val="Calibri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28">
    <xf numFmtId="0" fontId="0" fillId="0" borderId="0" xfId="0"/>
    <xf numFmtId="0" fontId="6" fillId="0" borderId="0" xfId="1" applyFont="1" applyAlignment="1">
      <alignment horizontal="left"/>
    </xf>
    <xf numFmtId="0" fontId="7" fillId="0" borderId="0" xfId="1" applyFont="1"/>
    <xf numFmtId="0" fontId="7" fillId="0" borderId="0" xfId="0" applyFont="1"/>
    <xf numFmtId="0" fontId="6" fillId="0" borderId="0" xfId="0" applyFont="1"/>
    <xf numFmtId="165" fontId="6" fillId="0" borderId="0" xfId="0" applyNumberFormat="1" applyFont="1"/>
    <xf numFmtId="0" fontId="8" fillId="0" borderId="0" xfId="0" applyFont="1"/>
    <xf numFmtId="0" fontId="3" fillId="0" borderId="0" xfId="0" applyFont="1"/>
    <xf numFmtId="0" fontId="9" fillId="0" borderId="0" xfId="0" applyFont="1"/>
    <xf numFmtId="0" fontId="5" fillId="0" borderId="0" xfId="0" applyFont="1"/>
    <xf numFmtId="165" fontId="3" fillId="2" borderId="0" xfId="0" applyNumberFormat="1" applyFont="1" applyFill="1"/>
    <xf numFmtId="0" fontId="3" fillId="2" borderId="0" xfId="0" applyFont="1" applyFill="1"/>
    <xf numFmtId="0" fontId="11" fillId="0" borderId="0" xfId="1" applyFont="1" applyAlignment="1">
      <alignment horizontal="right"/>
    </xf>
    <xf numFmtId="0" fontId="11" fillId="0" borderId="0" xfId="1" applyFont="1"/>
    <xf numFmtId="164" fontId="11" fillId="0" borderId="0" xfId="1" applyNumberFormat="1" applyFont="1"/>
    <xf numFmtId="166" fontId="3" fillId="0" borderId="0" xfId="0" applyNumberFormat="1" applyFont="1"/>
    <xf numFmtId="2" fontId="3" fillId="0" borderId="0" xfId="0" applyNumberFormat="1" applyFont="1"/>
    <xf numFmtId="0" fontId="12" fillId="0" borderId="0" xfId="0" applyFont="1"/>
    <xf numFmtId="0" fontId="11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65" fontId="3" fillId="3" borderId="0" xfId="0" applyNumberFormat="1" applyFont="1" applyFill="1"/>
    <xf numFmtId="165" fontId="7" fillId="0" borderId="0" xfId="0" applyNumberFormat="1" applyFont="1"/>
    <xf numFmtId="0" fontId="2" fillId="0" borderId="0" xfId="0" applyFont="1"/>
    <xf numFmtId="0" fontId="1" fillId="0" borderId="0" xfId="0" applyFont="1"/>
    <xf numFmtId="0" fontId="11" fillId="0" borderId="0" xfId="0" applyFont="1"/>
    <xf numFmtId="0" fontId="5" fillId="0" borderId="0" xfId="0" applyFont="1" applyAlignment="1">
      <alignment wrapText="1"/>
    </xf>
    <xf numFmtId="9" fontId="11" fillId="0" borderId="0" xfId="1" applyNumberFormat="1" applyFont="1"/>
    <xf numFmtId="165" fontId="3" fillId="0" borderId="0" xfId="0" applyNumberFormat="1" applyFont="1"/>
  </cellXfs>
  <cellStyles count="2">
    <cellStyle name="Normal" xfId="0" builtinId="0"/>
    <cellStyle name="Normal 3" xfId="1" xr:uid="{6A0B33FC-B62E-48B6-A393-BD28C88F9B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578456</xdr:colOff>
      <xdr:row>37</xdr:row>
      <xdr:rowOff>110656</xdr:rowOff>
    </xdr:from>
    <xdr:ext cx="3704732" cy="5519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7F58DD6-3AF2-425E-AA08-2440FBA63645}"/>
                </a:ext>
              </a:extLst>
            </xdr:cNvPr>
            <xdr:cNvSpPr txBox="1"/>
          </xdr:nvSpPr>
          <xdr:spPr>
            <a:xfrm>
              <a:off x="7360919" y="7441759"/>
              <a:ext cx="3704732" cy="551946"/>
            </a:xfrm>
            <a:prstGeom prst="rect">
              <a:avLst/>
            </a:prstGeom>
            <a:ln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Option</m:t>
                    </m:r>
                    <m:r>
                      <m:rPr>
                        <m:nor/>
                      </m:rPr>
                      <a:rPr lang="en-US" sz="1100" b="0" i="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nor/>
                      </m:rPr>
                      <a:rPr lang="en-US" sz="1100" b="0" i="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value</m:t>
                    </m:r>
                    <m:r>
                      <m:rPr>
                        <m:nor/>
                      </m:rPr>
                      <a:rPr lang="en-US" sz="1100" b="0" i="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nor/>
                      </m:rPr>
                      <a:rPr lang="en-US" sz="1100" b="0" i="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today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𝑟𝑇</m:t>
                        </m:r>
                      </m:sup>
                    </m:sSup>
                    <m:nary>
                      <m:naryPr>
                        <m:chr m:val="∑"/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=0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d>
                          <m:dPr>
                            <m:ctrlP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m>
                              <m:mPr>
                                <m:mcs>
                                  <m:mc>
                                    <m:mcPr>
                                      <m:count m:val="1"/>
                                      <m:mcJc m:val="center"/>
                                    </m:mcPr>
                                  </m:mc>
                                </m:mcs>
                                <m:ctrlPr>
                                  <a:rPr lang="en-US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mPr>
                              <m:mr>
                                <m:e>
                                  <m:r>
                                    <m:rPr>
                                      <m:brk m:alnAt="7"/>
                                    </m:rPr>
                                    <a:rPr lang="en-US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𝑛</m:t>
                                  </m:r>
                                </m:e>
                              </m:mr>
                              <m:mr>
                                <m:e>
                                  <m:r>
                                    <a:rPr lang="en-US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e>
                              </m:mr>
                            </m:m>
                          </m:e>
                        </m:d>
                        <m:sSup>
                          <m:sSup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  <m:sSup>
                          <m:sSup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(1−</m:t>
                            </m:r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US">
                <a:effectLst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7F58DD6-3AF2-425E-AA08-2440FBA63645}"/>
                </a:ext>
              </a:extLst>
            </xdr:cNvPr>
            <xdr:cNvSpPr txBox="1"/>
          </xdr:nvSpPr>
          <xdr:spPr>
            <a:xfrm>
              <a:off x="7360919" y="7441759"/>
              <a:ext cx="3704732" cy="551946"/>
            </a:xfrm>
            <a:prstGeom prst="rect">
              <a:avLst/>
            </a:prstGeom>
            <a:ln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l"/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"Option value today"=𝑉_0=𝑒^(−𝑟𝑇) ∑_(𝑖=0)^𝑛▒〖(■8(𝑛@𝑖)) 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𝑝^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 〖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(1−𝑝)〗^(𝑛−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𝑖) 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𝑉(𝑖,𝑛)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US">
                <a:effectLst/>
              </a:endParaRPr>
            </a:p>
          </xdr:txBody>
        </xdr:sp>
      </mc:Fallback>
    </mc:AlternateContent>
    <xdr:clientData/>
  </xdr:oneCellAnchor>
  <xdr:oneCellAnchor>
    <xdr:from>
      <xdr:col>7</xdr:col>
      <xdr:colOff>7620</xdr:colOff>
      <xdr:row>13</xdr:row>
      <xdr:rowOff>38100</xdr:rowOff>
    </xdr:from>
    <xdr:ext cx="2646942" cy="6090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88408E0-ED6A-423D-9196-9E77CCB71E4C}"/>
                </a:ext>
              </a:extLst>
            </xdr:cNvPr>
            <xdr:cNvSpPr txBox="1"/>
          </xdr:nvSpPr>
          <xdr:spPr>
            <a:xfrm>
              <a:off x="7426187" y="2598420"/>
              <a:ext cx="2646942" cy="609013"/>
            </a:xfrm>
            <a:prstGeom prst="rect">
              <a:avLst/>
            </a:prstGeom>
            <a:ln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𝑝</m:t>
                    </m:r>
                    <m:r>
                      <m:rPr>
                        <m:aln/>
                      </m:rP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Prob</m:t>
                    </m:r>
                    <m: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state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in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any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period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"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up</m:t>
                    </m:r>
                    <m: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")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</m:oMath>
                  <m:oMath xmlns:m="http://schemas.openxmlformats.org/officeDocument/2006/math">
                    <m:r>
                      <m:rPr>
                        <m:aln/>
                      </m:rP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Prob</m:t>
                    </m:r>
                    <m:d>
                      <m:d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n-US" sz="110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RAND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()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&lt; 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</m:d>
                  </m:oMath>
                  <m:oMath xmlns:m="http://schemas.openxmlformats.org/officeDocument/2006/math">
                    <m:r>
                      <m:rPr>
                        <m:aln/>
                      </m:rP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Prob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RAND</m:t>
                    </m:r>
                    <m: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()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&gt; 1 − 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𝑝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 </m:t>
                    </m:r>
                  </m:oMath>
                </m:oMathPara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88408E0-ED6A-423D-9196-9E77CCB71E4C}"/>
                </a:ext>
              </a:extLst>
            </xdr:cNvPr>
            <xdr:cNvSpPr txBox="1"/>
          </xdr:nvSpPr>
          <xdr:spPr>
            <a:xfrm>
              <a:off x="7426187" y="2598420"/>
              <a:ext cx="2646942" cy="609013"/>
            </a:xfrm>
            <a:prstGeom prst="rect">
              <a:avLst/>
            </a:prstGeom>
            <a:ln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𝑝&amp;=Prob(state in any period = "up")    </a:t>
              </a:r>
              <a:b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&amp;= Prob(RAND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&lt; 𝑝)</a:t>
              </a:r>
              <a:b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&amp;= Prob(RAND() &gt; 1 − 𝑝) 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8</xdr:row>
      <xdr:rowOff>23854</xdr:rowOff>
    </xdr:from>
    <xdr:ext cx="2646942" cy="6090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F64896D-65FA-41F5-9BDA-C9D9B3438295}"/>
                </a:ext>
              </a:extLst>
            </xdr:cNvPr>
            <xdr:cNvSpPr txBox="1"/>
          </xdr:nvSpPr>
          <xdr:spPr>
            <a:xfrm>
              <a:off x="5534108" y="1630017"/>
              <a:ext cx="2646942" cy="609013"/>
            </a:xfrm>
            <a:prstGeom prst="rect">
              <a:avLst/>
            </a:prstGeom>
            <a:ln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𝑝</m:t>
                    </m:r>
                    <m:r>
                      <m:rPr>
                        <m:aln/>
                      </m:rP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Prob</m:t>
                    </m:r>
                    <m: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state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in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any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period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"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up</m:t>
                    </m:r>
                    <m: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")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</m:oMath>
                  <m:oMath xmlns:m="http://schemas.openxmlformats.org/officeDocument/2006/math">
                    <m:r>
                      <m:rPr>
                        <m:aln/>
                      </m:rP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Prob</m:t>
                    </m:r>
                    <m:d>
                      <m:d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n-US" sz="110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RAND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()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&lt; 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</m:d>
                  </m:oMath>
                  <m:oMath xmlns:m="http://schemas.openxmlformats.org/officeDocument/2006/math">
                    <m:r>
                      <m:rPr>
                        <m:aln/>
                      </m:rP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Prob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RAND</m:t>
                    </m:r>
                    <m:r>
                      <a:rPr lang="en-US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()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&gt; 1 − 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𝑝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 </m:t>
                    </m:r>
                  </m:oMath>
                </m:oMathPara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F64896D-65FA-41F5-9BDA-C9D9B3438295}"/>
                </a:ext>
              </a:extLst>
            </xdr:cNvPr>
            <xdr:cNvSpPr txBox="1"/>
          </xdr:nvSpPr>
          <xdr:spPr>
            <a:xfrm>
              <a:off x="5534108" y="1630017"/>
              <a:ext cx="2646942" cy="609013"/>
            </a:xfrm>
            <a:prstGeom prst="rect">
              <a:avLst/>
            </a:prstGeom>
            <a:ln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𝑝&amp;=Prob(state in any period = "up")    </a:t>
              </a:r>
              <a:b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&amp;= Prob(RAND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&lt; 𝑝)</a:t>
              </a:r>
              <a:b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&amp;= Prob(RAND() &gt; 1 − 𝑝) 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6AF7C-2F87-4474-AFBA-57FB6553A90A}">
  <sheetPr codeName="Sheet1"/>
  <dimension ref="A1:CX48"/>
  <sheetViews>
    <sheetView zoomScale="87" zoomScaleNormal="100" workbookViewId="0">
      <selection activeCell="D50" sqref="D50"/>
    </sheetView>
  </sheetViews>
  <sheetFormatPr baseColWidth="10" defaultColWidth="8.6640625" defaultRowHeight="15" x14ac:dyDescent="0.2"/>
  <cols>
    <col min="1" max="1" width="46.6640625" style="7" customWidth="1"/>
    <col min="2" max="2" width="11.1640625" style="7" customWidth="1"/>
    <col min="3" max="3" width="8.6640625" style="7"/>
    <col min="4" max="4" width="10.5" style="7" bestFit="1" customWidth="1"/>
    <col min="5" max="16384" width="8.6640625" style="7"/>
  </cols>
  <sheetData>
    <row r="1" spans="1:7" ht="21" x14ac:dyDescent="0.25">
      <c r="A1" s="6" t="s">
        <v>163</v>
      </c>
    </row>
    <row r="3" spans="1:7" x14ac:dyDescent="0.2">
      <c r="A3" s="1" t="s">
        <v>13</v>
      </c>
      <c r="B3" s="2"/>
      <c r="C3" s="2"/>
      <c r="E3" s="4" t="s">
        <v>17</v>
      </c>
      <c r="F3" s="3"/>
      <c r="G3" s="3"/>
    </row>
    <row r="4" spans="1:7" x14ac:dyDescent="0.2">
      <c r="A4" s="2" t="s">
        <v>0</v>
      </c>
      <c r="B4" s="12">
        <v>-1</v>
      </c>
      <c r="C4" s="3"/>
      <c r="E4" s="3" t="s">
        <v>18</v>
      </c>
      <c r="F4" s="5">
        <f>B7/B11</f>
        <v>8.3333333333333329E-2</v>
      </c>
      <c r="G4" s="3"/>
    </row>
    <row r="5" spans="1:7" x14ac:dyDescent="0.2">
      <c r="A5" s="2" t="s">
        <v>1</v>
      </c>
      <c r="B5" s="13">
        <v>50</v>
      </c>
      <c r="C5" s="3"/>
      <c r="E5" s="3" t="s">
        <v>12</v>
      </c>
      <c r="F5" s="5">
        <f>EXP(B10*SQRT(F4))</f>
        <v>1.0594342369612506</v>
      </c>
      <c r="G5" s="3" t="s">
        <v>19</v>
      </c>
    </row>
    <row r="6" spans="1:7" x14ac:dyDescent="0.2">
      <c r="A6" s="2" t="s">
        <v>2</v>
      </c>
      <c r="B6" s="13">
        <v>50</v>
      </c>
      <c r="C6" s="3"/>
      <c r="E6" s="3" t="s">
        <v>20</v>
      </c>
      <c r="F6" s="5">
        <f>1/F5</f>
        <v>0.94390002240089543</v>
      </c>
      <c r="G6" s="3" t="s">
        <v>21</v>
      </c>
    </row>
    <row r="7" spans="1:7" x14ac:dyDescent="0.2">
      <c r="A7" s="2" t="s">
        <v>14</v>
      </c>
      <c r="B7" s="13">
        <v>0.5</v>
      </c>
      <c r="C7" s="3" t="s">
        <v>15</v>
      </c>
      <c r="E7" s="3" t="s">
        <v>4</v>
      </c>
      <c r="F7" s="5">
        <f>(EXP((B8-B9)*F4)-F6)/(F5-F6)</f>
        <v>0.49278612805550132</v>
      </c>
      <c r="G7" s="3" t="s">
        <v>22</v>
      </c>
    </row>
    <row r="8" spans="1:7" x14ac:dyDescent="0.2">
      <c r="A8" s="2" t="s">
        <v>25</v>
      </c>
      <c r="B8" s="26">
        <v>0.04</v>
      </c>
      <c r="C8" s="3"/>
      <c r="E8" s="3"/>
      <c r="F8" s="5"/>
      <c r="G8" s="3"/>
    </row>
    <row r="9" spans="1:7" x14ac:dyDescent="0.2">
      <c r="A9" s="2" t="s">
        <v>16</v>
      </c>
      <c r="B9" s="26">
        <v>0.03</v>
      </c>
      <c r="C9" s="3"/>
    </row>
    <row r="10" spans="1:7" x14ac:dyDescent="0.2">
      <c r="A10" s="2" t="s">
        <v>24</v>
      </c>
      <c r="B10" s="26">
        <v>0.2</v>
      </c>
      <c r="C10" s="3"/>
    </row>
    <row r="11" spans="1:7" x14ac:dyDescent="0.2">
      <c r="A11" s="2" t="s">
        <v>3</v>
      </c>
      <c r="B11" s="13">
        <v>6</v>
      </c>
      <c r="C11" s="3"/>
    </row>
    <row r="12" spans="1:7" x14ac:dyDescent="0.2">
      <c r="A12" s="2"/>
    </row>
    <row r="13" spans="1:7" x14ac:dyDescent="0.2">
      <c r="A13" s="9" t="s">
        <v>10</v>
      </c>
      <c r="B13" s="23" t="s">
        <v>45</v>
      </c>
      <c r="C13" s="23" t="s">
        <v>46</v>
      </c>
      <c r="D13" s="23" t="s">
        <v>47</v>
      </c>
    </row>
    <row r="14" spans="1:7" x14ac:dyDescent="0.2">
      <c r="A14" s="7" t="s">
        <v>27</v>
      </c>
      <c r="B14" s="7">
        <f t="shared" ref="B14:D19" ca="1" si="0">IF(RAND()&lt;p,0,1)</f>
        <v>1</v>
      </c>
      <c r="C14" s="7">
        <f t="shared" ca="1" si="0"/>
        <v>1</v>
      </c>
      <c r="D14" s="7">
        <f t="shared" ca="1" si="0"/>
        <v>0</v>
      </c>
      <c r="E14" s="24" t="str" cm="1">
        <f t="array" aca="1" ref="E14" ca="1">getformula(D14)</f>
        <v>&lt;--  =IF(RAND()&lt;p,0,1)</v>
      </c>
    </row>
    <row r="15" spans="1:7" x14ac:dyDescent="0.2">
      <c r="A15" s="7" t="s">
        <v>28</v>
      </c>
      <c r="B15" s="7">
        <f t="shared" ca="1" si="0"/>
        <v>0</v>
      </c>
      <c r="C15" s="7">
        <f t="shared" ca="1" si="0"/>
        <v>1</v>
      </c>
      <c r="D15" s="7">
        <f ca="1">IF(RAND()&lt;p,0,1)</f>
        <v>0</v>
      </c>
      <c r="E15" s="24" t="str" cm="1">
        <f t="array" aca="1" ref="E15" ca="1">getformula(D15)</f>
        <v>&lt;--  =IF(RAND()&lt;p,0,1)</v>
      </c>
    </row>
    <row r="16" spans="1:7" x14ac:dyDescent="0.2">
      <c r="A16" s="7" t="s">
        <v>29</v>
      </c>
      <c r="B16" s="7">
        <f t="shared" ca="1" si="0"/>
        <v>1</v>
      </c>
      <c r="C16" s="7">
        <f t="shared" ca="1" si="0"/>
        <v>1</v>
      </c>
      <c r="D16" s="7">
        <f t="shared" ca="1" si="0"/>
        <v>0</v>
      </c>
      <c r="E16" s="24" t="str" cm="1">
        <f t="array" aca="1" ref="E16" ca="1">getformula(D16)</f>
        <v>&lt;--  =IF(RAND()&lt;p,0,1)</v>
      </c>
    </row>
    <row r="17" spans="1:102" x14ac:dyDescent="0.2">
      <c r="A17" s="7" t="s">
        <v>30</v>
      </c>
      <c r="B17" s="7">
        <f t="shared" ca="1" si="0"/>
        <v>1</v>
      </c>
      <c r="C17" s="7">
        <f t="shared" ca="1" si="0"/>
        <v>1</v>
      </c>
      <c r="D17" s="7">
        <f t="shared" ca="1" si="0"/>
        <v>1</v>
      </c>
      <c r="E17" s="24" t="str" cm="1">
        <f t="array" aca="1" ref="E17" ca="1">getformula(D17)</f>
        <v>&lt;--  =IF(RAND()&lt;p,0,1)</v>
      </c>
    </row>
    <row r="18" spans="1:102" x14ac:dyDescent="0.2">
      <c r="A18" s="23" t="s">
        <v>150</v>
      </c>
      <c r="B18" s="7">
        <f t="shared" ca="1" si="0"/>
        <v>0</v>
      </c>
      <c r="C18" s="7">
        <f t="shared" ca="1" si="0"/>
        <v>0</v>
      </c>
      <c r="D18" s="7">
        <f t="shared" ca="1" si="0"/>
        <v>0</v>
      </c>
      <c r="E18" s="24" t="str" cm="1">
        <f t="array" aca="1" ref="E18" ca="1">getformula(D18)</f>
        <v>&lt;--  =IF(RAND()&lt;p,0,1)</v>
      </c>
    </row>
    <row r="19" spans="1:102" x14ac:dyDescent="0.2">
      <c r="A19" s="23" t="s">
        <v>149</v>
      </c>
      <c r="B19" s="7">
        <f t="shared" ca="1" si="0"/>
        <v>1</v>
      </c>
      <c r="C19" s="7">
        <f t="shared" ca="1" si="0"/>
        <v>1</v>
      </c>
      <c r="D19" s="7">
        <f t="shared" ca="1" si="0"/>
        <v>1</v>
      </c>
      <c r="E19" s="24" t="str" cm="1">
        <f t="array" aca="1" ref="E19" ca="1">getformula(D19)</f>
        <v>&lt;--  =IF(RAND()&lt;p,0,1)</v>
      </c>
    </row>
    <row r="20" spans="1:102" x14ac:dyDescent="0.2">
      <c r="A20" s="9" t="s">
        <v>23</v>
      </c>
      <c r="B20" s="7">
        <f ca="1">SUM(B14:B19)</f>
        <v>4</v>
      </c>
      <c r="C20" s="7">
        <f t="shared" ref="C20:D20" ca="1" si="1">SUM(C14:C19)</f>
        <v>5</v>
      </c>
      <c r="D20" s="7">
        <f t="shared" ca="1" si="1"/>
        <v>2</v>
      </c>
      <c r="E20" s="24" t="str" cm="1">
        <f t="array" aca="1" ref="E20" ca="1">getformula(D20)</f>
        <v>&lt;--  =SUM(D14:D19)</v>
      </c>
    </row>
    <row r="21" spans="1:102" x14ac:dyDescent="0.2">
      <c r="A21" s="9" t="s">
        <v>5</v>
      </c>
      <c r="B21" s="7">
        <f ca="1">S*u^(n-B20)*d^B20</f>
        <v>44.54736261442055</v>
      </c>
      <c r="C21" s="7" cm="1">
        <f t="array" aca="1" ref="C21" ca="1">S*u^(n-C20)*d^C20</f>
        <v>39.68935031801346</v>
      </c>
      <c r="D21" s="7" cm="1">
        <f t="array" aca="1" ref="D21" ca="1">S*u^(n-D20)*d^D20</f>
        <v>56.120045122283372</v>
      </c>
      <c r="E21" s="24" t="str" cm="1">
        <f t="array" aca="1" ref="E21" ca="1">getformula(D21)</f>
        <v>&lt;--  =S*u^(n-D20)*d^D20</v>
      </c>
    </row>
    <row r="22" spans="1:102" x14ac:dyDescent="0.2">
      <c r="A22" s="9" t="s">
        <v>6</v>
      </c>
      <c r="B22" s="7">
        <f ca="1">MAX(optType*(B21-K),0)</f>
        <v>5.4526373855794503</v>
      </c>
      <c r="C22" s="7">
        <f ca="1">MAX(optType*(C21-K),0)</f>
        <v>10.31064968198654</v>
      </c>
      <c r="D22" s="7">
        <f ca="1">MAX(optType*(D21-K),0)</f>
        <v>0</v>
      </c>
      <c r="E22" s="24" t="str" cm="1">
        <f t="array" aca="1" ref="E22" ca="1">getformula(D22)</f>
        <v>&lt;--  =MAX(optType*(D21-K),0)</v>
      </c>
    </row>
    <row r="23" spans="1:102" x14ac:dyDescent="0.2">
      <c r="A23" s="9" t="s">
        <v>7</v>
      </c>
      <c r="B23" s="10">
        <f ca="1">AVERAGE(B22:D22)*EXP(-rr*T)</f>
        <v>5.1503843568605721</v>
      </c>
      <c r="C23" s="24" t="str" cm="1">
        <f t="array" aca="1" ref="C23" ca="1">getformula(B23)</f>
        <v>&lt;--  =AVERAGE(B22:D22)*EXP(-rr*T)</v>
      </c>
    </row>
    <row r="25" spans="1:102" x14ac:dyDescent="0.2">
      <c r="A25" s="9" t="s">
        <v>11</v>
      </c>
      <c r="B25" s="23" t="s">
        <v>45</v>
      </c>
      <c r="C25" s="23" t="s">
        <v>46</v>
      </c>
      <c r="D25" s="23" t="s">
        <v>47</v>
      </c>
      <c r="E25" s="23" t="s">
        <v>48</v>
      </c>
      <c r="F25" s="23" t="s">
        <v>49</v>
      </c>
      <c r="G25" s="23" t="s">
        <v>50</v>
      </c>
      <c r="H25" s="23" t="s">
        <v>51</v>
      </c>
      <c r="I25" s="23" t="s">
        <v>52</v>
      </c>
      <c r="J25" s="23" t="s">
        <v>53</v>
      </c>
      <c r="K25" s="23" t="s">
        <v>54</v>
      </c>
      <c r="L25" s="23" t="s">
        <v>55</v>
      </c>
      <c r="M25" s="23" t="s">
        <v>56</v>
      </c>
      <c r="N25" s="23" t="s">
        <v>57</v>
      </c>
      <c r="O25" s="23" t="s">
        <v>58</v>
      </c>
      <c r="P25" s="23" t="s">
        <v>59</v>
      </c>
      <c r="Q25" s="23" t="s">
        <v>60</v>
      </c>
      <c r="R25" s="23" t="s">
        <v>61</v>
      </c>
      <c r="S25" s="23" t="s">
        <v>62</v>
      </c>
      <c r="T25" s="23" t="s">
        <v>63</v>
      </c>
      <c r="U25" s="23" t="s">
        <v>64</v>
      </c>
      <c r="V25" s="23" t="s">
        <v>65</v>
      </c>
      <c r="W25" s="23" t="s">
        <v>66</v>
      </c>
      <c r="X25" s="23" t="s">
        <v>67</v>
      </c>
      <c r="Y25" s="23" t="s">
        <v>68</v>
      </c>
      <c r="Z25" s="23" t="s">
        <v>69</v>
      </c>
      <c r="AA25" s="23" t="s">
        <v>70</v>
      </c>
      <c r="AB25" s="23" t="s">
        <v>71</v>
      </c>
      <c r="AC25" s="23" t="s">
        <v>72</v>
      </c>
      <c r="AD25" s="23" t="s">
        <v>73</v>
      </c>
      <c r="AE25" s="23" t="s">
        <v>74</v>
      </c>
      <c r="AF25" s="23" t="s">
        <v>75</v>
      </c>
      <c r="AG25" s="23" t="s">
        <v>76</v>
      </c>
      <c r="AH25" s="23" t="s">
        <v>77</v>
      </c>
      <c r="AI25" s="23" t="s">
        <v>78</v>
      </c>
      <c r="AJ25" s="23" t="s">
        <v>79</v>
      </c>
      <c r="AK25" s="23" t="s">
        <v>80</v>
      </c>
      <c r="AL25" s="23" t="s">
        <v>81</v>
      </c>
      <c r="AM25" s="23" t="s">
        <v>82</v>
      </c>
      <c r="AN25" s="23" t="s">
        <v>83</v>
      </c>
      <c r="AO25" s="23" t="s">
        <v>84</v>
      </c>
      <c r="AP25" s="23" t="s">
        <v>85</v>
      </c>
      <c r="AQ25" s="23" t="s">
        <v>86</v>
      </c>
      <c r="AR25" s="23" t="s">
        <v>87</v>
      </c>
      <c r="AS25" s="23" t="s">
        <v>88</v>
      </c>
      <c r="AT25" s="23" t="s">
        <v>89</v>
      </c>
      <c r="AU25" s="23" t="s">
        <v>90</v>
      </c>
      <c r="AV25" s="23" t="s">
        <v>91</v>
      </c>
      <c r="AW25" s="23" t="s">
        <v>92</v>
      </c>
      <c r="AX25" s="23" t="s">
        <v>93</v>
      </c>
      <c r="AY25" s="23" t="s">
        <v>94</v>
      </c>
      <c r="AZ25" s="23" t="s">
        <v>95</v>
      </c>
      <c r="BA25" s="23" t="s">
        <v>96</v>
      </c>
      <c r="BB25" s="23" t="s">
        <v>97</v>
      </c>
      <c r="BC25" s="23" t="s">
        <v>98</v>
      </c>
      <c r="BD25" s="23" t="s">
        <v>99</v>
      </c>
      <c r="BE25" s="23" t="s">
        <v>100</v>
      </c>
      <c r="BF25" s="23" t="s">
        <v>101</v>
      </c>
      <c r="BG25" s="23" t="s">
        <v>102</v>
      </c>
      <c r="BH25" s="23" t="s">
        <v>103</v>
      </c>
      <c r="BI25" s="23" t="s">
        <v>104</v>
      </c>
      <c r="BJ25" s="23" t="s">
        <v>105</v>
      </c>
      <c r="BK25" s="23" t="s">
        <v>106</v>
      </c>
      <c r="BL25" s="23" t="s">
        <v>107</v>
      </c>
      <c r="BM25" s="23" t="s">
        <v>108</v>
      </c>
      <c r="BN25" s="23" t="s">
        <v>109</v>
      </c>
      <c r="BO25" s="23" t="s">
        <v>110</v>
      </c>
      <c r="BP25" s="23" t="s">
        <v>111</v>
      </c>
      <c r="BQ25" s="23" t="s">
        <v>112</v>
      </c>
      <c r="BR25" s="23" t="s">
        <v>113</v>
      </c>
      <c r="BS25" s="23" t="s">
        <v>114</v>
      </c>
      <c r="BT25" s="23" t="s">
        <v>115</v>
      </c>
      <c r="BU25" s="23" t="s">
        <v>116</v>
      </c>
      <c r="BV25" s="23" t="s">
        <v>117</v>
      </c>
      <c r="BW25" s="23" t="s">
        <v>118</v>
      </c>
      <c r="BX25" s="23" t="s">
        <v>119</v>
      </c>
      <c r="BY25" s="23" t="s">
        <v>120</v>
      </c>
      <c r="BZ25" s="23" t="s">
        <v>121</v>
      </c>
      <c r="CA25" s="23" t="s">
        <v>122</v>
      </c>
      <c r="CB25" s="23" t="s">
        <v>123</v>
      </c>
      <c r="CC25" s="23" t="s">
        <v>124</v>
      </c>
      <c r="CD25" s="23" t="s">
        <v>125</v>
      </c>
      <c r="CE25" s="23" t="s">
        <v>126</v>
      </c>
      <c r="CF25" s="23" t="s">
        <v>127</v>
      </c>
      <c r="CG25" s="23" t="s">
        <v>128</v>
      </c>
      <c r="CH25" s="23" t="s">
        <v>129</v>
      </c>
      <c r="CI25" s="23" t="s">
        <v>130</v>
      </c>
      <c r="CJ25" s="23" t="s">
        <v>131</v>
      </c>
      <c r="CK25" s="23" t="s">
        <v>132</v>
      </c>
      <c r="CL25" s="23" t="s">
        <v>133</v>
      </c>
      <c r="CM25" s="23" t="s">
        <v>134</v>
      </c>
      <c r="CN25" s="23" t="s">
        <v>135</v>
      </c>
      <c r="CO25" s="23" t="s">
        <v>136</v>
      </c>
      <c r="CP25" s="23" t="s">
        <v>137</v>
      </c>
      <c r="CQ25" s="23" t="s">
        <v>138</v>
      </c>
      <c r="CR25" s="23" t="s">
        <v>139</v>
      </c>
      <c r="CS25" s="23" t="s">
        <v>140</v>
      </c>
      <c r="CT25" s="23" t="s">
        <v>141</v>
      </c>
      <c r="CU25" s="23" t="s">
        <v>142</v>
      </c>
      <c r="CV25" s="23" t="s">
        <v>143</v>
      </c>
      <c r="CW25" s="23" t="s">
        <v>144</v>
      </c>
    </row>
    <row r="26" spans="1:102" x14ac:dyDescent="0.2">
      <c r="A26" s="7" t="s">
        <v>27</v>
      </c>
      <c r="B26" s="7">
        <f t="shared" ref="B26:Q31" ca="1" si="2">IF(RAND()&lt;p,0,1)</f>
        <v>1</v>
      </c>
      <c r="C26" s="7">
        <f t="shared" ca="1" si="2"/>
        <v>1</v>
      </c>
      <c r="D26" s="7">
        <f t="shared" ca="1" si="2"/>
        <v>1</v>
      </c>
      <c r="E26" s="7">
        <f t="shared" ca="1" si="2"/>
        <v>0</v>
      </c>
      <c r="F26" s="7">
        <f t="shared" ca="1" si="2"/>
        <v>1</v>
      </c>
      <c r="G26" s="7">
        <f t="shared" ca="1" si="2"/>
        <v>1</v>
      </c>
      <c r="H26" s="7">
        <f t="shared" ca="1" si="2"/>
        <v>1</v>
      </c>
      <c r="I26" s="7">
        <f t="shared" ca="1" si="2"/>
        <v>0</v>
      </c>
      <c r="J26" s="7">
        <f t="shared" ca="1" si="2"/>
        <v>1</v>
      </c>
      <c r="K26" s="7">
        <f t="shared" ca="1" si="2"/>
        <v>1</v>
      </c>
      <c r="L26" s="7">
        <f t="shared" ca="1" si="2"/>
        <v>0</v>
      </c>
      <c r="M26" s="7">
        <f t="shared" ca="1" si="2"/>
        <v>1</v>
      </c>
      <c r="N26" s="7">
        <f t="shared" ca="1" si="2"/>
        <v>0</v>
      </c>
      <c r="O26" s="7">
        <f t="shared" ca="1" si="2"/>
        <v>1</v>
      </c>
      <c r="P26" s="7">
        <f t="shared" ca="1" si="2"/>
        <v>0</v>
      </c>
      <c r="Q26" s="7">
        <f t="shared" ca="1" si="2"/>
        <v>0</v>
      </c>
      <c r="R26" s="7">
        <f t="shared" ref="R26:CC29" ca="1" si="3">IF(RAND()&lt;p,0,1)</f>
        <v>1</v>
      </c>
      <c r="S26" s="7">
        <f t="shared" ca="1" si="3"/>
        <v>0</v>
      </c>
      <c r="T26" s="7">
        <f t="shared" ca="1" si="3"/>
        <v>0</v>
      </c>
      <c r="U26" s="7">
        <f t="shared" ca="1" si="3"/>
        <v>1</v>
      </c>
      <c r="V26" s="7">
        <f t="shared" ca="1" si="3"/>
        <v>0</v>
      </c>
      <c r="W26" s="7">
        <f t="shared" ca="1" si="3"/>
        <v>1</v>
      </c>
      <c r="X26" s="7">
        <f t="shared" ca="1" si="3"/>
        <v>0</v>
      </c>
      <c r="Y26" s="7">
        <f t="shared" ca="1" si="3"/>
        <v>1</v>
      </c>
      <c r="Z26" s="7">
        <f t="shared" ca="1" si="3"/>
        <v>1</v>
      </c>
      <c r="AA26" s="7">
        <f t="shared" ca="1" si="3"/>
        <v>1</v>
      </c>
      <c r="AB26" s="7">
        <f t="shared" ca="1" si="3"/>
        <v>0</v>
      </c>
      <c r="AC26" s="7">
        <f t="shared" ca="1" si="3"/>
        <v>1</v>
      </c>
      <c r="AD26" s="7">
        <f t="shared" ca="1" si="3"/>
        <v>1</v>
      </c>
      <c r="AE26" s="7">
        <f t="shared" ca="1" si="3"/>
        <v>1</v>
      </c>
      <c r="AF26" s="7">
        <f t="shared" ca="1" si="3"/>
        <v>1</v>
      </c>
      <c r="AG26" s="7">
        <f t="shared" ca="1" si="3"/>
        <v>1</v>
      </c>
      <c r="AH26" s="7">
        <f t="shared" ca="1" si="3"/>
        <v>1</v>
      </c>
      <c r="AI26" s="7">
        <f t="shared" ca="1" si="3"/>
        <v>0</v>
      </c>
      <c r="AJ26" s="7">
        <f t="shared" ca="1" si="3"/>
        <v>1</v>
      </c>
      <c r="AK26" s="7">
        <f t="shared" ca="1" si="3"/>
        <v>0</v>
      </c>
      <c r="AL26" s="7">
        <f t="shared" ca="1" si="3"/>
        <v>1</v>
      </c>
      <c r="AM26" s="7">
        <f t="shared" ca="1" si="3"/>
        <v>0</v>
      </c>
      <c r="AN26" s="7">
        <f t="shared" ca="1" si="3"/>
        <v>0</v>
      </c>
      <c r="AO26" s="7">
        <f t="shared" ca="1" si="3"/>
        <v>1</v>
      </c>
      <c r="AP26" s="7">
        <f t="shared" ca="1" si="3"/>
        <v>1</v>
      </c>
      <c r="AQ26" s="7">
        <f t="shared" ca="1" si="3"/>
        <v>0</v>
      </c>
      <c r="AR26" s="7">
        <f t="shared" ca="1" si="3"/>
        <v>1</v>
      </c>
      <c r="AS26" s="7">
        <f t="shared" ca="1" si="3"/>
        <v>0</v>
      </c>
      <c r="AT26" s="7">
        <f t="shared" ca="1" si="3"/>
        <v>1</v>
      </c>
      <c r="AU26" s="7">
        <f t="shared" ca="1" si="3"/>
        <v>0</v>
      </c>
      <c r="AV26" s="7">
        <f t="shared" ca="1" si="3"/>
        <v>0</v>
      </c>
      <c r="AW26" s="7">
        <f t="shared" ca="1" si="3"/>
        <v>0</v>
      </c>
      <c r="AX26" s="7">
        <f t="shared" ca="1" si="3"/>
        <v>0</v>
      </c>
      <c r="AY26" s="7">
        <f t="shared" ca="1" si="3"/>
        <v>1</v>
      </c>
      <c r="AZ26" s="7">
        <f t="shared" ca="1" si="3"/>
        <v>1</v>
      </c>
      <c r="BA26" s="7">
        <f t="shared" ca="1" si="3"/>
        <v>0</v>
      </c>
      <c r="BB26" s="7">
        <f t="shared" ca="1" si="3"/>
        <v>0</v>
      </c>
      <c r="BC26" s="7">
        <f t="shared" ca="1" si="3"/>
        <v>0</v>
      </c>
      <c r="BD26" s="7">
        <f t="shared" ca="1" si="3"/>
        <v>1</v>
      </c>
      <c r="BE26" s="7">
        <f t="shared" ca="1" si="3"/>
        <v>0</v>
      </c>
      <c r="BF26" s="7">
        <f t="shared" ca="1" si="3"/>
        <v>1</v>
      </c>
      <c r="BG26" s="7">
        <f t="shared" ca="1" si="3"/>
        <v>1</v>
      </c>
      <c r="BH26" s="7">
        <f t="shared" ca="1" si="3"/>
        <v>1</v>
      </c>
      <c r="BI26" s="7">
        <f t="shared" ca="1" si="3"/>
        <v>0</v>
      </c>
      <c r="BJ26" s="7">
        <f t="shared" ca="1" si="3"/>
        <v>0</v>
      </c>
      <c r="BK26" s="7">
        <f t="shared" ca="1" si="3"/>
        <v>1</v>
      </c>
      <c r="BL26" s="7">
        <f t="shared" ca="1" si="3"/>
        <v>0</v>
      </c>
      <c r="BM26" s="7">
        <f t="shared" ca="1" si="3"/>
        <v>1</v>
      </c>
      <c r="BN26" s="7">
        <f t="shared" ca="1" si="3"/>
        <v>0</v>
      </c>
      <c r="BO26" s="7">
        <f t="shared" ca="1" si="3"/>
        <v>1</v>
      </c>
      <c r="BP26" s="7">
        <f t="shared" ca="1" si="3"/>
        <v>1</v>
      </c>
      <c r="BQ26" s="7">
        <f t="shared" ca="1" si="3"/>
        <v>0</v>
      </c>
      <c r="BR26" s="7">
        <f t="shared" ca="1" si="3"/>
        <v>0</v>
      </c>
      <c r="BS26" s="7">
        <f t="shared" ca="1" si="3"/>
        <v>1</v>
      </c>
      <c r="BT26" s="7">
        <f t="shared" ca="1" si="3"/>
        <v>1</v>
      </c>
      <c r="BU26" s="7">
        <f t="shared" ca="1" si="3"/>
        <v>1</v>
      </c>
      <c r="BV26" s="7">
        <f t="shared" ca="1" si="3"/>
        <v>0</v>
      </c>
      <c r="BW26" s="7">
        <f t="shared" ca="1" si="3"/>
        <v>0</v>
      </c>
      <c r="BX26" s="7">
        <f t="shared" ca="1" si="3"/>
        <v>1</v>
      </c>
      <c r="BY26" s="7">
        <f t="shared" ca="1" si="3"/>
        <v>0</v>
      </c>
      <c r="BZ26" s="7">
        <f t="shared" ca="1" si="3"/>
        <v>1</v>
      </c>
      <c r="CA26" s="7">
        <f t="shared" ca="1" si="3"/>
        <v>1</v>
      </c>
      <c r="CB26" s="7">
        <f t="shared" ca="1" si="3"/>
        <v>0</v>
      </c>
      <c r="CC26" s="7">
        <f t="shared" ca="1" si="3"/>
        <v>1</v>
      </c>
      <c r="CD26" s="7">
        <f t="shared" ref="CD26:CW29" ca="1" si="4">IF(RAND()&lt;p,0,1)</f>
        <v>0</v>
      </c>
      <c r="CE26" s="7">
        <f t="shared" ca="1" si="4"/>
        <v>0</v>
      </c>
      <c r="CF26" s="7">
        <f t="shared" ca="1" si="4"/>
        <v>0</v>
      </c>
      <c r="CG26" s="7">
        <f t="shared" ca="1" si="4"/>
        <v>0</v>
      </c>
      <c r="CH26" s="7">
        <f t="shared" ca="1" si="4"/>
        <v>0</v>
      </c>
      <c r="CI26" s="7">
        <f t="shared" ca="1" si="4"/>
        <v>0</v>
      </c>
      <c r="CJ26" s="7">
        <f t="shared" ca="1" si="4"/>
        <v>0</v>
      </c>
      <c r="CK26" s="7">
        <f t="shared" ca="1" si="4"/>
        <v>0</v>
      </c>
      <c r="CL26" s="7">
        <f t="shared" ca="1" si="4"/>
        <v>1</v>
      </c>
      <c r="CM26" s="7">
        <f t="shared" ca="1" si="4"/>
        <v>1</v>
      </c>
      <c r="CN26" s="7">
        <f t="shared" ca="1" si="4"/>
        <v>1</v>
      </c>
      <c r="CO26" s="7">
        <f t="shared" ca="1" si="4"/>
        <v>0</v>
      </c>
      <c r="CP26" s="7">
        <f t="shared" ca="1" si="4"/>
        <v>0</v>
      </c>
      <c r="CQ26" s="7">
        <f t="shared" ca="1" si="4"/>
        <v>1</v>
      </c>
      <c r="CR26" s="7">
        <f t="shared" ca="1" si="4"/>
        <v>1</v>
      </c>
      <c r="CS26" s="7">
        <f t="shared" ca="1" si="4"/>
        <v>1</v>
      </c>
      <c r="CT26" s="7">
        <f t="shared" ca="1" si="4"/>
        <v>0</v>
      </c>
      <c r="CU26" s="7">
        <f t="shared" ca="1" si="4"/>
        <v>0</v>
      </c>
      <c r="CV26" s="7">
        <f t="shared" ca="1" si="4"/>
        <v>1</v>
      </c>
      <c r="CW26" s="7">
        <f t="shared" ca="1" si="4"/>
        <v>1</v>
      </c>
      <c r="CX26" s="24" t="str" cm="1">
        <f t="array" aca="1" ref="CX26" ca="1">getformula(CW26)</f>
        <v>&lt;--  =IF(RAND()&lt;p,0,1)</v>
      </c>
    </row>
    <row r="27" spans="1:102" x14ac:dyDescent="0.2">
      <c r="A27" s="7" t="s">
        <v>28</v>
      </c>
      <c r="B27" s="7">
        <f t="shared" ca="1" si="2"/>
        <v>0</v>
      </c>
      <c r="C27" s="7">
        <f t="shared" ref="C27:BN30" ca="1" si="5">IF(RAND()&lt;p,0,1)</f>
        <v>0</v>
      </c>
      <c r="D27" s="7">
        <f t="shared" ca="1" si="5"/>
        <v>0</v>
      </c>
      <c r="E27" s="7">
        <f t="shared" ca="1" si="5"/>
        <v>0</v>
      </c>
      <c r="F27" s="7">
        <f t="shared" ca="1" si="5"/>
        <v>1</v>
      </c>
      <c r="G27" s="7">
        <f t="shared" ca="1" si="5"/>
        <v>1</v>
      </c>
      <c r="H27" s="7">
        <f t="shared" ca="1" si="5"/>
        <v>0</v>
      </c>
      <c r="I27" s="7">
        <f t="shared" ca="1" si="5"/>
        <v>1</v>
      </c>
      <c r="J27" s="7">
        <f t="shared" ca="1" si="5"/>
        <v>0</v>
      </c>
      <c r="K27" s="7">
        <f t="shared" ca="1" si="5"/>
        <v>0</v>
      </c>
      <c r="L27" s="7">
        <f t="shared" ca="1" si="5"/>
        <v>1</v>
      </c>
      <c r="M27" s="7">
        <f t="shared" ca="1" si="5"/>
        <v>0</v>
      </c>
      <c r="N27" s="7">
        <f t="shared" ca="1" si="5"/>
        <v>1</v>
      </c>
      <c r="O27" s="7">
        <f t="shared" ca="1" si="5"/>
        <v>0</v>
      </c>
      <c r="P27" s="7">
        <f t="shared" ca="1" si="5"/>
        <v>0</v>
      </c>
      <c r="Q27" s="7">
        <f t="shared" ca="1" si="5"/>
        <v>1</v>
      </c>
      <c r="R27" s="7">
        <f t="shared" ca="1" si="5"/>
        <v>0</v>
      </c>
      <c r="S27" s="7">
        <f t="shared" ca="1" si="5"/>
        <v>0</v>
      </c>
      <c r="T27" s="7">
        <f t="shared" ca="1" si="5"/>
        <v>1</v>
      </c>
      <c r="U27" s="7">
        <f t="shared" ca="1" si="5"/>
        <v>1</v>
      </c>
      <c r="V27" s="7">
        <f t="shared" ca="1" si="5"/>
        <v>1</v>
      </c>
      <c r="W27" s="7">
        <f t="shared" ca="1" si="5"/>
        <v>0</v>
      </c>
      <c r="X27" s="7">
        <f t="shared" ca="1" si="5"/>
        <v>0</v>
      </c>
      <c r="Y27" s="7">
        <f t="shared" ca="1" si="5"/>
        <v>0</v>
      </c>
      <c r="Z27" s="7">
        <f t="shared" ca="1" si="5"/>
        <v>0</v>
      </c>
      <c r="AA27" s="7">
        <f t="shared" ca="1" si="5"/>
        <v>1</v>
      </c>
      <c r="AB27" s="7">
        <f t="shared" ca="1" si="5"/>
        <v>0</v>
      </c>
      <c r="AC27" s="7">
        <f t="shared" ca="1" si="5"/>
        <v>1</v>
      </c>
      <c r="AD27" s="7">
        <f t="shared" ca="1" si="5"/>
        <v>1</v>
      </c>
      <c r="AE27" s="7">
        <f t="shared" ca="1" si="5"/>
        <v>0</v>
      </c>
      <c r="AF27" s="7">
        <f t="shared" ca="1" si="5"/>
        <v>1</v>
      </c>
      <c r="AG27" s="7">
        <f t="shared" ca="1" si="5"/>
        <v>1</v>
      </c>
      <c r="AH27" s="7">
        <f t="shared" ca="1" si="5"/>
        <v>1</v>
      </c>
      <c r="AI27" s="7">
        <f t="shared" ca="1" si="5"/>
        <v>0</v>
      </c>
      <c r="AJ27" s="7">
        <f t="shared" ca="1" si="5"/>
        <v>1</v>
      </c>
      <c r="AK27" s="7">
        <f t="shared" ca="1" si="5"/>
        <v>1</v>
      </c>
      <c r="AL27" s="7">
        <f t="shared" ca="1" si="5"/>
        <v>0</v>
      </c>
      <c r="AM27" s="7">
        <f t="shared" ca="1" si="5"/>
        <v>1</v>
      </c>
      <c r="AN27" s="7">
        <f t="shared" ca="1" si="5"/>
        <v>0</v>
      </c>
      <c r="AO27" s="7">
        <f t="shared" ca="1" si="5"/>
        <v>0</v>
      </c>
      <c r="AP27" s="7">
        <f t="shared" ca="1" si="5"/>
        <v>1</v>
      </c>
      <c r="AQ27" s="7">
        <f t="shared" ca="1" si="5"/>
        <v>1</v>
      </c>
      <c r="AR27" s="7">
        <f t="shared" ca="1" si="5"/>
        <v>0</v>
      </c>
      <c r="AS27" s="7">
        <f t="shared" ca="1" si="5"/>
        <v>0</v>
      </c>
      <c r="AT27" s="7">
        <f t="shared" ca="1" si="5"/>
        <v>0</v>
      </c>
      <c r="AU27" s="7">
        <f t="shared" ca="1" si="5"/>
        <v>0</v>
      </c>
      <c r="AV27" s="7">
        <f t="shared" ca="1" si="5"/>
        <v>1</v>
      </c>
      <c r="AW27" s="7">
        <f t="shared" ca="1" si="5"/>
        <v>0</v>
      </c>
      <c r="AX27" s="7">
        <f t="shared" ca="1" si="5"/>
        <v>1</v>
      </c>
      <c r="AY27" s="7">
        <f t="shared" ca="1" si="5"/>
        <v>0</v>
      </c>
      <c r="AZ27" s="7">
        <f t="shared" ca="1" si="5"/>
        <v>0</v>
      </c>
      <c r="BA27" s="7">
        <f t="shared" ca="1" si="5"/>
        <v>0</v>
      </c>
      <c r="BB27" s="7">
        <f t="shared" ca="1" si="5"/>
        <v>0</v>
      </c>
      <c r="BC27" s="7">
        <f t="shared" ca="1" si="5"/>
        <v>1</v>
      </c>
      <c r="BD27" s="7">
        <f t="shared" ca="1" si="5"/>
        <v>0</v>
      </c>
      <c r="BE27" s="7">
        <f t="shared" ca="1" si="5"/>
        <v>0</v>
      </c>
      <c r="BF27" s="7">
        <f t="shared" ca="1" si="5"/>
        <v>1</v>
      </c>
      <c r="BG27" s="7">
        <f t="shared" ca="1" si="5"/>
        <v>1</v>
      </c>
      <c r="BH27" s="7">
        <f t="shared" ca="1" si="5"/>
        <v>1</v>
      </c>
      <c r="BI27" s="7">
        <f t="shared" ca="1" si="5"/>
        <v>0</v>
      </c>
      <c r="BJ27" s="7">
        <f t="shared" ca="1" si="5"/>
        <v>0</v>
      </c>
      <c r="BK27" s="7">
        <f t="shared" ca="1" si="5"/>
        <v>1</v>
      </c>
      <c r="BL27" s="7">
        <f t="shared" ca="1" si="5"/>
        <v>1</v>
      </c>
      <c r="BM27" s="7">
        <f t="shared" ca="1" si="5"/>
        <v>1</v>
      </c>
      <c r="BN27" s="7">
        <f t="shared" ca="1" si="5"/>
        <v>1</v>
      </c>
      <c r="BO27" s="7">
        <f t="shared" ca="1" si="3"/>
        <v>1</v>
      </c>
      <c r="BP27" s="7">
        <f t="shared" ca="1" si="3"/>
        <v>1</v>
      </c>
      <c r="BQ27" s="7">
        <f t="shared" ca="1" si="3"/>
        <v>1</v>
      </c>
      <c r="BR27" s="7">
        <f t="shared" ca="1" si="3"/>
        <v>0</v>
      </c>
      <c r="BS27" s="7">
        <f t="shared" ca="1" si="3"/>
        <v>0</v>
      </c>
      <c r="BT27" s="7">
        <f t="shared" ca="1" si="3"/>
        <v>0</v>
      </c>
      <c r="BU27" s="7">
        <f t="shared" ca="1" si="3"/>
        <v>0</v>
      </c>
      <c r="BV27" s="7">
        <f t="shared" ca="1" si="3"/>
        <v>0</v>
      </c>
      <c r="BW27" s="7">
        <f t="shared" ca="1" si="3"/>
        <v>0</v>
      </c>
      <c r="BX27" s="7">
        <f t="shared" ca="1" si="3"/>
        <v>1</v>
      </c>
      <c r="BY27" s="7">
        <f t="shared" ca="1" si="3"/>
        <v>0</v>
      </c>
      <c r="BZ27" s="7">
        <f t="shared" ca="1" si="3"/>
        <v>1</v>
      </c>
      <c r="CA27" s="7">
        <f t="shared" ca="1" si="3"/>
        <v>0</v>
      </c>
      <c r="CB27" s="7">
        <f t="shared" ca="1" si="3"/>
        <v>0</v>
      </c>
      <c r="CC27" s="7">
        <f t="shared" ca="1" si="3"/>
        <v>1</v>
      </c>
      <c r="CD27" s="7">
        <f t="shared" ca="1" si="4"/>
        <v>0</v>
      </c>
      <c r="CE27" s="7">
        <f t="shared" ca="1" si="4"/>
        <v>1</v>
      </c>
      <c r="CF27" s="7">
        <f t="shared" ca="1" si="4"/>
        <v>1</v>
      </c>
      <c r="CG27" s="7">
        <f t="shared" ca="1" si="4"/>
        <v>1</v>
      </c>
      <c r="CH27" s="7">
        <f t="shared" ca="1" si="4"/>
        <v>1</v>
      </c>
      <c r="CI27" s="7">
        <f t="shared" ca="1" si="4"/>
        <v>1</v>
      </c>
      <c r="CJ27" s="7">
        <f t="shared" ca="1" si="4"/>
        <v>1</v>
      </c>
      <c r="CK27" s="7">
        <f t="shared" ca="1" si="4"/>
        <v>1</v>
      </c>
      <c r="CL27" s="7">
        <f t="shared" ca="1" si="4"/>
        <v>1</v>
      </c>
      <c r="CM27" s="7">
        <f t="shared" ca="1" si="4"/>
        <v>0</v>
      </c>
      <c r="CN27" s="7">
        <f t="shared" ca="1" si="4"/>
        <v>0</v>
      </c>
      <c r="CO27" s="7">
        <f t="shared" ca="1" si="4"/>
        <v>1</v>
      </c>
      <c r="CP27" s="7">
        <f t="shared" ca="1" si="4"/>
        <v>1</v>
      </c>
      <c r="CQ27" s="7">
        <f t="shared" ca="1" si="4"/>
        <v>1</v>
      </c>
      <c r="CR27" s="7">
        <f t="shared" ca="1" si="4"/>
        <v>0</v>
      </c>
      <c r="CS27" s="7">
        <f t="shared" ca="1" si="4"/>
        <v>0</v>
      </c>
      <c r="CT27" s="7">
        <f t="shared" ca="1" si="4"/>
        <v>1</v>
      </c>
      <c r="CU27" s="7">
        <f t="shared" ca="1" si="4"/>
        <v>0</v>
      </c>
      <c r="CV27" s="7">
        <f t="shared" ca="1" si="4"/>
        <v>0</v>
      </c>
      <c r="CW27" s="7">
        <f t="shared" ca="1" si="4"/>
        <v>0</v>
      </c>
      <c r="CX27" s="24" t="str" cm="1">
        <f t="array" aca="1" ref="CX27" ca="1">getformula(CW27)</f>
        <v>&lt;--  =IF(RAND()&lt;p,0,1)</v>
      </c>
    </row>
    <row r="28" spans="1:102" x14ac:dyDescent="0.2">
      <c r="A28" s="7" t="s">
        <v>29</v>
      </c>
      <c r="B28" s="7">
        <f t="shared" ca="1" si="2"/>
        <v>1</v>
      </c>
      <c r="C28" s="7">
        <f t="shared" ca="1" si="5"/>
        <v>1</v>
      </c>
      <c r="D28" s="7">
        <f t="shared" ca="1" si="5"/>
        <v>0</v>
      </c>
      <c r="E28" s="7">
        <f t="shared" ca="1" si="5"/>
        <v>0</v>
      </c>
      <c r="F28" s="7">
        <f t="shared" ca="1" si="5"/>
        <v>0</v>
      </c>
      <c r="G28" s="7">
        <f t="shared" ca="1" si="5"/>
        <v>0</v>
      </c>
      <c r="H28" s="7">
        <f t="shared" ca="1" si="5"/>
        <v>0</v>
      </c>
      <c r="I28" s="7">
        <f t="shared" ca="1" si="5"/>
        <v>0</v>
      </c>
      <c r="J28" s="7">
        <f t="shared" ca="1" si="5"/>
        <v>0</v>
      </c>
      <c r="K28" s="7">
        <f t="shared" ca="1" si="5"/>
        <v>0</v>
      </c>
      <c r="L28" s="7">
        <f t="shared" ca="1" si="5"/>
        <v>1</v>
      </c>
      <c r="M28" s="7">
        <f t="shared" ca="1" si="5"/>
        <v>1</v>
      </c>
      <c r="N28" s="7">
        <f t="shared" ca="1" si="5"/>
        <v>1</v>
      </c>
      <c r="O28" s="7">
        <f t="shared" ca="1" si="5"/>
        <v>0</v>
      </c>
      <c r="P28" s="7">
        <f t="shared" ca="1" si="5"/>
        <v>0</v>
      </c>
      <c r="Q28" s="7">
        <f t="shared" ca="1" si="5"/>
        <v>1</v>
      </c>
      <c r="R28" s="7">
        <f t="shared" ca="1" si="5"/>
        <v>0</v>
      </c>
      <c r="S28" s="7">
        <f t="shared" ca="1" si="5"/>
        <v>0</v>
      </c>
      <c r="T28" s="7">
        <f t="shared" ca="1" si="5"/>
        <v>0</v>
      </c>
      <c r="U28" s="7">
        <f t="shared" ca="1" si="5"/>
        <v>0</v>
      </c>
      <c r="V28" s="7">
        <f t="shared" ca="1" si="5"/>
        <v>1</v>
      </c>
      <c r="W28" s="7">
        <f t="shared" ca="1" si="5"/>
        <v>0</v>
      </c>
      <c r="X28" s="7">
        <f t="shared" ca="1" si="5"/>
        <v>0</v>
      </c>
      <c r="Y28" s="7">
        <f t="shared" ca="1" si="5"/>
        <v>1</v>
      </c>
      <c r="Z28" s="7">
        <f t="shared" ca="1" si="5"/>
        <v>1</v>
      </c>
      <c r="AA28" s="7">
        <f t="shared" ca="1" si="5"/>
        <v>1</v>
      </c>
      <c r="AB28" s="7">
        <f t="shared" ca="1" si="5"/>
        <v>0</v>
      </c>
      <c r="AC28" s="7">
        <f t="shared" ca="1" si="5"/>
        <v>1</v>
      </c>
      <c r="AD28" s="7">
        <f t="shared" ca="1" si="5"/>
        <v>0</v>
      </c>
      <c r="AE28" s="7">
        <f t="shared" ca="1" si="5"/>
        <v>0</v>
      </c>
      <c r="AF28" s="7">
        <f t="shared" ca="1" si="5"/>
        <v>1</v>
      </c>
      <c r="AG28" s="7">
        <f t="shared" ca="1" si="5"/>
        <v>0</v>
      </c>
      <c r="AH28" s="7">
        <f t="shared" ca="1" si="5"/>
        <v>1</v>
      </c>
      <c r="AI28" s="7">
        <f t="shared" ca="1" si="5"/>
        <v>1</v>
      </c>
      <c r="AJ28" s="7">
        <f t="shared" ca="1" si="5"/>
        <v>1</v>
      </c>
      <c r="AK28" s="7">
        <f t="shared" ca="1" si="5"/>
        <v>0</v>
      </c>
      <c r="AL28" s="7">
        <f t="shared" ca="1" si="5"/>
        <v>0</v>
      </c>
      <c r="AM28" s="7">
        <f t="shared" ca="1" si="5"/>
        <v>0</v>
      </c>
      <c r="AN28" s="7">
        <f t="shared" ca="1" si="5"/>
        <v>1</v>
      </c>
      <c r="AO28" s="7">
        <f t="shared" ca="1" si="5"/>
        <v>1</v>
      </c>
      <c r="AP28" s="7">
        <f t="shared" ca="1" si="5"/>
        <v>0</v>
      </c>
      <c r="AQ28" s="7">
        <f t="shared" ca="1" si="5"/>
        <v>1</v>
      </c>
      <c r="AR28" s="7">
        <f t="shared" ca="1" si="5"/>
        <v>0</v>
      </c>
      <c r="AS28" s="7">
        <f t="shared" ca="1" si="5"/>
        <v>0</v>
      </c>
      <c r="AT28" s="7">
        <f t="shared" ca="1" si="5"/>
        <v>1</v>
      </c>
      <c r="AU28" s="7">
        <f t="shared" ca="1" si="5"/>
        <v>0</v>
      </c>
      <c r="AV28" s="7">
        <f t="shared" ca="1" si="5"/>
        <v>0</v>
      </c>
      <c r="AW28" s="7">
        <f t="shared" ca="1" si="5"/>
        <v>1</v>
      </c>
      <c r="AX28" s="7">
        <f t="shared" ca="1" si="5"/>
        <v>1</v>
      </c>
      <c r="AY28" s="7">
        <f t="shared" ca="1" si="5"/>
        <v>1</v>
      </c>
      <c r="AZ28" s="7">
        <f t="shared" ca="1" si="5"/>
        <v>1</v>
      </c>
      <c r="BA28" s="7">
        <f t="shared" ca="1" si="5"/>
        <v>0</v>
      </c>
      <c r="BB28" s="7">
        <f t="shared" ca="1" si="5"/>
        <v>0</v>
      </c>
      <c r="BC28" s="7">
        <f t="shared" ca="1" si="5"/>
        <v>1</v>
      </c>
      <c r="BD28" s="7">
        <f t="shared" ca="1" si="5"/>
        <v>1</v>
      </c>
      <c r="BE28" s="7">
        <f t="shared" ca="1" si="5"/>
        <v>1</v>
      </c>
      <c r="BF28" s="7">
        <f t="shared" ca="1" si="5"/>
        <v>0</v>
      </c>
      <c r="BG28" s="7">
        <f t="shared" ca="1" si="5"/>
        <v>0</v>
      </c>
      <c r="BH28" s="7">
        <f t="shared" ca="1" si="5"/>
        <v>0</v>
      </c>
      <c r="BI28" s="7">
        <f t="shared" ca="1" si="5"/>
        <v>1</v>
      </c>
      <c r="BJ28" s="7">
        <f t="shared" ca="1" si="5"/>
        <v>1</v>
      </c>
      <c r="BK28" s="7">
        <f t="shared" ca="1" si="5"/>
        <v>1</v>
      </c>
      <c r="BL28" s="7">
        <f t="shared" ca="1" si="5"/>
        <v>0</v>
      </c>
      <c r="BM28" s="7">
        <f t="shared" ca="1" si="5"/>
        <v>0</v>
      </c>
      <c r="BN28" s="7">
        <f t="shared" ca="1" si="5"/>
        <v>0</v>
      </c>
      <c r="BO28" s="7">
        <f t="shared" ca="1" si="3"/>
        <v>0</v>
      </c>
      <c r="BP28" s="7">
        <f t="shared" ca="1" si="3"/>
        <v>1</v>
      </c>
      <c r="BQ28" s="7">
        <f t="shared" ca="1" si="3"/>
        <v>0</v>
      </c>
      <c r="BR28" s="7">
        <f t="shared" ca="1" si="3"/>
        <v>1</v>
      </c>
      <c r="BS28" s="7">
        <f t="shared" ca="1" si="3"/>
        <v>1</v>
      </c>
      <c r="BT28" s="7">
        <f t="shared" ca="1" si="3"/>
        <v>0</v>
      </c>
      <c r="BU28" s="7">
        <f t="shared" ca="1" si="3"/>
        <v>0</v>
      </c>
      <c r="BV28" s="7">
        <f t="shared" ca="1" si="3"/>
        <v>1</v>
      </c>
      <c r="BW28" s="7">
        <f t="shared" ca="1" si="3"/>
        <v>1</v>
      </c>
      <c r="BX28" s="7">
        <f t="shared" ca="1" si="3"/>
        <v>0</v>
      </c>
      <c r="BY28" s="7">
        <f t="shared" ca="1" si="3"/>
        <v>1</v>
      </c>
      <c r="BZ28" s="7">
        <f t="shared" ca="1" si="3"/>
        <v>1</v>
      </c>
      <c r="CA28" s="7">
        <f t="shared" ca="1" si="3"/>
        <v>1</v>
      </c>
      <c r="CB28" s="7">
        <f t="shared" ca="1" si="3"/>
        <v>1</v>
      </c>
      <c r="CC28" s="7">
        <f t="shared" ca="1" si="3"/>
        <v>0</v>
      </c>
      <c r="CD28" s="7">
        <f t="shared" ca="1" si="4"/>
        <v>0</v>
      </c>
      <c r="CE28" s="7">
        <f t="shared" ca="1" si="4"/>
        <v>0</v>
      </c>
      <c r="CF28" s="7">
        <f t="shared" ca="1" si="4"/>
        <v>0</v>
      </c>
      <c r="CG28" s="7">
        <f t="shared" ca="1" si="4"/>
        <v>1</v>
      </c>
      <c r="CH28" s="7">
        <f t="shared" ca="1" si="4"/>
        <v>1</v>
      </c>
      <c r="CI28" s="7">
        <f t="shared" ca="1" si="4"/>
        <v>0</v>
      </c>
      <c r="CJ28" s="7">
        <f t="shared" ca="1" si="4"/>
        <v>0</v>
      </c>
      <c r="CK28" s="7">
        <f t="shared" ca="1" si="4"/>
        <v>0</v>
      </c>
      <c r="CL28" s="7">
        <f t="shared" ca="1" si="4"/>
        <v>1</v>
      </c>
      <c r="CM28" s="7">
        <f t="shared" ca="1" si="4"/>
        <v>0</v>
      </c>
      <c r="CN28" s="7">
        <f t="shared" ca="1" si="4"/>
        <v>1</v>
      </c>
      <c r="CO28" s="7">
        <f t="shared" ca="1" si="4"/>
        <v>1</v>
      </c>
      <c r="CP28" s="7">
        <f t="shared" ca="1" si="4"/>
        <v>0</v>
      </c>
      <c r="CQ28" s="7">
        <f t="shared" ca="1" si="4"/>
        <v>0</v>
      </c>
      <c r="CR28" s="7">
        <f t="shared" ca="1" si="4"/>
        <v>0</v>
      </c>
      <c r="CS28" s="7">
        <f t="shared" ca="1" si="4"/>
        <v>0</v>
      </c>
      <c r="CT28" s="7">
        <f t="shared" ca="1" si="4"/>
        <v>0</v>
      </c>
      <c r="CU28" s="7">
        <f t="shared" ca="1" si="4"/>
        <v>1</v>
      </c>
      <c r="CV28" s="7">
        <f t="shared" ca="1" si="4"/>
        <v>1</v>
      </c>
      <c r="CW28" s="7">
        <f t="shared" ca="1" si="4"/>
        <v>1</v>
      </c>
      <c r="CX28" s="24" t="str" cm="1">
        <f t="array" aca="1" ref="CX28" ca="1">getformula(CW28)</f>
        <v>&lt;--  =IF(RAND()&lt;p,0,1)</v>
      </c>
    </row>
    <row r="29" spans="1:102" x14ac:dyDescent="0.2">
      <c r="A29" s="7" t="s">
        <v>30</v>
      </c>
      <c r="B29" s="7">
        <f t="shared" ca="1" si="2"/>
        <v>1</v>
      </c>
      <c r="C29" s="7">
        <f t="shared" ca="1" si="5"/>
        <v>1</v>
      </c>
      <c r="D29" s="7">
        <f t="shared" ca="1" si="5"/>
        <v>1</v>
      </c>
      <c r="E29" s="7">
        <f t="shared" ca="1" si="5"/>
        <v>1</v>
      </c>
      <c r="F29" s="7">
        <f t="shared" ca="1" si="5"/>
        <v>1</v>
      </c>
      <c r="G29" s="7">
        <f t="shared" ca="1" si="5"/>
        <v>1</v>
      </c>
      <c r="H29" s="7">
        <f t="shared" ca="1" si="5"/>
        <v>1</v>
      </c>
      <c r="I29" s="7">
        <f t="shared" ca="1" si="5"/>
        <v>1</v>
      </c>
      <c r="J29" s="7">
        <f t="shared" ca="1" si="5"/>
        <v>1</v>
      </c>
      <c r="K29" s="7">
        <f t="shared" ca="1" si="5"/>
        <v>1</v>
      </c>
      <c r="L29" s="7">
        <f t="shared" ca="1" si="5"/>
        <v>1</v>
      </c>
      <c r="M29" s="7">
        <f t="shared" ca="1" si="5"/>
        <v>1</v>
      </c>
      <c r="N29" s="7">
        <f t="shared" ca="1" si="5"/>
        <v>1</v>
      </c>
      <c r="O29" s="7">
        <f t="shared" ca="1" si="5"/>
        <v>0</v>
      </c>
      <c r="P29" s="7">
        <f t="shared" ca="1" si="5"/>
        <v>0</v>
      </c>
      <c r="Q29" s="7">
        <f t="shared" ca="1" si="5"/>
        <v>0</v>
      </c>
      <c r="R29" s="7">
        <f t="shared" ca="1" si="5"/>
        <v>1</v>
      </c>
      <c r="S29" s="7">
        <f t="shared" ca="1" si="5"/>
        <v>0</v>
      </c>
      <c r="T29" s="7">
        <f t="shared" ca="1" si="5"/>
        <v>1</v>
      </c>
      <c r="U29" s="7">
        <f t="shared" ca="1" si="5"/>
        <v>1</v>
      </c>
      <c r="V29" s="7">
        <f t="shared" ca="1" si="5"/>
        <v>0</v>
      </c>
      <c r="W29" s="7">
        <f t="shared" ca="1" si="5"/>
        <v>1</v>
      </c>
      <c r="X29" s="7">
        <f t="shared" ca="1" si="5"/>
        <v>0</v>
      </c>
      <c r="Y29" s="7">
        <f t="shared" ca="1" si="5"/>
        <v>0</v>
      </c>
      <c r="Z29" s="7">
        <f t="shared" ca="1" si="5"/>
        <v>0</v>
      </c>
      <c r="AA29" s="7">
        <f t="shared" ca="1" si="5"/>
        <v>1</v>
      </c>
      <c r="AB29" s="7">
        <f t="shared" ca="1" si="5"/>
        <v>1</v>
      </c>
      <c r="AC29" s="7">
        <f t="shared" ca="1" si="5"/>
        <v>1</v>
      </c>
      <c r="AD29" s="7">
        <f t="shared" ca="1" si="5"/>
        <v>1</v>
      </c>
      <c r="AE29" s="7">
        <f t="shared" ca="1" si="5"/>
        <v>0</v>
      </c>
      <c r="AF29" s="7">
        <f t="shared" ca="1" si="5"/>
        <v>1</v>
      </c>
      <c r="AG29" s="7">
        <f t="shared" ca="1" si="5"/>
        <v>0</v>
      </c>
      <c r="AH29" s="7">
        <f t="shared" ca="1" si="5"/>
        <v>0</v>
      </c>
      <c r="AI29" s="7">
        <f t="shared" ca="1" si="5"/>
        <v>1</v>
      </c>
      <c r="AJ29" s="7">
        <f t="shared" ca="1" si="5"/>
        <v>1</v>
      </c>
      <c r="AK29" s="7">
        <f t="shared" ca="1" si="5"/>
        <v>1</v>
      </c>
      <c r="AL29" s="7">
        <f t="shared" ca="1" si="5"/>
        <v>0</v>
      </c>
      <c r="AM29" s="7">
        <f t="shared" ca="1" si="5"/>
        <v>1</v>
      </c>
      <c r="AN29" s="7">
        <f t="shared" ca="1" si="5"/>
        <v>1</v>
      </c>
      <c r="AO29" s="7">
        <f t="shared" ca="1" si="5"/>
        <v>0</v>
      </c>
      <c r="AP29" s="7">
        <f t="shared" ca="1" si="5"/>
        <v>0</v>
      </c>
      <c r="AQ29" s="7">
        <f t="shared" ca="1" si="5"/>
        <v>0</v>
      </c>
      <c r="AR29" s="7">
        <f t="shared" ca="1" si="5"/>
        <v>0</v>
      </c>
      <c r="AS29" s="7">
        <f t="shared" ca="1" si="5"/>
        <v>0</v>
      </c>
      <c r="AT29" s="7">
        <f t="shared" ca="1" si="5"/>
        <v>0</v>
      </c>
      <c r="AU29" s="7">
        <f t="shared" ca="1" si="5"/>
        <v>1</v>
      </c>
      <c r="AV29" s="7">
        <f t="shared" ca="1" si="5"/>
        <v>0</v>
      </c>
      <c r="AW29" s="7">
        <f t="shared" ca="1" si="5"/>
        <v>0</v>
      </c>
      <c r="AX29" s="7">
        <f t="shared" ca="1" si="5"/>
        <v>0</v>
      </c>
      <c r="AY29" s="7">
        <f t="shared" ca="1" si="5"/>
        <v>1</v>
      </c>
      <c r="AZ29" s="7">
        <f t="shared" ca="1" si="5"/>
        <v>0</v>
      </c>
      <c r="BA29" s="7">
        <f t="shared" ca="1" si="5"/>
        <v>1</v>
      </c>
      <c r="BB29" s="7">
        <f t="shared" ca="1" si="5"/>
        <v>0</v>
      </c>
      <c r="BC29" s="7">
        <f t="shared" ca="1" si="5"/>
        <v>1</v>
      </c>
      <c r="BD29" s="7">
        <f t="shared" ca="1" si="5"/>
        <v>1</v>
      </c>
      <c r="BE29" s="7">
        <f t="shared" ca="1" si="5"/>
        <v>0</v>
      </c>
      <c r="BF29" s="7">
        <f t="shared" ca="1" si="5"/>
        <v>0</v>
      </c>
      <c r="BG29" s="7">
        <f t="shared" ca="1" si="5"/>
        <v>1</v>
      </c>
      <c r="BH29" s="7">
        <f t="shared" ca="1" si="5"/>
        <v>0</v>
      </c>
      <c r="BI29" s="7">
        <f t="shared" ca="1" si="5"/>
        <v>0</v>
      </c>
      <c r="BJ29" s="7">
        <f t="shared" ca="1" si="5"/>
        <v>0</v>
      </c>
      <c r="BK29" s="7">
        <f t="shared" ca="1" si="5"/>
        <v>1</v>
      </c>
      <c r="BL29" s="7">
        <f t="shared" ca="1" si="5"/>
        <v>0</v>
      </c>
      <c r="BM29" s="7">
        <f t="shared" ca="1" si="5"/>
        <v>0</v>
      </c>
      <c r="BN29" s="7">
        <f t="shared" ca="1" si="5"/>
        <v>1</v>
      </c>
      <c r="BO29" s="7">
        <f t="shared" ca="1" si="3"/>
        <v>0</v>
      </c>
      <c r="BP29" s="7">
        <f t="shared" ca="1" si="3"/>
        <v>0</v>
      </c>
      <c r="BQ29" s="7">
        <f t="shared" ca="1" si="3"/>
        <v>1</v>
      </c>
      <c r="BR29" s="7">
        <f t="shared" ca="1" si="3"/>
        <v>1</v>
      </c>
      <c r="BS29" s="7">
        <f t="shared" ca="1" si="3"/>
        <v>1</v>
      </c>
      <c r="BT29" s="7">
        <f t="shared" ca="1" si="3"/>
        <v>1</v>
      </c>
      <c r="BU29" s="7">
        <f t="shared" ca="1" si="3"/>
        <v>1</v>
      </c>
      <c r="BV29" s="7">
        <f t="shared" ca="1" si="3"/>
        <v>0</v>
      </c>
      <c r="BW29" s="7">
        <f t="shared" ca="1" si="3"/>
        <v>1</v>
      </c>
      <c r="BX29" s="7">
        <f t="shared" ca="1" si="3"/>
        <v>1</v>
      </c>
      <c r="BY29" s="7">
        <f t="shared" ca="1" si="3"/>
        <v>1</v>
      </c>
      <c r="BZ29" s="7">
        <f t="shared" ca="1" si="3"/>
        <v>1</v>
      </c>
      <c r="CA29" s="7">
        <f t="shared" ca="1" si="3"/>
        <v>0</v>
      </c>
      <c r="CB29" s="7">
        <f t="shared" ca="1" si="3"/>
        <v>0</v>
      </c>
      <c r="CC29" s="7">
        <f t="shared" ca="1" si="3"/>
        <v>1</v>
      </c>
      <c r="CD29" s="7">
        <f t="shared" ca="1" si="4"/>
        <v>0</v>
      </c>
      <c r="CE29" s="7">
        <f t="shared" ca="1" si="4"/>
        <v>1</v>
      </c>
      <c r="CF29" s="7">
        <f t="shared" ca="1" si="4"/>
        <v>1</v>
      </c>
      <c r="CG29" s="7">
        <f t="shared" ca="1" si="4"/>
        <v>0</v>
      </c>
      <c r="CH29" s="7">
        <f t="shared" ca="1" si="4"/>
        <v>0</v>
      </c>
      <c r="CI29" s="7">
        <f t="shared" ca="1" si="4"/>
        <v>0</v>
      </c>
      <c r="CJ29" s="7">
        <f t="shared" ca="1" si="4"/>
        <v>1</v>
      </c>
      <c r="CK29" s="7">
        <f t="shared" ca="1" si="4"/>
        <v>1</v>
      </c>
      <c r="CL29" s="7">
        <f t="shared" ca="1" si="4"/>
        <v>1</v>
      </c>
      <c r="CM29" s="7">
        <f t="shared" ca="1" si="4"/>
        <v>1</v>
      </c>
      <c r="CN29" s="7">
        <f t="shared" ca="1" si="4"/>
        <v>1</v>
      </c>
      <c r="CO29" s="7">
        <f t="shared" ca="1" si="4"/>
        <v>0</v>
      </c>
      <c r="CP29" s="7">
        <f t="shared" ca="1" si="4"/>
        <v>0</v>
      </c>
      <c r="CQ29" s="7">
        <f t="shared" ca="1" si="4"/>
        <v>1</v>
      </c>
      <c r="CR29" s="7">
        <f t="shared" ca="1" si="4"/>
        <v>1</v>
      </c>
      <c r="CS29" s="7">
        <f t="shared" ca="1" si="4"/>
        <v>1</v>
      </c>
      <c r="CT29" s="7">
        <f t="shared" ca="1" si="4"/>
        <v>1</v>
      </c>
      <c r="CU29" s="7">
        <f t="shared" ca="1" si="4"/>
        <v>1</v>
      </c>
      <c r="CV29" s="7">
        <f t="shared" ca="1" si="4"/>
        <v>1</v>
      </c>
      <c r="CW29" s="7">
        <f t="shared" ca="1" si="4"/>
        <v>0</v>
      </c>
      <c r="CX29" s="24" t="str" cm="1">
        <f t="array" aca="1" ref="CX29" ca="1">getformula(CW29)</f>
        <v>&lt;--  =IF(RAND()&lt;p,0,1)</v>
      </c>
    </row>
    <row r="30" spans="1:102" x14ac:dyDescent="0.2">
      <c r="A30" s="23" t="s">
        <v>150</v>
      </c>
      <c r="B30" s="7">
        <f t="shared" ca="1" si="2"/>
        <v>0</v>
      </c>
      <c r="C30" s="7">
        <f t="shared" ca="1" si="5"/>
        <v>0</v>
      </c>
      <c r="D30" s="7">
        <f t="shared" ca="1" si="5"/>
        <v>1</v>
      </c>
      <c r="E30" s="7">
        <f t="shared" ca="1" si="5"/>
        <v>1</v>
      </c>
      <c r="F30" s="7">
        <f t="shared" ca="1" si="5"/>
        <v>1</v>
      </c>
      <c r="G30" s="7">
        <f t="shared" ca="1" si="5"/>
        <v>1</v>
      </c>
      <c r="H30" s="7">
        <f t="shared" ca="1" si="5"/>
        <v>0</v>
      </c>
      <c r="I30" s="7">
        <f t="shared" ca="1" si="5"/>
        <v>1</v>
      </c>
      <c r="J30" s="7">
        <f t="shared" ca="1" si="5"/>
        <v>1</v>
      </c>
      <c r="K30" s="7">
        <f t="shared" ca="1" si="5"/>
        <v>0</v>
      </c>
      <c r="L30" s="7">
        <f t="shared" ca="1" si="5"/>
        <v>1</v>
      </c>
      <c r="M30" s="7">
        <f t="shared" ca="1" si="5"/>
        <v>1</v>
      </c>
      <c r="N30" s="7">
        <f t="shared" ca="1" si="5"/>
        <v>1</v>
      </c>
      <c r="O30" s="7">
        <f t="shared" ca="1" si="5"/>
        <v>0</v>
      </c>
      <c r="P30" s="7">
        <f t="shared" ca="1" si="5"/>
        <v>0</v>
      </c>
      <c r="Q30" s="7">
        <f t="shared" ca="1" si="5"/>
        <v>1</v>
      </c>
      <c r="R30" s="7">
        <f t="shared" ca="1" si="5"/>
        <v>0</v>
      </c>
      <c r="S30" s="7">
        <f t="shared" ca="1" si="5"/>
        <v>1</v>
      </c>
      <c r="T30" s="7">
        <f t="shared" ca="1" si="5"/>
        <v>1</v>
      </c>
      <c r="U30" s="7">
        <f t="shared" ca="1" si="5"/>
        <v>0</v>
      </c>
      <c r="V30" s="7">
        <f t="shared" ca="1" si="5"/>
        <v>1</v>
      </c>
      <c r="W30" s="7">
        <f t="shared" ca="1" si="5"/>
        <v>1</v>
      </c>
      <c r="X30" s="7">
        <f t="shared" ca="1" si="5"/>
        <v>0</v>
      </c>
      <c r="Y30" s="7">
        <f t="shared" ca="1" si="5"/>
        <v>1</v>
      </c>
      <c r="Z30" s="7">
        <f t="shared" ca="1" si="5"/>
        <v>0</v>
      </c>
      <c r="AA30" s="7">
        <f t="shared" ca="1" si="5"/>
        <v>1</v>
      </c>
      <c r="AB30" s="7">
        <f t="shared" ca="1" si="5"/>
        <v>1</v>
      </c>
      <c r="AC30" s="7">
        <f t="shared" ca="1" si="5"/>
        <v>0</v>
      </c>
      <c r="AD30" s="7">
        <f t="shared" ca="1" si="5"/>
        <v>1</v>
      </c>
      <c r="AE30" s="7">
        <f t="shared" ca="1" si="5"/>
        <v>1</v>
      </c>
      <c r="AF30" s="7">
        <f t="shared" ca="1" si="5"/>
        <v>0</v>
      </c>
      <c r="AG30" s="7">
        <f t="shared" ca="1" si="5"/>
        <v>1</v>
      </c>
      <c r="AH30" s="7">
        <f t="shared" ca="1" si="5"/>
        <v>0</v>
      </c>
      <c r="AI30" s="7">
        <f t="shared" ca="1" si="5"/>
        <v>0</v>
      </c>
      <c r="AJ30" s="7">
        <f t="shared" ca="1" si="5"/>
        <v>1</v>
      </c>
      <c r="AK30" s="7">
        <f t="shared" ca="1" si="5"/>
        <v>1</v>
      </c>
      <c r="AL30" s="7">
        <f t="shared" ca="1" si="5"/>
        <v>0</v>
      </c>
      <c r="AM30" s="7">
        <f t="shared" ca="1" si="5"/>
        <v>1</v>
      </c>
      <c r="AN30" s="7">
        <f t="shared" ca="1" si="5"/>
        <v>1</v>
      </c>
      <c r="AO30" s="7">
        <f t="shared" ca="1" si="5"/>
        <v>0</v>
      </c>
      <c r="AP30" s="7">
        <f t="shared" ca="1" si="5"/>
        <v>1</v>
      </c>
      <c r="AQ30" s="7">
        <f t="shared" ca="1" si="5"/>
        <v>1</v>
      </c>
      <c r="AR30" s="7">
        <f t="shared" ca="1" si="5"/>
        <v>1</v>
      </c>
      <c r="AS30" s="7">
        <f t="shared" ca="1" si="5"/>
        <v>1</v>
      </c>
      <c r="AT30" s="7">
        <f t="shared" ca="1" si="5"/>
        <v>0</v>
      </c>
      <c r="AU30" s="7">
        <f t="shared" ca="1" si="5"/>
        <v>0</v>
      </c>
      <c r="AV30" s="7">
        <f t="shared" ca="1" si="5"/>
        <v>0</v>
      </c>
      <c r="AW30" s="7">
        <f t="shared" ca="1" si="5"/>
        <v>1</v>
      </c>
      <c r="AX30" s="7">
        <f t="shared" ca="1" si="5"/>
        <v>1</v>
      </c>
      <c r="AY30" s="7">
        <f t="shared" ca="1" si="5"/>
        <v>1</v>
      </c>
      <c r="AZ30" s="7">
        <f t="shared" ca="1" si="5"/>
        <v>0</v>
      </c>
      <c r="BA30" s="7">
        <f t="shared" ca="1" si="5"/>
        <v>0</v>
      </c>
      <c r="BB30" s="7">
        <f t="shared" ca="1" si="5"/>
        <v>1</v>
      </c>
      <c r="BC30" s="7">
        <f t="shared" ca="1" si="5"/>
        <v>0</v>
      </c>
      <c r="BD30" s="7">
        <f t="shared" ca="1" si="5"/>
        <v>1</v>
      </c>
      <c r="BE30" s="7">
        <f t="shared" ca="1" si="5"/>
        <v>1</v>
      </c>
      <c r="BF30" s="7">
        <f t="shared" ca="1" si="5"/>
        <v>0</v>
      </c>
      <c r="BG30" s="7">
        <f t="shared" ca="1" si="5"/>
        <v>0</v>
      </c>
      <c r="BH30" s="7">
        <f t="shared" ca="1" si="5"/>
        <v>0</v>
      </c>
      <c r="BI30" s="7">
        <f t="shared" ca="1" si="5"/>
        <v>0</v>
      </c>
      <c r="BJ30" s="7">
        <f t="shared" ca="1" si="5"/>
        <v>0</v>
      </c>
      <c r="BK30" s="7">
        <f t="shared" ca="1" si="5"/>
        <v>0</v>
      </c>
      <c r="BL30" s="7">
        <f t="shared" ca="1" si="5"/>
        <v>1</v>
      </c>
      <c r="BM30" s="7">
        <f t="shared" ca="1" si="5"/>
        <v>0</v>
      </c>
      <c r="BN30" s="7">
        <f t="shared" ref="BN30:CW31" ca="1" si="6">IF(RAND()&lt;p,0,1)</f>
        <v>1</v>
      </c>
      <c r="BO30" s="7">
        <f t="shared" ca="1" si="6"/>
        <v>0</v>
      </c>
      <c r="BP30" s="7">
        <f t="shared" ca="1" si="6"/>
        <v>0</v>
      </c>
      <c r="BQ30" s="7">
        <f t="shared" ca="1" si="6"/>
        <v>1</v>
      </c>
      <c r="BR30" s="7">
        <f t="shared" ca="1" si="6"/>
        <v>0</v>
      </c>
      <c r="BS30" s="7">
        <f t="shared" ca="1" si="6"/>
        <v>1</v>
      </c>
      <c r="BT30" s="7">
        <f t="shared" ca="1" si="6"/>
        <v>1</v>
      </c>
      <c r="BU30" s="7">
        <f t="shared" ca="1" si="6"/>
        <v>0</v>
      </c>
      <c r="BV30" s="7">
        <f t="shared" ca="1" si="6"/>
        <v>0</v>
      </c>
      <c r="BW30" s="7">
        <f t="shared" ca="1" si="6"/>
        <v>1</v>
      </c>
      <c r="BX30" s="7">
        <f t="shared" ca="1" si="6"/>
        <v>1</v>
      </c>
      <c r="BY30" s="7">
        <f t="shared" ca="1" si="6"/>
        <v>1</v>
      </c>
      <c r="BZ30" s="7">
        <f t="shared" ca="1" si="6"/>
        <v>0</v>
      </c>
      <c r="CA30" s="7">
        <f t="shared" ca="1" si="6"/>
        <v>1</v>
      </c>
      <c r="CB30" s="7">
        <f t="shared" ca="1" si="6"/>
        <v>1</v>
      </c>
      <c r="CC30" s="7">
        <f t="shared" ca="1" si="6"/>
        <v>1</v>
      </c>
      <c r="CD30" s="7">
        <f t="shared" ca="1" si="6"/>
        <v>1</v>
      </c>
      <c r="CE30" s="7">
        <f t="shared" ca="1" si="6"/>
        <v>1</v>
      </c>
      <c r="CF30" s="7">
        <f t="shared" ca="1" si="6"/>
        <v>0</v>
      </c>
      <c r="CG30" s="7">
        <f t="shared" ca="1" si="6"/>
        <v>0</v>
      </c>
      <c r="CH30" s="7">
        <f t="shared" ca="1" si="6"/>
        <v>1</v>
      </c>
      <c r="CI30" s="7">
        <f t="shared" ca="1" si="6"/>
        <v>1</v>
      </c>
      <c r="CJ30" s="7">
        <f t="shared" ca="1" si="6"/>
        <v>0</v>
      </c>
      <c r="CK30" s="7">
        <f t="shared" ca="1" si="6"/>
        <v>0</v>
      </c>
      <c r="CL30" s="7">
        <f t="shared" ca="1" si="6"/>
        <v>1</v>
      </c>
      <c r="CM30" s="7">
        <f t="shared" ca="1" si="6"/>
        <v>1</v>
      </c>
      <c r="CN30" s="7">
        <f t="shared" ca="1" si="6"/>
        <v>0</v>
      </c>
      <c r="CO30" s="7">
        <f t="shared" ca="1" si="6"/>
        <v>0</v>
      </c>
      <c r="CP30" s="7">
        <f t="shared" ca="1" si="6"/>
        <v>0</v>
      </c>
      <c r="CQ30" s="7">
        <f t="shared" ca="1" si="6"/>
        <v>1</v>
      </c>
      <c r="CR30" s="7">
        <f t="shared" ca="1" si="6"/>
        <v>0</v>
      </c>
      <c r="CS30" s="7">
        <f t="shared" ca="1" si="6"/>
        <v>0</v>
      </c>
      <c r="CT30" s="7">
        <f t="shared" ca="1" si="6"/>
        <v>0</v>
      </c>
      <c r="CU30" s="7">
        <f t="shared" ca="1" si="6"/>
        <v>0</v>
      </c>
      <c r="CV30" s="7">
        <f t="shared" ca="1" si="6"/>
        <v>0</v>
      </c>
      <c r="CW30" s="7">
        <f t="shared" ca="1" si="6"/>
        <v>1</v>
      </c>
      <c r="CX30" s="24" t="str" cm="1">
        <f t="array" aca="1" ref="CX30" ca="1">getformula(CW30)</f>
        <v>&lt;--  =IF(RAND()&lt;p,0,1)</v>
      </c>
    </row>
    <row r="31" spans="1:102" x14ac:dyDescent="0.2">
      <c r="A31" s="23" t="s">
        <v>149</v>
      </c>
      <c r="B31" s="7">
        <f t="shared" ca="1" si="2"/>
        <v>0</v>
      </c>
      <c r="C31" s="7">
        <f t="shared" ref="C31:BN31" ca="1" si="7">IF(RAND()&lt;p,0,1)</f>
        <v>1</v>
      </c>
      <c r="D31" s="7">
        <f t="shared" ca="1" si="7"/>
        <v>0</v>
      </c>
      <c r="E31" s="7">
        <f t="shared" ca="1" si="7"/>
        <v>0</v>
      </c>
      <c r="F31" s="7">
        <f t="shared" ca="1" si="7"/>
        <v>0</v>
      </c>
      <c r="G31" s="7">
        <f t="shared" ca="1" si="7"/>
        <v>1</v>
      </c>
      <c r="H31" s="7">
        <f t="shared" ca="1" si="7"/>
        <v>1</v>
      </c>
      <c r="I31" s="7">
        <f t="shared" ca="1" si="7"/>
        <v>0</v>
      </c>
      <c r="J31" s="7">
        <f t="shared" ca="1" si="7"/>
        <v>0</v>
      </c>
      <c r="K31" s="7">
        <f t="shared" ca="1" si="7"/>
        <v>0</v>
      </c>
      <c r="L31" s="7">
        <f t="shared" ca="1" si="7"/>
        <v>1</v>
      </c>
      <c r="M31" s="7">
        <f t="shared" ca="1" si="7"/>
        <v>1</v>
      </c>
      <c r="N31" s="7">
        <f t="shared" ca="1" si="7"/>
        <v>1</v>
      </c>
      <c r="O31" s="7">
        <f t="shared" ca="1" si="7"/>
        <v>0</v>
      </c>
      <c r="P31" s="7">
        <f t="shared" ca="1" si="7"/>
        <v>1</v>
      </c>
      <c r="Q31" s="7">
        <f t="shared" ca="1" si="7"/>
        <v>0</v>
      </c>
      <c r="R31" s="7">
        <f t="shared" ca="1" si="7"/>
        <v>1</v>
      </c>
      <c r="S31" s="7">
        <f t="shared" ca="1" si="7"/>
        <v>0</v>
      </c>
      <c r="T31" s="7">
        <f t="shared" ca="1" si="7"/>
        <v>0</v>
      </c>
      <c r="U31" s="7">
        <f t="shared" ca="1" si="7"/>
        <v>1</v>
      </c>
      <c r="V31" s="7">
        <f t="shared" ca="1" si="7"/>
        <v>1</v>
      </c>
      <c r="W31" s="7">
        <f t="shared" ca="1" si="7"/>
        <v>0</v>
      </c>
      <c r="X31" s="7">
        <f t="shared" ca="1" si="7"/>
        <v>1</v>
      </c>
      <c r="Y31" s="7">
        <f t="shared" ca="1" si="7"/>
        <v>0</v>
      </c>
      <c r="Z31" s="7">
        <f t="shared" ca="1" si="7"/>
        <v>1</v>
      </c>
      <c r="AA31" s="7">
        <f t="shared" ca="1" si="7"/>
        <v>0</v>
      </c>
      <c r="AB31" s="7">
        <f t="shared" ca="1" si="7"/>
        <v>1</v>
      </c>
      <c r="AC31" s="7">
        <f t="shared" ca="1" si="7"/>
        <v>0</v>
      </c>
      <c r="AD31" s="7">
        <f t="shared" ca="1" si="7"/>
        <v>0</v>
      </c>
      <c r="AE31" s="7">
        <f t="shared" ca="1" si="7"/>
        <v>0</v>
      </c>
      <c r="AF31" s="7">
        <f t="shared" ca="1" si="7"/>
        <v>1</v>
      </c>
      <c r="AG31" s="7">
        <f t="shared" ca="1" si="7"/>
        <v>0</v>
      </c>
      <c r="AH31" s="7">
        <f t="shared" ca="1" si="7"/>
        <v>1</v>
      </c>
      <c r="AI31" s="7">
        <f t="shared" ca="1" si="7"/>
        <v>0</v>
      </c>
      <c r="AJ31" s="7">
        <f t="shared" ca="1" si="7"/>
        <v>0</v>
      </c>
      <c r="AK31" s="7">
        <f t="shared" ca="1" si="7"/>
        <v>0</v>
      </c>
      <c r="AL31" s="7">
        <f t="shared" ca="1" si="7"/>
        <v>1</v>
      </c>
      <c r="AM31" s="7">
        <f t="shared" ca="1" si="7"/>
        <v>0</v>
      </c>
      <c r="AN31" s="7">
        <f t="shared" ca="1" si="7"/>
        <v>0</v>
      </c>
      <c r="AO31" s="7">
        <f t="shared" ca="1" si="7"/>
        <v>0</v>
      </c>
      <c r="AP31" s="7">
        <f t="shared" ca="1" si="7"/>
        <v>0</v>
      </c>
      <c r="AQ31" s="7">
        <f t="shared" ca="1" si="7"/>
        <v>1</v>
      </c>
      <c r="AR31" s="7">
        <f t="shared" ca="1" si="7"/>
        <v>0</v>
      </c>
      <c r="AS31" s="7">
        <f t="shared" ca="1" si="7"/>
        <v>0</v>
      </c>
      <c r="AT31" s="7">
        <f t="shared" ca="1" si="7"/>
        <v>0</v>
      </c>
      <c r="AU31" s="7">
        <f t="shared" ca="1" si="7"/>
        <v>0</v>
      </c>
      <c r="AV31" s="7">
        <f t="shared" ca="1" si="7"/>
        <v>1</v>
      </c>
      <c r="AW31" s="7">
        <f t="shared" ca="1" si="7"/>
        <v>1</v>
      </c>
      <c r="AX31" s="7">
        <f t="shared" ca="1" si="7"/>
        <v>1</v>
      </c>
      <c r="AY31" s="7">
        <f t="shared" ca="1" si="7"/>
        <v>0</v>
      </c>
      <c r="AZ31" s="7">
        <f t="shared" ca="1" si="7"/>
        <v>1</v>
      </c>
      <c r="BA31" s="7">
        <f t="shared" ca="1" si="7"/>
        <v>0</v>
      </c>
      <c r="BB31" s="7">
        <f t="shared" ca="1" si="7"/>
        <v>1</v>
      </c>
      <c r="BC31" s="7">
        <f t="shared" ca="1" si="7"/>
        <v>1</v>
      </c>
      <c r="BD31" s="7">
        <f t="shared" ca="1" si="7"/>
        <v>1</v>
      </c>
      <c r="BE31" s="7">
        <f t="shared" ca="1" si="7"/>
        <v>0</v>
      </c>
      <c r="BF31" s="7">
        <f t="shared" ca="1" si="7"/>
        <v>1</v>
      </c>
      <c r="BG31" s="7">
        <f t="shared" ca="1" si="7"/>
        <v>0</v>
      </c>
      <c r="BH31" s="7">
        <f t="shared" ca="1" si="7"/>
        <v>1</v>
      </c>
      <c r="BI31" s="7">
        <f t="shared" ca="1" si="7"/>
        <v>0</v>
      </c>
      <c r="BJ31" s="7">
        <f t="shared" ca="1" si="7"/>
        <v>1</v>
      </c>
      <c r="BK31" s="7">
        <f t="shared" ca="1" si="7"/>
        <v>0</v>
      </c>
      <c r="BL31" s="7">
        <f t="shared" ca="1" si="7"/>
        <v>1</v>
      </c>
      <c r="BM31" s="7">
        <f t="shared" ca="1" si="7"/>
        <v>0</v>
      </c>
      <c r="BN31" s="7">
        <f t="shared" ca="1" si="7"/>
        <v>0</v>
      </c>
      <c r="BO31" s="7">
        <f t="shared" ca="1" si="6"/>
        <v>1</v>
      </c>
      <c r="BP31" s="7">
        <f t="shared" ca="1" si="6"/>
        <v>0</v>
      </c>
      <c r="BQ31" s="7">
        <f t="shared" ca="1" si="6"/>
        <v>1</v>
      </c>
      <c r="BR31" s="7">
        <f t="shared" ca="1" si="6"/>
        <v>1</v>
      </c>
      <c r="BS31" s="7">
        <f t="shared" ca="1" si="6"/>
        <v>1</v>
      </c>
      <c r="BT31" s="7">
        <f t="shared" ca="1" si="6"/>
        <v>1</v>
      </c>
      <c r="BU31" s="7">
        <f t="shared" ca="1" si="6"/>
        <v>0</v>
      </c>
      <c r="BV31" s="7">
        <f t="shared" ca="1" si="6"/>
        <v>1</v>
      </c>
      <c r="BW31" s="7">
        <f t="shared" ca="1" si="6"/>
        <v>0</v>
      </c>
      <c r="BX31" s="7">
        <f t="shared" ca="1" si="6"/>
        <v>1</v>
      </c>
      <c r="BY31" s="7">
        <f t="shared" ca="1" si="6"/>
        <v>1</v>
      </c>
      <c r="BZ31" s="7">
        <f t="shared" ca="1" si="6"/>
        <v>1</v>
      </c>
      <c r="CA31" s="7">
        <f t="shared" ca="1" si="6"/>
        <v>0</v>
      </c>
      <c r="CB31" s="7">
        <f t="shared" ca="1" si="6"/>
        <v>0</v>
      </c>
      <c r="CC31" s="7">
        <f t="shared" ca="1" si="6"/>
        <v>1</v>
      </c>
      <c r="CD31" s="7">
        <f t="shared" ca="1" si="6"/>
        <v>0</v>
      </c>
      <c r="CE31" s="7">
        <f t="shared" ca="1" si="6"/>
        <v>0</v>
      </c>
      <c r="CF31" s="7">
        <f t="shared" ca="1" si="6"/>
        <v>1</v>
      </c>
      <c r="CG31" s="7">
        <f t="shared" ca="1" si="6"/>
        <v>1</v>
      </c>
      <c r="CH31" s="7">
        <f t="shared" ca="1" si="6"/>
        <v>1</v>
      </c>
      <c r="CI31" s="7">
        <f t="shared" ca="1" si="6"/>
        <v>1</v>
      </c>
      <c r="CJ31" s="7">
        <f t="shared" ca="1" si="6"/>
        <v>1</v>
      </c>
      <c r="CK31" s="7">
        <f t="shared" ca="1" si="6"/>
        <v>0</v>
      </c>
      <c r="CL31" s="7">
        <f t="shared" ca="1" si="6"/>
        <v>0</v>
      </c>
      <c r="CM31" s="7">
        <f t="shared" ca="1" si="6"/>
        <v>1</v>
      </c>
      <c r="CN31" s="7">
        <f t="shared" ca="1" si="6"/>
        <v>0</v>
      </c>
      <c r="CO31" s="7">
        <f t="shared" ca="1" si="6"/>
        <v>1</v>
      </c>
      <c r="CP31" s="7">
        <f t="shared" ca="1" si="6"/>
        <v>1</v>
      </c>
      <c r="CQ31" s="7">
        <f t="shared" ca="1" si="6"/>
        <v>0</v>
      </c>
      <c r="CR31" s="7">
        <f t="shared" ca="1" si="6"/>
        <v>1</v>
      </c>
      <c r="CS31" s="7">
        <f t="shared" ca="1" si="6"/>
        <v>1</v>
      </c>
      <c r="CT31" s="7">
        <f t="shared" ca="1" si="6"/>
        <v>0</v>
      </c>
      <c r="CU31" s="7">
        <f t="shared" ca="1" si="6"/>
        <v>0</v>
      </c>
      <c r="CV31" s="7">
        <f t="shared" ca="1" si="6"/>
        <v>1</v>
      </c>
      <c r="CW31" s="7">
        <f t="shared" ca="1" si="6"/>
        <v>0</v>
      </c>
      <c r="CX31" s="24" t="str" cm="1">
        <f t="array" aca="1" ref="CX31" ca="1">getformula(CW31)</f>
        <v>&lt;--  =IF(RAND()&lt;p,0,1)</v>
      </c>
    </row>
    <row r="32" spans="1:102" x14ac:dyDescent="0.2">
      <c r="A32" s="9" t="s">
        <v>23</v>
      </c>
      <c r="B32" s="7">
        <f ca="1">SUM(B26:B31)</f>
        <v>3</v>
      </c>
      <c r="C32" s="7">
        <f t="shared" ref="C32:BN32" ca="1" si="8">SUM(C26:C31)</f>
        <v>4</v>
      </c>
      <c r="D32" s="7">
        <f t="shared" ca="1" si="8"/>
        <v>3</v>
      </c>
      <c r="E32" s="7">
        <f t="shared" ca="1" si="8"/>
        <v>2</v>
      </c>
      <c r="F32" s="7">
        <f t="shared" ca="1" si="8"/>
        <v>4</v>
      </c>
      <c r="G32" s="7">
        <f t="shared" ca="1" si="8"/>
        <v>5</v>
      </c>
      <c r="H32" s="7">
        <f t="shared" ca="1" si="8"/>
        <v>3</v>
      </c>
      <c r="I32" s="7">
        <f t="shared" ca="1" si="8"/>
        <v>3</v>
      </c>
      <c r="J32" s="7">
        <f t="shared" ca="1" si="8"/>
        <v>3</v>
      </c>
      <c r="K32" s="7">
        <f t="shared" ca="1" si="8"/>
        <v>2</v>
      </c>
      <c r="L32" s="7">
        <f t="shared" ca="1" si="8"/>
        <v>5</v>
      </c>
      <c r="M32" s="7">
        <f t="shared" ca="1" si="8"/>
        <v>5</v>
      </c>
      <c r="N32" s="7">
        <f t="shared" ca="1" si="8"/>
        <v>5</v>
      </c>
      <c r="O32" s="7">
        <f t="shared" ca="1" si="8"/>
        <v>1</v>
      </c>
      <c r="P32" s="7">
        <f t="shared" ca="1" si="8"/>
        <v>1</v>
      </c>
      <c r="Q32" s="7">
        <f t="shared" ca="1" si="8"/>
        <v>3</v>
      </c>
      <c r="R32" s="7">
        <f t="shared" ca="1" si="8"/>
        <v>3</v>
      </c>
      <c r="S32" s="7">
        <f t="shared" ca="1" si="8"/>
        <v>1</v>
      </c>
      <c r="T32" s="7">
        <f t="shared" ca="1" si="8"/>
        <v>3</v>
      </c>
      <c r="U32" s="7">
        <f t="shared" ca="1" si="8"/>
        <v>4</v>
      </c>
      <c r="V32" s="7">
        <f t="shared" ca="1" si="8"/>
        <v>4</v>
      </c>
      <c r="W32" s="7">
        <f t="shared" ca="1" si="8"/>
        <v>3</v>
      </c>
      <c r="X32" s="7">
        <f t="shared" ca="1" si="8"/>
        <v>1</v>
      </c>
      <c r="Y32" s="7">
        <f t="shared" ca="1" si="8"/>
        <v>3</v>
      </c>
      <c r="Z32" s="7">
        <f t="shared" ca="1" si="8"/>
        <v>3</v>
      </c>
      <c r="AA32" s="7">
        <f t="shared" ca="1" si="8"/>
        <v>5</v>
      </c>
      <c r="AB32" s="7">
        <f t="shared" ca="1" si="8"/>
        <v>3</v>
      </c>
      <c r="AC32" s="7">
        <f t="shared" ca="1" si="8"/>
        <v>4</v>
      </c>
      <c r="AD32" s="7">
        <f t="shared" ca="1" si="8"/>
        <v>4</v>
      </c>
      <c r="AE32" s="7">
        <f t="shared" ca="1" si="8"/>
        <v>2</v>
      </c>
      <c r="AF32" s="7">
        <f t="shared" ca="1" si="8"/>
        <v>5</v>
      </c>
      <c r="AG32" s="7">
        <f t="shared" ca="1" si="8"/>
        <v>3</v>
      </c>
      <c r="AH32" s="7">
        <f t="shared" ca="1" si="8"/>
        <v>4</v>
      </c>
      <c r="AI32" s="7">
        <f t="shared" ca="1" si="8"/>
        <v>2</v>
      </c>
      <c r="AJ32" s="7">
        <f t="shared" ca="1" si="8"/>
        <v>5</v>
      </c>
      <c r="AK32" s="7">
        <f t="shared" ca="1" si="8"/>
        <v>3</v>
      </c>
      <c r="AL32" s="7">
        <f t="shared" ca="1" si="8"/>
        <v>2</v>
      </c>
      <c r="AM32" s="7">
        <f t="shared" ca="1" si="8"/>
        <v>3</v>
      </c>
      <c r="AN32" s="7">
        <f t="shared" ca="1" si="8"/>
        <v>3</v>
      </c>
      <c r="AO32" s="7">
        <f t="shared" ca="1" si="8"/>
        <v>2</v>
      </c>
      <c r="AP32" s="7">
        <f t="shared" ca="1" si="8"/>
        <v>3</v>
      </c>
      <c r="AQ32" s="7">
        <f t="shared" ca="1" si="8"/>
        <v>4</v>
      </c>
      <c r="AR32" s="7">
        <f t="shared" ca="1" si="8"/>
        <v>2</v>
      </c>
      <c r="AS32" s="7">
        <f t="shared" ca="1" si="8"/>
        <v>1</v>
      </c>
      <c r="AT32" s="7">
        <f t="shared" ca="1" si="8"/>
        <v>2</v>
      </c>
      <c r="AU32" s="7">
        <f t="shared" ca="1" si="8"/>
        <v>1</v>
      </c>
      <c r="AV32" s="7">
        <f t="shared" ca="1" si="8"/>
        <v>2</v>
      </c>
      <c r="AW32" s="7">
        <f t="shared" ca="1" si="8"/>
        <v>3</v>
      </c>
      <c r="AX32" s="7">
        <f t="shared" ca="1" si="8"/>
        <v>4</v>
      </c>
      <c r="AY32" s="7">
        <f t="shared" ca="1" si="8"/>
        <v>4</v>
      </c>
      <c r="AZ32" s="7">
        <f t="shared" ca="1" si="8"/>
        <v>3</v>
      </c>
      <c r="BA32" s="7">
        <f t="shared" ca="1" si="8"/>
        <v>1</v>
      </c>
      <c r="BB32" s="7">
        <f t="shared" ca="1" si="8"/>
        <v>2</v>
      </c>
      <c r="BC32" s="7">
        <f t="shared" ca="1" si="8"/>
        <v>4</v>
      </c>
      <c r="BD32" s="7">
        <f t="shared" ca="1" si="8"/>
        <v>5</v>
      </c>
      <c r="BE32" s="7">
        <f t="shared" ca="1" si="8"/>
        <v>2</v>
      </c>
      <c r="BF32" s="7">
        <f t="shared" ca="1" si="8"/>
        <v>3</v>
      </c>
      <c r="BG32" s="7">
        <f t="shared" ca="1" si="8"/>
        <v>3</v>
      </c>
      <c r="BH32" s="7">
        <f t="shared" ca="1" si="8"/>
        <v>3</v>
      </c>
      <c r="BI32" s="7">
        <f t="shared" ca="1" si="8"/>
        <v>1</v>
      </c>
      <c r="BJ32" s="7">
        <f t="shared" ca="1" si="8"/>
        <v>2</v>
      </c>
      <c r="BK32" s="7">
        <f t="shared" ca="1" si="8"/>
        <v>4</v>
      </c>
      <c r="BL32" s="7">
        <f t="shared" ca="1" si="8"/>
        <v>3</v>
      </c>
      <c r="BM32" s="7">
        <f t="shared" ca="1" si="8"/>
        <v>2</v>
      </c>
      <c r="BN32" s="7">
        <f t="shared" ca="1" si="8"/>
        <v>3</v>
      </c>
      <c r="BO32" s="7">
        <f t="shared" ref="BO32:CW32" ca="1" si="9">SUM(BO26:BO31)</f>
        <v>3</v>
      </c>
      <c r="BP32" s="7">
        <f t="shared" ca="1" si="9"/>
        <v>3</v>
      </c>
      <c r="BQ32" s="7">
        <f t="shared" ca="1" si="9"/>
        <v>4</v>
      </c>
      <c r="BR32" s="7">
        <f t="shared" ca="1" si="9"/>
        <v>3</v>
      </c>
      <c r="BS32" s="7">
        <f t="shared" ca="1" si="9"/>
        <v>5</v>
      </c>
      <c r="BT32" s="7">
        <f t="shared" ca="1" si="9"/>
        <v>4</v>
      </c>
      <c r="BU32" s="7">
        <f t="shared" ca="1" si="9"/>
        <v>2</v>
      </c>
      <c r="BV32" s="7">
        <f t="shared" ca="1" si="9"/>
        <v>2</v>
      </c>
      <c r="BW32" s="7">
        <f t="shared" ca="1" si="9"/>
        <v>3</v>
      </c>
      <c r="BX32" s="7">
        <f t="shared" ca="1" si="9"/>
        <v>5</v>
      </c>
      <c r="BY32" s="7">
        <f t="shared" ca="1" si="9"/>
        <v>4</v>
      </c>
      <c r="BZ32" s="7">
        <f t="shared" ca="1" si="9"/>
        <v>5</v>
      </c>
      <c r="CA32" s="7">
        <f t="shared" ca="1" si="9"/>
        <v>3</v>
      </c>
      <c r="CB32" s="7">
        <f t="shared" ca="1" si="9"/>
        <v>2</v>
      </c>
      <c r="CC32" s="7">
        <f t="shared" ca="1" si="9"/>
        <v>5</v>
      </c>
      <c r="CD32" s="7">
        <f t="shared" ca="1" si="9"/>
        <v>1</v>
      </c>
      <c r="CE32" s="7">
        <f t="shared" ca="1" si="9"/>
        <v>3</v>
      </c>
      <c r="CF32" s="7">
        <f t="shared" ca="1" si="9"/>
        <v>3</v>
      </c>
      <c r="CG32" s="7">
        <f t="shared" ca="1" si="9"/>
        <v>3</v>
      </c>
      <c r="CH32" s="7">
        <f t="shared" ca="1" si="9"/>
        <v>4</v>
      </c>
      <c r="CI32" s="7">
        <f t="shared" ca="1" si="9"/>
        <v>3</v>
      </c>
      <c r="CJ32" s="7">
        <f t="shared" ca="1" si="9"/>
        <v>3</v>
      </c>
      <c r="CK32" s="7">
        <f t="shared" ca="1" si="9"/>
        <v>2</v>
      </c>
      <c r="CL32" s="7">
        <f t="shared" ca="1" si="9"/>
        <v>5</v>
      </c>
      <c r="CM32" s="7">
        <f t="shared" ca="1" si="9"/>
        <v>4</v>
      </c>
      <c r="CN32" s="7">
        <f t="shared" ca="1" si="9"/>
        <v>3</v>
      </c>
      <c r="CO32" s="7">
        <f t="shared" ca="1" si="9"/>
        <v>3</v>
      </c>
      <c r="CP32" s="7">
        <f t="shared" ca="1" si="9"/>
        <v>2</v>
      </c>
      <c r="CQ32" s="7">
        <f t="shared" ca="1" si="9"/>
        <v>4</v>
      </c>
      <c r="CR32" s="7">
        <f t="shared" ca="1" si="9"/>
        <v>3</v>
      </c>
      <c r="CS32" s="7">
        <f t="shared" ca="1" si="9"/>
        <v>3</v>
      </c>
      <c r="CT32" s="7">
        <f t="shared" ca="1" si="9"/>
        <v>2</v>
      </c>
      <c r="CU32" s="7">
        <f t="shared" ca="1" si="9"/>
        <v>2</v>
      </c>
      <c r="CV32" s="7">
        <f t="shared" ca="1" si="9"/>
        <v>4</v>
      </c>
      <c r="CW32" s="7">
        <f t="shared" ca="1" si="9"/>
        <v>3</v>
      </c>
      <c r="CX32" s="24" t="str" cm="1">
        <f t="array" aca="1" ref="CX32" ca="1">getformula(CW32)</f>
        <v>&lt;--  =SUM(CW26:CW31)</v>
      </c>
    </row>
    <row r="33" spans="1:102" x14ac:dyDescent="0.2">
      <c r="A33" s="9" t="s">
        <v>5</v>
      </c>
      <c r="B33" s="7">
        <f t="shared" ref="B33:AG33" ca="1" si="10">S*u^(n-B32)*d^B32</f>
        <v>50.000000000000007</v>
      </c>
      <c r="C33" s="7">
        <f t="shared" ca="1" si="10"/>
        <v>44.54736261442055</v>
      </c>
      <c r="D33" s="7">
        <f t="shared" ca="1" si="10"/>
        <v>50.000000000000007</v>
      </c>
      <c r="E33" s="7">
        <f t="shared" ca="1" si="10"/>
        <v>56.120045122283372</v>
      </c>
      <c r="F33" s="7">
        <f t="shared" ca="1" si="10"/>
        <v>44.54736261442055</v>
      </c>
      <c r="G33" s="7">
        <f t="shared" ca="1" si="10"/>
        <v>39.68935031801346</v>
      </c>
      <c r="H33" s="7">
        <f t="shared" ca="1" si="10"/>
        <v>50.000000000000007</v>
      </c>
      <c r="I33" s="7">
        <f t="shared" ca="1" si="10"/>
        <v>50.000000000000007</v>
      </c>
      <c r="J33" s="7">
        <f t="shared" ca="1" si="10"/>
        <v>50.000000000000007</v>
      </c>
      <c r="K33" s="7">
        <f t="shared" ca="1" si="10"/>
        <v>56.120045122283372</v>
      </c>
      <c r="L33" s="7">
        <f t="shared" ca="1" si="10"/>
        <v>39.68935031801346</v>
      </c>
      <c r="M33" s="7">
        <f t="shared" ca="1" si="10"/>
        <v>39.68935031801346</v>
      </c>
      <c r="N33" s="7">
        <f t="shared" ca="1" si="10"/>
        <v>39.68935031801346</v>
      </c>
      <c r="O33" s="7">
        <f t="shared" ca="1" si="10"/>
        <v>62.98918929054242</v>
      </c>
      <c r="P33" s="7">
        <f t="shared" ca="1" si="10"/>
        <v>62.98918929054242</v>
      </c>
      <c r="Q33" s="7">
        <f t="shared" ca="1" si="10"/>
        <v>50.000000000000007</v>
      </c>
      <c r="R33" s="7">
        <f t="shared" ca="1" si="10"/>
        <v>50.000000000000007</v>
      </c>
      <c r="S33" s="7">
        <f t="shared" ca="1" si="10"/>
        <v>62.98918929054242</v>
      </c>
      <c r="T33" s="7">
        <f t="shared" ca="1" si="10"/>
        <v>50.000000000000007</v>
      </c>
      <c r="U33" s="7">
        <f t="shared" ca="1" si="10"/>
        <v>44.54736261442055</v>
      </c>
      <c r="V33" s="7">
        <f t="shared" ca="1" si="10"/>
        <v>44.54736261442055</v>
      </c>
      <c r="W33" s="7">
        <f t="shared" ca="1" si="10"/>
        <v>50.000000000000007</v>
      </c>
      <c r="X33" s="7">
        <f t="shared" ca="1" si="10"/>
        <v>62.98918929054242</v>
      </c>
      <c r="Y33" s="7">
        <f t="shared" ca="1" si="10"/>
        <v>50.000000000000007</v>
      </c>
      <c r="Z33" s="7">
        <f t="shared" ca="1" si="10"/>
        <v>50.000000000000007</v>
      </c>
      <c r="AA33" s="7">
        <f t="shared" ca="1" si="10"/>
        <v>39.68935031801346</v>
      </c>
      <c r="AB33" s="7">
        <f t="shared" ca="1" si="10"/>
        <v>50.000000000000007</v>
      </c>
      <c r="AC33" s="7">
        <f t="shared" ca="1" si="10"/>
        <v>44.54736261442055</v>
      </c>
      <c r="AD33" s="7">
        <f t="shared" ca="1" si="10"/>
        <v>44.54736261442055</v>
      </c>
      <c r="AE33" s="7">
        <f t="shared" ca="1" si="10"/>
        <v>56.120045122283372</v>
      </c>
      <c r="AF33" s="7">
        <f t="shared" ca="1" si="10"/>
        <v>39.68935031801346</v>
      </c>
      <c r="AG33" s="7">
        <f t="shared" ca="1" si="10"/>
        <v>50.000000000000007</v>
      </c>
      <c r="AH33" s="7">
        <f t="shared" ref="AH33:BM33" ca="1" si="11">S*u^(n-AH32)*d^AH32</f>
        <v>44.54736261442055</v>
      </c>
      <c r="AI33" s="7">
        <f t="shared" ca="1" si="11"/>
        <v>56.120045122283372</v>
      </c>
      <c r="AJ33" s="7">
        <f t="shared" ca="1" si="11"/>
        <v>39.68935031801346</v>
      </c>
      <c r="AK33" s="7">
        <f t="shared" ca="1" si="11"/>
        <v>50.000000000000007</v>
      </c>
      <c r="AL33" s="7">
        <f t="shared" ca="1" si="11"/>
        <v>56.120045122283372</v>
      </c>
      <c r="AM33" s="7">
        <f t="shared" ca="1" si="11"/>
        <v>50.000000000000007</v>
      </c>
      <c r="AN33" s="7">
        <f t="shared" ca="1" si="11"/>
        <v>50.000000000000007</v>
      </c>
      <c r="AO33" s="7">
        <f t="shared" ca="1" si="11"/>
        <v>56.120045122283372</v>
      </c>
      <c r="AP33" s="7">
        <f t="shared" ca="1" si="11"/>
        <v>50.000000000000007</v>
      </c>
      <c r="AQ33" s="7">
        <f t="shared" ca="1" si="11"/>
        <v>44.54736261442055</v>
      </c>
      <c r="AR33" s="7">
        <f t="shared" ca="1" si="11"/>
        <v>56.120045122283372</v>
      </c>
      <c r="AS33" s="7">
        <f t="shared" ca="1" si="11"/>
        <v>62.98918929054242</v>
      </c>
      <c r="AT33" s="7">
        <f t="shared" ca="1" si="11"/>
        <v>56.120045122283372</v>
      </c>
      <c r="AU33" s="7">
        <f t="shared" ca="1" si="11"/>
        <v>62.98918929054242</v>
      </c>
      <c r="AV33" s="7">
        <f t="shared" ca="1" si="11"/>
        <v>56.120045122283372</v>
      </c>
      <c r="AW33" s="7">
        <f t="shared" ca="1" si="11"/>
        <v>50.000000000000007</v>
      </c>
      <c r="AX33" s="7">
        <f t="shared" ca="1" si="11"/>
        <v>44.54736261442055</v>
      </c>
      <c r="AY33" s="7">
        <f t="shared" ca="1" si="11"/>
        <v>44.54736261442055</v>
      </c>
      <c r="AZ33" s="7">
        <f t="shared" ca="1" si="11"/>
        <v>50.000000000000007</v>
      </c>
      <c r="BA33" s="7">
        <f t="shared" ca="1" si="11"/>
        <v>62.98918929054242</v>
      </c>
      <c r="BB33" s="7">
        <f t="shared" ca="1" si="11"/>
        <v>56.120045122283372</v>
      </c>
      <c r="BC33" s="7">
        <f t="shared" ca="1" si="11"/>
        <v>44.54736261442055</v>
      </c>
      <c r="BD33" s="7">
        <f t="shared" ca="1" si="11"/>
        <v>39.68935031801346</v>
      </c>
      <c r="BE33" s="7">
        <f t="shared" ca="1" si="11"/>
        <v>56.120045122283372</v>
      </c>
      <c r="BF33" s="7">
        <f t="shared" ca="1" si="11"/>
        <v>50.000000000000007</v>
      </c>
      <c r="BG33" s="7">
        <f t="shared" ca="1" si="11"/>
        <v>50.000000000000007</v>
      </c>
      <c r="BH33" s="7">
        <f t="shared" ca="1" si="11"/>
        <v>50.000000000000007</v>
      </c>
      <c r="BI33" s="7">
        <f t="shared" ca="1" si="11"/>
        <v>62.98918929054242</v>
      </c>
      <c r="BJ33" s="7">
        <f t="shared" ca="1" si="11"/>
        <v>56.120045122283372</v>
      </c>
      <c r="BK33" s="7">
        <f t="shared" ca="1" si="11"/>
        <v>44.54736261442055</v>
      </c>
      <c r="BL33" s="7">
        <f t="shared" ca="1" si="11"/>
        <v>50.000000000000007</v>
      </c>
      <c r="BM33" s="7">
        <f t="shared" ca="1" si="11"/>
        <v>56.120045122283372</v>
      </c>
      <c r="BN33" s="7">
        <f t="shared" ref="BN33:CS33" ca="1" si="12">S*u^(n-BN32)*d^BN32</f>
        <v>50.000000000000007</v>
      </c>
      <c r="BO33" s="7">
        <f t="shared" ca="1" si="12"/>
        <v>50.000000000000007</v>
      </c>
      <c r="BP33" s="7">
        <f t="shared" ca="1" si="12"/>
        <v>50.000000000000007</v>
      </c>
      <c r="BQ33" s="7">
        <f t="shared" ca="1" si="12"/>
        <v>44.54736261442055</v>
      </c>
      <c r="BR33" s="7">
        <f t="shared" ca="1" si="12"/>
        <v>50.000000000000007</v>
      </c>
      <c r="BS33" s="7">
        <f t="shared" ca="1" si="12"/>
        <v>39.68935031801346</v>
      </c>
      <c r="BT33" s="7">
        <f t="shared" ca="1" si="12"/>
        <v>44.54736261442055</v>
      </c>
      <c r="BU33" s="7">
        <f t="shared" ca="1" si="12"/>
        <v>56.120045122283372</v>
      </c>
      <c r="BV33" s="7">
        <f t="shared" ca="1" si="12"/>
        <v>56.120045122283372</v>
      </c>
      <c r="BW33" s="7">
        <f t="shared" ca="1" si="12"/>
        <v>50.000000000000007</v>
      </c>
      <c r="BX33" s="7">
        <f t="shared" ca="1" si="12"/>
        <v>39.68935031801346</v>
      </c>
      <c r="BY33" s="7">
        <f t="shared" ca="1" si="12"/>
        <v>44.54736261442055</v>
      </c>
      <c r="BZ33" s="7">
        <f t="shared" ca="1" si="12"/>
        <v>39.68935031801346</v>
      </c>
      <c r="CA33" s="7">
        <f t="shared" ca="1" si="12"/>
        <v>50.000000000000007</v>
      </c>
      <c r="CB33" s="7">
        <f t="shared" ca="1" si="12"/>
        <v>56.120045122283372</v>
      </c>
      <c r="CC33" s="7">
        <f t="shared" ca="1" si="12"/>
        <v>39.68935031801346</v>
      </c>
      <c r="CD33" s="7">
        <f t="shared" ca="1" si="12"/>
        <v>62.98918929054242</v>
      </c>
      <c r="CE33" s="7">
        <f t="shared" ca="1" si="12"/>
        <v>50.000000000000007</v>
      </c>
      <c r="CF33" s="7">
        <f t="shared" ca="1" si="12"/>
        <v>50.000000000000007</v>
      </c>
      <c r="CG33" s="7">
        <f t="shared" ca="1" si="12"/>
        <v>50.000000000000007</v>
      </c>
      <c r="CH33" s="7">
        <f t="shared" ca="1" si="12"/>
        <v>44.54736261442055</v>
      </c>
      <c r="CI33" s="7">
        <f t="shared" ca="1" si="12"/>
        <v>50.000000000000007</v>
      </c>
      <c r="CJ33" s="7">
        <f t="shared" ca="1" si="12"/>
        <v>50.000000000000007</v>
      </c>
      <c r="CK33" s="7">
        <f t="shared" ca="1" si="12"/>
        <v>56.120045122283372</v>
      </c>
      <c r="CL33" s="7">
        <f t="shared" ca="1" si="12"/>
        <v>39.68935031801346</v>
      </c>
      <c r="CM33" s="7">
        <f t="shared" ca="1" si="12"/>
        <v>44.54736261442055</v>
      </c>
      <c r="CN33" s="7">
        <f t="shared" ca="1" si="12"/>
        <v>50.000000000000007</v>
      </c>
      <c r="CO33" s="7">
        <f t="shared" ca="1" si="12"/>
        <v>50.000000000000007</v>
      </c>
      <c r="CP33" s="7">
        <f t="shared" ca="1" si="12"/>
        <v>56.120045122283372</v>
      </c>
      <c r="CQ33" s="7">
        <f t="shared" ca="1" si="12"/>
        <v>44.54736261442055</v>
      </c>
      <c r="CR33" s="7">
        <f t="shared" ca="1" si="12"/>
        <v>50.000000000000007</v>
      </c>
      <c r="CS33" s="7">
        <f t="shared" ca="1" si="12"/>
        <v>50.000000000000007</v>
      </c>
      <c r="CT33" s="7">
        <f t="shared" ref="CT33:CW33" ca="1" si="13">S*u^(n-CT32)*d^CT32</f>
        <v>56.120045122283372</v>
      </c>
      <c r="CU33" s="7">
        <f t="shared" ca="1" si="13"/>
        <v>56.120045122283372</v>
      </c>
      <c r="CV33" s="7">
        <f t="shared" ca="1" si="13"/>
        <v>44.54736261442055</v>
      </c>
      <c r="CW33" s="7">
        <f t="shared" ca="1" si="13"/>
        <v>50.000000000000007</v>
      </c>
      <c r="CX33" s="24" t="str" cm="1">
        <f t="array" aca="1" ref="CX33" ca="1">getformula(CW33)</f>
        <v>&lt;--  =S*u^(n-CW32)*d^CW32</v>
      </c>
    </row>
    <row r="34" spans="1:102" x14ac:dyDescent="0.2">
      <c r="A34" s="9" t="s">
        <v>6</v>
      </c>
      <c r="B34" s="7">
        <f t="shared" ref="B34" ca="1" si="14">MAX(optType*(B33-K),0)</f>
        <v>0</v>
      </c>
      <c r="C34" s="7">
        <f t="shared" ref="C34:BN34" ca="1" si="15">MAX(optType*(C33-K),0)</f>
        <v>5.4526373855794503</v>
      </c>
      <c r="D34" s="7">
        <f t="shared" ca="1" si="15"/>
        <v>0</v>
      </c>
      <c r="E34" s="7">
        <f t="shared" ca="1" si="15"/>
        <v>0</v>
      </c>
      <c r="F34" s="7">
        <f t="shared" ca="1" si="15"/>
        <v>5.4526373855794503</v>
      </c>
      <c r="G34" s="7">
        <f t="shared" ca="1" si="15"/>
        <v>10.31064968198654</v>
      </c>
      <c r="H34" s="7">
        <f t="shared" ca="1" si="15"/>
        <v>0</v>
      </c>
      <c r="I34" s="7">
        <f t="shared" ca="1" si="15"/>
        <v>0</v>
      </c>
      <c r="J34" s="7">
        <f t="shared" ca="1" si="15"/>
        <v>0</v>
      </c>
      <c r="K34" s="7">
        <f t="shared" ca="1" si="15"/>
        <v>0</v>
      </c>
      <c r="L34" s="7">
        <f t="shared" ca="1" si="15"/>
        <v>10.31064968198654</v>
      </c>
      <c r="M34" s="7">
        <f t="shared" ca="1" si="15"/>
        <v>10.31064968198654</v>
      </c>
      <c r="N34" s="7">
        <f t="shared" ca="1" si="15"/>
        <v>10.31064968198654</v>
      </c>
      <c r="O34" s="7">
        <f t="shared" ca="1" si="15"/>
        <v>0</v>
      </c>
      <c r="P34" s="7">
        <f t="shared" ca="1" si="15"/>
        <v>0</v>
      </c>
      <c r="Q34" s="7">
        <f t="shared" ca="1" si="15"/>
        <v>0</v>
      </c>
      <c r="R34" s="7">
        <f t="shared" ca="1" si="15"/>
        <v>0</v>
      </c>
      <c r="S34" s="7">
        <f t="shared" ca="1" si="15"/>
        <v>0</v>
      </c>
      <c r="T34" s="7">
        <f t="shared" ca="1" si="15"/>
        <v>0</v>
      </c>
      <c r="U34" s="7">
        <f t="shared" ca="1" si="15"/>
        <v>5.4526373855794503</v>
      </c>
      <c r="V34" s="7">
        <f t="shared" ca="1" si="15"/>
        <v>5.4526373855794503</v>
      </c>
      <c r="W34" s="7">
        <f t="shared" ca="1" si="15"/>
        <v>0</v>
      </c>
      <c r="X34" s="7">
        <f t="shared" ca="1" si="15"/>
        <v>0</v>
      </c>
      <c r="Y34" s="7">
        <f t="shared" ca="1" si="15"/>
        <v>0</v>
      </c>
      <c r="Z34" s="7">
        <f t="shared" ca="1" si="15"/>
        <v>0</v>
      </c>
      <c r="AA34" s="7">
        <f t="shared" ca="1" si="15"/>
        <v>10.31064968198654</v>
      </c>
      <c r="AB34" s="7">
        <f t="shared" ca="1" si="15"/>
        <v>0</v>
      </c>
      <c r="AC34" s="7">
        <f t="shared" ca="1" si="15"/>
        <v>5.4526373855794503</v>
      </c>
      <c r="AD34" s="7">
        <f t="shared" ca="1" si="15"/>
        <v>5.4526373855794503</v>
      </c>
      <c r="AE34" s="7">
        <f t="shared" ca="1" si="15"/>
        <v>0</v>
      </c>
      <c r="AF34" s="7">
        <f t="shared" ca="1" si="15"/>
        <v>10.31064968198654</v>
      </c>
      <c r="AG34" s="7">
        <f t="shared" ca="1" si="15"/>
        <v>0</v>
      </c>
      <c r="AH34" s="7">
        <f t="shared" ca="1" si="15"/>
        <v>5.4526373855794503</v>
      </c>
      <c r="AI34" s="7">
        <f t="shared" ca="1" si="15"/>
        <v>0</v>
      </c>
      <c r="AJ34" s="7">
        <f t="shared" ca="1" si="15"/>
        <v>10.31064968198654</v>
      </c>
      <c r="AK34" s="7">
        <f t="shared" ca="1" si="15"/>
        <v>0</v>
      </c>
      <c r="AL34" s="7">
        <f t="shared" ca="1" si="15"/>
        <v>0</v>
      </c>
      <c r="AM34" s="7">
        <f t="shared" ca="1" si="15"/>
        <v>0</v>
      </c>
      <c r="AN34" s="7">
        <f t="shared" ca="1" si="15"/>
        <v>0</v>
      </c>
      <c r="AO34" s="7">
        <f t="shared" ca="1" si="15"/>
        <v>0</v>
      </c>
      <c r="AP34" s="7">
        <f t="shared" ca="1" si="15"/>
        <v>0</v>
      </c>
      <c r="AQ34" s="7">
        <f t="shared" ca="1" si="15"/>
        <v>5.4526373855794503</v>
      </c>
      <c r="AR34" s="7">
        <f t="shared" ca="1" si="15"/>
        <v>0</v>
      </c>
      <c r="AS34" s="7">
        <f t="shared" ca="1" si="15"/>
        <v>0</v>
      </c>
      <c r="AT34" s="7">
        <f t="shared" ca="1" si="15"/>
        <v>0</v>
      </c>
      <c r="AU34" s="7">
        <f t="shared" ca="1" si="15"/>
        <v>0</v>
      </c>
      <c r="AV34" s="7">
        <f t="shared" ca="1" si="15"/>
        <v>0</v>
      </c>
      <c r="AW34" s="7">
        <f t="shared" ca="1" si="15"/>
        <v>0</v>
      </c>
      <c r="AX34" s="7">
        <f t="shared" ca="1" si="15"/>
        <v>5.4526373855794503</v>
      </c>
      <c r="AY34" s="7">
        <f t="shared" ca="1" si="15"/>
        <v>5.4526373855794503</v>
      </c>
      <c r="AZ34" s="7">
        <f t="shared" ca="1" si="15"/>
        <v>0</v>
      </c>
      <c r="BA34" s="7">
        <f t="shared" ca="1" si="15"/>
        <v>0</v>
      </c>
      <c r="BB34" s="7">
        <f t="shared" ca="1" si="15"/>
        <v>0</v>
      </c>
      <c r="BC34" s="7">
        <f t="shared" ca="1" si="15"/>
        <v>5.4526373855794503</v>
      </c>
      <c r="BD34" s="7">
        <f t="shared" ca="1" si="15"/>
        <v>10.31064968198654</v>
      </c>
      <c r="BE34" s="7">
        <f t="shared" ca="1" si="15"/>
        <v>0</v>
      </c>
      <c r="BF34" s="7">
        <f t="shared" ca="1" si="15"/>
        <v>0</v>
      </c>
      <c r="BG34" s="7">
        <f t="shared" ca="1" si="15"/>
        <v>0</v>
      </c>
      <c r="BH34" s="7">
        <f t="shared" ca="1" si="15"/>
        <v>0</v>
      </c>
      <c r="BI34" s="7">
        <f t="shared" ca="1" si="15"/>
        <v>0</v>
      </c>
      <c r="BJ34" s="7">
        <f t="shared" ca="1" si="15"/>
        <v>0</v>
      </c>
      <c r="BK34" s="7">
        <f t="shared" ca="1" si="15"/>
        <v>5.4526373855794503</v>
      </c>
      <c r="BL34" s="7">
        <f t="shared" ca="1" si="15"/>
        <v>0</v>
      </c>
      <c r="BM34" s="7">
        <f t="shared" ca="1" si="15"/>
        <v>0</v>
      </c>
      <c r="BN34" s="7">
        <f t="shared" ca="1" si="15"/>
        <v>0</v>
      </c>
      <c r="BO34" s="7">
        <f t="shared" ref="BO34:CW34" ca="1" si="16">MAX(optType*(BO33-K),0)</f>
        <v>0</v>
      </c>
      <c r="BP34" s="7">
        <f t="shared" ca="1" si="16"/>
        <v>0</v>
      </c>
      <c r="BQ34" s="7">
        <f t="shared" ca="1" si="16"/>
        <v>5.4526373855794503</v>
      </c>
      <c r="BR34" s="7">
        <f t="shared" ca="1" si="16"/>
        <v>0</v>
      </c>
      <c r="BS34" s="7">
        <f t="shared" ca="1" si="16"/>
        <v>10.31064968198654</v>
      </c>
      <c r="BT34" s="7">
        <f t="shared" ca="1" si="16"/>
        <v>5.4526373855794503</v>
      </c>
      <c r="BU34" s="7">
        <f t="shared" ca="1" si="16"/>
        <v>0</v>
      </c>
      <c r="BV34" s="7">
        <f t="shared" ca="1" si="16"/>
        <v>0</v>
      </c>
      <c r="BW34" s="7">
        <f t="shared" ca="1" si="16"/>
        <v>0</v>
      </c>
      <c r="BX34" s="7">
        <f t="shared" ca="1" si="16"/>
        <v>10.31064968198654</v>
      </c>
      <c r="BY34" s="7">
        <f t="shared" ca="1" si="16"/>
        <v>5.4526373855794503</v>
      </c>
      <c r="BZ34" s="7">
        <f t="shared" ca="1" si="16"/>
        <v>10.31064968198654</v>
      </c>
      <c r="CA34" s="7">
        <f t="shared" ca="1" si="16"/>
        <v>0</v>
      </c>
      <c r="CB34" s="7">
        <f t="shared" ca="1" si="16"/>
        <v>0</v>
      </c>
      <c r="CC34" s="7">
        <f t="shared" ca="1" si="16"/>
        <v>10.31064968198654</v>
      </c>
      <c r="CD34" s="7">
        <f t="shared" ca="1" si="16"/>
        <v>0</v>
      </c>
      <c r="CE34" s="7">
        <f t="shared" ca="1" si="16"/>
        <v>0</v>
      </c>
      <c r="CF34" s="7">
        <f t="shared" ca="1" si="16"/>
        <v>0</v>
      </c>
      <c r="CG34" s="7">
        <f t="shared" ca="1" si="16"/>
        <v>0</v>
      </c>
      <c r="CH34" s="7">
        <f t="shared" ca="1" si="16"/>
        <v>5.4526373855794503</v>
      </c>
      <c r="CI34" s="7">
        <f t="shared" ca="1" si="16"/>
        <v>0</v>
      </c>
      <c r="CJ34" s="7">
        <f t="shared" ca="1" si="16"/>
        <v>0</v>
      </c>
      <c r="CK34" s="7">
        <f t="shared" ca="1" si="16"/>
        <v>0</v>
      </c>
      <c r="CL34" s="7">
        <f t="shared" ca="1" si="16"/>
        <v>10.31064968198654</v>
      </c>
      <c r="CM34" s="7">
        <f t="shared" ca="1" si="16"/>
        <v>5.4526373855794503</v>
      </c>
      <c r="CN34" s="7">
        <f t="shared" ca="1" si="16"/>
        <v>0</v>
      </c>
      <c r="CO34" s="7">
        <f t="shared" ca="1" si="16"/>
        <v>0</v>
      </c>
      <c r="CP34" s="7">
        <f t="shared" ca="1" si="16"/>
        <v>0</v>
      </c>
      <c r="CQ34" s="7">
        <f t="shared" ca="1" si="16"/>
        <v>5.4526373855794503</v>
      </c>
      <c r="CR34" s="7">
        <f t="shared" ca="1" si="16"/>
        <v>0</v>
      </c>
      <c r="CS34" s="7">
        <f t="shared" ca="1" si="16"/>
        <v>0</v>
      </c>
      <c r="CT34" s="7">
        <f t="shared" ca="1" si="16"/>
        <v>0</v>
      </c>
      <c r="CU34" s="7">
        <f t="shared" ca="1" si="16"/>
        <v>0</v>
      </c>
      <c r="CV34" s="7">
        <f t="shared" ca="1" si="16"/>
        <v>5.4526373855794503</v>
      </c>
      <c r="CW34" s="7">
        <f t="shared" ca="1" si="16"/>
        <v>0</v>
      </c>
      <c r="CX34" s="24" t="str" cm="1">
        <f t="array" aca="1" ref="CX34" ca="1">getformula(CW34)</f>
        <v>&lt;--  =MAX(optType*(CW33-K),0)</v>
      </c>
    </row>
    <row r="35" spans="1:102" x14ac:dyDescent="0.2">
      <c r="A35" s="9" t="s">
        <v>7</v>
      </c>
      <c r="B35" s="10">
        <f ca="1">AVERAGE(B34:CW34)*EXP(-rr*T)</f>
        <v>2.3293299750576919</v>
      </c>
      <c r="C35" s="24" t="str" cm="1">
        <f t="array" aca="1" ref="C35" ca="1">getformula(B35)</f>
        <v>&lt;--  =AVERAGE(B34:CW34)*EXP(-rr*T)</v>
      </c>
    </row>
    <row r="36" spans="1:102" x14ac:dyDescent="0.2">
      <c r="C36" s="8"/>
    </row>
    <row r="37" spans="1:102" ht="32" x14ac:dyDescent="0.2">
      <c r="A37" s="9" t="s">
        <v>8</v>
      </c>
      <c r="B37" s="25" t="s">
        <v>146</v>
      </c>
      <c r="C37" s="9" t="s">
        <v>145</v>
      </c>
      <c r="D37" s="9" t="s">
        <v>147</v>
      </c>
    </row>
    <row r="38" spans="1:102" x14ac:dyDescent="0.2">
      <c r="A38" s="9" t="s">
        <v>154</v>
      </c>
      <c r="B38" s="7">
        <v>0</v>
      </c>
      <c r="C38" s="7">
        <f t="shared" ref="C38:C44" si="17">MAX(optType*(S*u^(n-B38)*d^B38-K),0)</f>
        <v>0</v>
      </c>
      <c r="D38" s="21">
        <f t="shared" ref="D38:D44" si="18">COMBIN(n,B38)*p^(n-B38)*(1-p)^B38</f>
        <v>1.4320258035369111E-2</v>
      </c>
    </row>
    <row r="39" spans="1:102" x14ac:dyDescent="0.2">
      <c r="A39" s="9" t="s">
        <v>155</v>
      </c>
      <c r="B39" s="7">
        <v>1</v>
      </c>
      <c r="C39" s="7">
        <f t="shared" si="17"/>
        <v>0</v>
      </c>
      <c r="D39" s="21">
        <f t="shared" si="18"/>
        <v>8.8437150867353445E-2</v>
      </c>
    </row>
    <row r="40" spans="1:102" x14ac:dyDescent="0.2">
      <c r="A40" s="9" t="s">
        <v>156</v>
      </c>
      <c r="B40" s="7">
        <v>2</v>
      </c>
      <c r="C40" s="7">
        <f t="shared" si="17"/>
        <v>0</v>
      </c>
      <c r="D40" s="21">
        <f t="shared" si="18"/>
        <v>0.22756601272529145</v>
      </c>
    </row>
    <row r="41" spans="1:102" x14ac:dyDescent="0.2">
      <c r="A41" s="9" t="s">
        <v>157</v>
      </c>
      <c r="B41" s="7">
        <v>3</v>
      </c>
      <c r="C41" s="7">
        <f t="shared" si="17"/>
        <v>0</v>
      </c>
      <c r="D41" s="21">
        <f t="shared" si="18"/>
        <v>0.31230489081290636</v>
      </c>
    </row>
    <row r="42" spans="1:102" x14ac:dyDescent="0.2">
      <c r="A42" s="9" t="s">
        <v>158</v>
      </c>
      <c r="B42" s="7">
        <v>4</v>
      </c>
      <c r="C42" s="27">
        <f t="shared" si="17"/>
        <v>5.4526373855794503</v>
      </c>
      <c r="D42" s="21">
        <f t="shared" si="18"/>
        <v>0.24108639206445559</v>
      </c>
    </row>
    <row r="43" spans="1:102" x14ac:dyDescent="0.2">
      <c r="A43" s="9" t="s">
        <v>159</v>
      </c>
      <c r="B43" s="7">
        <v>5</v>
      </c>
      <c r="C43" s="27">
        <f t="shared" si="17"/>
        <v>10.31064968198654</v>
      </c>
      <c r="D43" s="21">
        <f t="shared" si="18"/>
        <v>9.9257958315230529E-2</v>
      </c>
    </row>
    <row r="44" spans="1:102" x14ac:dyDescent="0.2">
      <c r="A44" s="9" t="s">
        <v>160</v>
      </c>
      <c r="B44" s="7">
        <v>6</v>
      </c>
      <c r="C44" s="27">
        <f t="shared" si="17"/>
        <v>14.638882389053741</v>
      </c>
      <c r="D44" s="21">
        <f t="shared" si="18"/>
        <v>1.7027337179393805E-2</v>
      </c>
    </row>
    <row r="45" spans="1:102" x14ac:dyDescent="0.2">
      <c r="A45" s="9" t="s">
        <v>9</v>
      </c>
      <c r="B45" s="10">
        <f>SUMPRODUCT(C38:C44,D38:D44)*EXP(-rr*T)</f>
        <v>2.5360012732023418</v>
      </c>
      <c r="C45" s="24" t="str" cm="1">
        <f t="array" aca="1" ref="C45" ca="1">getformula(B45)</f>
        <v>&lt;--  =SUMPRODUCT(C38:C44,D38:D44)*EXP(-rr*T)</v>
      </c>
      <c r="D45" s="24"/>
    </row>
    <row r="47" spans="1:102" x14ac:dyDescent="0.2">
      <c r="A47" s="9" t="s">
        <v>26</v>
      </c>
      <c r="B47" s="10" cm="1">
        <f t="array" ref="B47">BS(IF(optType=1,"c","p"),S,K,T,rr,q,v)</f>
        <v>2.6486075002548888</v>
      </c>
      <c r="C47" s="24" t="str" cm="1">
        <f t="array" aca="1" ref="C47" ca="1">getformula(B47)</f>
        <v>&lt;--  =BS(IF(optType=1,"c","p"),S,K,T,rr,q,v)</v>
      </c>
    </row>
    <row r="48" spans="1:102" x14ac:dyDescent="0.2">
      <c r="A48" s="9" t="s">
        <v>148</v>
      </c>
      <c r="B48" s="10" cm="1">
        <f t="array" ref="B48">MCMEuroBin("p",S,K,T,rr,q,v,n,10000)</f>
        <v>2.5037008956465026</v>
      </c>
      <c r="C48" s="24" t="str" cm="1">
        <f t="array" aca="1" ref="C48" ca="1">getformula(B48)</f>
        <v>&lt;--  =MCMEuroBin("p",S,K,T,rr,q,v,n,10000)</v>
      </c>
    </row>
  </sheetData>
  <phoneticPr fontId="10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878A9-F1C9-4C41-B10E-D8B77A277766}">
  <sheetPr codeName="Sheet3"/>
  <dimension ref="A1:G117"/>
  <sheetViews>
    <sheetView zoomScaleNormal="100" workbookViewId="0">
      <selection activeCell="B15" sqref="B15"/>
    </sheetView>
  </sheetViews>
  <sheetFormatPr baseColWidth="10" defaultColWidth="8.6640625" defaultRowHeight="15" x14ac:dyDescent="0.2"/>
  <cols>
    <col min="1" max="1" width="51" style="7" customWidth="1"/>
    <col min="2" max="2" width="15.33203125" style="7" bestFit="1" customWidth="1"/>
    <col min="3" max="16384" width="8.6640625" style="7"/>
  </cols>
  <sheetData>
    <row r="1" spans="1:7" ht="21" x14ac:dyDescent="0.25">
      <c r="A1" s="6" t="s">
        <v>35</v>
      </c>
    </row>
    <row r="3" spans="1:7" x14ac:dyDescent="0.2">
      <c r="A3" s="1" t="s">
        <v>13</v>
      </c>
      <c r="B3" s="2"/>
      <c r="C3" s="2"/>
      <c r="E3" s="4"/>
      <c r="F3" s="3"/>
      <c r="G3" s="3"/>
    </row>
    <row r="4" spans="1:7" x14ac:dyDescent="0.2">
      <c r="A4" s="2" t="s">
        <v>0</v>
      </c>
      <c r="B4" s="12">
        <v>-1</v>
      </c>
      <c r="C4" s="3"/>
      <c r="E4" s="3"/>
      <c r="F4" s="5"/>
      <c r="G4" s="3"/>
    </row>
    <row r="5" spans="1:7" x14ac:dyDescent="0.2">
      <c r="A5" s="2" t="s">
        <v>1</v>
      </c>
      <c r="B5" s="13">
        <v>50</v>
      </c>
      <c r="C5" s="3"/>
      <c r="E5" s="3"/>
      <c r="F5" s="5"/>
      <c r="G5" s="3"/>
    </row>
    <row r="6" spans="1:7" x14ac:dyDescent="0.2">
      <c r="A6" s="2" t="s">
        <v>2</v>
      </c>
      <c r="B6" s="13">
        <v>50</v>
      </c>
      <c r="C6" s="3"/>
      <c r="E6" s="3"/>
      <c r="F6" s="5"/>
      <c r="G6" s="3"/>
    </row>
    <row r="7" spans="1:7" x14ac:dyDescent="0.2">
      <c r="A7" s="2" t="s">
        <v>14</v>
      </c>
      <c r="B7" s="13">
        <v>0.5</v>
      </c>
      <c r="C7" s="3" t="s">
        <v>15</v>
      </c>
      <c r="E7" s="3"/>
      <c r="F7" s="5"/>
      <c r="G7" s="3"/>
    </row>
    <row r="8" spans="1:7" x14ac:dyDescent="0.2">
      <c r="A8" s="2" t="s">
        <v>25</v>
      </c>
      <c r="B8" s="14">
        <v>0.08</v>
      </c>
      <c r="C8" s="3"/>
      <c r="E8" s="3"/>
      <c r="F8" s="5"/>
      <c r="G8" s="3"/>
    </row>
    <row r="9" spans="1:7" x14ac:dyDescent="0.2">
      <c r="A9" s="2" t="s">
        <v>16</v>
      </c>
      <c r="B9" s="14">
        <v>0.03</v>
      </c>
      <c r="C9" s="3"/>
    </row>
    <row r="10" spans="1:7" x14ac:dyDescent="0.2">
      <c r="A10" s="2" t="s">
        <v>24</v>
      </c>
      <c r="B10" s="14">
        <v>0.2</v>
      </c>
      <c r="C10" s="3"/>
    </row>
    <row r="11" spans="1:7" x14ac:dyDescent="0.2">
      <c r="A11" s="3" t="s">
        <v>41</v>
      </c>
      <c r="B11" s="18">
        <v>100</v>
      </c>
    </row>
    <row r="13" spans="1:7" x14ac:dyDescent="0.2">
      <c r="A13" s="9" t="s">
        <v>40</v>
      </c>
    </row>
    <row r="14" spans="1:7" x14ac:dyDescent="0.2">
      <c r="A14" s="19" t="s">
        <v>36</v>
      </c>
      <c r="B14" s="20">
        <f>EXP(-B8*B7)*AVERAGE(C18:C117)</f>
        <v>1.5708638433143056</v>
      </c>
      <c r="C14" s="8" t="str" cm="1">
        <f t="array" aca="1" ref="C14" ca="1">getformula(B14)</f>
        <v>&lt;--  =EXP(-B8*B7)*AVERAGE(C18:C117)</v>
      </c>
    </row>
    <row r="15" spans="1:7" x14ac:dyDescent="0.2">
      <c r="A15" s="19" t="s">
        <v>36</v>
      </c>
      <c r="B15" s="20" cm="1">
        <f t="array" ref="B15">MCMEuroGBM(IF(optType=1,"c","p"),S,K,T,rr,q,v,Runs)</f>
        <v>1.7428654592098383</v>
      </c>
      <c r="C15" s="8" t="str" cm="1">
        <f t="array" aca="1" ref="C15" ca="1">getformula(B15)</f>
        <v>&lt;--  =MCMEuroGBM(IF(optType=1,"c","p"),S,K,T,rr,q,v,Runs)</v>
      </c>
    </row>
    <row r="16" spans="1:7" x14ac:dyDescent="0.2">
      <c r="A16" s="19"/>
    </row>
    <row r="17" spans="1:3" x14ac:dyDescent="0.2">
      <c r="A17" s="9" t="s">
        <v>37</v>
      </c>
      <c r="B17" s="9" t="s">
        <v>38</v>
      </c>
      <c r="C17" s="9" t="s">
        <v>39</v>
      </c>
    </row>
    <row r="18" spans="1:3" x14ac:dyDescent="0.2">
      <c r="A18" s="7">
        <v>1</v>
      </c>
      <c r="B18" s="15" cm="1">
        <f t="array" ref="B18">SimGBM(S,T,rr-q-0.5*v^2,v)</f>
        <v>54.714400355187998</v>
      </c>
      <c r="C18" s="15">
        <f>MAX(optType*(B18-K),0)</f>
        <v>0</v>
      </c>
    </row>
    <row r="19" spans="1:3" x14ac:dyDescent="0.2">
      <c r="A19" s="7">
        <v>2</v>
      </c>
      <c r="B19" s="15" cm="1">
        <f t="array" ref="B19">SimGBM(S,T,rr-q-0.5*v^2,v)</f>
        <v>56.316707792427145</v>
      </c>
      <c r="C19" s="15">
        <f t="shared" ref="C19:C81" si="0">MAX(optType*(B19-K),0)</f>
        <v>0</v>
      </c>
    </row>
    <row r="20" spans="1:3" x14ac:dyDescent="0.2">
      <c r="A20" s="7">
        <v>3</v>
      </c>
      <c r="B20" s="15" cm="1">
        <f t="array" ref="B20">SimGBM(S,T,rr-q-0.5*v^2,v)</f>
        <v>60.388406742577047</v>
      </c>
      <c r="C20" s="15">
        <f t="shared" si="0"/>
        <v>0</v>
      </c>
    </row>
    <row r="21" spans="1:3" x14ac:dyDescent="0.2">
      <c r="A21" s="7">
        <v>4</v>
      </c>
      <c r="B21" s="15" cm="1">
        <f t="array" ref="B21">SimGBM(S,T,rr-q-0.5*v^2,v)</f>
        <v>46.346096972697197</v>
      </c>
      <c r="C21" s="15">
        <f t="shared" si="0"/>
        <v>3.6539030273028033</v>
      </c>
    </row>
    <row r="22" spans="1:3" x14ac:dyDescent="0.2">
      <c r="A22" s="7">
        <v>5</v>
      </c>
      <c r="B22" s="15" cm="1">
        <f t="array" ref="B22">SimGBM(S,T,rr-q-0.5*v^2,v)</f>
        <v>49.262650999948399</v>
      </c>
      <c r="C22" s="15">
        <f t="shared" si="0"/>
        <v>0.73734900005160142</v>
      </c>
    </row>
    <row r="23" spans="1:3" x14ac:dyDescent="0.2">
      <c r="A23" s="7">
        <v>6</v>
      </c>
      <c r="B23" s="15" cm="1">
        <f t="array" ref="B23">SimGBM(S,T,rr-q-0.5*v^2,v)</f>
        <v>45.361490292835335</v>
      </c>
      <c r="C23" s="15">
        <f t="shared" si="0"/>
        <v>4.6385097071646655</v>
      </c>
    </row>
    <row r="24" spans="1:3" x14ac:dyDescent="0.2">
      <c r="A24" s="7">
        <v>7</v>
      </c>
      <c r="B24" s="15" cm="1">
        <f t="array" ref="B24">SimGBM(S,T,rr-q-0.5*v^2,v)</f>
        <v>57.841878747638646</v>
      </c>
      <c r="C24" s="15">
        <f t="shared" si="0"/>
        <v>0</v>
      </c>
    </row>
    <row r="25" spans="1:3" x14ac:dyDescent="0.2">
      <c r="A25" s="7">
        <v>8</v>
      </c>
      <c r="B25" s="15" cm="1">
        <f t="array" ref="B25">SimGBM(S,T,rr-q-0.5*v^2,v)</f>
        <v>55.355373496380153</v>
      </c>
      <c r="C25" s="15">
        <f t="shared" si="0"/>
        <v>0</v>
      </c>
    </row>
    <row r="26" spans="1:3" x14ac:dyDescent="0.2">
      <c r="A26" s="7">
        <v>9</v>
      </c>
      <c r="B26" s="15" cm="1">
        <f t="array" ref="B26">SimGBM(S,T,rr-q-0.5*v^2,v)</f>
        <v>55.611538816854519</v>
      </c>
      <c r="C26" s="15">
        <f t="shared" si="0"/>
        <v>0</v>
      </c>
    </row>
    <row r="27" spans="1:3" x14ac:dyDescent="0.2">
      <c r="A27" s="7">
        <v>10</v>
      </c>
      <c r="B27" s="15" cm="1">
        <f t="array" ref="B27">SimGBM(S,T,rr-q-0.5*v^2,v)</f>
        <v>54.861061843321799</v>
      </c>
      <c r="C27" s="15">
        <f t="shared" si="0"/>
        <v>0</v>
      </c>
    </row>
    <row r="28" spans="1:3" x14ac:dyDescent="0.2">
      <c r="A28" s="7">
        <v>11</v>
      </c>
      <c r="B28" s="15" cm="1">
        <f t="array" ref="B28">SimGBM(S,T,rr-q-0.5*v^2,v)</f>
        <v>57.315776387177706</v>
      </c>
      <c r="C28" s="15">
        <f t="shared" si="0"/>
        <v>0</v>
      </c>
    </row>
    <row r="29" spans="1:3" x14ac:dyDescent="0.2">
      <c r="A29" s="7">
        <v>12</v>
      </c>
      <c r="B29" s="15" cm="1">
        <f t="array" ref="B29">SimGBM(S,T,rr-q-0.5*v^2,v)</f>
        <v>51.054826147776232</v>
      </c>
      <c r="C29" s="15">
        <f t="shared" si="0"/>
        <v>0</v>
      </c>
    </row>
    <row r="30" spans="1:3" x14ac:dyDescent="0.2">
      <c r="A30" s="7">
        <v>13</v>
      </c>
      <c r="B30" s="15" cm="1">
        <f t="array" ref="B30">SimGBM(S,T,rr-q-0.5*v^2,v)</f>
        <v>48.641422064601699</v>
      </c>
      <c r="C30" s="15">
        <f t="shared" si="0"/>
        <v>1.3585779353983014</v>
      </c>
    </row>
    <row r="31" spans="1:3" x14ac:dyDescent="0.2">
      <c r="A31" s="7">
        <v>14</v>
      </c>
      <c r="B31" s="15" cm="1">
        <f t="array" ref="B31">SimGBM(S,T,rr-q-0.5*v^2,v)</f>
        <v>51.12816935813396</v>
      </c>
      <c r="C31" s="15">
        <f t="shared" si="0"/>
        <v>0</v>
      </c>
    </row>
    <row r="32" spans="1:3" x14ac:dyDescent="0.2">
      <c r="A32" s="7">
        <v>15</v>
      </c>
      <c r="B32" s="15" cm="1">
        <f t="array" ref="B32">SimGBM(S,T,rr-q-0.5*v^2,v)</f>
        <v>46.954290807799111</v>
      </c>
      <c r="C32" s="15">
        <f t="shared" si="0"/>
        <v>3.0457091922008885</v>
      </c>
    </row>
    <row r="33" spans="1:3" x14ac:dyDescent="0.2">
      <c r="A33" s="7">
        <v>16</v>
      </c>
      <c r="B33" s="15" cm="1">
        <f t="array" ref="B33">SimGBM(S,T,rr-q-0.5*v^2,v)</f>
        <v>57.354759760430007</v>
      </c>
      <c r="C33" s="15">
        <f t="shared" si="0"/>
        <v>0</v>
      </c>
    </row>
    <row r="34" spans="1:3" x14ac:dyDescent="0.2">
      <c r="A34" s="7">
        <v>17</v>
      </c>
      <c r="B34" s="15" cm="1">
        <f t="array" ref="B34">SimGBM(S,T,rr-q-0.5*v^2,v)</f>
        <v>51.22572246479978</v>
      </c>
      <c r="C34" s="15">
        <f t="shared" si="0"/>
        <v>0</v>
      </c>
    </row>
    <row r="35" spans="1:3" x14ac:dyDescent="0.2">
      <c r="A35" s="7">
        <v>18</v>
      </c>
      <c r="B35" s="15" cm="1">
        <f t="array" ref="B35">SimGBM(S,T,rr-q-0.5*v^2,v)</f>
        <v>58.277093026737262</v>
      </c>
      <c r="C35" s="15">
        <f t="shared" si="0"/>
        <v>0</v>
      </c>
    </row>
    <row r="36" spans="1:3" x14ac:dyDescent="0.2">
      <c r="A36" s="7">
        <v>19</v>
      </c>
      <c r="B36" s="15" cm="1">
        <f t="array" ref="B36">SimGBM(S,T,rr-q-0.5*v^2,v)</f>
        <v>61.166768419061711</v>
      </c>
      <c r="C36" s="15">
        <f t="shared" si="0"/>
        <v>0</v>
      </c>
    </row>
    <row r="37" spans="1:3" x14ac:dyDescent="0.2">
      <c r="A37" s="7">
        <v>20</v>
      </c>
      <c r="B37" s="15" cm="1">
        <f t="array" ref="B37">SimGBM(S,T,rr-q-0.5*v^2,v)</f>
        <v>65.001180483915448</v>
      </c>
      <c r="C37" s="15">
        <f t="shared" si="0"/>
        <v>0</v>
      </c>
    </row>
    <row r="38" spans="1:3" x14ac:dyDescent="0.2">
      <c r="A38" s="7">
        <v>21</v>
      </c>
      <c r="B38" s="15" cm="1">
        <f t="array" ref="B38">SimGBM(S,T,rr-q-0.5*v^2,v)</f>
        <v>57.161062983396491</v>
      </c>
      <c r="C38" s="15">
        <f t="shared" si="0"/>
        <v>0</v>
      </c>
    </row>
    <row r="39" spans="1:3" x14ac:dyDescent="0.2">
      <c r="A39" s="7">
        <v>22</v>
      </c>
      <c r="B39" s="15" cm="1">
        <f t="array" ref="B39">SimGBM(S,T,rr-q-0.5*v^2,v)</f>
        <v>46.74605130765179</v>
      </c>
      <c r="C39" s="15">
        <f t="shared" si="0"/>
        <v>3.2539486923482102</v>
      </c>
    </row>
    <row r="40" spans="1:3" x14ac:dyDescent="0.2">
      <c r="A40" s="7">
        <v>23</v>
      </c>
      <c r="B40" s="15" cm="1">
        <f t="array" ref="B40">SimGBM(S,T,rr-q-0.5*v^2,v)</f>
        <v>58.363883127705407</v>
      </c>
      <c r="C40" s="15">
        <f t="shared" si="0"/>
        <v>0</v>
      </c>
    </row>
    <row r="41" spans="1:3" x14ac:dyDescent="0.2">
      <c r="A41" s="7">
        <v>24</v>
      </c>
      <c r="B41" s="15" cm="1">
        <f t="array" ref="B41">SimGBM(S,T,rr-q-0.5*v^2,v)</f>
        <v>49.502731410714723</v>
      </c>
      <c r="C41" s="15">
        <f t="shared" si="0"/>
        <v>0.49726858928527662</v>
      </c>
    </row>
    <row r="42" spans="1:3" x14ac:dyDescent="0.2">
      <c r="A42" s="7">
        <v>25</v>
      </c>
      <c r="B42" s="15" cm="1">
        <f t="array" ref="B42">SimGBM(S,T,rr-q-0.5*v^2,v)</f>
        <v>43.109702260335411</v>
      </c>
      <c r="C42" s="15">
        <f t="shared" si="0"/>
        <v>6.8902977396645895</v>
      </c>
    </row>
    <row r="43" spans="1:3" x14ac:dyDescent="0.2">
      <c r="A43" s="7">
        <v>26</v>
      </c>
      <c r="B43" s="15" cm="1">
        <f t="array" ref="B43">SimGBM(S,T,rr-q-0.5*v^2,v)</f>
        <v>39.7065490314966</v>
      </c>
      <c r="C43" s="15">
        <f t="shared" si="0"/>
        <v>10.2934509685034</v>
      </c>
    </row>
    <row r="44" spans="1:3" x14ac:dyDescent="0.2">
      <c r="A44" s="7">
        <v>27</v>
      </c>
      <c r="B44" s="15" cm="1">
        <f t="array" ref="B44">SimGBM(S,T,rr-q-0.5*v^2,v)</f>
        <v>57.8021287987563</v>
      </c>
      <c r="C44" s="15">
        <f t="shared" si="0"/>
        <v>0</v>
      </c>
    </row>
    <row r="45" spans="1:3" x14ac:dyDescent="0.2">
      <c r="A45" s="7">
        <v>28</v>
      </c>
      <c r="B45" s="15" cm="1">
        <f t="array" ref="B45">SimGBM(S,T,rr-q-0.5*v^2,v)</f>
        <v>45.422527221192858</v>
      </c>
      <c r="C45" s="15">
        <f t="shared" si="0"/>
        <v>4.5774727788071417</v>
      </c>
    </row>
    <row r="46" spans="1:3" x14ac:dyDescent="0.2">
      <c r="A46" s="7">
        <v>29</v>
      </c>
      <c r="B46" s="15" cm="1">
        <f t="array" ref="B46">SimGBM(S,T,rr-q-0.5*v^2,v)</f>
        <v>65.991277550689105</v>
      </c>
      <c r="C46" s="15">
        <f t="shared" si="0"/>
        <v>0</v>
      </c>
    </row>
    <row r="47" spans="1:3" x14ac:dyDescent="0.2">
      <c r="A47" s="7">
        <v>30</v>
      </c>
      <c r="B47" s="15" cm="1">
        <f t="array" ref="B47">SimGBM(S,T,rr-q-0.5*v^2,v)</f>
        <v>56.907942577418723</v>
      </c>
      <c r="C47" s="15">
        <f t="shared" si="0"/>
        <v>0</v>
      </c>
    </row>
    <row r="48" spans="1:3" x14ac:dyDescent="0.2">
      <c r="A48" s="7">
        <v>31</v>
      </c>
      <c r="B48" s="15" cm="1">
        <f t="array" ref="B48">SimGBM(S,T,rr-q-0.5*v^2,v)</f>
        <v>40.628507490406783</v>
      </c>
      <c r="C48" s="15">
        <f t="shared" si="0"/>
        <v>9.3714925095932173</v>
      </c>
    </row>
    <row r="49" spans="1:3" x14ac:dyDescent="0.2">
      <c r="A49" s="7">
        <v>32</v>
      </c>
      <c r="B49" s="15" cm="1">
        <f t="array" ref="B49">SimGBM(S,T,rr-q-0.5*v^2,v)</f>
        <v>70.963186154134945</v>
      </c>
      <c r="C49" s="15">
        <f t="shared" si="0"/>
        <v>0</v>
      </c>
    </row>
    <row r="50" spans="1:3" x14ac:dyDescent="0.2">
      <c r="A50" s="7">
        <v>33</v>
      </c>
      <c r="B50" s="15" cm="1">
        <f t="array" ref="B50">SimGBM(S,T,rr-q-0.5*v^2,v)</f>
        <v>53.803913006793024</v>
      </c>
      <c r="C50" s="15">
        <f t="shared" si="0"/>
        <v>0</v>
      </c>
    </row>
    <row r="51" spans="1:3" x14ac:dyDescent="0.2">
      <c r="A51" s="7">
        <v>34</v>
      </c>
      <c r="B51" s="15" cm="1">
        <f t="array" ref="B51">SimGBM(S,T,rr-q-0.5*v^2,v)</f>
        <v>53.666785874834744</v>
      </c>
      <c r="C51" s="15">
        <f t="shared" si="0"/>
        <v>0</v>
      </c>
    </row>
    <row r="52" spans="1:3" x14ac:dyDescent="0.2">
      <c r="A52" s="7">
        <v>35</v>
      </c>
      <c r="B52" s="15" cm="1">
        <f t="array" ref="B52">SimGBM(S,T,rr-q-0.5*v^2,v)</f>
        <v>49.106728489828797</v>
      </c>
      <c r="C52" s="15">
        <f t="shared" si="0"/>
        <v>0.89327151017120343</v>
      </c>
    </row>
    <row r="53" spans="1:3" x14ac:dyDescent="0.2">
      <c r="A53" s="7">
        <v>36</v>
      </c>
      <c r="B53" s="15" cm="1">
        <f t="array" ref="B53">SimGBM(S,T,rr-q-0.5*v^2,v)</f>
        <v>43.692922797949649</v>
      </c>
      <c r="C53" s="15">
        <f t="shared" si="0"/>
        <v>6.3070772020503512</v>
      </c>
    </row>
    <row r="54" spans="1:3" x14ac:dyDescent="0.2">
      <c r="A54" s="7">
        <v>37</v>
      </c>
      <c r="B54" s="15" cm="1">
        <f t="array" ref="B54">SimGBM(S,T,rr-q-0.5*v^2,v)</f>
        <v>53.972963084585366</v>
      </c>
      <c r="C54" s="15">
        <f t="shared" si="0"/>
        <v>0</v>
      </c>
    </row>
    <row r="55" spans="1:3" x14ac:dyDescent="0.2">
      <c r="A55" s="7">
        <v>38</v>
      </c>
      <c r="B55" s="15" cm="1">
        <f t="array" ref="B55">SimGBM(S,T,rr-q-0.5*v^2,v)</f>
        <v>42.270540262570613</v>
      </c>
      <c r="C55" s="15">
        <f t="shared" si="0"/>
        <v>7.7294597374293872</v>
      </c>
    </row>
    <row r="56" spans="1:3" x14ac:dyDescent="0.2">
      <c r="A56" s="7">
        <v>39</v>
      </c>
      <c r="B56" s="15" cm="1">
        <f t="array" ref="B56">SimGBM(S,T,rr-q-0.5*v^2,v)</f>
        <v>47.871204323659825</v>
      </c>
      <c r="C56" s="15">
        <f t="shared" si="0"/>
        <v>2.1287956763401752</v>
      </c>
    </row>
    <row r="57" spans="1:3" x14ac:dyDescent="0.2">
      <c r="A57" s="7">
        <v>40</v>
      </c>
      <c r="B57" s="15" cm="1">
        <f t="array" ref="B57">SimGBM(S,T,rr-q-0.5*v^2,v)</f>
        <v>52.891700785684236</v>
      </c>
      <c r="C57" s="15">
        <f t="shared" si="0"/>
        <v>0</v>
      </c>
    </row>
    <row r="58" spans="1:3" x14ac:dyDescent="0.2">
      <c r="A58" s="7">
        <v>41</v>
      </c>
      <c r="B58" s="15" cm="1">
        <f t="array" ref="B58">SimGBM(S,T,rr-q-0.5*v^2,v)</f>
        <v>46.303853013557273</v>
      </c>
      <c r="C58" s="15">
        <f t="shared" si="0"/>
        <v>3.6961469864427272</v>
      </c>
    </row>
    <row r="59" spans="1:3" x14ac:dyDescent="0.2">
      <c r="A59" s="7">
        <v>42</v>
      </c>
      <c r="B59" s="15" cm="1">
        <f t="array" ref="B59">SimGBM(S,T,rr-q-0.5*v^2,v)</f>
        <v>52.478552798556613</v>
      </c>
      <c r="C59" s="15">
        <f t="shared" si="0"/>
        <v>0</v>
      </c>
    </row>
    <row r="60" spans="1:3" x14ac:dyDescent="0.2">
      <c r="A60" s="7">
        <v>43</v>
      </c>
      <c r="B60" s="15" cm="1">
        <f t="array" ref="B60">SimGBM(S,T,rr-q-0.5*v^2,v)</f>
        <v>47.548862901630621</v>
      </c>
      <c r="C60" s="15">
        <f t="shared" si="0"/>
        <v>2.4511370983693794</v>
      </c>
    </row>
    <row r="61" spans="1:3" x14ac:dyDescent="0.2">
      <c r="A61" s="7">
        <v>44</v>
      </c>
      <c r="B61" s="15" cm="1">
        <f t="array" ref="B61">SimGBM(S,T,rr-q-0.5*v^2,v)</f>
        <v>48.987913236635642</v>
      </c>
      <c r="C61" s="15">
        <f t="shared" si="0"/>
        <v>1.0120867633643584</v>
      </c>
    </row>
    <row r="62" spans="1:3" x14ac:dyDescent="0.2">
      <c r="A62" s="7">
        <v>45</v>
      </c>
      <c r="B62" s="15" cm="1">
        <f t="array" ref="B62">SimGBM(S,T,rr-q-0.5*v^2,v)</f>
        <v>60.792717995374524</v>
      </c>
      <c r="C62" s="15">
        <f t="shared" si="0"/>
        <v>0</v>
      </c>
    </row>
    <row r="63" spans="1:3" x14ac:dyDescent="0.2">
      <c r="A63" s="7">
        <v>46</v>
      </c>
      <c r="B63" s="15" cm="1">
        <f t="array" ref="B63">SimGBM(S,T,rr-q-0.5*v^2,v)</f>
        <v>54.027560345654116</v>
      </c>
      <c r="C63" s="15">
        <f t="shared" si="0"/>
        <v>0</v>
      </c>
    </row>
    <row r="64" spans="1:3" x14ac:dyDescent="0.2">
      <c r="A64" s="7">
        <v>47</v>
      </c>
      <c r="B64" s="15" cm="1">
        <f t="array" ref="B64">SimGBM(S,T,rr-q-0.5*v^2,v)</f>
        <v>53.022023509469484</v>
      </c>
      <c r="C64" s="15">
        <f t="shared" si="0"/>
        <v>0</v>
      </c>
    </row>
    <row r="65" spans="1:3" x14ac:dyDescent="0.2">
      <c r="A65" s="7">
        <v>48</v>
      </c>
      <c r="B65" s="15" cm="1">
        <f t="array" ref="B65">SimGBM(S,T,rr-q-0.5*v^2,v)</f>
        <v>50.824155885556657</v>
      </c>
      <c r="C65" s="15">
        <f t="shared" si="0"/>
        <v>0</v>
      </c>
    </row>
    <row r="66" spans="1:3" x14ac:dyDescent="0.2">
      <c r="A66" s="7">
        <v>49</v>
      </c>
      <c r="B66" s="15" cm="1">
        <f t="array" ref="B66">SimGBM(S,T,rr-q-0.5*v^2,v)</f>
        <v>58.995782762990366</v>
      </c>
      <c r="C66" s="15">
        <f t="shared" si="0"/>
        <v>0</v>
      </c>
    </row>
    <row r="67" spans="1:3" x14ac:dyDescent="0.2">
      <c r="A67" s="7">
        <v>50</v>
      </c>
      <c r="B67" s="15" cm="1">
        <f t="array" ref="B67">SimGBM(S,T,rr-q-0.5*v^2,v)</f>
        <v>57.137444601128642</v>
      </c>
      <c r="C67" s="15">
        <f t="shared" si="0"/>
        <v>0</v>
      </c>
    </row>
    <row r="68" spans="1:3" x14ac:dyDescent="0.2">
      <c r="A68" s="7">
        <v>51</v>
      </c>
      <c r="B68" s="15" cm="1">
        <f t="array" ref="B68">SimGBM(S,T,rr-q-0.5*v^2,v)</f>
        <v>45.863177298792102</v>
      </c>
      <c r="C68" s="15">
        <f t="shared" si="0"/>
        <v>4.1368227012078975</v>
      </c>
    </row>
    <row r="69" spans="1:3" x14ac:dyDescent="0.2">
      <c r="A69" s="7">
        <v>52</v>
      </c>
      <c r="B69" s="15" cm="1">
        <f t="array" ref="B69">SimGBM(S,T,rr-q-0.5*v^2,v)</f>
        <v>53.750211661721828</v>
      </c>
      <c r="C69" s="15">
        <f t="shared" si="0"/>
        <v>0</v>
      </c>
    </row>
    <row r="70" spans="1:3" x14ac:dyDescent="0.2">
      <c r="A70" s="7">
        <v>53</v>
      </c>
      <c r="B70" s="15" cm="1">
        <f t="array" ref="B70">SimGBM(S,T,rr-q-0.5*v^2,v)</f>
        <v>57.719848353393743</v>
      </c>
      <c r="C70" s="15">
        <f t="shared" si="0"/>
        <v>0</v>
      </c>
    </row>
    <row r="71" spans="1:3" x14ac:dyDescent="0.2">
      <c r="A71" s="7">
        <v>54</v>
      </c>
      <c r="B71" s="15" cm="1">
        <f t="array" ref="B71">SimGBM(S,T,rr-q-0.5*v^2,v)</f>
        <v>55.316603366639413</v>
      </c>
      <c r="C71" s="15">
        <f t="shared" si="0"/>
        <v>0</v>
      </c>
    </row>
    <row r="72" spans="1:3" x14ac:dyDescent="0.2">
      <c r="A72" s="7">
        <v>55</v>
      </c>
      <c r="B72" s="15" cm="1">
        <f t="array" ref="B72">SimGBM(S,T,rr-q-0.5*v^2,v)</f>
        <v>53.676004438372139</v>
      </c>
      <c r="C72" s="15">
        <f t="shared" si="0"/>
        <v>0</v>
      </c>
    </row>
    <row r="73" spans="1:3" x14ac:dyDescent="0.2">
      <c r="A73" s="7">
        <v>56</v>
      </c>
      <c r="B73" s="15" cm="1">
        <f t="array" ref="B73">SimGBM(S,T,rr-q-0.5*v^2,v)</f>
        <v>59.850813836689788</v>
      </c>
      <c r="C73" s="15">
        <f t="shared" si="0"/>
        <v>0</v>
      </c>
    </row>
    <row r="74" spans="1:3" x14ac:dyDescent="0.2">
      <c r="A74" s="7">
        <v>57</v>
      </c>
      <c r="B74" s="15" cm="1">
        <f t="array" ref="B74">SimGBM(S,T,rr-q-0.5*v^2,v)</f>
        <v>63.207518029185763</v>
      </c>
      <c r="C74" s="15">
        <f t="shared" si="0"/>
        <v>0</v>
      </c>
    </row>
    <row r="75" spans="1:3" x14ac:dyDescent="0.2">
      <c r="A75" s="7">
        <v>58</v>
      </c>
      <c r="B75" s="15" cm="1">
        <f t="array" ref="B75">SimGBM(S,T,rr-q-0.5*v^2,v)</f>
        <v>45.590258877834124</v>
      </c>
      <c r="C75" s="15">
        <f t="shared" si="0"/>
        <v>4.409741122165876</v>
      </c>
    </row>
    <row r="76" spans="1:3" x14ac:dyDescent="0.2">
      <c r="A76" s="7">
        <v>59</v>
      </c>
      <c r="B76" s="15" cm="1">
        <f t="array" ref="B76">SimGBM(S,T,rr-q-0.5*v^2,v)</f>
        <v>53.323976448189029</v>
      </c>
      <c r="C76" s="15">
        <f t="shared" si="0"/>
        <v>0</v>
      </c>
    </row>
    <row r="77" spans="1:3" x14ac:dyDescent="0.2">
      <c r="A77" s="7">
        <v>60</v>
      </c>
      <c r="B77" s="15" cm="1">
        <f t="array" ref="B77">SimGBM(S,T,rr-q-0.5*v^2,v)</f>
        <v>53.897540893754716</v>
      </c>
      <c r="C77" s="15">
        <f t="shared" si="0"/>
        <v>0</v>
      </c>
    </row>
    <row r="78" spans="1:3" x14ac:dyDescent="0.2">
      <c r="A78" s="7">
        <v>61</v>
      </c>
      <c r="B78" s="15" cm="1">
        <f t="array" ref="B78">SimGBM(S,T,rr-q-0.5*v^2,v)</f>
        <v>58.628732650206494</v>
      </c>
      <c r="C78" s="15">
        <f t="shared" si="0"/>
        <v>0</v>
      </c>
    </row>
    <row r="79" spans="1:3" x14ac:dyDescent="0.2">
      <c r="A79" s="7">
        <v>62</v>
      </c>
      <c r="B79" s="15" cm="1">
        <f t="array" ref="B79">SimGBM(S,T,rr-q-0.5*v^2,v)</f>
        <v>39.334496994965534</v>
      </c>
      <c r="C79" s="15">
        <f t="shared" si="0"/>
        <v>10.665503005034466</v>
      </c>
    </row>
    <row r="80" spans="1:3" x14ac:dyDescent="0.2">
      <c r="A80" s="7">
        <v>63</v>
      </c>
      <c r="B80" s="15" cm="1">
        <f t="array" ref="B80">SimGBM(S,T,rr-q-0.5*v^2,v)</f>
        <v>62.91384174853485</v>
      </c>
      <c r="C80" s="15">
        <f t="shared" si="0"/>
        <v>0</v>
      </c>
    </row>
    <row r="81" spans="1:3" x14ac:dyDescent="0.2">
      <c r="A81" s="7">
        <v>64</v>
      </c>
      <c r="B81" s="15" cm="1">
        <f t="array" ref="B81">SimGBM(S,T,rr-q-0.5*v^2,v)</f>
        <v>50.785561508714991</v>
      </c>
      <c r="C81" s="15">
        <f t="shared" si="0"/>
        <v>0</v>
      </c>
    </row>
    <row r="82" spans="1:3" x14ac:dyDescent="0.2">
      <c r="A82" s="7">
        <v>65</v>
      </c>
      <c r="B82" s="15" cm="1">
        <f t="array" ref="B82">SimGBM(S,T,rr-q-0.5*v^2,v)</f>
        <v>57.267709683911747</v>
      </c>
      <c r="C82" s="15">
        <f t="shared" ref="C82:C117" si="1">MAX(optType*(B82-K),0)</f>
        <v>0</v>
      </c>
    </row>
    <row r="83" spans="1:3" x14ac:dyDescent="0.2">
      <c r="A83" s="7">
        <v>66</v>
      </c>
      <c r="B83" s="15" cm="1">
        <f t="array" ref="B83">SimGBM(S,T,rr-q-0.5*v^2,v)</f>
        <v>44.196116515644412</v>
      </c>
      <c r="C83" s="15">
        <f t="shared" si="1"/>
        <v>5.8038834843555875</v>
      </c>
    </row>
    <row r="84" spans="1:3" x14ac:dyDescent="0.2">
      <c r="A84" s="7">
        <v>67</v>
      </c>
      <c r="B84" s="15" cm="1">
        <f t="array" ref="B84">SimGBM(S,T,rr-q-0.5*v^2,v)</f>
        <v>51.684601340167113</v>
      </c>
      <c r="C84" s="15">
        <f t="shared" si="1"/>
        <v>0</v>
      </c>
    </row>
    <row r="85" spans="1:3" x14ac:dyDescent="0.2">
      <c r="A85" s="7">
        <v>68</v>
      </c>
      <c r="B85" s="15" cm="1">
        <f t="array" ref="B85">SimGBM(S,T,rr-q-0.5*v^2,v)</f>
        <v>61.961782414940913</v>
      </c>
      <c r="C85" s="15">
        <f t="shared" si="1"/>
        <v>0</v>
      </c>
    </row>
    <row r="86" spans="1:3" x14ac:dyDescent="0.2">
      <c r="A86" s="7">
        <v>69</v>
      </c>
      <c r="B86" s="15" cm="1">
        <f t="array" ref="B86">SimGBM(S,T,rr-q-0.5*v^2,v)</f>
        <v>57.507664099430691</v>
      </c>
      <c r="C86" s="15">
        <f t="shared" si="1"/>
        <v>0</v>
      </c>
    </row>
    <row r="87" spans="1:3" x14ac:dyDescent="0.2">
      <c r="A87" s="7">
        <v>70</v>
      </c>
      <c r="B87" s="15" cm="1">
        <f t="array" ref="B87">SimGBM(S,T,rr-q-0.5*v^2,v)</f>
        <v>52.771059322846327</v>
      </c>
      <c r="C87" s="15">
        <f t="shared" si="1"/>
        <v>0</v>
      </c>
    </row>
    <row r="88" spans="1:3" x14ac:dyDescent="0.2">
      <c r="A88" s="7">
        <v>71</v>
      </c>
      <c r="B88" s="15" cm="1">
        <f t="array" ref="B88">SimGBM(S,T,rr-q-0.5*v^2,v)</f>
        <v>45.446213421539476</v>
      </c>
      <c r="C88" s="15">
        <f t="shared" si="1"/>
        <v>4.5537865784605245</v>
      </c>
    </row>
    <row r="89" spans="1:3" x14ac:dyDescent="0.2">
      <c r="A89" s="7">
        <v>72</v>
      </c>
      <c r="B89" s="15" cm="1">
        <f t="array" ref="B89">SimGBM(S,T,rr-q-0.5*v^2,v)</f>
        <v>48.804247426434713</v>
      </c>
      <c r="C89" s="15">
        <f t="shared" si="1"/>
        <v>1.1957525735652865</v>
      </c>
    </row>
    <row r="90" spans="1:3" x14ac:dyDescent="0.2">
      <c r="A90" s="7">
        <v>73</v>
      </c>
      <c r="B90" s="15" cm="1">
        <f t="array" ref="B90">SimGBM(S,T,rr-q-0.5*v^2,v)</f>
        <v>48.995943886269075</v>
      </c>
      <c r="C90" s="15">
        <f t="shared" si="1"/>
        <v>1.0040561137309254</v>
      </c>
    </row>
    <row r="91" spans="1:3" x14ac:dyDescent="0.2">
      <c r="A91" s="7">
        <v>74</v>
      </c>
      <c r="B91" s="15" cm="1">
        <f t="array" ref="B91">SimGBM(S,T,rr-q-0.5*v^2,v)</f>
        <v>47.263761552213204</v>
      </c>
      <c r="C91" s="15">
        <f t="shared" si="1"/>
        <v>2.7362384477867963</v>
      </c>
    </row>
    <row r="92" spans="1:3" x14ac:dyDescent="0.2">
      <c r="A92" s="7">
        <v>75</v>
      </c>
      <c r="B92" s="15" cm="1">
        <f t="array" ref="B92">SimGBM(S,T,rr-q-0.5*v^2,v)</f>
        <v>49.027670117466457</v>
      </c>
      <c r="C92" s="15">
        <f t="shared" si="1"/>
        <v>0.97232988253354335</v>
      </c>
    </row>
    <row r="93" spans="1:3" x14ac:dyDescent="0.2">
      <c r="A93" s="7">
        <v>76</v>
      </c>
      <c r="B93" s="15" cm="1">
        <f t="array" ref="B93">SimGBM(S,T,rr-q-0.5*v^2,v)</f>
        <v>42.82681602733858</v>
      </c>
      <c r="C93" s="15">
        <f t="shared" si="1"/>
        <v>7.1731839726614197</v>
      </c>
    </row>
    <row r="94" spans="1:3" x14ac:dyDescent="0.2">
      <c r="A94" s="7">
        <v>77</v>
      </c>
      <c r="B94" s="15" cm="1">
        <f t="array" ref="B94">SimGBM(S,T,rr-q-0.5*v^2,v)</f>
        <v>67.870824605132725</v>
      </c>
      <c r="C94" s="15">
        <f t="shared" si="1"/>
        <v>0</v>
      </c>
    </row>
    <row r="95" spans="1:3" x14ac:dyDescent="0.2">
      <c r="A95" s="7">
        <v>78</v>
      </c>
      <c r="B95" s="15" cm="1">
        <f t="array" ref="B95">SimGBM(S,T,rr-q-0.5*v^2,v)</f>
        <v>42.95178096361488</v>
      </c>
      <c r="C95" s="15">
        <f t="shared" si="1"/>
        <v>7.0482190363851203</v>
      </c>
    </row>
    <row r="96" spans="1:3" x14ac:dyDescent="0.2">
      <c r="A96" s="7">
        <v>79</v>
      </c>
      <c r="B96" s="15" cm="1">
        <f t="array" ref="B96">SimGBM(S,T,rr-q-0.5*v^2,v)</f>
        <v>54.714844969642293</v>
      </c>
      <c r="C96" s="15">
        <f t="shared" si="1"/>
        <v>0</v>
      </c>
    </row>
    <row r="97" spans="1:3" x14ac:dyDescent="0.2">
      <c r="A97" s="7">
        <v>80</v>
      </c>
      <c r="B97" s="15" cm="1">
        <f t="array" ref="B97">SimGBM(S,T,rr-q-0.5*v^2,v)</f>
        <v>64.231701021000916</v>
      </c>
      <c r="C97" s="15">
        <f t="shared" si="1"/>
        <v>0</v>
      </c>
    </row>
    <row r="98" spans="1:3" x14ac:dyDescent="0.2">
      <c r="A98" s="7">
        <v>81</v>
      </c>
      <c r="B98" s="15" cm="1">
        <f t="array" ref="B98">SimGBM(S,T,rr-q-0.5*v^2,v)</f>
        <v>63.040433399145066</v>
      </c>
      <c r="C98" s="15">
        <f t="shared" si="1"/>
        <v>0</v>
      </c>
    </row>
    <row r="99" spans="1:3" x14ac:dyDescent="0.2">
      <c r="A99" s="7">
        <v>82</v>
      </c>
      <c r="B99" s="15" cm="1">
        <f t="array" ref="B99">SimGBM(S,T,rr-q-0.5*v^2,v)</f>
        <v>46.077861268299863</v>
      </c>
      <c r="C99" s="15">
        <f t="shared" si="1"/>
        <v>3.9221387317001373</v>
      </c>
    </row>
    <row r="100" spans="1:3" x14ac:dyDescent="0.2">
      <c r="A100" s="7">
        <v>83</v>
      </c>
      <c r="B100" s="15" cm="1">
        <f t="array" ref="B100">SimGBM(S,T,rr-q-0.5*v^2,v)</f>
        <v>47.465881055043241</v>
      </c>
      <c r="C100" s="15">
        <f t="shared" si="1"/>
        <v>2.5341189449567594</v>
      </c>
    </row>
    <row r="101" spans="1:3" x14ac:dyDescent="0.2">
      <c r="A101" s="7">
        <v>84</v>
      </c>
      <c r="B101" s="15" cm="1">
        <f t="array" ref="B101">SimGBM(S,T,rr-q-0.5*v^2,v)</f>
        <v>48.450637249807954</v>
      </c>
      <c r="C101" s="15">
        <f t="shared" si="1"/>
        <v>1.5493627501920457</v>
      </c>
    </row>
    <row r="102" spans="1:3" x14ac:dyDescent="0.2">
      <c r="A102" s="7">
        <v>85</v>
      </c>
      <c r="B102" s="15" cm="1">
        <f t="array" ref="B102">SimGBM(S,T,rr-q-0.5*v^2,v)</f>
        <v>45.307103277689919</v>
      </c>
      <c r="C102" s="15">
        <f t="shared" si="1"/>
        <v>4.6928967223100813</v>
      </c>
    </row>
    <row r="103" spans="1:3" x14ac:dyDescent="0.2">
      <c r="A103" s="7">
        <v>86</v>
      </c>
      <c r="B103" s="15" cm="1">
        <f t="array" ref="B103">SimGBM(S,T,rr-q-0.5*v^2,v)</f>
        <v>54.478695117769895</v>
      </c>
      <c r="C103" s="15">
        <f t="shared" si="1"/>
        <v>0</v>
      </c>
    </row>
    <row r="104" spans="1:3" x14ac:dyDescent="0.2">
      <c r="A104" s="7">
        <v>87</v>
      </c>
      <c r="B104" s="15" cm="1">
        <f t="array" ref="B104">SimGBM(S,T,rr-q-0.5*v^2,v)</f>
        <v>68.759647503249226</v>
      </c>
      <c r="C104" s="15">
        <f t="shared" si="1"/>
        <v>0</v>
      </c>
    </row>
    <row r="105" spans="1:3" x14ac:dyDescent="0.2">
      <c r="A105" s="7">
        <v>88</v>
      </c>
      <c r="B105" s="15" cm="1">
        <f t="array" ref="B105">SimGBM(S,T,rr-q-0.5*v^2,v)</f>
        <v>58.46066563176845</v>
      </c>
      <c r="C105" s="15">
        <f t="shared" si="1"/>
        <v>0</v>
      </c>
    </row>
    <row r="106" spans="1:3" x14ac:dyDescent="0.2">
      <c r="A106" s="7">
        <v>89</v>
      </c>
      <c r="B106" s="15" cm="1">
        <f t="array" ref="B106">SimGBM(S,T,rr-q-0.5*v^2,v)</f>
        <v>51.398852519375041</v>
      </c>
      <c r="C106" s="15">
        <f t="shared" si="1"/>
        <v>0</v>
      </c>
    </row>
    <row r="107" spans="1:3" x14ac:dyDescent="0.2">
      <c r="A107" s="7">
        <v>90</v>
      </c>
      <c r="B107" s="15" cm="1">
        <f t="array" ref="B107">SimGBM(S,T,rr-q-0.5*v^2,v)</f>
        <v>44.760168173176297</v>
      </c>
      <c r="C107" s="15">
        <f t="shared" si="1"/>
        <v>5.2398318268237034</v>
      </c>
    </row>
    <row r="108" spans="1:3" x14ac:dyDescent="0.2">
      <c r="A108" s="7">
        <v>91</v>
      </c>
      <c r="B108" s="15" cm="1">
        <f t="array" ref="B108">SimGBM(S,T,rr-q-0.5*v^2,v)</f>
        <v>45.769948670413243</v>
      </c>
      <c r="C108" s="15">
        <f t="shared" si="1"/>
        <v>4.2300513295867574</v>
      </c>
    </row>
    <row r="109" spans="1:3" x14ac:dyDescent="0.2">
      <c r="A109" s="7">
        <v>92</v>
      </c>
      <c r="B109" s="15" cm="1">
        <f t="array" ref="B109">SimGBM(S,T,rr-q-0.5*v^2,v)</f>
        <v>53.145986856810289</v>
      </c>
      <c r="C109" s="15">
        <f t="shared" si="1"/>
        <v>0</v>
      </c>
    </row>
    <row r="110" spans="1:3" x14ac:dyDescent="0.2">
      <c r="A110" s="7">
        <v>93</v>
      </c>
      <c r="B110" s="15" cm="1">
        <f t="array" ref="B110">SimGBM(S,T,rr-q-0.5*v^2,v)</f>
        <v>44.504692517815052</v>
      </c>
      <c r="C110" s="15">
        <f t="shared" si="1"/>
        <v>5.4953074821849484</v>
      </c>
    </row>
    <row r="111" spans="1:3" x14ac:dyDescent="0.2">
      <c r="A111" s="7">
        <v>94</v>
      </c>
      <c r="B111" s="15" cm="1">
        <f t="array" ref="B111">SimGBM(S,T,rr-q-0.5*v^2,v)</f>
        <v>49.885668316840295</v>
      </c>
      <c r="C111" s="15">
        <f t="shared" si="1"/>
        <v>0.11433168315970477</v>
      </c>
    </row>
    <row r="112" spans="1:3" x14ac:dyDescent="0.2">
      <c r="A112" s="7">
        <v>95</v>
      </c>
      <c r="B112" s="15" cm="1">
        <f t="array" ref="B112">SimGBM(S,T,rr-q-0.5*v^2,v)</f>
        <v>55.079115468854667</v>
      </c>
      <c r="C112" s="15">
        <f t="shared" si="1"/>
        <v>0</v>
      </c>
    </row>
    <row r="113" spans="1:3" x14ac:dyDescent="0.2">
      <c r="A113" s="7">
        <v>96</v>
      </c>
      <c r="B113" s="15" cm="1">
        <f t="array" ref="B113">SimGBM(S,T,rr-q-0.5*v^2,v)</f>
        <v>61.75516640676603</v>
      </c>
      <c r="C113" s="15">
        <f t="shared" si="1"/>
        <v>0</v>
      </c>
    </row>
    <row r="114" spans="1:3" x14ac:dyDescent="0.2">
      <c r="A114" s="7">
        <v>97</v>
      </c>
      <c r="B114" s="15" cm="1">
        <f t="array" ref="B114">SimGBM(S,T,rr-q-0.5*v^2,v)</f>
        <v>47.518091602137872</v>
      </c>
      <c r="C114" s="15">
        <f t="shared" si="1"/>
        <v>2.4819083978621279</v>
      </c>
    </row>
    <row r="115" spans="1:3" x14ac:dyDescent="0.2">
      <c r="A115" s="7">
        <v>98</v>
      </c>
      <c r="B115" s="15" cm="1">
        <f t="array" ref="B115">SimGBM(S,T,rr-q-0.5*v^2,v)</f>
        <v>52.216746987652215</v>
      </c>
      <c r="C115" s="15">
        <f t="shared" si="1"/>
        <v>0</v>
      </c>
    </row>
    <row r="116" spans="1:3" x14ac:dyDescent="0.2">
      <c r="A116" s="7">
        <v>99</v>
      </c>
      <c r="B116" s="15" cm="1">
        <f t="array" ref="B116">SimGBM(S,T,rr-q-0.5*v^2,v)</f>
        <v>47.765881543997374</v>
      </c>
      <c r="C116" s="15">
        <f t="shared" si="1"/>
        <v>2.2341184560026264</v>
      </c>
    </row>
    <row r="117" spans="1:3" x14ac:dyDescent="0.2">
      <c r="A117" s="7">
        <v>100</v>
      </c>
      <c r="B117" s="15" cm="1">
        <f t="array" ref="B117">SimGBM(S,T,rr-q-0.5*v^2,v)</f>
        <v>41.23233706607467</v>
      </c>
      <c r="C117" s="15">
        <f t="shared" si="1"/>
        <v>8.7676629339253296</v>
      </c>
    </row>
  </sheetData>
  <phoneticPr fontId="1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74BB0-C495-49D7-8122-0CEC04D583E4}">
  <sheetPr codeName="Sheet2"/>
  <dimension ref="A1:L30"/>
  <sheetViews>
    <sheetView tabSelected="1" zoomScaleNormal="100" workbookViewId="0">
      <selection activeCell="K27" sqref="K27"/>
    </sheetView>
  </sheetViews>
  <sheetFormatPr baseColWidth="10" defaultColWidth="8.6640625" defaultRowHeight="15" x14ac:dyDescent="0.2"/>
  <cols>
    <col min="1" max="1" width="52.6640625" style="7" customWidth="1"/>
    <col min="2" max="2" width="8.6640625" style="7" customWidth="1"/>
    <col min="3" max="16384" width="8.6640625" style="7"/>
  </cols>
  <sheetData>
    <row r="1" spans="1:12" ht="21" x14ac:dyDescent="0.25">
      <c r="A1" s="6" t="s">
        <v>162</v>
      </c>
    </row>
    <row r="3" spans="1:12" x14ac:dyDescent="0.2">
      <c r="A3" s="1" t="s">
        <v>13</v>
      </c>
      <c r="B3" s="2"/>
      <c r="C3" s="2"/>
      <c r="E3" s="4" t="s">
        <v>17</v>
      </c>
      <c r="F3" s="3"/>
      <c r="G3" s="3"/>
    </row>
    <row r="4" spans="1:12" x14ac:dyDescent="0.2">
      <c r="A4" s="2" t="s">
        <v>0</v>
      </c>
      <c r="B4" s="12">
        <v>-1</v>
      </c>
      <c r="C4" s="3"/>
      <c r="E4" s="3" t="s">
        <v>18</v>
      </c>
      <c r="F4" s="5">
        <f>B7/B11</f>
        <v>8.3333333333333329E-2</v>
      </c>
      <c r="G4" s="3"/>
    </row>
    <row r="5" spans="1:12" x14ac:dyDescent="0.2">
      <c r="A5" s="2" t="s">
        <v>1</v>
      </c>
      <c r="B5" s="13">
        <v>50</v>
      </c>
      <c r="C5" s="3"/>
      <c r="E5" s="3" t="s">
        <v>12</v>
      </c>
      <c r="F5" s="5">
        <f>EXP(B10*SQRT(F4))</f>
        <v>1.0594342369612506</v>
      </c>
      <c r="G5" s="3" t="s">
        <v>19</v>
      </c>
    </row>
    <row r="6" spans="1:12" x14ac:dyDescent="0.2">
      <c r="A6" s="2" t="s">
        <v>2</v>
      </c>
      <c r="B6" s="13">
        <v>50</v>
      </c>
      <c r="C6" s="3"/>
      <c r="E6" s="3" t="s">
        <v>20</v>
      </c>
      <c r="F6" s="5">
        <f>1/F5</f>
        <v>0.94390002240089543</v>
      </c>
      <c r="G6" s="3" t="s">
        <v>21</v>
      </c>
    </row>
    <row r="7" spans="1:12" x14ac:dyDescent="0.2">
      <c r="A7" s="2" t="s">
        <v>14</v>
      </c>
      <c r="B7" s="13">
        <v>0.5</v>
      </c>
      <c r="C7" s="3" t="s">
        <v>15</v>
      </c>
      <c r="E7" s="3" t="s">
        <v>4</v>
      </c>
      <c r="F7" s="5">
        <f>(EXP((B8-B9)*F4)-F6)/(F5-F6)</f>
        <v>0.49278612805550132</v>
      </c>
      <c r="G7" s="3" t="s">
        <v>22</v>
      </c>
    </row>
    <row r="8" spans="1:12" x14ac:dyDescent="0.2">
      <c r="A8" s="2" t="s">
        <v>25</v>
      </c>
      <c r="B8" s="26">
        <v>0.04</v>
      </c>
      <c r="C8" s="3"/>
      <c r="E8" s="3"/>
      <c r="F8" s="5"/>
      <c r="G8" s="3"/>
    </row>
    <row r="9" spans="1:12" x14ac:dyDescent="0.2">
      <c r="A9" s="2" t="s">
        <v>16</v>
      </c>
      <c r="B9" s="26">
        <v>0.03</v>
      </c>
      <c r="C9" s="3"/>
    </row>
    <row r="10" spans="1:12" x14ac:dyDescent="0.2">
      <c r="A10" s="2" t="s">
        <v>24</v>
      </c>
      <c r="B10" s="26">
        <v>0.2</v>
      </c>
      <c r="C10" s="3"/>
    </row>
    <row r="11" spans="1:12" x14ac:dyDescent="0.2">
      <c r="A11" s="2" t="s">
        <v>3</v>
      </c>
      <c r="B11" s="13">
        <v>6</v>
      </c>
      <c r="C11" s="3"/>
    </row>
    <row r="12" spans="1:12" x14ac:dyDescent="0.2">
      <c r="A12" s="2"/>
    </row>
    <row r="13" spans="1:12" x14ac:dyDescent="0.2">
      <c r="A13" s="9" t="s">
        <v>165</v>
      </c>
      <c r="B13" s="23" t="s">
        <v>45</v>
      </c>
      <c r="C13" s="23" t="s">
        <v>46</v>
      </c>
      <c r="D13" s="23" t="s">
        <v>47</v>
      </c>
      <c r="E13" s="23" t="s">
        <v>48</v>
      </c>
      <c r="F13" s="23" t="s">
        <v>49</v>
      </c>
      <c r="G13" s="23" t="s">
        <v>50</v>
      </c>
      <c r="H13" s="23" t="s">
        <v>51</v>
      </c>
      <c r="I13" s="23" t="s">
        <v>52</v>
      </c>
      <c r="J13" s="23" t="s">
        <v>53</v>
      </c>
      <c r="K13" s="23" t="s">
        <v>54</v>
      </c>
    </row>
    <row r="14" spans="1:12" x14ac:dyDescent="0.2">
      <c r="A14" s="7" t="s">
        <v>27</v>
      </c>
      <c r="B14" s="7">
        <f t="shared" ref="B14:K19" ca="1" si="0">IF(RAND()&lt;p,0,1)</f>
        <v>0</v>
      </c>
      <c r="C14" s="7">
        <f t="shared" ca="1" si="0"/>
        <v>1</v>
      </c>
      <c r="D14" s="7">
        <f t="shared" ca="1" si="0"/>
        <v>1</v>
      </c>
      <c r="E14" s="7">
        <f t="shared" ca="1" si="0"/>
        <v>1</v>
      </c>
      <c r="F14" s="7">
        <f t="shared" ca="1" si="0"/>
        <v>0</v>
      </c>
      <c r="G14" s="7">
        <f t="shared" ca="1" si="0"/>
        <v>0</v>
      </c>
      <c r="H14" s="7">
        <f t="shared" ca="1" si="0"/>
        <v>0</v>
      </c>
      <c r="I14" s="7">
        <f t="shared" ca="1" si="0"/>
        <v>0</v>
      </c>
      <c r="J14" s="7">
        <f t="shared" ca="1" si="0"/>
        <v>0</v>
      </c>
      <c r="K14" s="7">
        <f t="shared" ca="1" si="0"/>
        <v>0</v>
      </c>
      <c r="L14" s="24" t="str" cm="1">
        <f t="array" aca="1" ref="L14" ca="1">getformula(K14)</f>
        <v>&lt;--  =IF(RAND()&lt;p,0,1)</v>
      </c>
    </row>
    <row r="15" spans="1:12" x14ac:dyDescent="0.2">
      <c r="A15" s="7" t="s">
        <v>28</v>
      </c>
      <c r="B15" s="7">
        <f t="shared" ca="1" si="0"/>
        <v>1</v>
      </c>
      <c r="C15" s="7">
        <f t="shared" ca="1" si="0"/>
        <v>1</v>
      </c>
      <c r="D15" s="7">
        <f t="shared" ca="1" si="0"/>
        <v>1</v>
      </c>
      <c r="E15" s="7">
        <f t="shared" ca="1" si="0"/>
        <v>1</v>
      </c>
      <c r="F15" s="7">
        <f t="shared" ca="1" si="0"/>
        <v>1</v>
      </c>
      <c r="G15" s="7">
        <f t="shared" ca="1" si="0"/>
        <v>0</v>
      </c>
      <c r="H15" s="7">
        <f t="shared" ca="1" si="0"/>
        <v>1</v>
      </c>
      <c r="I15" s="7">
        <f t="shared" ca="1" si="0"/>
        <v>0</v>
      </c>
      <c r="J15" s="7">
        <f t="shared" ca="1" si="0"/>
        <v>0</v>
      </c>
      <c r="K15" s="7">
        <f t="shared" ca="1" si="0"/>
        <v>1</v>
      </c>
      <c r="L15" s="24" t="str" cm="1">
        <f t="array" aca="1" ref="L15" ca="1">getformula(K15)</f>
        <v>&lt;--  =IF(RAND()&lt;p,0,1)</v>
      </c>
    </row>
    <row r="16" spans="1:12" x14ac:dyDescent="0.2">
      <c r="A16" s="7" t="s">
        <v>29</v>
      </c>
      <c r="B16" s="7">
        <f t="shared" ca="1" si="0"/>
        <v>1</v>
      </c>
      <c r="C16" s="7">
        <f t="shared" ca="1" si="0"/>
        <v>1</v>
      </c>
      <c r="D16" s="7">
        <f t="shared" ca="1" si="0"/>
        <v>0</v>
      </c>
      <c r="E16" s="7">
        <f t="shared" ca="1" si="0"/>
        <v>1</v>
      </c>
      <c r="F16" s="7">
        <f t="shared" ca="1" si="0"/>
        <v>0</v>
      </c>
      <c r="G16" s="7">
        <f t="shared" ca="1" si="0"/>
        <v>0</v>
      </c>
      <c r="H16" s="7">
        <f t="shared" ca="1" si="0"/>
        <v>1</v>
      </c>
      <c r="I16" s="7">
        <f t="shared" ca="1" si="0"/>
        <v>1</v>
      </c>
      <c r="J16" s="7">
        <f t="shared" ca="1" si="0"/>
        <v>0</v>
      </c>
      <c r="K16" s="7">
        <f t="shared" ca="1" si="0"/>
        <v>1</v>
      </c>
      <c r="L16" s="24" t="str" cm="1">
        <f t="array" aca="1" ref="L16" ca="1">getformula(K16)</f>
        <v>&lt;--  =IF(RAND()&lt;p,0,1)</v>
      </c>
    </row>
    <row r="17" spans="1:12" x14ac:dyDescent="0.2">
      <c r="A17" s="7" t="s">
        <v>30</v>
      </c>
      <c r="B17" s="7">
        <f t="shared" ca="1" si="0"/>
        <v>1</v>
      </c>
      <c r="C17" s="7">
        <f t="shared" ca="1" si="0"/>
        <v>1</v>
      </c>
      <c r="D17" s="7">
        <f t="shared" ca="1" si="0"/>
        <v>0</v>
      </c>
      <c r="E17" s="7">
        <f t="shared" ca="1" si="0"/>
        <v>0</v>
      </c>
      <c r="F17" s="7">
        <f t="shared" ca="1" si="0"/>
        <v>0</v>
      </c>
      <c r="G17" s="7">
        <f t="shared" ca="1" si="0"/>
        <v>0</v>
      </c>
      <c r="H17" s="7">
        <f t="shared" ca="1" si="0"/>
        <v>0</v>
      </c>
      <c r="I17" s="7">
        <f t="shared" ca="1" si="0"/>
        <v>1</v>
      </c>
      <c r="J17" s="7">
        <f t="shared" ca="1" si="0"/>
        <v>0</v>
      </c>
      <c r="K17" s="7">
        <f t="shared" ca="1" si="0"/>
        <v>1</v>
      </c>
      <c r="L17" s="24" t="str" cm="1">
        <f t="array" aca="1" ref="L17" ca="1">getformula(K17)</f>
        <v>&lt;--  =IF(RAND()&lt;p,0,1)</v>
      </c>
    </row>
    <row r="18" spans="1:12" x14ac:dyDescent="0.2">
      <c r="A18" s="23" t="s">
        <v>150</v>
      </c>
      <c r="B18" s="7">
        <f t="shared" ca="1" si="0"/>
        <v>0</v>
      </c>
      <c r="C18" s="7">
        <f t="shared" ca="1" si="0"/>
        <v>0</v>
      </c>
      <c r="D18" s="7">
        <f t="shared" ca="1" si="0"/>
        <v>0</v>
      </c>
      <c r="E18" s="7">
        <f t="shared" ca="1" si="0"/>
        <v>0</v>
      </c>
      <c r="F18" s="7">
        <f t="shared" ca="1" si="0"/>
        <v>1</v>
      </c>
      <c r="G18" s="7">
        <f t="shared" ca="1" si="0"/>
        <v>0</v>
      </c>
      <c r="H18" s="7">
        <f t="shared" ca="1" si="0"/>
        <v>1</v>
      </c>
      <c r="I18" s="7">
        <f t="shared" ca="1" si="0"/>
        <v>1</v>
      </c>
      <c r="J18" s="7">
        <f t="shared" ca="1" si="0"/>
        <v>1</v>
      </c>
      <c r="K18" s="7">
        <f t="shared" ca="1" si="0"/>
        <v>0</v>
      </c>
      <c r="L18" s="24" t="str" cm="1">
        <f t="array" aca="1" ref="L18" ca="1">getformula(K18)</f>
        <v>&lt;--  =IF(RAND()&lt;p,0,1)</v>
      </c>
    </row>
    <row r="19" spans="1:12" x14ac:dyDescent="0.2">
      <c r="A19" s="23" t="s">
        <v>149</v>
      </c>
      <c r="B19" s="7">
        <f t="shared" ca="1" si="0"/>
        <v>1</v>
      </c>
      <c r="C19" s="7">
        <f t="shared" ca="1" si="0"/>
        <v>1</v>
      </c>
      <c r="D19" s="7">
        <f t="shared" ca="1" si="0"/>
        <v>0</v>
      </c>
      <c r="E19" s="7">
        <f t="shared" ca="1" si="0"/>
        <v>0</v>
      </c>
      <c r="F19" s="7">
        <f t="shared" ca="1" si="0"/>
        <v>1</v>
      </c>
      <c r="G19" s="7">
        <f t="shared" ca="1" si="0"/>
        <v>1</v>
      </c>
      <c r="H19" s="7">
        <f t="shared" ca="1" si="0"/>
        <v>1</v>
      </c>
      <c r="I19" s="7">
        <f t="shared" ca="1" si="0"/>
        <v>0</v>
      </c>
      <c r="J19" s="7">
        <f t="shared" ca="1" si="0"/>
        <v>0</v>
      </c>
      <c r="K19" s="7">
        <f t="shared" ca="1" si="0"/>
        <v>1</v>
      </c>
      <c r="L19" s="24" t="str" cm="1">
        <f t="array" aca="1" ref="L19" ca="1">getformula(K19)</f>
        <v>&lt;--  =IF(RAND()&lt;p,0,1)</v>
      </c>
    </row>
    <row r="20" spans="1:12" x14ac:dyDescent="0.2">
      <c r="A20" s="7" t="s">
        <v>31</v>
      </c>
      <c r="B20" s="16">
        <f t="shared" ref="B20" ca="1" si="1">S*u^(1-B14)*d^B14</f>
        <v>52.971711848062533</v>
      </c>
      <c r="C20" s="16">
        <f t="shared" ref="C20:K20" ca="1" si="2">S*u^(1-C14)*d^C14</f>
        <v>47.195001120044772</v>
      </c>
      <c r="D20" s="16">
        <f t="shared" ca="1" si="2"/>
        <v>47.195001120044772</v>
      </c>
      <c r="E20" s="16">
        <f t="shared" ca="1" si="2"/>
        <v>47.195001120044772</v>
      </c>
      <c r="F20" s="16">
        <f t="shared" ca="1" si="2"/>
        <v>52.971711848062533</v>
      </c>
      <c r="G20" s="16">
        <f t="shared" ca="1" si="2"/>
        <v>52.971711848062533</v>
      </c>
      <c r="H20" s="16">
        <f t="shared" ca="1" si="2"/>
        <v>52.971711848062533</v>
      </c>
      <c r="I20" s="16">
        <f t="shared" ca="1" si="2"/>
        <v>52.971711848062533</v>
      </c>
      <c r="J20" s="16">
        <f t="shared" ca="1" si="2"/>
        <v>52.971711848062533</v>
      </c>
      <c r="K20" s="16">
        <f t="shared" ca="1" si="2"/>
        <v>52.971711848062533</v>
      </c>
      <c r="L20" s="24" t="str" cm="1">
        <f t="array" aca="1" ref="L20" ca="1">getformula(K20)</f>
        <v>&lt;--  =S*u^(1-K14)*d^K14</v>
      </c>
    </row>
    <row r="21" spans="1:12" x14ac:dyDescent="0.2">
      <c r="A21" s="7" t="s">
        <v>32</v>
      </c>
      <c r="B21" s="16">
        <f t="shared" ref="B21:K25" ca="1" si="3">B20*u^(1-B15)*d^B15</f>
        <v>50</v>
      </c>
      <c r="C21" s="16">
        <f t="shared" ca="1" si="3"/>
        <v>44.547362614420543</v>
      </c>
      <c r="D21" s="16">
        <f t="shared" ca="1" si="3"/>
        <v>44.547362614420543</v>
      </c>
      <c r="E21" s="16">
        <f t="shared" ca="1" si="3"/>
        <v>44.547362614420543</v>
      </c>
      <c r="F21" s="16">
        <f t="shared" ca="1" si="3"/>
        <v>50</v>
      </c>
      <c r="G21" s="16">
        <f t="shared" ca="1" si="3"/>
        <v>56.120045122283365</v>
      </c>
      <c r="H21" s="16">
        <f t="shared" ca="1" si="3"/>
        <v>50</v>
      </c>
      <c r="I21" s="16">
        <f t="shared" ca="1" si="3"/>
        <v>56.120045122283365</v>
      </c>
      <c r="J21" s="16">
        <f t="shared" ca="1" si="3"/>
        <v>56.120045122283365</v>
      </c>
      <c r="K21" s="16">
        <f t="shared" ca="1" si="3"/>
        <v>50</v>
      </c>
      <c r="L21" s="24" t="str" cm="1">
        <f t="array" aca="1" ref="L21" ca="1">getformula(K21)</f>
        <v>&lt;--  =K20*u^(1-K15)*d^K15</v>
      </c>
    </row>
    <row r="22" spans="1:12" x14ac:dyDescent="0.2">
      <c r="A22" s="7" t="s">
        <v>33</v>
      </c>
      <c r="B22" s="16">
        <f t="shared" ca="1" si="3"/>
        <v>47.195001120044772</v>
      </c>
      <c r="C22" s="16">
        <f t="shared" ca="1" si="3"/>
        <v>42.048256569652359</v>
      </c>
      <c r="D22" s="16">
        <f t="shared" ca="1" si="3"/>
        <v>47.195001120044772</v>
      </c>
      <c r="E22" s="16">
        <f t="shared" ca="1" si="3"/>
        <v>42.048256569652359</v>
      </c>
      <c r="F22" s="16">
        <f t="shared" ca="1" si="3"/>
        <v>52.971711848062533</v>
      </c>
      <c r="G22" s="16">
        <f t="shared" ca="1" si="3"/>
        <v>59.455497182357227</v>
      </c>
      <c r="H22" s="16">
        <f t="shared" ca="1" si="3"/>
        <v>47.195001120044772</v>
      </c>
      <c r="I22" s="16">
        <f t="shared" ca="1" si="3"/>
        <v>52.971711848062533</v>
      </c>
      <c r="J22" s="16">
        <f t="shared" ca="1" si="3"/>
        <v>59.455497182357227</v>
      </c>
      <c r="K22" s="16">
        <f t="shared" ca="1" si="3"/>
        <v>47.195001120044772</v>
      </c>
      <c r="L22" s="24" t="str" cm="1">
        <f t="array" aca="1" ref="L22" ca="1">getformula(K22)</f>
        <v>&lt;--  =K21*u^(1-K16)*d^K16</v>
      </c>
    </row>
    <row r="23" spans="1:12" x14ac:dyDescent="0.2">
      <c r="A23" s="7" t="s">
        <v>34</v>
      </c>
      <c r="B23" s="16">
        <f t="shared" ca="1" si="3"/>
        <v>44.547362614420543</v>
      </c>
      <c r="C23" s="16">
        <f t="shared" ca="1" si="3"/>
        <v>39.68935031801346</v>
      </c>
      <c r="D23" s="16">
        <f t="shared" ca="1" si="3"/>
        <v>50</v>
      </c>
      <c r="E23" s="16">
        <f t="shared" ca="1" si="3"/>
        <v>44.547362614420543</v>
      </c>
      <c r="F23" s="16">
        <f t="shared" ca="1" si="3"/>
        <v>56.120045122283365</v>
      </c>
      <c r="G23" s="16">
        <f t="shared" ca="1" si="3"/>
        <v>62.989189290542413</v>
      </c>
      <c r="H23" s="16">
        <f t="shared" ca="1" si="3"/>
        <v>50</v>
      </c>
      <c r="I23" s="16">
        <f t="shared" ca="1" si="3"/>
        <v>50</v>
      </c>
      <c r="J23" s="16">
        <f t="shared" ca="1" si="3"/>
        <v>62.989189290542413</v>
      </c>
      <c r="K23" s="16">
        <f t="shared" ca="1" si="3"/>
        <v>44.547362614420543</v>
      </c>
      <c r="L23" s="24" t="str" cm="1">
        <f t="array" aca="1" ref="L23" ca="1">getformula(K23)</f>
        <v>&lt;--  =K22*u^(1-K17)*d^K17</v>
      </c>
    </row>
    <row r="24" spans="1:12" x14ac:dyDescent="0.2">
      <c r="A24" s="7" t="s">
        <v>151</v>
      </c>
      <c r="B24" s="16">
        <f t="shared" ca="1" si="3"/>
        <v>47.195001120044772</v>
      </c>
      <c r="C24" s="16">
        <f t="shared" ca="1" si="3"/>
        <v>42.048256569652359</v>
      </c>
      <c r="D24" s="16">
        <f t="shared" ca="1" si="3"/>
        <v>52.971711848062533</v>
      </c>
      <c r="E24" s="16">
        <f t="shared" ca="1" si="3"/>
        <v>47.195001120044772</v>
      </c>
      <c r="F24" s="16">
        <f t="shared" ca="1" si="3"/>
        <v>52.971711848062533</v>
      </c>
      <c r="G24" s="16">
        <f t="shared" ca="1" si="3"/>
        <v>66.732903692833574</v>
      </c>
      <c r="H24" s="16">
        <f t="shared" ca="1" si="3"/>
        <v>47.195001120044772</v>
      </c>
      <c r="I24" s="16">
        <f t="shared" ca="1" si="3"/>
        <v>47.195001120044772</v>
      </c>
      <c r="J24" s="16">
        <f t="shared" ca="1" si="3"/>
        <v>59.455497182357227</v>
      </c>
      <c r="K24" s="16">
        <f t="shared" ca="1" si="3"/>
        <v>47.195001120044772</v>
      </c>
      <c r="L24" s="24" t="str" cm="1">
        <f t="array" aca="1" ref="L24" ca="1">getformula(K24)</f>
        <v>&lt;--  =K23*u^(1-K18)*d^K18</v>
      </c>
    </row>
    <row r="25" spans="1:12" x14ac:dyDescent="0.2">
      <c r="A25" s="7" t="s">
        <v>152</v>
      </c>
      <c r="B25" s="16">
        <f t="shared" ca="1" si="3"/>
        <v>44.547362614420543</v>
      </c>
      <c r="C25" s="16">
        <f t="shared" ca="1" si="3"/>
        <v>39.68935031801346</v>
      </c>
      <c r="D25" s="16">
        <f t="shared" ca="1" si="3"/>
        <v>56.120045122283365</v>
      </c>
      <c r="E25" s="16">
        <f t="shared" ca="1" si="3"/>
        <v>50</v>
      </c>
      <c r="F25" s="16">
        <f t="shared" ca="1" si="3"/>
        <v>50</v>
      </c>
      <c r="G25" s="16">
        <f t="shared" ca="1" si="3"/>
        <v>62.989189290542406</v>
      </c>
      <c r="H25" s="16">
        <f t="shared" ca="1" si="3"/>
        <v>44.547362614420543</v>
      </c>
      <c r="I25" s="16">
        <f t="shared" ca="1" si="3"/>
        <v>50</v>
      </c>
      <c r="J25" s="16">
        <f t="shared" ca="1" si="3"/>
        <v>62.989189290542413</v>
      </c>
      <c r="K25" s="16">
        <f t="shared" ca="1" si="3"/>
        <v>44.547362614420543</v>
      </c>
      <c r="L25" s="24" t="str" cm="1">
        <f t="array" aca="1" ref="L25" ca="1">getformula(K25)</f>
        <v>&lt;--  =K24*u^(1-K19)*d^K19</v>
      </c>
    </row>
    <row r="26" spans="1:12" x14ac:dyDescent="0.2">
      <c r="A26" s="17" t="s">
        <v>153</v>
      </c>
      <c r="B26" s="16">
        <f ca="1">AVERAGE(B20:B25)</f>
        <v>47.742739886165531</v>
      </c>
      <c r="C26" s="16">
        <f t="shared" ref="C26:K26" ca="1" si="4">AVERAGE(C20:C25)</f>
        <v>42.536262918299492</v>
      </c>
      <c r="D26" s="16">
        <f t="shared" ca="1" si="4"/>
        <v>49.671520304142668</v>
      </c>
      <c r="E26" s="16">
        <f t="shared" ca="1" si="4"/>
        <v>45.922164006430499</v>
      </c>
      <c r="F26" s="16">
        <f t="shared" ca="1" si="4"/>
        <v>52.50586344441183</v>
      </c>
      <c r="G26" s="16">
        <f t="shared" ca="1" si="4"/>
        <v>60.209756071103584</v>
      </c>
      <c r="H26" s="16">
        <f t="shared" ca="1" si="4"/>
        <v>48.651512783762108</v>
      </c>
      <c r="I26" s="16">
        <f t="shared" ca="1" si="4"/>
        <v>51.543078323075541</v>
      </c>
      <c r="J26" s="16">
        <f t="shared" ca="1" si="4"/>
        <v>58.996854986024196</v>
      </c>
      <c r="K26" s="16">
        <f t="shared" ca="1" si="4"/>
        <v>47.742739886165531</v>
      </c>
      <c r="L26" s="24" t="str" cm="1">
        <f t="array" aca="1" ref="L26" ca="1">getformula(K26)</f>
        <v>&lt;--  =AVERAGE(K20:K25)</v>
      </c>
    </row>
    <row r="27" spans="1:12" x14ac:dyDescent="0.2">
      <c r="A27" s="9" t="s">
        <v>6</v>
      </c>
      <c r="B27" s="7">
        <f t="shared" ref="B27:K27" ca="1" si="5">MAX(optType*(B26-K),0)</f>
        <v>2.2572601138344695</v>
      </c>
      <c r="C27" s="7">
        <f t="shared" ca="1" si="5"/>
        <v>7.4637370817005078</v>
      </c>
      <c r="D27" s="7">
        <f t="shared" ca="1" si="5"/>
        <v>0.32847969585733239</v>
      </c>
      <c r="E27" s="7">
        <f t="shared" ca="1" si="5"/>
        <v>4.0778359935695008</v>
      </c>
      <c r="F27" s="7">
        <f t="shared" ca="1" si="5"/>
        <v>0</v>
      </c>
      <c r="G27" s="7">
        <f t="shared" ca="1" si="5"/>
        <v>0</v>
      </c>
      <c r="H27" s="7">
        <f t="shared" ca="1" si="5"/>
        <v>1.348487216237892</v>
      </c>
      <c r="I27" s="7">
        <f t="shared" ca="1" si="5"/>
        <v>0</v>
      </c>
      <c r="J27" s="7">
        <f t="shared" ca="1" si="5"/>
        <v>0</v>
      </c>
      <c r="K27" s="7">
        <f t="shared" ca="1" si="5"/>
        <v>2.2572601138344695</v>
      </c>
      <c r="L27" s="24" t="str" cm="1">
        <f t="array" aca="1" ref="L27" ca="1">getformula(K27)</f>
        <v>&lt;--  =MAX(optType*(K26-K),0)</v>
      </c>
    </row>
    <row r="28" spans="1:12" x14ac:dyDescent="0.2">
      <c r="A28" s="9" t="s">
        <v>7</v>
      </c>
      <c r="B28" s="11">
        <f ca="1">AVERAGE(B27:K27)*EXP(-rr*T)</f>
        <v>1.7381922096445299</v>
      </c>
      <c r="C28" s="24" t="str" cm="1">
        <f t="array" aca="1" ref="C28" ca="1">getformula(B28)</f>
        <v>&lt;--  =AVERAGE(B27:K27)*EXP(-rr*T)</v>
      </c>
    </row>
    <row r="29" spans="1:12" x14ac:dyDescent="0.2">
      <c r="C29" s="8"/>
    </row>
    <row r="30" spans="1:12" x14ac:dyDescent="0.2">
      <c r="A30" s="9" t="s">
        <v>161</v>
      </c>
      <c r="B30" s="10" cm="1">
        <f t="array" ref="B30">MCMAsianBin("p",S,K,T,rr,q,v,n,10000)</f>
        <v>1.7532905560952503</v>
      </c>
      <c r="C30" s="24" t="str" cm="1">
        <f t="array" aca="1" ref="C30" ca="1">getformula(B30)</f>
        <v>&lt;--  =MCMAsianBin("p",S,K,T,rr,q,v,n,10000)</v>
      </c>
    </row>
  </sheetData>
  <phoneticPr fontId="10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58C05-DEE0-4541-9343-B555FEA0038A}">
  <sheetPr codeName="Sheet4"/>
  <dimension ref="A1:G16"/>
  <sheetViews>
    <sheetView zoomScaleNormal="100" workbookViewId="0">
      <selection activeCell="B17" sqref="B17"/>
    </sheetView>
  </sheetViews>
  <sheetFormatPr baseColWidth="10" defaultColWidth="8.6640625" defaultRowHeight="15" x14ac:dyDescent="0.2"/>
  <cols>
    <col min="1" max="1" width="51" style="7" customWidth="1"/>
    <col min="2" max="2" width="15.33203125" style="7" bestFit="1" customWidth="1"/>
    <col min="3" max="16384" width="8.6640625" style="7"/>
  </cols>
  <sheetData>
    <row r="1" spans="1:7" ht="21" x14ac:dyDescent="0.25">
      <c r="A1" s="6" t="s">
        <v>42</v>
      </c>
    </row>
    <row r="3" spans="1:7" x14ac:dyDescent="0.2">
      <c r="A3" s="1" t="s">
        <v>13</v>
      </c>
      <c r="B3" s="2"/>
      <c r="C3" s="2"/>
      <c r="E3" s="4"/>
      <c r="F3" s="3"/>
      <c r="G3" s="3"/>
    </row>
    <row r="4" spans="1:7" x14ac:dyDescent="0.2">
      <c r="A4" s="2" t="s">
        <v>0</v>
      </c>
      <c r="B4" s="12" t="s">
        <v>4</v>
      </c>
      <c r="C4" s="3"/>
      <c r="E4" s="3"/>
      <c r="F4" s="5"/>
      <c r="G4" s="3"/>
    </row>
    <row r="5" spans="1:7" x14ac:dyDescent="0.2">
      <c r="A5" s="2" t="s">
        <v>1</v>
      </c>
      <c r="B5" s="13">
        <v>50</v>
      </c>
      <c r="C5" s="3"/>
      <c r="E5" s="3"/>
      <c r="F5" s="5"/>
      <c r="G5" s="3"/>
    </row>
    <row r="6" spans="1:7" x14ac:dyDescent="0.2">
      <c r="A6" s="2" t="s">
        <v>2</v>
      </c>
      <c r="B6" s="13">
        <v>50</v>
      </c>
      <c r="C6" s="3"/>
      <c r="E6" s="3"/>
      <c r="F6" s="5"/>
      <c r="G6" s="3"/>
    </row>
    <row r="7" spans="1:7" x14ac:dyDescent="0.2">
      <c r="A7" s="2" t="s">
        <v>14</v>
      </c>
      <c r="B7" s="13">
        <v>0.5</v>
      </c>
      <c r="C7" s="3" t="s">
        <v>15</v>
      </c>
      <c r="E7" s="3"/>
      <c r="F7" s="5"/>
      <c r="G7" s="3"/>
    </row>
    <row r="8" spans="1:7" x14ac:dyDescent="0.2">
      <c r="A8" s="2" t="s">
        <v>25</v>
      </c>
      <c r="B8" s="14">
        <v>0.08</v>
      </c>
      <c r="C8" s="3"/>
      <c r="E8" s="3"/>
      <c r="F8" s="5"/>
      <c r="G8" s="3"/>
    </row>
    <row r="9" spans="1:7" x14ac:dyDescent="0.2">
      <c r="A9" s="2" t="s">
        <v>16</v>
      </c>
      <c r="B9" s="14">
        <v>0.03</v>
      </c>
      <c r="C9" s="3"/>
    </row>
    <row r="10" spans="1:7" x14ac:dyDescent="0.2">
      <c r="A10" s="2" t="s">
        <v>24</v>
      </c>
      <c r="B10" s="14">
        <v>0.2</v>
      </c>
      <c r="C10" s="3"/>
    </row>
    <row r="11" spans="1:7" x14ac:dyDescent="0.2">
      <c r="A11" s="22" t="s">
        <v>44</v>
      </c>
      <c r="B11" s="18">
        <v>6</v>
      </c>
      <c r="C11" s="23" t="s">
        <v>164</v>
      </c>
    </row>
    <row r="12" spans="1:7" x14ac:dyDescent="0.2">
      <c r="A12" s="3" t="s">
        <v>41</v>
      </c>
      <c r="B12" s="18">
        <v>10000</v>
      </c>
    </row>
    <row r="14" spans="1:7" x14ac:dyDescent="0.2">
      <c r="A14" s="9" t="s">
        <v>43</v>
      </c>
    </row>
    <row r="15" spans="1:7" x14ac:dyDescent="0.2">
      <c r="A15" s="19" t="s">
        <v>36</v>
      </c>
      <c r="B15" s="20" cm="1">
        <f t="array" ref="B15">MCMAsianGBM(optType,S,K,T,rr,q,v,n,Runs)</f>
        <v>1.3085904790378053</v>
      </c>
      <c r="C15" s="8" t="str" cm="1">
        <f t="array" aca="1" ref="C15" ca="1">getformula(B15)</f>
        <v>&lt;--  =MCMAsianGBM(optType,S,K,T,rr,q,v,n,Runs)</v>
      </c>
    </row>
    <row r="16" spans="1:7" x14ac:dyDescent="0.2">
      <c r="B16" s="21"/>
      <c r="C16" s="21"/>
    </row>
  </sheetData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41</vt:i4>
      </vt:variant>
    </vt:vector>
  </HeadingPairs>
  <TitlesOfParts>
    <vt:vector size="45" baseType="lpstr">
      <vt:lpstr>Euro_Binomial</vt:lpstr>
      <vt:lpstr>Euro_GBM</vt:lpstr>
      <vt:lpstr>Asian_Binomial</vt:lpstr>
      <vt:lpstr>Asian_GBM</vt:lpstr>
      <vt:lpstr>Asian_Binomial!d</vt:lpstr>
      <vt:lpstr>Euro_Binomial!d</vt:lpstr>
      <vt:lpstr>Asian_Binomial!dt</vt:lpstr>
      <vt:lpstr>Euro_Binomial!dt</vt:lpstr>
      <vt:lpstr>Asian_Binomial!K</vt:lpstr>
      <vt:lpstr>Asian_GBM!K</vt:lpstr>
      <vt:lpstr>Euro_Binomial!K</vt:lpstr>
      <vt:lpstr>Euro_GBM!K</vt:lpstr>
      <vt:lpstr>Asian_Binomial!n</vt:lpstr>
      <vt:lpstr>Asian_GBM!n</vt:lpstr>
      <vt:lpstr>Euro_Binomial!n</vt:lpstr>
      <vt:lpstr>Asian_Binomial!optType</vt:lpstr>
      <vt:lpstr>Asian_GBM!optType</vt:lpstr>
      <vt:lpstr>Euro_Binomial!optType</vt:lpstr>
      <vt:lpstr>Euro_GBM!optType</vt:lpstr>
      <vt:lpstr>Asian_Binomial!p</vt:lpstr>
      <vt:lpstr>Euro_Binomial!p</vt:lpstr>
      <vt:lpstr>Asian_Binomial!q</vt:lpstr>
      <vt:lpstr>Asian_GBM!q</vt:lpstr>
      <vt:lpstr>Euro_Binomial!q</vt:lpstr>
      <vt:lpstr>Euro_GBM!q</vt:lpstr>
      <vt:lpstr>Asian_Binomial!rr</vt:lpstr>
      <vt:lpstr>Asian_GBM!rr</vt:lpstr>
      <vt:lpstr>Euro_Binomial!rr</vt:lpstr>
      <vt:lpstr>Euro_GBM!rr</vt:lpstr>
      <vt:lpstr>Asian_GBM!Runs</vt:lpstr>
      <vt:lpstr>Euro_GBM!Runs</vt:lpstr>
      <vt:lpstr>Asian_Binomial!S</vt:lpstr>
      <vt:lpstr>Asian_GBM!S</vt:lpstr>
      <vt:lpstr>Euro_Binomial!S</vt:lpstr>
      <vt:lpstr>Euro_GBM!S</vt:lpstr>
      <vt:lpstr>Asian_Binomial!T</vt:lpstr>
      <vt:lpstr>Asian_GBM!T</vt:lpstr>
      <vt:lpstr>Euro_Binomial!T</vt:lpstr>
      <vt:lpstr>Euro_GBM!T</vt:lpstr>
      <vt:lpstr>Asian_Binomial!u</vt:lpstr>
      <vt:lpstr>Euro_Binomial!u</vt:lpstr>
      <vt:lpstr>Asian_Binomial!v</vt:lpstr>
      <vt:lpstr>Asian_GBM!v</vt:lpstr>
      <vt:lpstr>Euro_Binomial!v</vt:lpstr>
      <vt:lpstr>Euro_GBM!v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Jinghan Meng</dc:creator>
  <cp:lastModifiedBy>jadonng@connect.hku.hk</cp:lastModifiedBy>
  <dcterms:created xsi:type="dcterms:W3CDTF">2018-01-09T04:54:57Z</dcterms:created>
  <dcterms:modified xsi:type="dcterms:W3CDTF">2025-05-09T11:39:56Z</dcterms:modified>
</cp:coreProperties>
</file>