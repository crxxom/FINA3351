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2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donng/Desktop/Fina3351/Lecture 6 Portfolio Analysis-20250318/"/>
    </mc:Choice>
  </mc:AlternateContent>
  <xr:revisionPtr revIDLastSave="0" documentId="13_ncr:1_{155DA873-EDDF-2441-9876-E87AC714AD38}" xr6:coauthVersionLast="47" xr6:coauthVersionMax="47" xr10:uidLastSave="{00000000-0000-0000-0000-000000000000}"/>
  <bookViews>
    <workbookView xWindow="0" yWindow="720" windowWidth="29400" windowHeight="18400" tabRatio="750" activeTab="7" xr2:uid="{00000000-000D-0000-FFFF-FFFF00000000}"/>
  </bookViews>
  <sheets>
    <sheet name="2stocks" sheetId="3" r:id="rId1"/>
    <sheet name="2stocks_data" sheetId="2" r:id="rId2"/>
    <sheet name="2stocks_portfolio" sheetId="4" r:id="rId3"/>
    <sheet name="Matrix" sheetId="5" r:id="rId4"/>
    <sheet name="Frontier-Analytic" sheetId="15" r:id="rId5"/>
    <sheet name="Portfolio-Solver" sheetId="8" r:id="rId6"/>
    <sheet name="7stocks" sheetId="18" r:id="rId7"/>
    <sheet name="7stocks_data" sheetId="17" r:id="rId8"/>
    <sheet name="Frontier-ShortSale" sheetId="11" r:id="rId9"/>
    <sheet name="TB4WK" sheetId="21" r:id="rId10"/>
  </sheets>
  <functionGroups builtInGroupCount="19"/>
  <definedNames>
    <definedName name="_xleta.EXP" hidden="1" xlm="1">#NAME?</definedName>
    <definedName name="_xleta.LOG" hidden="1" xlm="1">#NAME?</definedName>
    <definedName name="RetData">'7stocks'!$B$4:$H$63</definedName>
    <definedName name="solver_adj" localSheetId="0" hidden="1">'2stocks'!$C$25:$C$27</definedName>
    <definedName name="solver_adj" localSheetId="6" hidden="1">'7stocks'!$M$75:$M$85</definedName>
    <definedName name="solver_adj" localSheetId="8" hidden="1">'Frontier-ShortSale'!$C$25:$C$27</definedName>
    <definedName name="solver_adj" localSheetId="5" hidden="1">'Portfolio-Solver'!$C$31:$C$32</definedName>
    <definedName name="solver_cvg" localSheetId="6" hidden="1">0.0001</definedName>
    <definedName name="solver_cvg" localSheetId="8" hidden="1">0.0001</definedName>
    <definedName name="solver_cvg" localSheetId="5" hidden="1">0.0001</definedName>
    <definedName name="solver_drv" localSheetId="6" hidden="1">1</definedName>
    <definedName name="solver_drv" localSheetId="8" hidden="1">1</definedName>
    <definedName name="solver_drv" localSheetId="5" hidden="1">1</definedName>
    <definedName name="solver_eng" localSheetId="0" hidden="1">1</definedName>
    <definedName name="solver_eng" localSheetId="2" hidden="1">1</definedName>
    <definedName name="solver_eng" localSheetId="6" hidden="1">1</definedName>
    <definedName name="solver_eng" localSheetId="8" hidden="1">1</definedName>
    <definedName name="solver_eng" localSheetId="5" hidden="1">1</definedName>
    <definedName name="solver_est" localSheetId="6" hidden="1">1</definedName>
    <definedName name="solver_est" localSheetId="8" hidden="1">1</definedName>
    <definedName name="solver_est" localSheetId="5" hidden="1">1</definedName>
    <definedName name="solver_itr" localSheetId="6" hidden="1">2147483647</definedName>
    <definedName name="solver_itr" localSheetId="8" hidden="1">2147483647</definedName>
    <definedName name="solver_itr" localSheetId="5" hidden="1">2147483647</definedName>
    <definedName name="solver_lhs1" localSheetId="0" hidden="1">'2stocks'!$C$28</definedName>
    <definedName name="solver_lhs1" localSheetId="6" hidden="1">'7stocks'!#REF!</definedName>
    <definedName name="solver_lhs1" localSheetId="8" hidden="1">'Frontier-ShortSale'!$C$28</definedName>
    <definedName name="solver_lhs1" localSheetId="5" hidden="1">'Portfolio-Solver'!$C$31</definedName>
    <definedName name="solver_lhs10" localSheetId="8" hidden="1">'Frontier-ShortSale'!$C$28</definedName>
    <definedName name="solver_lhs11" localSheetId="8" hidden="1">'Frontier-ShortSale'!$C$28</definedName>
    <definedName name="solver_lhs12" localSheetId="8" hidden="1">'Frontier-ShortSale'!$C$28</definedName>
    <definedName name="solver_lhs13" localSheetId="8" hidden="1">'Frontier-ShortSale'!$C$28</definedName>
    <definedName name="solver_lhs14" localSheetId="8" hidden="1">'Frontier-ShortSale'!$C$28</definedName>
    <definedName name="solver_lhs15" localSheetId="8" hidden="1">'Frontier-ShortSale'!$C$28</definedName>
    <definedName name="solver_lhs16" localSheetId="8" hidden="1">'Frontier-ShortSale'!$C$28</definedName>
    <definedName name="solver_lhs17" localSheetId="8" hidden="1">'Frontier-ShortSale'!$C$28</definedName>
    <definedName name="solver_lhs18" localSheetId="8" hidden="1">'Frontier-ShortSale'!$C$28</definedName>
    <definedName name="solver_lhs19" localSheetId="8" hidden="1">'Frontier-ShortSale'!$C$28</definedName>
    <definedName name="solver_lhs2" localSheetId="0" hidden="1">'2stocks'!$C$29</definedName>
    <definedName name="solver_lhs2" localSheetId="8" hidden="1">'Frontier-ShortSale'!$C$29</definedName>
    <definedName name="solver_lhs2" localSheetId="5" hidden="1">'Portfolio-Solver'!$C$32</definedName>
    <definedName name="solver_lhs20" localSheetId="8" hidden="1">'Frontier-ShortSale'!$C$28</definedName>
    <definedName name="solver_lhs21" localSheetId="8" hidden="1">'Frontier-ShortSale'!$C$28</definedName>
    <definedName name="solver_lhs22" localSheetId="8" hidden="1">'Frontier-ShortSale'!$C$28</definedName>
    <definedName name="solver_lhs23" localSheetId="8" hidden="1">'Frontier-ShortSale'!$C$28</definedName>
    <definedName name="solver_lhs24" localSheetId="8" hidden="1">'Frontier-ShortSale'!$C$28</definedName>
    <definedName name="solver_lhs25" localSheetId="8" hidden="1">'Frontier-ShortSale'!$C$29</definedName>
    <definedName name="solver_lhs26" localSheetId="8" hidden="1">'Frontier-ShortSale'!$C$29</definedName>
    <definedName name="solver_lhs27" localSheetId="8" hidden="1">'Frontier-ShortSale'!$C$29</definedName>
    <definedName name="solver_lhs28" localSheetId="8" hidden="1">'Frontier-ShortSale'!$C$29</definedName>
    <definedName name="solver_lhs29" localSheetId="8" hidden="1">'Frontier-ShortSale'!$C$29</definedName>
    <definedName name="solver_lhs3" localSheetId="8" hidden="1">'Frontier-ShortSale'!$C$28</definedName>
    <definedName name="solver_lhs3" localSheetId="5" hidden="1">'Portfolio-Solver'!$C$33</definedName>
    <definedName name="solver_lhs30" localSheetId="8" hidden="1">'Frontier-ShortSale'!$C$29</definedName>
    <definedName name="solver_lhs31" localSheetId="8" hidden="1">'Frontier-ShortSale'!$C$29</definedName>
    <definedName name="solver_lhs32" localSheetId="8" hidden="1">'Frontier-ShortSale'!$C$29</definedName>
    <definedName name="solver_lhs33" localSheetId="8" hidden="1">'Frontier-ShortSale'!$C$29</definedName>
    <definedName name="solver_lhs34" localSheetId="8" hidden="1">'Frontier-ShortSale'!$C$29</definedName>
    <definedName name="solver_lhs35" localSheetId="8" hidden="1">'Frontier-ShortSale'!$C$29</definedName>
    <definedName name="solver_lhs36" localSheetId="8" hidden="1">'Frontier-ShortSale'!$C$29</definedName>
    <definedName name="solver_lhs37" localSheetId="8" hidden="1">'Frontier-ShortSale'!$C$29</definedName>
    <definedName name="solver_lhs38" localSheetId="8" hidden="1">'Frontier-ShortSale'!$C$29</definedName>
    <definedName name="solver_lhs39" localSheetId="8" hidden="1">'Frontier-ShortSale'!$C$29</definedName>
    <definedName name="solver_lhs4" localSheetId="8" hidden="1">'Frontier-ShortSale'!$C$28</definedName>
    <definedName name="solver_lhs40" localSheetId="8" hidden="1">'Frontier-ShortSale'!$C$29</definedName>
    <definedName name="solver_lhs41" localSheetId="8" hidden="1">'Frontier-ShortSale'!$C$29</definedName>
    <definedName name="solver_lhs42" localSheetId="8" hidden="1">'Frontier-ShortSale'!$C$29</definedName>
    <definedName name="solver_lhs43" localSheetId="8" hidden="1">'Frontier-ShortSale'!$C$29</definedName>
    <definedName name="solver_lhs44" localSheetId="8" hidden="1">'Frontier-ShortSale'!$C$29</definedName>
    <definedName name="solver_lhs45" localSheetId="8" hidden="1">'Frontier-ShortSale'!$C$29</definedName>
    <definedName name="solver_lhs46" localSheetId="8" hidden="1">'Frontier-ShortSale'!$C$29</definedName>
    <definedName name="solver_lhs47" localSheetId="8" hidden="1">'Frontier-ShortSale'!$C$29</definedName>
    <definedName name="solver_lhs48" localSheetId="8" hidden="1">'Frontier-ShortSale'!$C$29</definedName>
    <definedName name="solver_lhs49" localSheetId="8" hidden="1">'Frontier-ShortSale'!$C$28</definedName>
    <definedName name="solver_lhs5" localSheetId="8" hidden="1">'Frontier-ShortSale'!$C$28</definedName>
    <definedName name="solver_lhs50" localSheetId="8" hidden="1">'Frontier-ShortSale'!$C$29</definedName>
    <definedName name="solver_lhs51" localSheetId="8" hidden="1">'Frontier-ShortSale'!$C$28</definedName>
    <definedName name="solver_lhs52" localSheetId="8" hidden="1">'Frontier-ShortSale'!$C$28</definedName>
    <definedName name="solver_lhs53" localSheetId="8" hidden="1">'Frontier-ShortSale'!$C$28</definedName>
    <definedName name="solver_lhs54" localSheetId="8" hidden="1">'Frontier-ShortSale'!$C$28</definedName>
    <definedName name="solver_lhs55" localSheetId="8" hidden="1">'Frontier-ShortSale'!$C$28</definedName>
    <definedName name="solver_lhs56" localSheetId="8" hidden="1">'Frontier-ShortSale'!$C$28</definedName>
    <definedName name="solver_lhs57" localSheetId="8" hidden="1">'Frontier-ShortSale'!$C$28</definedName>
    <definedName name="solver_lhs58" localSheetId="8" hidden="1">'Frontier-ShortSale'!$C$28</definedName>
    <definedName name="solver_lhs59" localSheetId="8" hidden="1">'Frontier-ShortSale'!$C$28</definedName>
    <definedName name="solver_lhs6" localSheetId="8" hidden="1">'Frontier-ShortSale'!$C$28</definedName>
    <definedName name="solver_lhs60" localSheetId="8" hidden="1">'Frontier-ShortSale'!$C$28</definedName>
    <definedName name="solver_lhs61" localSheetId="8" hidden="1">'Frontier-ShortSale'!$C$28</definedName>
    <definedName name="solver_lhs62" localSheetId="8" hidden="1">'Frontier-ShortSale'!$C$28</definedName>
    <definedName name="solver_lhs63" localSheetId="8" hidden="1">'Frontier-ShortSale'!$C$28</definedName>
    <definedName name="solver_lhs64" localSheetId="8" hidden="1">'Frontier-ShortSale'!$C$28</definedName>
    <definedName name="solver_lhs65" localSheetId="8" hidden="1">'Frontier-ShortSale'!$C$28</definedName>
    <definedName name="solver_lhs66" localSheetId="8" hidden="1">'Frontier-ShortSale'!$C$28</definedName>
    <definedName name="solver_lhs67" localSheetId="8" hidden="1">'Frontier-ShortSale'!$C$28</definedName>
    <definedName name="solver_lhs68" localSheetId="8" hidden="1">'Frontier-ShortSale'!$C$28</definedName>
    <definedName name="solver_lhs69" localSheetId="8" hidden="1">'Frontier-ShortSale'!$C$28</definedName>
    <definedName name="solver_lhs7" localSheetId="8" hidden="1">'Frontier-ShortSale'!$C$28</definedName>
    <definedName name="solver_lhs70" localSheetId="8" hidden="1">'Frontier-ShortSale'!$C$28</definedName>
    <definedName name="solver_lhs71" localSheetId="8" hidden="1">'Frontier-ShortSale'!$C$29</definedName>
    <definedName name="solver_lhs72" localSheetId="8" hidden="1">'Frontier-ShortSale'!$C$29</definedName>
    <definedName name="solver_lhs73" localSheetId="8" hidden="1">'Frontier-ShortSale'!$C$29</definedName>
    <definedName name="solver_lhs74" localSheetId="8" hidden="1">'Frontier-ShortSale'!$C$29</definedName>
    <definedName name="solver_lhs75" localSheetId="8" hidden="1">'Frontier-ShortSale'!$C$29</definedName>
    <definedName name="solver_lhs76" localSheetId="8" hidden="1">'Frontier-ShortSale'!$C$29</definedName>
    <definedName name="solver_lhs77" localSheetId="8" hidden="1">'Frontier-ShortSale'!$C$29</definedName>
    <definedName name="solver_lhs78" localSheetId="8" hidden="1">'Frontier-ShortSale'!$C$29</definedName>
    <definedName name="solver_lhs79" localSheetId="8" hidden="1">'Frontier-ShortSale'!$C$29</definedName>
    <definedName name="solver_lhs8" localSheetId="8" hidden="1">'Frontier-ShortSale'!$C$28</definedName>
    <definedName name="solver_lhs80" localSheetId="8" hidden="1">'Frontier-ShortSale'!$C$29</definedName>
    <definedName name="solver_lhs81" localSheetId="8" hidden="1">'Frontier-ShortSale'!$C$29</definedName>
    <definedName name="solver_lhs82" localSheetId="8" hidden="1">'Frontier-ShortSale'!$C$29</definedName>
    <definedName name="solver_lhs83" localSheetId="8" hidden="1">'Frontier-ShortSale'!$C$29</definedName>
    <definedName name="solver_lhs84" localSheetId="8" hidden="1">'Frontier-ShortSale'!$C$29</definedName>
    <definedName name="solver_lhs85" localSheetId="8" hidden="1">'Frontier-ShortSale'!$C$29</definedName>
    <definedName name="solver_lhs86" localSheetId="8" hidden="1">'Frontier-ShortSale'!$C$29</definedName>
    <definedName name="solver_lhs87" localSheetId="8" hidden="1">'Frontier-ShortSale'!$C$29</definedName>
    <definedName name="solver_lhs88" localSheetId="8" hidden="1">'Frontier-ShortSale'!$C$29</definedName>
    <definedName name="solver_lhs89" localSheetId="8" hidden="1">'Frontier-ShortSale'!$C$29</definedName>
    <definedName name="solver_lhs9" localSheetId="8" hidden="1">'Frontier-ShortSale'!$C$28</definedName>
    <definedName name="solver_lhs90" localSheetId="8" hidden="1">'Frontier-ShortSale'!$C$29</definedName>
    <definedName name="solver_lhs91" localSheetId="8" hidden="1">'Frontier-ShortSale'!$C$29</definedName>
    <definedName name="solver_lhs92" localSheetId="8" hidden="1">'Frontier-ShortSale'!$C$29</definedName>
    <definedName name="solver_lin" localSheetId="0" hidden="1">2</definedName>
    <definedName name="solver_lin" localSheetId="2" hidden="1">2</definedName>
    <definedName name="solver_lin" localSheetId="8" hidden="1">2</definedName>
    <definedName name="solver_lin" localSheetId="5" hidden="1">2</definedName>
    <definedName name="solver_mip" localSheetId="6" hidden="1">2147483647</definedName>
    <definedName name="solver_mip" localSheetId="8" hidden="1">2147483647</definedName>
    <definedName name="solver_mip" localSheetId="5" hidden="1">2147483647</definedName>
    <definedName name="solver_mni" localSheetId="6" hidden="1">30</definedName>
    <definedName name="solver_mni" localSheetId="8" hidden="1">30</definedName>
    <definedName name="solver_mni" localSheetId="5" hidden="1">30</definedName>
    <definedName name="solver_mrt" localSheetId="6" hidden="1">0.075</definedName>
    <definedName name="solver_mrt" localSheetId="8" hidden="1">0.075</definedName>
    <definedName name="solver_mrt" localSheetId="5" hidden="1">0.075</definedName>
    <definedName name="solver_msl" localSheetId="6" hidden="1">2</definedName>
    <definedName name="solver_msl" localSheetId="8" hidden="1">2</definedName>
    <definedName name="solver_msl" localSheetId="5" hidden="1">2</definedName>
    <definedName name="solver_neg" localSheetId="0" hidden="1">1</definedName>
    <definedName name="solver_neg" localSheetId="2" hidden="1">1</definedName>
    <definedName name="solver_neg" localSheetId="6" hidden="1">2</definedName>
    <definedName name="solver_neg" localSheetId="8" hidden="1">1</definedName>
    <definedName name="solver_neg" localSheetId="5" hidden="1">2</definedName>
    <definedName name="solver_nod" localSheetId="6" hidden="1">2147483647</definedName>
    <definedName name="solver_nod" localSheetId="8" hidden="1">2147483647</definedName>
    <definedName name="solver_nod" localSheetId="5" hidden="1">2147483647</definedName>
    <definedName name="solver_num" localSheetId="0" hidden="1">2</definedName>
    <definedName name="solver_num" localSheetId="2" hidden="1">0</definedName>
    <definedName name="solver_num" localSheetId="6" hidden="1">1</definedName>
    <definedName name="solver_num" localSheetId="8" hidden="1">2</definedName>
    <definedName name="solver_num" localSheetId="5" hidden="1">0</definedName>
    <definedName name="solver_nwt" localSheetId="6" hidden="1">1</definedName>
    <definedName name="solver_nwt" localSheetId="8" hidden="1">1</definedName>
    <definedName name="solver_nwt" localSheetId="5" hidden="1">1</definedName>
    <definedName name="solver_opt" localSheetId="0" hidden="1">'2stocks'!$C$30</definedName>
    <definedName name="solver_opt" localSheetId="2" hidden="1">'2stocks_portfolio'!$T$35</definedName>
    <definedName name="solver_opt" localSheetId="6" hidden="1">'7stocks'!$L$38</definedName>
    <definedName name="solver_opt" localSheetId="8" hidden="1">'Frontier-ShortSale'!$C$30</definedName>
    <definedName name="solver_opt" localSheetId="5" hidden="1">'Portfolio-Solver'!$C$25</definedName>
    <definedName name="solver_pre" localSheetId="6" hidden="1">0.000001</definedName>
    <definedName name="solver_pre" localSheetId="8" hidden="1">0.000001</definedName>
    <definedName name="solver_pre" localSheetId="5" hidden="1">0.000001</definedName>
    <definedName name="solver_rbv" localSheetId="6" hidden="1">1</definedName>
    <definedName name="solver_rbv" localSheetId="8" hidden="1">1</definedName>
    <definedName name="solver_rbv" localSheetId="5" hidden="1">1</definedName>
    <definedName name="solver_rel1" localSheetId="0" hidden="1">2</definedName>
    <definedName name="solver_rel1" localSheetId="6" hidden="1">2</definedName>
    <definedName name="solver_rel1" localSheetId="8" hidden="1">2</definedName>
    <definedName name="solver_rel1" localSheetId="5" hidden="1">3</definedName>
    <definedName name="solver_rel10" localSheetId="8" hidden="1">2</definedName>
    <definedName name="solver_rel11" localSheetId="8" hidden="1">2</definedName>
    <definedName name="solver_rel12" localSheetId="8" hidden="1">2</definedName>
    <definedName name="solver_rel13" localSheetId="8" hidden="1">2</definedName>
    <definedName name="solver_rel14" localSheetId="8" hidden="1">2</definedName>
    <definedName name="solver_rel15" localSheetId="8" hidden="1">2</definedName>
    <definedName name="solver_rel16" localSheetId="8" hidden="1">2</definedName>
    <definedName name="solver_rel17" localSheetId="8" hidden="1">2</definedName>
    <definedName name="solver_rel18" localSheetId="8" hidden="1">2</definedName>
    <definedName name="solver_rel19" localSheetId="8" hidden="1">2</definedName>
    <definedName name="solver_rel2" localSheetId="0" hidden="1">2</definedName>
    <definedName name="solver_rel2" localSheetId="8" hidden="1">2</definedName>
    <definedName name="solver_rel2" localSheetId="5" hidden="1">3</definedName>
    <definedName name="solver_rel20" localSheetId="8" hidden="1">2</definedName>
    <definedName name="solver_rel21" localSheetId="8" hidden="1">2</definedName>
    <definedName name="solver_rel22" localSheetId="8" hidden="1">2</definedName>
    <definedName name="solver_rel23" localSheetId="8" hidden="1">2</definedName>
    <definedName name="solver_rel24" localSheetId="8" hidden="1">2</definedName>
    <definedName name="solver_rel25" localSheetId="8" hidden="1">2</definedName>
    <definedName name="solver_rel26" localSheetId="8" hidden="1">2</definedName>
    <definedName name="solver_rel27" localSheetId="8" hidden="1">2</definedName>
    <definedName name="solver_rel28" localSheetId="8" hidden="1">2</definedName>
    <definedName name="solver_rel29" localSheetId="8" hidden="1">2</definedName>
    <definedName name="solver_rel3" localSheetId="8" hidden="1">2</definedName>
    <definedName name="solver_rel3" localSheetId="5" hidden="1">3</definedName>
    <definedName name="solver_rel30" localSheetId="8" hidden="1">2</definedName>
    <definedName name="solver_rel31" localSheetId="8" hidden="1">2</definedName>
    <definedName name="solver_rel32" localSheetId="8" hidden="1">2</definedName>
    <definedName name="solver_rel33" localSheetId="8" hidden="1">2</definedName>
    <definedName name="solver_rel34" localSheetId="8" hidden="1">2</definedName>
    <definedName name="solver_rel35" localSheetId="8" hidden="1">2</definedName>
    <definedName name="solver_rel36" localSheetId="8" hidden="1">2</definedName>
    <definedName name="solver_rel37" localSheetId="8" hidden="1">2</definedName>
    <definedName name="solver_rel38" localSheetId="8" hidden="1">2</definedName>
    <definedName name="solver_rel39" localSheetId="8" hidden="1">2</definedName>
    <definedName name="solver_rel4" localSheetId="8" hidden="1">2</definedName>
    <definedName name="solver_rel40" localSheetId="8" hidden="1">2</definedName>
    <definedName name="solver_rel41" localSheetId="8" hidden="1">2</definedName>
    <definedName name="solver_rel42" localSheetId="8" hidden="1">2</definedName>
    <definedName name="solver_rel43" localSheetId="8" hidden="1">2</definedName>
    <definedName name="solver_rel44" localSheetId="8" hidden="1">2</definedName>
    <definedName name="solver_rel45" localSheetId="8" hidden="1">2</definedName>
    <definedName name="solver_rel46" localSheetId="8" hidden="1">2</definedName>
    <definedName name="solver_rel47" localSheetId="8" hidden="1">2</definedName>
    <definedName name="solver_rel48" localSheetId="8" hidden="1">2</definedName>
    <definedName name="solver_rel49" localSheetId="8" hidden="1">2</definedName>
    <definedName name="solver_rel5" localSheetId="8" hidden="1">2</definedName>
    <definedName name="solver_rel50" localSheetId="8" hidden="1">2</definedName>
    <definedName name="solver_rel51" localSheetId="8" hidden="1">2</definedName>
    <definedName name="solver_rel52" localSheetId="8" hidden="1">2</definedName>
    <definedName name="solver_rel53" localSheetId="8" hidden="1">2</definedName>
    <definedName name="solver_rel54" localSheetId="8" hidden="1">2</definedName>
    <definedName name="solver_rel55" localSheetId="8" hidden="1">2</definedName>
    <definedName name="solver_rel56" localSheetId="8" hidden="1">2</definedName>
    <definedName name="solver_rel57" localSheetId="8" hidden="1">2</definedName>
    <definedName name="solver_rel58" localSheetId="8" hidden="1">2</definedName>
    <definedName name="solver_rel59" localSheetId="8" hidden="1">2</definedName>
    <definedName name="solver_rel6" localSheetId="8" hidden="1">2</definedName>
    <definedName name="solver_rel60" localSheetId="8" hidden="1">2</definedName>
    <definedName name="solver_rel61" localSheetId="8" hidden="1">2</definedName>
    <definedName name="solver_rel62" localSheetId="8" hidden="1">2</definedName>
    <definedName name="solver_rel63" localSheetId="8" hidden="1">2</definedName>
    <definedName name="solver_rel64" localSheetId="8" hidden="1">2</definedName>
    <definedName name="solver_rel65" localSheetId="8" hidden="1">2</definedName>
    <definedName name="solver_rel66" localSheetId="8" hidden="1">2</definedName>
    <definedName name="solver_rel67" localSheetId="8" hidden="1">2</definedName>
    <definedName name="solver_rel68" localSheetId="8" hidden="1">2</definedName>
    <definedName name="solver_rel69" localSheetId="8" hidden="1">2</definedName>
    <definedName name="solver_rel7" localSheetId="8" hidden="1">2</definedName>
    <definedName name="solver_rel70" localSheetId="8" hidden="1">2</definedName>
    <definedName name="solver_rel71" localSheetId="8" hidden="1">2</definedName>
    <definedName name="solver_rel72" localSheetId="8" hidden="1">2</definedName>
    <definedName name="solver_rel73" localSheetId="8" hidden="1">2</definedName>
    <definedName name="solver_rel74" localSheetId="8" hidden="1">2</definedName>
    <definedName name="solver_rel75" localSheetId="8" hidden="1">2</definedName>
    <definedName name="solver_rel76" localSheetId="8" hidden="1">2</definedName>
    <definedName name="solver_rel77" localSheetId="8" hidden="1">2</definedName>
    <definedName name="solver_rel78" localSheetId="8" hidden="1">2</definedName>
    <definedName name="solver_rel79" localSheetId="8" hidden="1">2</definedName>
    <definedName name="solver_rel8" localSheetId="8" hidden="1">2</definedName>
    <definedName name="solver_rel80" localSheetId="8" hidden="1">2</definedName>
    <definedName name="solver_rel81" localSheetId="8" hidden="1">2</definedName>
    <definedName name="solver_rel82" localSheetId="8" hidden="1">2</definedName>
    <definedName name="solver_rel83" localSheetId="8" hidden="1">2</definedName>
    <definedName name="solver_rel84" localSheetId="8" hidden="1">2</definedName>
    <definedName name="solver_rel85" localSheetId="8" hidden="1">2</definedName>
    <definedName name="solver_rel86" localSheetId="8" hidden="1">2</definedName>
    <definedName name="solver_rel87" localSheetId="8" hidden="1">2</definedName>
    <definedName name="solver_rel88" localSheetId="8" hidden="1">2</definedName>
    <definedName name="solver_rel89" localSheetId="8" hidden="1">2</definedName>
    <definedName name="solver_rel9" localSheetId="8" hidden="1">2</definedName>
    <definedName name="solver_rel90" localSheetId="8" hidden="1">2</definedName>
    <definedName name="solver_rel91" localSheetId="8" hidden="1">2</definedName>
    <definedName name="solver_rel92" localSheetId="8" hidden="1">2</definedName>
    <definedName name="solver_rhs1" localSheetId="0" hidden="1">1</definedName>
    <definedName name="solver_rhs1" localSheetId="6" hidden="1">1</definedName>
    <definedName name="solver_rhs1" localSheetId="8" hidden="1">1</definedName>
    <definedName name="solver_rhs1" localSheetId="5" hidden="1">0</definedName>
    <definedName name="solver_rhs10" localSheetId="8" hidden="1">1</definedName>
    <definedName name="solver_rhs11" localSheetId="8" hidden="1">1</definedName>
    <definedName name="solver_rhs12" localSheetId="8" hidden="1">1</definedName>
    <definedName name="solver_rhs13" localSheetId="8" hidden="1">1</definedName>
    <definedName name="solver_rhs14" localSheetId="8" hidden="1">1</definedName>
    <definedName name="solver_rhs15" localSheetId="8" hidden="1">1</definedName>
    <definedName name="solver_rhs16" localSheetId="8" hidden="1">1</definedName>
    <definedName name="solver_rhs17" localSheetId="8" hidden="1">1</definedName>
    <definedName name="solver_rhs18" localSheetId="8" hidden="1">1</definedName>
    <definedName name="solver_rhs19" localSheetId="8" hidden="1">1</definedName>
    <definedName name="solver_rhs2" localSheetId="0" hidden="1">'2stocks'!$C$20</definedName>
    <definedName name="solver_rhs2" localSheetId="8" hidden="1">'Frontier-ShortSale'!$C$20</definedName>
    <definedName name="solver_rhs2" localSheetId="5" hidden="1">0</definedName>
    <definedName name="solver_rhs20" localSheetId="8" hidden="1">1</definedName>
    <definedName name="solver_rhs21" localSheetId="8" hidden="1">1</definedName>
    <definedName name="solver_rhs22" localSheetId="8" hidden="1">1</definedName>
    <definedName name="solver_rhs23" localSheetId="8" hidden="1">1</definedName>
    <definedName name="solver_rhs24" localSheetId="8" hidden="1">1</definedName>
    <definedName name="solver_rhs25" localSheetId="8" hidden="1">'Frontier-ShortSale'!$C$20</definedName>
    <definedName name="solver_rhs26" localSheetId="8" hidden="1">'Frontier-ShortSale'!$C$20</definedName>
    <definedName name="solver_rhs27" localSheetId="8" hidden="1">'Frontier-ShortSale'!$C$20</definedName>
    <definedName name="solver_rhs28" localSheetId="8" hidden="1">'Frontier-ShortSale'!$C$20</definedName>
    <definedName name="solver_rhs29" localSheetId="8" hidden="1">'Frontier-ShortSale'!$C$20</definedName>
    <definedName name="solver_rhs3" localSheetId="8" hidden="1">1</definedName>
    <definedName name="solver_rhs3" localSheetId="5" hidden="1">0</definedName>
    <definedName name="solver_rhs30" localSheetId="8" hidden="1">'Frontier-ShortSale'!$C$20</definedName>
    <definedName name="solver_rhs31" localSheetId="8" hidden="1">'Frontier-ShortSale'!$C$20</definedName>
    <definedName name="solver_rhs32" localSheetId="8" hidden="1">'Frontier-ShortSale'!$C$20</definedName>
    <definedName name="solver_rhs33" localSheetId="8" hidden="1">'Frontier-ShortSale'!$C$20</definedName>
    <definedName name="solver_rhs34" localSheetId="8" hidden="1">'Frontier-ShortSale'!$C$20</definedName>
    <definedName name="solver_rhs35" localSheetId="8" hidden="1">'Frontier-ShortSale'!$C$20</definedName>
    <definedName name="solver_rhs36" localSheetId="8" hidden="1">'Frontier-ShortSale'!$C$20</definedName>
    <definedName name="solver_rhs37" localSheetId="8" hidden="1">'Frontier-ShortSale'!$C$20</definedName>
    <definedName name="solver_rhs38" localSheetId="8" hidden="1">'Frontier-ShortSale'!$C$20</definedName>
    <definedName name="solver_rhs39" localSheetId="8" hidden="1">'Frontier-ShortSale'!$C$20</definedName>
    <definedName name="solver_rhs4" localSheetId="8" hidden="1">1</definedName>
    <definedName name="solver_rhs40" localSheetId="8" hidden="1">'Frontier-ShortSale'!$C$20</definedName>
    <definedName name="solver_rhs41" localSheetId="8" hidden="1">'Frontier-ShortSale'!$C$20</definedName>
    <definedName name="solver_rhs42" localSheetId="8" hidden="1">'Frontier-ShortSale'!$C$20</definedName>
    <definedName name="solver_rhs43" localSheetId="8" hidden="1">'Frontier-ShortSale'!$C$20</definedName>
    <definedName name="solver_rhs44" localSheetId="8" hidden="1">'Frontier-ShortSale'!$C$20</definedName>
    <definedName name="solver_rhs45" localSheetId="8" hidden="1">'Frontier-ShortSale'!$C$20</definedName>
    <definedName name="solver_rhs46" localSheetId="8" hidden="1">'Frontier-ShortSale'!$C$20</definedName>
    <definedName name="solver_rhs47" localSheetId="8" hidden="1">'Frontier-ShortSale'!$C$20</definedName>
    <definedName name="solver_rhs48" localSheetId="8" hidden="1">'Frontier-ShortSale'!$C$20</definedName>
    <definedName name="solver_rhs49" localSheetId="8" hidden="1">1</definedName>
    <definedName name="solver_rhs5" localSheetId="8" hidden="1">1</definedName>
    <definedName name="solver_rhs50" localSheetId="8" hidden="1">+'Frontier-ShortSale'!$C$20</definedName>
    <definedName name="solver_rhs51" localSheetId="8" hidden="1">1</definedName>
    <definedName name="solver_rhs52" localSheetId="8" hidden="1">1</definedName>
    <definedName name="solver_rhs53" localSheetId="8" hidden="1">1</definedName>
    <definedName name="solver_rhs54" localSheetId="8" hidden="1">1</definedName>
    <definedName name="solver_rhs55" localSheetId="8" hidden="1">1</definedName>
    <definedName name="solver_rhs56" localSheetId="8" hidden="1">1</definedName>
    <definedName name="solver_rhs57" localSheetId="8" hidden="1">1</definedName>
    <definedName name="solver_rhs58" localSheetId="8" hidden="1">1</definedName>
    <definedName name="solver_rhs59" localSheetId="8" hidden="1">1</definedName>
    <definedName name="solver_rhs6" localSheetId="8" hidden="1">1</definedName>
    <definedName name="solver_rhs60" localSheetId="8" hidden="1">1</definedName>
    <definedName name="solver_rhs61" localSheetId="8" hidden="1">1</definedName>
    <definedName name="solver_rhs62" localSheetId="8" hidden="1">1</definedName>
    <definedName name="solver_rhs63" localSheetId="8" hidden="1">1</definedName>
    <definedName name="solver_rhs64" localSheetId="8" hidden="1">1</definedName>
    <definedName name="solver_rhs65" localSheetId="8" hidden="1">1</definedName>
    <definedName name="solver_rhs66" localSheetId="8" hidden="1">1</definedName>
    <definedName name="solver_rhs67" localSheetId="8" hidden="1">1</definedName>
    <definedName name="solver_rhs68" localSheetId="8" hidden="1">1</definedName>
    <definedName name="solver_rhs69" localSheetId="8" hidden="1">1</definedName>
    <definedName name="solver_rhs7" localSheetId="8" hidden="1">1</definedName>
    <definedName name="solver_rhs70" localSheetId="8" hidden="1">1</definedName>
    <definedName name="solver_rhs71" localSheetId="8" hidden="1">'Frontier-ShortSale'!$C$20</definedName>
    <definedName name="solver_rhs72" localSheetId="8" hidden="1">'Frontier-ShortSale'!$C$20</definedName>
    <definedName name="solver_rhs73" localSheetId="8" hidden="1">'Frontier-ShortSale'!$C$20</definedName>
    <definedName name="solver_rhs74" localSheetId="8" hidden="1">'Frontier-ShortSale'!$C$20</definedName>
    <definedName name="solver_rhs75" localSheetId="8" hidden="1">'Frontier-ShortSale'!$C$20</definedName>
    <definedName name="solver_rhs76" localSheetId="8" hidden="1">'Frontier-ShortSale'!$C$20</definedName>
    <definedName name="solver_rhs77" localSheetId="8" hidden="1">'Frontier-ShortSale'!$C$20</definedName>
    <definedName name="solver_rhs78" localSheetId="8" hidden="1">'Frontier-ShortSale'!$C$20</definedName>
    <definedName name="solver_rhs79" localSheetId="8" hidden="1">'Frontier-ShortSale'!$C$20</definedName>
    <definedName name="solver_rhs8" localSheetId="8" hidden="1">1</definedName>
    <definedName name="solver_rhs80" localSheetId="8" hidden="1">'Frontier-ShortSale'!$C$20</definedName>
    <definedName name="solver_rhs81" localSheetId="8" hidden="1">'Frontier-ShortSale'!$C$20</definedName>
    <definedName name="solver_rhs82" localSheetId="8" hidden="1">'Frontier-ShortSale'!$C$20</definedName>
    <definedName name="solver_rhs83" localSheetId="8" hidden="1">'Frontier-ShortSale'!$C$20</definedName>
    <definedName name="solver_rhs84" localSheetId="8" hidden="1">'Frontier-ShortSale'!$C$20</definedName>
    <definedName name="solver_rhs85" localSheetId="8" hidden="1">'Frontier-ShortSale'!$C$20</definedName>
    <definedName name="solver_rhs86" localSheetId="8" hidden="1">'Frontier-ShortSale'!$C$20</definedName>
    <definedName name="solver_rhs87" localSheetId="8" hidden="1">'Frontier-ShortSale'!$C$20</definedName>
    <definedName name="solver_rhs88" localSheetId="8" hidden="1">'Frontier-ShortSale'!$C$20</definedName>
    <definedName name="solver_rhs89" localSheetId="8" hidden="1">'Frontier-ShortSale'!$C$20</definedName>
    <definedName name="solver_rhs9" localSheetId="8" hidden="1">1</definedName>
    <definedName name="solver_rhs90" localSheetId="8" hidden="1">'Frontier-ShortSale'!$C$20</definedName>
    <definedName name="solver_rhs91" localSheetId="8" hidden="1">'Frontier-ShortSale'!$C$20</definedName>
    <definedName name="solver_rhs92" localSheetId="8" hidden="1">'Frontier-ShortSale'!$C$20</definedName>
    <definedName name="solver_rlx" localSheetId="6" hidden="1">2</definedName>
    <definedName name="solver_rlx" localSheetId="8" hidden="1">2</definedName>
    <definedName name="solver_rlx" localSheetId="5" hidden="1">2</definedName>
    <definedName name="solver_rsd" localSheetId="6" hidden="1">0</definedName>
    <definedName name="solver_rsd" localSheetId="8" hidden="1">0</definedName>
    <definedName name="solver_rsd" localSheetId="5" hidden="1">0</definedName>
    <definedName name="solver_scl" localSheetId="6" hidden="1">1</definedName>
    <definedName name="solver_scl" localSheetId="8" hidden="1">1</definedName>
    <definedName name="solver_scl" localSheetId="5" hidden="1">1</definedName>
    <definedName name="solver_sho" localSheetId="6" hidden="1">2</definedName>
    <definedName name="solver_sho" localSheetId="8" hidden="1">2</definedName>
    <definedName name="solver_sho" localSheetId="5" hidden="1">2</definedName>
    <definedName name="solver_ssz" localSheetId="6" hidden="1">100</definedName>
    <definedName name="solver_ssz" localSheetId="8" hidden="1">100</definedName>
    <definedName name="solver_ssz" localSheetId="5" hidden="1">100</definedName>
    <definedName name="solver_tim" localSheetId="6" hidden="1">2147483647</definedName>
    <definedName name="solver_tim" localSheetId="8" hidden="1">2147483647</definedName>
    <definedName name="solver_tim" localSheetId="5" hidden="1">2147483647</definedName>
    <definedName name="solver_tol" localSheetId="6" hidden="1">0.01</definedName>
    <definedName name="solver_tol" localSheetId="8" hidden="1">0.01</definedName>
    <definedName name="solver_tol" localSheetId="5" hidden="1">0.01</definedName>
    <definedName name="solver_typ" localSheetId="0" hidden="1">2</definedName>
    <definedName name="solver_typ" localSheetId="2" hidden="1">1</definedName>
    <definedName name="solver_typ" localSheetId="6" hidden="1">1</definedName>
    <definedName name="solver_typ" localSheetId="8" hidden="1">2</definedName>
    <definedName name="solver_typ" localSheetId="5" hidden="1">1</definedName>
    <definedName name="solver_val" localSheetId="0" hidden="1">0</definedName>
    <definedName name="solver_val" localSheetId="2" hidden="1">0</definedName>
    <definedName name="solver_val" localSheetId="6" hidden="1">0</definedName>
    <definedName name="solver_val" localSheetId="8" hidden="1">0</definedName>
    <definedName name="solver_val" localSheetId="5" hidden="1">0</definedName>
    <definedName name="solver_ver" localSheetId="0" hidden="1">2</definedName>
    <definedName name="solver_ver" localSheetId="2" hidden="1">2</definedName>
    <definedName name="solver_ver" localSheetId="6" hidden="1">3</definedName>
    <definedName name="solver_ver" localSheetId="8" hidden="1">2</definedName>
    <definedName name="solver_ver" localSheetId="5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7" i="18" l="1" a="1"/>
  <c r="K37" i="18"/>
  <c r="K36" i="18" a="1"/>
  <c r="K36" i="18"/>
  <c r="C30" i="11" a="1"/>
  <c r="C30" i="11" s="1"/>
  <c r="C29" i="11" a="1"/>
  <c r="C29" i="11" s="1"/>
  <c r="Y37" i="18" a="1"/>
  <c r="Y37" i="18" s="1"/>
  <c r="K30" i="18" a="1"/>
  <c r="K30" i="18" s="1"/>
  <c r="Z24" i="18" l="1"/>
  <c r="K6" i="18"/>
  <c r="K10" i="18"/>
  <c r="L10" i="18"/>
  <c r="M10" i="18"/>
  <c r="N10" i="18"/>
  <c r="O10" i="18"/>
  <c r="K24" i="18"/>
  <c r="Y10" i="18"/>
  <c r="Y6" i="18"/>
  <c r="K43" i="18"/>
  <c r="K2" i="18"/>
  <c r="Y30" i="18" s="1" a="1"/>
  <c r="Y30" i="18" s="1"/>
  <c r="B4" i="18"/>
  <c r="C4" i="18"/>
  <c r="D4" i="18"/>
  <c r="E4" i="18"/>
  <c r="F4" i="18"/>
  <c r="G4" i="18"/>
  <c r="H4" i="18"/>
  <c r="B5" i="18"/>
  <c r="C5" i="18"/>
  <c r="D5" i="18"/>
  <c r="E5" i="18"/>
  <c r="F5" i="18"/>
  <c r="G5" i="18"/>
  <c r="H5" i="18"/>
  <c r="B6" i="18"/>
  <c r="C6" i="18"/>
  <c r="D6" i="18"/>
  <c r="E6" i="18"/>
  <c r="F6" i="18"/>
  <c r="G6" i="18"/>
  <c r="H6" i="18"/>
  <c r="B7" i="18"/>
  <c r="C7" i="18"/>
  <c r="Z7" i="18" s="1"/>
  <c r="D7" i="18"/>
  <c r="AA7" i="18" s="1"/>
  <c r="E7" i="18"/>
  <c r="AB7" i="18" s="1"/>
  <c r="F7" i="18"/>
  <c r="G7" i="18"/>
  <c r="H7" i="18"/>
  <c r="B8" i="18"/>
  <c r="C8" i="18"/>
  <c r="D8" i="18"/>
  <c r="E8" i="18"/>
  <c r="F8" i="18"/>
  <c r="G8" i="18"/>
  <c r="H8" i="18"/>
  <c r="B9" i="18"/>
  <c r="C9" i="18"/>
  <c r="D9" i="18"/>
  <c r="E9" i="18"/>
  <c r="F9" i="18"/>
  <c r="G9" i="18"/>
  <c r="H9" i="18"/>
  <c r="B10" i="18"/>
  <c r="C10" i="18"/>
  <c r="D10" i="18"/>
  <c r="E10" i="18"/>
  <c r="F10" i="18"/>
  <c r="G10" i="18"/>
  <c r="H10" i="18"/>
  <c r="B11" i="18"/>
  <c r="C11" i="18"/>
  <c r="D11" i="18"/>
  <c r="E11" i="18"/>
  <c r="F11" i="18"/>
  <c r="G11" i="18"/>
  <c r="H11" i="18"/>
  <c r="B12" i="18"/>
  <c r="C12" i="18"/>
  <c r="D12" i="18"/>
  <c r="E12" i="18"/>
  <c r="F12" i="18"/>
  <c r="G12" i="18"/>
  <c r="H12" i="18"/>
  <c r="B13" i="18"/>
  <c r="C13" i="18"/>
  <c r="D13" i="18"/>
  <c r="E13" i="18"/>
  <c r="F13" i="18"/>
  <c r="G13" i="18"/>
  <c r="H13" i="18"/>
  <c r="B14" i="18"/>
  <c r="C14" i="18"/>
  <c r="D14" i="18"/>
  <c r="E14" i="18"/>
  <c r="F14" i="18"/>
  <c r="G14" i="18"/>
  <c r="H14" i="18"/>
  <c r="B15" i="18"/>
  <c r="C15" i="18"/>
  <c r="D15" i="18"/>
  <c r="E15" i="18"/>
  <c r="F15" i="18"/>
  <c r="G15" i="18"/>
  <c r="H15" i="18"/>
  <c r="B16" i="18"/>
  <c r="C16" i="18"/>
  <c r="D16" i="18"/>
  <c r="E16" i="18"/>
  <c r="F16" i="18"/>
  <c r="G16" i="18"/>
  <c r="H16" i="18"/>
  <c r="B17" i="18"/>
  <c r="C17" i="18"/>
  <c r="D17" i="18"/>
  <c r="E17" i="18"/>
  <c r="F17" i="18"/>
  <c r="G17" i="18"/>
  <c r="H17" i="18"/>
  <c r="B18" i="18"/>
  <c r="C18" i="18"/>
  <c r="D18" i="18"/>
  <c r="E18" i="18"/>
  <c r="F18" i="18"/>
  <c r="G18" i="18"/>
  <c r="H18" i="18"/>
  <c r="B19" i="18"/>
  <c r="C19" i="18"/>
  <c r="D19" i="18"/>
  <c r="E19" i="18"/>
  <c r="F19" i="18"/>
  <c r="G19" i="18"/>
  <c r="H19" i="18"/>
  <c r="B20" i="18"/>
  <c r="C20" i="18"/>
  <c r="D20" i="18"/>
  <c r="E20" i="18"/>
  <c r="F20" i="18"/>
  <c r="G20" i="18"/>
  <c r="H20" i="18"/>
  <c r="B21" i="18"/>
  <c r="C21" i="18"/>
  <c r="D21" i="18"/>
  <c r="E21" i="18"/>
  <c r="F21" i="18"/>
  <c r="G21" i="18"/>
  <c r="H21" i="18"/>
  <c r="B22" i="18"/>
  <c r="C22" i="18"/>
  <c r="D22" i="18"/>
  <c r="E22" i="18"/>
  <c r="F22" i="18"/>
  <c r="G22" i="18"/>
  <c r="H22" i="18"/>
  <c r="B23" i="18"/>
  <c r="C23" i="18"/>
  <c r="D23" i="18"/>
  <c r="E23" i="18"/>
  <c r="F23" i="18"/>
  <c r="G23" i="18"/>
  <c r="H23" i="18"/>
  <c r="B24" i="18"/>
  <c r="C24" i="18"/>
  <c r="D24" i="18"/>
  <c r="E24" i="18"/>
  <c r="F24" i="18"/>
  <c r="G24" i="18"/>
  <c r="H24" i="18"/>
  <c r="B25" i="18"/>
  <c r="C25" i="18"/>
  <c r="D25" i="18"/>
  <c r="E25" i="18"/>
  <c r="F25" i="18"/>
  <c r="G25" i="18"/>
  <c r="H25" i="18"/>
  <c r="B26" i="18"/>
  <c r="C26" i="18"/>
  <c r="D26" i="18"/>
  <c r="E26" i="18"/>
  <c r="F26" i="18"/>
  <c r="G26" i="18"/>
  <c r="H26" i="18"/>
  <c r="B27" i="18"/>
  <c r="C27" i="18"/>
  <c r="D27" i="18"/>
  <c r="E27" i="18"/>
  <c r="F27" i="18"/>
  <c r="G27" i="18"/>
  <c r="H27" i="18"/>
  <c r="B28" i="18"/>
  <c r="C28" i="18"/>
  <c r="D28" i="18"/>
  <c r="E28" i="18"/>
  <c r="F28" i="18"/>
  <c r="G28" i="18"/>
  <c r="H28" i="18"/>
  <c r="B29" i="18"/>
  <c r="C29" i="18"/>
  <c r="D29" i="18"/>
  <c r="E29" i="18"/>
  <c r="F29" i="18"/>
  <c r="G29" i="18"/>
  <c r="H29" i="18"/>
  <c r="B30" i="18"/>
  <c r="C30" i="18"/>
  <c r="D30" i="18"/>
  <c r="E30" i="18"/>
  <c r="F30" i="18"/>
  <c r="G30" i="18"/>
  <c r="H30" i="18"/>
  <c r="B31" i="18"/>
  <c r="C31" i="18"/>
  <c r="D31" i="18"/>
  <c r="E31" i="18"/>
  <c r="F31" i="18"/>
  <c r="G31" i="18"/>
  <c r="H31" i="18"/>
  <c r="B32" i="18"/>
  <c r="C32" i="18"/>
  <c r="D32" i="18"/>
  <c r="E32" i="18"/>
  <c r="F32" i="18"/>
  <c r="G32" i="18"/>
  <c r="H32" i="18"/>
  <c r="B33" i="18"/>
  <c r="C33" i="18"/>
  <c r="D33" i="18"/>
  <c r="E33" i="18"/>
  <c r="F33" i="18"/>
  <c r="G33" i="18"/>
  <c r="H33" i="18"/>
  <c r="B34" i="18"/>
  <c r="C34" i="18"/>
  <c r="D34" i="18"/>
  <c r="E34" i="18"/>
  <c r="F34" i="18"/>
  <c r="G34" i="18"/>
  <c r="H34" i="18"/>
  <c r="B35" i="18"/>
  <c r="C35" i="18"/>
  <c r="D35" i="18"/>
  <c r="E35" i="18"/>
  <c r="F35" i="18"/>
  <c r="G35" i="18"/>
  <c r="H35" i="18"/>
  <c r="B36" i="18"/>
  <c r="C36" i="18"/>
  <c r="D36" i="18"/>
  <c r="E36" i="18"/>
  <c r="F36" i="18"/>
  <c r="G36" i="18"/>
  <c r="H36" i="18"/>
  <c r="B37" i="18"/>
  <c r="C37" i="18"/>
  <c r="D37" i="18"/>
  <c r="E37" i="18"/>
  <c r="F37" i="18"/>
  <c r="G37" i="18"/>
  <c r="H37" i="18"/>
  <c r="B38" i="18"/>
  <c r="C38" i="18"/>
  <c r="D38" i="18"/>
  <c r="E38" i="18"/>
  <c r="F38" i="18"/>
  <c r="G38" i="18"/>
  <c r="H38" i="18"/>
  <c r="B39" i="18"/>
  <c r="C39" i="18"/>
  <c r="D39" i="18"/>
  <c r="E39" i="18"/>
  <c r="F39" i="18"/>
  <c r="G39" i="18"/>
  <c r="H39" i="18"/>
  <c r="B40" i="18"/>
  <c r="C40" i="18"/>
  <c r="D40" i="18"/>
  <c r="E40" i="18"/>
  <c r="F40" i="18"/>
  <c r="G40" i="18"/>
  <c r="H40" i="18"/>
  <c r="B41" i="18"/>
  <c r="C41" i="18"/>
  <c r="D41" i="18"/>
  <c r="E41" i="18"/>
  <c r="F41" i="18"/>
  <c r="G41" i="18"/>
  <c r="H41" i="18"/>
  <c r="B42" i="18"/>
  <c r="C42" i="18"/>
  <c r="D42" i="18"/>
  <c r="E42" i="18"/>
  <c r="F42" i="18"/>
  <c r="G42" i="18"/>
  <c r="H42" i="18"/>
  <c r="B43" i="18"/>
  <c r="C43" i="18"/>
  <c r="D43" i="18"/>
  <c r="E43" i="18"/>
  <c r="F43" i="18"/>
  <c r="G43" i="18"/>
  <c r="H43" i="18"/>
  <c r="B44" i="18"/>
  <c r="C44" i="18"/>
  <c r="D44" i="18"/>
  <c r="E44" i="18"/>
  <c r="F44" i="18"/>
  <c r="G44" i="18"/>
  <c r="H44" i="18"/>
  <c r="B45" i="18"/>
  <c r="C45" i="18"/>
  <c r="D45" i="18"/>
  <c r="E45" i="18"/>
  <c r="F45" i="18"/>
  <c r="G45" i="18"/>
  <c r="H45" i="18"/>
  <c r="B46" i="18"/>
  <c r="C46" i="18"/>
  <c r="D46" i="18"/>
  <c r="E46" i="18"/>
  <c r="F46" i="18"/>
  <c r="G46" i="18"/>
  <c r="H46" i="18"/>
  <c r="B47" i="18"/>
  <c r="C47" i="18"/>
  <c r="D47" i="18"/>
  <c r="E47" i="18"/>
  <c r="F47" i="18"/>
  <c r="G47" i="18"/>
  <c r="H47" i="18"/>
  <c r="B48" i="18"/>
  <c r="C48" i="18"/>
  <c r="D48" i="18"/>
  <c r="E48" i="18"/>
  <c r="F48" i="18"/>
  <c r="G48" i="18"/>
  <c r="H48" i="18"/>
  <c r="B49" i="18"/>
  <c r="C49" i="18"/>
  <c r="D49" i="18"/>
  <c r="E49" i="18"/>
  <c r="F49" i="18"/>
  <c r="G49" i="18"/>
  <c r="H49" i="18"/>
  <c r="B50" i="18"/>
  <c r="C50" i="18"/>
  <c r="D50" i="18"/>
  <c r="E50" i="18"/>
  <c r="F50" i="18"/>
  <c r="G50" i="18"/>
  <c r="H50" i="18"/>
  <c r="B51" i="18"/>
  <c r="C51" i="18"/>
  <c r="D51" i="18"/>
  <c r="E51" i="18"/>
  <c r="F51" i="18"/>
  <c r="G51" i="18"/>
  <c r="H51" i="18"/>
  <c r="B52" i="18"/>
  <c r="C52" i="18"/>
  <c r="D52" i="18"/>
  <c r="E52" i="18"/>
  <c r="F52" i="18"/>
  <c r="G52" i="18"/>
  <c r="H52" i="18"/>
  <c r="B53" i="18"/>
  <c r="C53" i="18"/>
  <c r="D53" i="18"/>
  <c r="E53" i="18"/>
  <c r="F53" i="18"/>
  <c r="G53" i="18"/>
  <c r="H53" i="18"/>
  <c r="B54" i="18"/>
  <c r="C54" i="18"/>
  <c r="D54" i="18"/>
  <c r="E54" i="18"/>
  <c r="F54" i="18"/>
  <c r="G54" i="18"/>
  <c r="H54" i="18"/>
  <c r="B55" i="18"/>
  <c r="C55" i="18"/>
  <c r="D55" i="18"/>
  <c r="E55" i="18"/>
  <c r="F55" i="18"/>
  <c r="G55" i="18"/>
  <c r="H55" i="18"/>
  <c r="B56" i="18"/>
  <c r="C56" i="18"/>
  <c r="D56" i="18"/>
  <c r="E56" i="18"/>
  <c r="F56" i="18"/>
  <c r="G56" i="18"/>
  <c r="H56" i="18"/>
  <c r="B57" i="18"/>
  <c r="C57" i="18"/>
  <c r="D57" i="18"/>
  <c r="E57" i="18"/>
  <c r="F57" i="18"/>
  <c r="G57" i="18"/>
  <c r="H57" i="18"/>
  <c r="B58" i="18"/>
  <c r="C58" i="18"/>
  <c r="D58" i="18"/>
  <c r="E58" i="18"/>
  <c r="F58" i="18"/>
  <c r="G58" i="18"/>
  <c r="H58" i="18"/>
  <c r="B59" i="18"/>
  <c r="C59" i="18"/>
  <c r="D59" i="18"/>
  <c r="E59" i="18"/>
  <c r="F59" i="18"/>
  <c r="G59" i="18"/>
  <c r="H59" i="18"/>
  <c r="B60" i="18"/>
  <c r="C60" i="18"/>
  <c r="D60" i="18"/>
  <c r="E60" i="18"/>
  <c r="F60" i="18"/>
  <c r="G60" i="18"/>
  <c r="H60" i="18"/>
  <c r="B61" i="18"/>
  <c r="C61" i="18"/>
  <c r="D61" i="18"/>
  <c r="E61" i="18"/>
  <c r="F61" i="18"/>
  <c r="G61" i="18"/>
  <c r="H61" i="18"/>
  <c r="B62" i="18"/>
  <c r="C62" i="18"/>
  <c r="D62" i="18"/>
  <c r="E62" i="18"/>
  <c r="F62" i="18"/>
  <c r="G62" i="18"/>
  <c r="H62" i="18"/>
  <c r="B63" i="18"/>
  <c r="C63" i="18"/>
  <c r="D63" i="18"/>
  <c r="E63" i="18"/>
  <c r="F63" i="18"/>
  <c r="G63" i="18"/>
  <c r="H63" i="18"/>
  <c r="B64" i="18"/>
  <c r="C64" i="18"/>
  <c r="D64" i="18"/>
  <c r="E64" i="18"/>
  <c r="F64" i="18"/>
  <c r="G64" i="18"/>
  <c r="H64" i="18"/>
  <c r="B65" i="18"/>
  <c r="C65" i="18"/>
  <c r="D65" i="18"/>
  <c r="E65" i="18"/>
  <c r="F65" i="18"/>
  <c r="G65" i="18"/>
  <c r="H65" i="18"/>
  <c r="B66" i="18"/>
  <c r="C66" i="18"/>
  <c r="D66" i="18"/>
  <c r="E66" i="18"/>
  <c r="F66" i="18"/>
  <c r="G66" i="18"/>
  <c r="H66" i="18"/>
  <c r="B67" i="18"/>
  <c r="C67" i="18"/>
  <c r="D67" i="18"/>
  <c r="E67" i="18"/>
  <c r="F67" i="18"/>
  <c r="G67" i="18"/>
  <c r="H67" i="18"/>
  <c r="B68" i="18"/>
  <c r="C68" i="18"/>
  <c r="D68" i="18"/>
  <c r="E68" i="18"/>
  <c r="F68" i="18"/>
  <c r="G68" i="18"/>
  <c r="H68" i="18"/>
  <c r="B69" i="18"/>
  <c r="C69" i="18"/>
  <c r="D69" i="18"/>
  <c r="E69" i="18"/>
  <c r="F69" i="18"/>
  <c r="G69" i="18"/>
  <c r="H69" i="18"/>
  <c r="B70" i="18"/>
  <c r="C70" i="18"/>
  <c r="D70" i="18"/>
  <c r="E70" i="18"/>
  <c r="F70" i="18"/>
  <c r="G70" i="18"/>
  <c r="H70" i="18"/>
  <c r="B71" i="18"/>
  <c r="C71" i="18"/>
  <c r="D71" i="18"/>
  <c r="E71" i="18"/>
  <c r="F71" i="18"/>
  <c r="G71" i="18"/>
  <c r="H71" i="18"/>
  <c r="B72" i="18"/>
  <c r="C72" i="18"/>
  <c r="D72" i="18"/>
  <c r="E72" i="18"/>
  <c r="F72" i="18"/>
  <c r="G72" i="18"/>
  <c r="H72" i="18"/>
  <c r="B73" i="18"/>
  <c r="C73" i="18"/>
  <c r="D73" i="18"/>
  <c r="E73" i="18"/>
  <c r="F73" i="18"/>
  <c r="G73" i="18"/>
  <c r="H73" i="18"/>
  <c r="B74" i="18"/>
  <c r="C74" i="18"/>
  <c r="D74" i="18"/>
  <c r="E74" i="18"/>
  <c r="F74" i="18"/>
  <c r="G74" i="18"/>
  <c r="H74" i="18"/>
  <c r="B75" i="18"/>
  <c r="C75" i="18"/>
  <c r="D75" i="18"/>
  <c r="E75" i="18"/>
  <c r="F75" i="18"/>
  <c r="G75" i="18"/>
  <c r="H75" i="18"/>
  <c r="B76" i="18"/>
  <c r="C76" i="18"/>
  <c r="D76" i="18"/>
  <c r="E76" i="18"/>
  <c r="F76" i="18"/>
  <c r="G76" i="18"/>
  <c r="H76" i="18"/>
  <c r="B77" i="18"/>
  <c r="C77" i="18"/>
  <c r="D77" i="18"/>
  <c r="E77" i="18"/>
  <c r="F77" i="18"/>
  <c r="G77" i="18"/>
  <c r="H77" i="18"/>
  <c r="B78" i="18"/>
  <c r="C78" i="18"/>
  <c r="D78" i="18"/>
  <c r="E78" i="18"/>
  <c r="F78" i="18"/>
  <c r="G78" i="18"/>
  <c r="H78" i="18"/>
  <c r="B79" i="18"/>
  <c r="C79" i="18"/>
  <c r="D79" i="18"/>
  <c r="E79" i="18"/>
  <c r="F79" i="18"/>
  <c r="G79" i="18"/>
  <c r="H79" i="18"/>
  <c r="B80" i="18"/>
  <c r="C80" i="18"/>
  <c r="D80" i="18"/>
  <c r="E80" i="18"/>
  <c r="F80" i="18"/>
  <c r="G80" i="18"/>
  <c r="H80" i="18"/>
  <c r="B81" i="18"/>
  <c r="C81" i="18"/>
  <c r="D81" i="18"/>
  <c r="E81" i="18"/>
  <c r="F81" i="18"/>
  <c r="G81" i="18"/>
  <c r="H81" i="18"/>
  <c r="B82" i="18"/>
  <c r="C82" i="18"/>
  <c r="D82" i="18"/>
  <c r="E82" i="18"/>
  <c r="F82" i="18"/>
  <c r="G82" i="18"/>
  <c r="H82" i="18"/>
  <c r="B83" i="18"/>
  <c r="C83" i="18"/>
  <c r="D83" i="18"/>
  <c r="E83" i="18"/>
  <c r="F83" i="18"/>
  <c r="G83" i="18"/>
  <c r="H83" i="18"/>
  <c r="B84" i="18"/>
  <c r="C84" i="18"/>
  <c r="D84" i="18"/>
  <c r="E84" i="18"/>
  <c r="F84" i="18"/>
  <c r="G84" i="18"/>
  <c r="H84" i="18"/>
  <c r="B85" i="18"/>
  <c r="C85" i="18"/>
  <c r="D85" i="18"/>
  <c r="E85" i="18"/>
  <c r="F85" i="18"/>
  <c r="G85" i="18"/>
  <c r="H85" i="18"/>
  <c r="B86" i="18"/>
  <c r="C86" i="18"/>
  <c r="D86" i="18"/>
  <c r="E86" i="18"/>
  <c r="F86" i="18"/>
  <c r="G86" i="18"/>
  <c r="H86" i="18"/>
  <c r="B87" i="18"/>
  <c r="C87" i="18"/>
  <c r="D87" i="18"/>
  <c r="E87" i="18"/>
  <c r="F87" i="18"/>
  <c r="G87" i="18"/>
  <c r="H87" i="18"/>
  <c r="B88" i="18"/>
  <c r="C88" i="18"/>
  <c r="D88" i="18"/>
  <c r="E88" i="18"/>
  <c r="F88" i="18"/>
  <c r="G88" i="18"/>
  <c r="H88" i="18"/>
  <c r="B89" i="18"/>
  <c r="C89" i="18"/>
  <c r="D89" i="18"/>
  <c r="E89" i="18"/>
  <c r="F89" i="18"/>
  <c r="G89" i="18"/>
  <c r="H89" i="18"/>
  <c r="B90" i="18"/>
  <c r="C90" i="18"/>
  <c r="D90" i="18"/>
  <c r="E90" i="18"/>
  <c r="F90" i="18"/>
  <c r="G90" i="18"/>
  <c r="H90" i="18"/>
  <c r="B91" i="18"/>
  <c r="C91" i="18"/>
  <c r="D91" i="18"/>
  <c r="E91" i="18"/>
  <c r="F91" i="18"/>
  <c r="G91" i="18"/>
  <c r="H91" i="18"/>
  <c r="B92" i="18"/>
  <c r="C92" i="18"/>
  <c r="D92" i="18"/>
  <c r="E92" i="18"/>
  <c r="F92" i="18"/>
  <c r="G92" i="18"/>
  <c r="H92" i="18"/>
  <c r="B93" i="18"/>
  <c r="C93" i="18"/>
  <c r="D93" i="18"/>
  <c r="E93" i="18"/>
  <c r="F93" i="18"/>
  <c r="G93" i="18"/>
  <c r="H93" i="18"/>
  <c r="B94" i="18"/>
  <c r="C94" i="18"/>
  <c r="D94" i="18"/>
  <c r="E94" i="18"/>
  <c r="F94" i="18"/>
  <c r="G94" i="18"/>
  <c r="H94" i="18"/>
  <c r="B95" i="18"/>
  <c r="C95" i="18"/>
  <c r="D95" i="18"/>
  <c r="E95" i="18"/>
  <c r="F95" i="18"/>
  <c r="G95" i="18"/>
  <c r="H95" i="18"/>
  <c r="B96" i="18"/>
  <c r="C96" i="18"/>
  <c r="D96" i="18"/>
  <c r="E96" i="18"/>
  <c r="F96" i="18"/>
  <c r="G96" i="18"/>
  <c r="H96" i="18"/>
  <c r="B97" i="18"/>
  <c r="C97" i="18"/>
  <c r="D97" i="18"/>
  <c r="E97" i="18"/>
  <c r="F97" i="18"/>
  <c r="G97" i="18"/>
  <c r="H97" i="18"/>
  <c r="B98" i="18"/>
  <c r="C98" i="18"/>
  <c r="D98" i="18"/>
  <c r="E98" i="18"/>
  <c r="F98" i="18"/>
  <c r="G98" i="18"/>
  <c r="H98" i="18"/>
  <c r="B99" i="18"/>
  <c r="C99" i="18"/>
  <c r="D99" i="18"/>
  <c r="E99" i="18"/>
  <c r="F99" i="18"/>
  <c r="G99" i="18"/>
  <c r="H99" i="18"/>
  <c r="B100" i="18"/>
  <c r="C100" i="18"/>
  <c r="D100" i="18"/>
  <c r="E100" i="18"/>
  <c r="F100" i="18"/>
  <c r="G100" i="18"/>
  <c r="H100" i="18"/>
  <c r="B101" i="18"/>
  <c r="C101" i="18"/>
  <c r="D101" i="18"/>
  <c r="E101" i="18"/>
  <c r="F101" i="18"/>
  <c r="G101" i="18"/>
  <c r="H101" i="18"/>
  <c r="B102" i="18"/>
  <c r="C102" i="18"/>
  <c r="D102" i="18"/>
  <c r="E102" i="18"/>
  <c r="F102" i="18"/>
  <c r="G102" i="18"/>
  <c r="H102" i="18"/>
  <c r="B103" i="18"/>
  <c r="C103" i="18"/>
  <c r="D103" i="18"/>
  <c r="E103" i="18"/>
  <c r="F103" i="18"/>
  <c r="G103" i="18"/>
  <c r="H103" i="18"/>
  <c r="B104" i="18"/>
  <c r="C104" i="18"/>
  <c r="D104" i="18"/>
  <c r="E104" i="18"/>
  <c r="F104" i="18"/>
  <c r="G104" i="18"/>
  <c r="H104" i="18"/>
  <c r="B105" i="18"/>
  <c r="C105" i="18"/>
  <c r="D105" i="18"/>
  <c r="E105" i="18"/>
  <c r="F105" i="18"/>
  <c r="G105" i="18"/>
  <c r="H105" i="18"/>
  <c r="B106" i="18"/>
  <c r="C106" i="18"/>
  <c r="D106" i="18"/>
  <c r="E106" i="18"/>
  <c r="F106" i="18"/>
  <c r="G106" i="18"/>
  <c r="H106" i="18"/>
  <c r="B107" i="18"/>
  <c r="C107" i="18"/>
  <c r="D107" i="18"/>
  <c r="E107" i="18"/>
  <c r="F107" i="18"/>
  <c r="G107" i="18"/>
  <c r="H107" i="18"/>
  <c r="B108" i="18"/>
  <c r="C108" i="18"/>
  <c r="D108" i="18"/>
  <c r="E108" i="18"/>
  <c r="F108" i="18"/>
  <c r="G108" i="18"/>
  <c r="H108" i="18"/>
  <c r="B109" i="18"/>
  <c r="C109" i="18"/>
  <c r="D109" i="18"/>
  <c r="E109" i="18"/>
  <c r="F109" i="18"/>
  <c r="G109" i="18"/>
  <c r="H109" i="18"/>
  <c r="B110" i="18"/>
  <c r="C110" i="18"/>
  <c r="D110" i="18"/>
  <c r="E110" i="18"/>
  <c r="F110" i="18"/>
  <c r="G110" i="18"/>
  <c r="H110" i="18"/>
  <c r="B111" i="18"/>
  <c r="C111" i="18"/>
  <c r="D111" i="18"/>
  <c r="E111" i="18"/>
  <c r="F111" i="18"/>
  <c r="G111" i="18"/>
  <c r="H111" i="18"/>
  <c r="B112" i="18"/>
  <c r="C112" i="18"/>
  <c r="D112" i="18"/>
  <c r="E112" i="18"/>
  <c r="F112" i="18"/>
  <c r="G112" i="18"/>
  <c r="H112" i="18"/>
  <c r="B113" i="18"/>
  <c r="C113" i="18"/>
  <c r="D113" i="18"/>
  <c r="E113" i="18"/>
  <c r="F113" i="18"/>
  <c r="G113" i="18"/>
  <c r="H113" i="18"/>
  <c r="B114" i="18"/>
  <c r="C114" i="18"/>
  <c r="D114" i="18"/>
  <c r="E114" i="18"/>
  <c r="F114" i="18"/>
  <c r="G114" i="18"/>
  <c r="H114" i="18"/>
  <c r="B115" i="18"/>
  <c r="C115" i="18"/>
  <c r="D115" i="18"/>
  <c r="E115" i="18"/>
  <c r="F115" i="18"/>
  <c r="G115" i="18"/>
  <c r="H115" i="18"/>
  <c r="B116" i="18"/>
  <c r="C116" i="18"/>
  <c r="D116" i="18"/>
  <c r="E116" i="18"/>
  <c r="F116" i="18"/>
  <c r="G116" i="18"/>
  <c r="H116" i="18"/>
  <c r="B117" i="18"/>
  <c r="C117" i="18"/>
  <c r="D117" i="18"/>
  <c r="E117" i="18"/>
  <c r="F117" i="18"/>
  <c r="G117" i="18"/>
  <c r="H117" i="18"/>
  <c r="B118" i="18"/>
  <c r="C118" i="18"/>
  <c r="D118" i="18"/>
  <c r="E118" i="18"/>
  <c r="F118" i="18"/>
  <c r="G118" i="18"/>
  <c r="H118" i="18"/>
  <c r="B119" i="18"/>
  <c r="C119" i="18"/>
  <c r="D119" i="18"/>
  <c r="E119" i="18"/>
  <c r="F119" i="18"/>
  <c r="G119" i="18"/>
  <c r="H119" i="18"/>
  <c r="B120" i="18"/>
  <c r="C120" i="18"/>
  <c r="D120" i="18"/>
  <c r="E120" i="18"/>
  <c r="F120" i="18"/>
  <c r="G120" i="18"/>
  <c r="H120" i="18"/>
  <c r="B121" i="18"/>
  <c r="C121" i="18"/>
  <c r="D121" i="18"/>
  <c r="E121" i="18"/>
  <c r="F121" i="18"/>
  <c r="G121" i="18"/>
  <c r="H121" i="18"/>
  <c r="B122" i="18"/>
  <c r="C122" i="18"/>
  <c r="D122" i="18"/>
  <c r="E122" i="18"/>
  <c r="F122" i="18"/>
  <c r="G122" i="18"/>
  <c r="H122" i="18"/>
  <c r="C3" i="18"/>
  <c r="D3" i="18"/>
  <c r="E3" i="18"/>
  <c r="F3" i="18"/>
  <c r="AC7" i="18" s="1"/>
  <c r="G3" i="18"/>
  <c r="H3" i="18"/>
  <c r="C2" i="18"/>
  <c r="L29" i="18" s="1"/>
  <c r="D2" i="18"/>
  <c r="AA29" i="18" s="1"/>
  <c r="E2" i="18"/>
  <c r="AB29" i="18" s="1"/>
  <c r="F2" i="18"/>
  <c r="O24" i="18" s="1"/>
  <c r="G2" i="18"/>
  <c r="P10" i="18" s="1"/>
  <c r="H2" i="18"/>
  <c r="Q10" i="18" s="1"/>
  <c r="B2" i="18"/>
  <c r="Y24" i="18" s="1"/>
  <c r="B3" i="18"/>
  <c r="Y7" i="18" s="1"/>
  <c r="A115" i="18"/>
  <c r="A116" i="18"/>
  <c r="A117" i="18"/>
  <c r="A118" i="18"/>
  <c r="A119" i="18"/>
  <c r="A120" i="18"/>
  <c r="A121" i="18"/>
  <c r="A122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3" i="18"/>
  <c r="A43" i="5" a="1"/>
  <c r="A43" i="5" s="1"/>
  <c r="A48" i="5" s="1" a="1"/>
  <c r="A48" i="5" s="1"/>
  <c r="A38" i="5" a="1"/>
  <c r="A38" i="5" s="1"/>
  <c r="A34" i="5" a="1"/>
  <c r="A34" i="5" s="1"/>
  <c r="C3" i="3"/>
  <c r="C9" i="3"/>
  <c r="C8" i="3"/>
  <c r="C7" i="3"/>
  <c r="C6" i="3"/>
  <c r="C5" i="3"/>
  <c r="C4" i="3"/>
  <c r="F5" i="3"/>
  <c r="F4" i="3"/>
  <c r="F3" i="3"/>
  <c r="F139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B139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Q123" i="17"/>
  <c r="P123" i="17"/>
  <c r="O123" i="17"/>
  <c r="N123" i="17"/>
  <c r="M123" i="17"/>
  <c r="L123" i="17"/>
  <c r="K123" i="17"/>
  <c r="J123" i="17"/>
  <c r="Q122" i="17"/>
  <c r="P122" i="17"/>
  <c r="O122" i="17"/>
  <c r="N122" i="17"/>
  <c r="M122" i="17"/>
  <c r="L122" i="17"/>
  <c r="K122" i="17"/>
  <c r="J122" i="17"/>
  <c r="Q121" i="17"/>
  <c r="P121" i="17"/>
  <c r="O121" i="17"/>
  <c r="N121" i="17"/>
  <c r="M121" i="17"/>
  <c r="L121" i="17"/>
  <c r="K121" i="17"/>
  <c r="J121" i="17"/>
  <c r="Q120" i="17"/>
  <c r="P120" i="17"/>
  <c r="O120" i="17"/>
  <c r="N120" i="17"/>
  <c r="M120" i="17"/>
  <c r="L120" i="17"/>
  <c r="K120" i="17"/>
  <c r="J120" i="17"/>
  <c r="Q119" i="17"/>
  <c r="P119" i="17"/>
  <c r="O119" i="17"/>
  <c r="N119" i="17"/>
  <c r="M119" i="17"/>
  <c r="L119" i="17"/>
  <c r="K119" i="17"/>
  <c r="J119" i="17"/>
  <c r="Q118" i="17"/>
  <c r="P118" i="17"/>
  <c r="O118" i="17"/>
  <c r="N118" i="17"/>
  <c r="M118" i="17"/>
  <c r="L118" i="17"/>
  <c r="K118" i="17"/>
  <c r="J118" i="17"/>
  <c r="Q117" i="17"/>
  <c r="P117" i="17"/>
  <c r="O117" i="17"/>
  <c r="N117" i="17"/>
  <c r="M117" i="17"/>
  <c r="L117" i="17"/>
  <c r="K117" i="17"/>
  <c r="J117" i="17"/>
  <c r="Q116" i="17"/>
  <c r="P116" i="17"/>
  <c r="O116" i="17"/>
  <c r="N116" i="17"/>
  <c r="M116" i="17"/>
  <c r="L116" i="17"/>
  <c r="K116" i="17"/>
  <c r="J116" i="17"/>
  <c r="Q115" i="17"/>
  <c r="P115" i="17"/>
  <c r="O115" i="17"/>
  <c r="N115" i="17"/>
  <c r="M115" i="17"/>
  <c r="L115" i="17"/>
  <c r="K115" i="17"/>
  <c r="J115" i="17"/>
  <c r="Q114" i="17"/>
  <c r="P114" i="17"/>
  <c r="O114" i="17"/>
  <c r="N114" i="17"/>
  <c r="M114" i="17"/>
  <c r="L114" i="17"/>
  <c r="K114" i="17"/>
  <c r="J114" i="17"/>
  <c r="Q113" i="17"/>
  <c r="P113" i="17"/>
  <c r="O113" i="17"/>
  <c r="N113" i="17"/>
  <c r="M113" i="17"/>
  <c r="L113" i="17"/>
  <c r="K113" i="17"/>
  <c r="J113" i="17"/>
  <c r="Q112" i="17"/>
  <c r="P112" i="17"/>
  <c r="O112" i="17"/>
  <c r="N112" i="17"/>
  <c r="M112" i="17"/>
  <c r="L112" i="17"/>
  <c r="K112" i="17"/>
  <c r="J112" i="17"/>
  <c r="Q111" i="17"/>
  <c r="P111" i="17"/>
  <c r="O111" i="17"/>
  <c r="N111" i="17"/>
  <c r="M111" i="17"/>
  <c r="L111" i="17"/>
  <c r="K111" i="17"/>
  <c r="J111" i="17"/>
  <c r="Q110" i="17"/>
  <c r="P110" i="17"/>
  <c r="O110" i="17"/>
  <c r="N110" i="17"/>
  <c r="M110" i="17"/>
  <c r="L110" i="17"/>
  <c r="K110" i="17"/>
  <c r="J110" i="17"/>
  <c r="Q109" i="17"/>
  <c r="P109" i="17"/>
  <c r="O109" i="17"/>
  <c r="N109" i="17"/>
  <c r="M109" i="17"/>
  <c r="L109" i="17"/>
  <c r="K109" i="17"/>
  <c r="J109" i="17"/>
  <c r="Q108" i="17"/>
  <c r="P108" i="17"/>
  <c r="O108" i="17"/>
  <c r="N108" i="17"/>
  <c r="M108" i="17"/>
  <c r="L108" i="17"/>
  <c r="K108" i="17"/>
  <c r="J108" i="17"/>
  <c r="Q107" i="17"/>
  <c r="P107" i="17"/>
  <c r="O107" i="17"/>
  <c r="N107" i="17"/>
  <c r="M107" i="17"/>
  <c r="L107" i="17"/>
  <c r="K107" i="17"/>
  <c r="J107" i="17"/>
  <c r="Q106" i="17"/>
  <c r="P106" i="17"/>
  <c r="O106" i="17"/>
  <c r="N106" i="17"/>
  <c r="M106" i="17"/>
  <c r="L106" i="17"/>
  <c r="K106" i="17"/>
  <c r="J106" i="17"/>
  <c r="Q105" i="17"/>
  <c r="P105" i="17"/>
  <c r="O105" i="17"/>
  <c r="N105" i="17"/>
  <c r="M105" i="17"/>
  <c r="L105" i="17"/>
  <c r="K105" i="17"/>
  <c r="J105" i="17"/>
  <c r="Q104" i="17"/>
  <c r="P104" i="17"/>
  <c r="O104" i="17"/>
  <c r="N104" i="17"/>
  <c r="M104" i="17"/>
  <c r="L104" i="17"/>
  <c r="K104" i="17"/>
  <c r="J104" i="17"/>
  <c r="Q103" i="17"/>
  <c r="P103" i="17"/>
  <c r="O103" i="17"/>
  <c r="N103" i="17"/>
  <c r="M103" i="17"/>
  <c r="L103" i="17"/>
  <c r="K103" i="17"/>
  <c r="J103" i="17"/>
  <c r="Q102" i="17"/>
  <c r="P102" i="17"/>
  <c r="O102" i="17"/>
  <c r="N102" i="17"/>
  <c r="M102" i="17"/>
  <c r="L102" i="17"/>
  <c r="K102" i="17"/>
  <c r="J102" i="17"/>
  <c r="Q101" i="17"/>
  <c r="P101" i="17"/>
  <c r="O101" i="17"/>
  <c r="N101" i="17"/>
  <c r="M101" i="17"/>
  <c r="L101" i="17"/>
  <c r="K101" i="17"/>
  <c r="J101" i="17"/>
  <c r="Q100" i="17"/>
  <c r="P100" i="17"/>
  <c r="O100" i="17"/>
  <c r="N100" i="17"/>
  <c r="M100" i="17"/>
  <c r="L100" i="17"/>
  <c r="K100" i="17"/>
  <c r="J100" i="17"/>
  <c r="Q99" i="17"/>
  <c r="P99" i="17"/>
  <c r="O99" i="17"/>
  <c r="N99" i="17"/>
  <c r="M99" i="17"/>
  <c r="L99" i="17"/>
  <c r="K99" i="17"/>
  <c r="J99" i="17"/>
  <c r="Q98" i="17"/>
  <c r="P98" i="17"/>
  <c r="O98" i="17"/>
  <c r="N98" i="17"/>
  <c r="M98" i="17"/>
  <c r="L98" i="17"/>
  <c r="K98" i="17"/>
  <c r="J98" i="17"/>
  <c r="Q97" i="17"/>
  <c r="P97" i="17"/>
  <c r="O97" i="17"/>
  <c r="N97" i="17"/>
  <c r="M97" i="17"/>
  <c r="L97" i="17"/>
  <c r="K97" i="17"/>
  <c r="J97" i="17"/>
  <c r="Q96" i="17"/>
  <c r="P96" i="17"/>
  <c r="O96" i="17"/>
  <c r="N96" i="17"/>
  <c r="M96" i="17"/>
  <c r="L96" i="17"/>
  <c r="K96" i="17"/>
  <c r="J96" i="17"/>
  <c r="Q95" i="17"/>
  <c r="P95" i="17"/>
  <c r="O95" i="17"/>
  <c r="N95" i="17"/>
  <c r="M95" i="17"/>
  <c r="L95" i="17"/>
  <c r="K95" i="17"/>
  <c r="J95" i="17"/>
  <c r="Q94" i="17"/>
  <c r="P94" i="17"/>
  <c r="O94" i="17"/>
  <c r="N94" i="17"/>
  <c r="M94" i="17"/>
  <c r="L94" i="17"/>
  <c r="K94" i="17"/>
  <c r="J94" i="17"/>
  <c r="Q93" i="17"/>
  <c r="P93" i="17"/>
  <c r="O93" i="17"/>
  <c r="N93" i="17"/>
  <c r="M93" i="17"/>
  <c r="L93" i="17"/>
  <c r="K93" i="17"/>
  <c r="J93" i="17"/>
  <c r="Q92" i="17"/>
  <c r="P92" i="17"/>
  <c r="O92" i="17"/>
  <c r="N92" i="17"/>
  <c r="M92" i="17"/>
  <c r="L92" i="17"/>
  <c r="K92" i="17"/>
  <c r="J92" i="17"/>
  <c r="Q91" i="17"/>
  <c r="P91" i="17"/>
  <c r="O91" i="17"/>
  <c r="N91" i="17"/>
  <c r="M91" i="17"/>
  <c r="L91" i="17"/>
  <c r="K91" i="17"/>
  <c r="J91" i="17"/>
  <c r="Q90" i="17"/>
  <c r="P90" i="17"/>
  <c r="O90" i="17"/>
  <c r="N90" i="17"/>
  <c r="M90" i="17"/>
  <c r="L90" i="17"/>
  <c r="K90" i="17"/>
  <c r="J90" i="17"/>
  <c r="Q89" i="17"/>
  <c r="P89" i="17"/>
  <c r="O89" i="17"/>
  <c r="N89" i="17"/>
  <c r="M89" i="17"/>
  <c r="L89" i="17"/>
  <c r="K89" i="17"/>
  <c r="J89" i="17"/>
  <c r="Q88" i="17"/>
  <c r="P88" i="17"/>
  <c r="O88" i="17"/>
  <c r="N88" i="17"/>
  <c r="M88" i="17"/>
  <c r="L88" i="17"/>
  <c r="K88" i="17"/>
  <c r="J88" i="17"/>
  <c r="Q87" i="17"/>
  <c r="P87" i="17"/>
  <c r="O87" i="17"/>
  <c r="N87" i="17"/>
  <c r="M87" i="17"/>
  <c r="L87" i="17"/>
  <c r="K87" i="17"/>
  <c r="J87" i="17"/>
  <c r="Q86" i="17"/>
  <c r="P86" i="17"/>
  <c r="O86" i="17"/>
  <c r="N86" i="17"/>
  <c r="M86" i="17"/>
  <c r="L86" i="17"/>
  <c r="K86" i="17"/>
  <c r="J86" i="17"/>
  <c r="Q85" i="17"/>
  <c r="P85" i="17"/>
  <c r="O85" i="17"/>
  <c r="N85" i="17"/>
  <c r="M85" i="17"/>
  <c r="L85" i="17"/>
  <c r="K85" i="17"/>
  <c r="J85" i="17"/>
  <c r="Q84" i="17"/>
  <c r="P84" i="17"/>
  <c r="O84" i="17"/>
  <c r="N84" i="17"/>
  <c r="M84" i="17"/>
  <c r="L84" i="17"/>
  <c r="K84" i="17"/>
  <c r="J84" i="17"/>
  <c r="Q83" i="17"/>
  <c r="P83" i="17"/>
  <c r="O83" i="17"/>
  <c r="N83" i="17"/>
  <c r="M83" i="17"/>
  <c r="L83" i="17"/>
  <c r="K83" i="17"/>
  <c r="J83" i="17"/>
  <c r="Q82" i="17"/>
  <c r="P82" i="17"/>
  <c r="O82" i="17"/>
  <c r="N82" i="17"/>
  <c r="M82" i="17"/>
  <c r="L82" i="17"/>
  <c r="K82" i="17"/>
  <c r="J82" i="17"/>
  <c r="Q81" i="17"/>
  <c r="P81" i="17"/>
  <c r="O81" i="17"/>
  <c r="N81" i="17"/>
  <c r="M81" i="17"/>
  <c r="L81" i="17"/>
  <c r="K81" i="17"/>
  <c r="J81" i="17"/>
  <c r="Q80" i="17"/>
  <c r="P80" i="17"/>
  <c r="O80" i="17"/>
  <c r="N80" i="17"/>
  <c r="M80" i="17"/>
  <c r="L80" i="17"/>
  <c r="K80" i="17"/>
  <c r="J80" i="17"/>
  <c r="Q79" i="17"/>
  <c r="P79" i="17"/>
  <c r="O79" i="17"/>
  <c r="N79" i="17"/>
  <c r="M79" i="17"/>
  <c r="L79" i="17"/>
  <c r="K79" i="17"/>
  <c r="J79" i="17"/>
  <c r="Q78" i="17"/>
  <c r="P78" i="17"/>
  <c r="O78" i="17"/>
  <c r="N78" i="17"/>
  <c r="M78" i="17"/>
  <c r="L78" i="17"/>
  <c r="K78" i="17"/>
  <c r="J78" i="17"/>
  <c r="Q77" i="17"/>
  <c r="P77" i="17"/>
  <c r="O77" i="17"/>
  <c r="N77" i="17"/>
  <c r="M77" i="17"/>
  <c r="L77" i="17"/>
  <c r="K77" i="17"/>
  <c r="J77" i="17"/>
  <c r="Q76" i="17"/>
  <c r="P76" i="17"/>
  <c r="O76" i="17"/>
  <c r="N76" i="17"/>
  <c r="M76" i="17"/>
  <c r="L76" i="17"/>
  <c r="K76" i="17"/>
  <c r="J76" i="17"/>
  <c r="Q75" i="17"/>
  <c r="P75" i="17"/>
  <c r="O75" i="17"/>
  <c r="N75" i="17"/>
  <c r="M75" i="17"/>
  <c r="L75" i="17"/>
  <c r="K75" i="17"/>
  <c r="J75" i="17"/>
  <c r="Q74" i="17"/>
  <c r="P74" i="17"/>
  <c r="O74" i="17"/>
  <c r="N74" i="17"/>
  <c r="M74" i="17"/>
  <c r="L74" i="17"/>
  <c r="K74" i="17"/>
  <c r="J74" i="17"/>
  <c r="Q73" i="17"/>
  <c r="P73" i="17"/>
  <c r="O73" i="17"/>
  <c r="N73" i="17"/>
  <c r="M73" i="17"/>
  <c r="L73" i="17"/>
  <c r="K73" i="17"/>
  <c r="J73" i="17"/>
  <c r="Q72" i="17"/>
  <c r="P72" i="17"/>
  <c r="O72" i="17"/>
  <c r="N72" i="17"/>
  <c r="M72" i="17"/>
  <c r="L72" i="17"/>
  <c r="K72" i="17"/>
  <c r="J72" i="17"/>
  <c r="Q71" i="17"/>
  <c r="P71" i="17"/>
  <c r="O71" i="17"/>
  <c r="N71" i="17"/>
  <c r="M71" i="17"/>
  <c r="L71" i="17"/>
  <c r="K71" i="17"/>
  <c r="J71" i="17"/>
  <c r="Q70" i="17"/>
  <c r="P70" i="17"/>
  <c r="O70" i="17"/>
  <c r="N70" i="17"/>
  <c r="M70" i="17"/>
  <c r="L70" i="17"/>
  <c r="K70" i="17"/>
  <c r="J70" i="17"/>
  <c r="Q69" i="17"/>
  <c r="P69" i="17"/>
  <c r="O69" i="17"/>
  <c r="N69" i="17"/>
  <c r="M69" i="17"/>
  <c r="L69" i="17"/>
  <c r="K69" i="17"/>
  <c r="J69" i="17"/>
  <c r="Q68" i="17"/>
  <c r="P68" i="17"/>
  <c r="O68" i="17"/>
  <c r="N68" i="17"/>
  <c r="M68" i="17"/>
  <c r="L68" i="17"/>
  <c r="K68" i="17"/>
  <c r="J68" i="17"/>
  <c r="Q67" i="17"/>
  <c r="P67" i="17"/>
  <c r="O67" i="17"/>
  <c r="N67" i="17"/>
  <c r="M67" i="17"/>
  <c r="L67" i="17"/>
  <c r="K67" i="17"/>
  <c r="J67" i="17"/>
  <c r="Q66" i="17"/>
  <c r="P66" i="17"/>
  <c r="O66" i="17"/>
  <c r="N66" i="17"/>
  <c r="M66" i="17"/>
  <c r="L66" i="17"/>
  <c r="K66" i="17"/>
  <c r="J66" i="17"/>
  <c r="Q65" i="17"/>
  <c r="P65" i="17"/>
  <c r="O65" i="17"/>
  <c r="N65" i="17"/>
  <c r="M65" i="17"/>
  <c r="L65" i="17"/>
  <c r="K65" i="17"/>
  <c r="J65" i="17"/>
  <c r="Q64" i="17"/>
  <c r="P64" i="17"/>
  <c r="O64" i="17"/>
  <c r="N64" i="17"/>
  <c r="M64" i="17"/>
  <c r="L64" i="17"/>
  <c r="K64" i="17"/>
  <c r="J64" i="17"/>
  <c r="Q63" i="17"/>
  <c r="P63" i="17"/>
  <c r="O63" i="17"/>
  <c r="N63" i="17"/>
  <c r="M63" i="17"/>
  <c r="L63" i="17"/>
  <c r="K63" i="17"/>
  <c r="J63" i="17"/>
  <c r="Q62" i="17"/>
  <c r="P62" i="17"/>
  <c r="O62" i="17"/>
  <c r="N62" i="17"/>
  <c r="M62" i="17"/>
  <c r="L62" i="17"/>
  <c r="K62" i="17"/>
  <c r="J62" i="17"/>
  <c r="Q61" i="17"/>
  <c r="P61" i="17"/>
  <c r="O61" i="17"/>
  <c r="N61" i="17"/>
  <c r="M61" i="17"/>
  <c r="L61" i="17"/>
  <c r="K61" i="17"/>
  <c r="J61" i="17"/>
  <c r="Q60" i="17"/>
  <c r="P60" i="17"/>
  <c r="O60" i="17"/>
  <c r="N60" i="17"/>
  <c r="M60" i="17"/>
  <c r="L60" i="17"/>
  <c r="K60" i="17"/>
  <c r="J60" i="17"/>
  <c r="Q59" i="17"/>
  <c r="P59" i="17"/>
  <c r="O59" i="17"/>
  <c r="N59" i="17"/>
  <c r="M59" i="17"/>
  <c r="L59" i="17"/>
  <c r="K59" i="17"/>
  <c r="J59" i="17"/>
  <c r="Q58" i="17"/>
  <c r="P58" i="17"/>
  <c r="O58" i="17"/>
  <c r="N58" i="17"/>
  <c r="M58" i="17"/>
  <c r="L58" i="17"/>
  <c r="K58" i="17"/>
  <c r="J58" i="17"/>
  <c r="Q57" i="17"/>
  <c r="P57" i="17"/>
  <c r="O57" i="17"/>
  <c r="N57" i="17"/>
  <c r="M57" i="17"/>
  <c r="L57" i="17"/>
  <c r="K57" i="17"/>
  <c r="J57" i="17"/>
  <c r="Q56" i="17"/>
  <c r="P56" i="17"/>
  <c r="O56" i="17"/>
  <c r="N56" i="17"/>
  <c r="M56" i="17"/>
  <c r="L56" i="17"/>
  <c r="K56" i="17"/>
  <c r="J56" i="17"/>
  <c r="Q55" i="17"/>
  <c r="P55" i="17"/>
  <c r="O55" i="17"/>
  <c r="N55" i="17"/>
  <c r="M55" i="17"/>
  <c r="L55" i="17"/>
  <c r="K55" i="17"/>
  <c r="J55" i="17"/>
  <c r="Q54" i="17"/>
  <c r="P54" i="17"/>
  <c r="O54" i="17"/>
  <c r="N54" i="17"/>
  <c r="M54" i="17"/>
  <c r="L54" i="17"/>
  <c r="K54" i="17"/>
  <c r="J54" i="17"/>
  <c r="Q53" i="17"/>
  <c r="P53" i="17"/>
  <c r="O53" i="17"/>
  <c r="N53" i="17"/>
  <c r="M53" i="17"/>
  <c r="L53" i="17"/>
  <c r="K53" i="17"/>
  <c r="J53" i="17"/>
  <c r="Q52" i="17"/>
  <c r="P52" i="17"/>
  <c r="O52" i="17"/>
  <c r="N52" i="17"/>
  <c r="M52" i="17"/>
  <c r="L52" i="17"/>
  <c r="K52" i="17"/>
  <c r="J52" i="17"/>
  <c r="Q51" i="17"/>
  <c r="P51" i="17"/>
  <c r="O51" i="17"/>
  <c r="N51" i="17"/>
  <c r="M51" i="17"/>
  <c r="L51" i="17"/>
  <c r="K51" i="17"/>
  <c r="J51" i="17"/>
  <c r="Q50" i="17"/>
  <c r="P50" i="17"/>
  <c r="O50" i="17"/>
  <c r="N50" i="17"/>
  <c r="M50" i="17"/>
  <c r="L50" i="17"/>
  <c r="K50" i="17"/>
  <c r="J50" i="17"/>
  <c r="Q49" i="17"/>
  <c r="P49" i="17"/>
  <c r="O49" i="17"/>
  <c r="N49" i="17"/>
  <c r="M49" i="17"/>
  <c r="L49" i="17"/>
  <c r="K49" i="17"/>
  <c r="J49" i="17"/>
  <c r="Q48" i="17"/>
  <c r="P48" i="17"/>
  <c r="O48" i="17"/>
  <c r="N48" i="17"/>
  <c r="M48" i="17"/>
  <c r="L48" i="17"/>
  <c r="K48" i="17"/>
  <c r="J48" i="17"/>
  <c r="Q47" i="17"/>
  <c r="P47" i="17"/>
  <c r="O47" i="17"/>
  <c r="N47" i="17"/>
  <c r="M47" i="17"/>
  <c r="L47" i="17"/>
  <c r="K47" i="17"/>
  <c r="J47" i="17"/>
  <c r="Q46" i="17"/>
  <c r="P46" i="17"/>
  <c r="O46" i="17"/>
  <c r="N46" i="17"/>
  <c r="M46" i="17"/>
  <c r="L46" i="17"/>
  <c r="K46" i="17"/>
  <c r="J46" i="17"/>
  <c r="Q45" i="17"/>
  <c r="P45" i="17"/>
  <c r="O45" i="17"/>
  <c r="N45" i="17"/>
  <c r="M45" i="17"/>
  <c r="L45" i="17"/>
  <c r="K45" i="17"/>
  <c r="J45" i="17"/>
  <c r="Q44" i="17"/>
  <c r="P44" i="17"/>
  <c r="O44" i="17"/>
  <c r="N44" i="17"/>
  <c r="M44" i="17"/>
  <c r="L44" i="17"/>
  <c r="K44" i="17"/>
  <c r="J44" i="17"/>
  <c r="Q43" i="17"/>
  <c r="P43" i="17"/>
  <c r="O43" i="17"/>
  <c r="N43" i="17"/>
  <c r="M43" i="17"/>
  <c r="L43" i="17"/>
  <c r="K43" i="17"/>
  <c r="J43" i="17"/>
  <c r="Q42" i="17"/>
  <c r="P42" i="17"/>
  <c r="O42" i="17"/>
  <c r="N42" i="17"/>
  <c r="M42" i="17"/>
  <c r="L42" i="17"/>
  <c r="K42" i="17"/>
  <c r="J42" i="17"/>
  <c r="Q41" i="17"/>
  <c r="P41" i="17"/>
  <c r="O41" i="17"/>
  <c r="N41" i="17"/>
  <c r="M41" i="17"/>
  <c r="L41" i="17"/>
  <c r="K41" i="17"/>
  <c r="J41" i="17"/>
  <c r="Q40" i="17"/>
  <c r="P40" i="17"/>
  <c r="O40" i="17"/>
  <c r="N40" i="17"/>
  <c r="M40" i="17"/>
  <c r="L40" i="17"/>
  <c r="K40" i="17"/>
  <c r="J40" i="17"/>
  <c r="Q39" i="17"/>
  <c r="P39" i="17"/>
  <c r="O39" i="17"/>
  <c r="N39" i="17"/>
  <c r="M39" i="17"/>
  <c r="L39" i="17"/>
  <c r="K39" i="17"/>
  <c r="J39" i="17"/>
  <c r="Q38" i="17"/>
  <c r="P38" i="17"/>
  <c r="O38" i="17"/>
  <c r="N38" i="17"/>
  <c r="M38" i="17"/>
  <c r="L38" i="17"/>
  <c r="K38" i="17"/>
  <c r="J38" i="17"/>
  <c r="Q37" i="17"/>
  <c r="P37" i="17"/>
  <c r="O37" i="17"/>
  <c r="N37" i="17"/>
  <c r="M37" i="17"/>
  <c r="L37" i="17"/>
  <c r="K37" i="17"/>
  <c r="J37" i="17"/>
  <c r="Q36" i="17"/>
  <c r="P36" i="17"/>
  <c r="O36" i="17"/>
  <c r="N36" i="17"/>
  <c r="M36" i="17"/>
  <c r="L36" i="17"/>
  <c r="K36" i="17"/>
  <c r="J36" i="17"/>
  <c r="Q35" i="17"/>
  <c r="P35" i="17"/>
  <c r="O35" i="17"/>
  <c r="N35" i="17"/>
  <c r="M35" i="17"/>
  <c r="L35" i="17"/>
  <c r="K35" i="17"/>
  <c r="J35" i="17"/>
  <c r="Q34" i="17"/>
  <c r="P34" i="17"/>
  <c r="O34" i="17"/>
  <c r="N34" i="17"/>
  <c r="M34" i="17"/>
  <c r="L34" i="17"/>
  <c r="K34" i="17"/>
  <c r="J34" i="17"/>
  <c r="Q33" i="17"/>
  <c r="P33" i="17"/>
  <c r="O33" i="17"/>
  <c r="N33" i="17"/>
  <c r="M33" i="17"/>
  <c r="L33" i="17"/>
  <c r="K33" i="17"/>
  <c r="J33" i="17"/>
  <c r="Q32" i="17"/>
  <c r="P32" i="17"/>
  <c r="O32" i="17"/>
  <c r="N32" i="17"/>
  <c r="M32" i="17"/>
  <c r="L32" i="17"/>
  <c r="K32" i="17"/>
  <c r="J32" i="17"/>
  <c r="Q31" i="17"/>
  <c r="P31" i="17"/>
  <c r="O31" i="17"/>
  <c r="N31" i="17"/>
  <c r="M31" i="17"/>
  <c r="L31" i="17"/>
  <c r="K31" i="17"/>
  <c r="J31" i="17"/>
  <c r="Q30" i="17"/>
  <c r="P30" i="17"/>
  <c r="O30" i="17"/>
  <c r="N30" i="17"/>
  <c r="M30" i="17"/>
  <c r="L30" i="17"/>
  <c r="K30" i="17"/>
  <c r="J30" i="17"/>
  <c r="Q29" i="17"/>
  <c r="P29" i="17"/>
  <c r="O29" i="17"/>
  <c r="N29" i="17"/>
  <c r="M29" i="17"/>
  <c r="L29" i="17"/>
  <c r="K29" i="17"/>
  <c r="J29" i="17"/>
  <c r="Q28" i="17"/>
  <c r="P28" i="17"/>
  <c r="O28" i="17"/>
  <c r="N28" i="17"/>
  <c r="M28" i="17"/>
  <c r="L28" i="17"/>
  <c r="K28" i="17"/>
  <c r="J28" i="17"/>
  <c r="Q27" i="17"/>
  <c r="P27" i="17"/>
  <c r="O27" i="17"/>
  <c r="N27" i="17"/>
  <c r="M27" i="17"/>
  <c r="L27" i="17"/>
  <c r="K27" i="17"/>
  <c r="J27" i="17"/>
  <c r="Q26" i="17"/>
  <c r="P26" i="17"/>
  <c r="O26" i="17"/>
  <c r="N26" i="17"/>
  <c r="M26" i="17"/>
  <c r="L26" i="17"/>
  <c r="K26" i="17"/>
  <c r="J26" i="17"/>
  <c r="Q25" i="17"/>
  <c r="P25" i="17"/>
  <c r="O25" i="17"/>
  <c r="N25" i="17"/>
  <c r="M25" i="17"/>
  <c r="L25" i="17"/>
  <c r="K25" i="17"/>
  <c r="J25" i="17"/>
  <c r="Q24" i="17"/>
  <c r="P24" i="17"/>
  <c r="O24" i="17"/>
  <c r="N24" i="17"/>
  <c r="M24" i="17"/>
  <c r="L24" i="17"/>
  <c r="K24" i="17"/>
  <c r="J24" i="17"/>
  <c r="Q23" i="17"/>
  <c r="P23" i="17"/>
  <c r="O23" i="17"/>
  <c r="N23" i="17"/>
  <c r="M23" i="17"/>
  <c r="L23" i="17"/>
  <c r="K23" i="17"/>
  <c r="J23" i="17"/>
  <c r="Q22" i="17"/>
  <c r="P22" i="17"/>
  <c r="O22" i="17"/>
  <c r="N22" i="17"/>
  <c r="M22" i="17"/>
  <c r="L22" i="17"/>
  <c r="K22" i="17"/>
  <c r="J22" i="17"/>
  <c r="Q21" i="17"/>
  <c r="P21" i="17"/>
  <c r="O21" i="17"/>
  <c r="N21" i="17"/>
  <c r="M21" i="17"/>
  <c r="L21" i="17"/>
  <c r="K21" i="17"/>
  <c r="J21" i="17"/>
  <c r="Q20" i="17"/>
  <c r="P20" i="17"/>
  <c r="O20" i="17"/>
  <c r="N20" i="17"/>
  <c r="M20" i="17"/>
  <c r="L20" i="17"/>
  <c r="K20" i="17"/>
  <c r="J20" i="17"/>
  <c r="Q19" i="17"/>
  <c r="P19" i="17"/>
  <c r="O19" i="17"/>
  <c r="N19" i="17"/>
  <c r="M19" i="17"/>
  <c r="L19" i="17"/>
  <c r="K19" i="17"/>
  <c r="J19" i="17"/>
  <c r="Q18" i="17"/>
  <c r="P18" i="17"/>
  <c r="O18" i="17"/>
  <c r="N18" i="17"/>
  <c r="M18" i="17"/>
  <c r="L18" i="17"/>
  <c r="K18" i="17"/>
  <c r="J18" i="17"/>
  <c r="Q17" i="17"/>
  <c r="P17" i="17"/>
  <c r="O17" i="17"/>
  <c r="N17" i="17"/>
  <c r="M17" i="17"/>
  <c r="L17" i="17"/>
  <c r="K17" i="17"/>
  <c r="J17" i="17"/>
  <c r="Q16" i="17"/>
  <c r="P16" i="17"/>
  <c r="O16" i="17"/>
  <c r="N16" i="17"/>
  <c r="M16" i="17"/>
  <c r="L16" i="17"/>
  <c r="K16" i="17"/>
  <c r="J16" i="17"/>
  <c r="Q15" i="17"/>
  <c r="P15" i="17"/>
  <c r="O15" i="17"/>
  <c r="N15" i="17"/>
  <c r="M15" i="17"/>
  <c r="L15" i="17"/>
  <c r="K15" i="17"/>
  <c r="J15" i="17"/>
  <c r="Q14" i="17"/>
  <c r="P14" i="17"/>
  <c r="O14" i="17"/>
  <c r="N14" i="17"/>
  <c r="M14" i="17"/>
  <c r="L14" i="17"/>
  <c r="K14" i="17"/>
  <c r="J14" i="17"/>
  <c r="Q13" i="17"/>
  <c r="P13" i="17"/>
  <c r="O13" i="17"/>
  <c r="N13" i="17"/>
  <c r="M13" i="17"/>
  <c r="L13" i="17"/>
  <c r="K13" i="17"/>
  <c r="J13" i="17"/>
  <c r="Q12" i="17"/>
  <c r="P12" i="17"/>
  <c r="O12" i="17"/>
  <c r="N12" i="17"/>
  <c r="M12" i="17"/>
  <c r="L12" i="17"/>
  <c r="K12" i="17"/>
  <c r="J12" i="17"/>
  <c r="Q11" i="17"/>
  <c r="P11" i="17"/>
  <c r="O11" i="17"/>
  <c r="N11" i="17"/>
  <c r="M11" i="17"/>
  <c r="L11" i="17"/>
  <c r="K11" i="17"/>
  <c r="J11" i="17"/>
  <c r="Q10" i="17"/>
  <c r="P10" i="17"/>
  <c r="O10" i="17"/>
  <c r="N10" i="17"/>
  <c r="M10" i="17"/>
  <c r="L10" i="17"/>
  <c r="K10" i="17"/>
  <c r="J10" i="17"/>
  <c r="Q9" i="17"/>
  <c r="P9" i="17"/>
  <c r="O9" i="17"/>
  <c r="N9" i="17"/>
  <c r="M9" i="17"/>
  <c r="L9" i="17"/>
  <c r="K9" i="17"/>
  <c r="J9" i="17"/>
  <c r="Q8" i="17"/>
  <c r="P8" i="17"/>
  <c r="O8" i="17"/>
  <c r="N8" i="17"/>
  <c r="M8" i="17"/>
  <c r="L8" i="17"/>
  <c r="K8" i="17"/>
  <c r="J8" i="17"/>
  <c r="Q7" i="17"/>
  <c r="P7" i="17"/>
  <c r="O7" i="17"/>
  <c r="N7" i="17"/>
  <c r="M7" i="17"/>
  <c r="L7" i="17"/>
  <c r="K7" i="17"/>
  <c r="J7" i="17"/>
  <c r="Q6" i="17"/>
  <c r="P6" i="17"/>
  <c r="O6" i="17"/>
  <c r="N6" i="17"/>
  <c r="M6" i="17"/>
  <c r="L6" i="17"/>
  <c r="K6" i="17"/>
  <c r="J6" i="17"/>
  <c r="Q5" i="17"/>
  <c r="P5" i="17"/>
  <c r="O5" i="17"/>
  <c r="N5" i="17"/>
  <c r="M5" i="17"/>
  <c r="L5" i="17"/>
  <c r="K5" i="17"/>
  <c r="J5" i="17"/>
  <c r="Q4" i="17"/>
  <c r="P4" i="17"/>
  <c r="O4" i="17"/>
  <c r="N4" i="17"/>
  <c r="M4" i="17"/>
  <c r="L4" i="17"/>
  <c r="K4" i="17"/>
  <c r="J4" i="17"/>
  <c r="J3" i="17"/>
  <c r="Y58" i="18"/>
  <c r="Y57" i="18"/>
  <c r="Y56" i="18"/>
  <c r="Y55" i="18"/>
  <c r="Y54" i="18"/>
  <c r="Y53" i="18"/>
  <c r="Y52" i="18"/>
  <c r="Y51" i="18"/>
  <c r="Y50" i="18"/>
  <c r="Y49" i="18"/>
  <c r="Y48" i="18"/>
  <c r="Y47" i="18"/>
  <c r="Y46" i="18"/>
  <c r="Y45" i="18"/>
  <c r="Y44" i="18"/>
  <c r="Y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22" i="18" a="1"/>
  <c r="Y11" i="18" a="1"/>
  <c r="K11" i="18" a="1"/>
  <c r="A56" i="15" a="1"/>
  <c r="B49" i="15" a="1"/>
  <c r="D7" i="3" a="1"/>
  <c r="D9" i="3" a="1"/>
  <c r="D14" i="3" a="1"/>
  <c r="R7" i="18" a="1"/>
  <c r="D4" i="3" a="1"/>
  <c r="D8" i="3" a="1"/>
  <c r="AF11" i="18" a="1"/>
  <c r="D6" i="3" a="1"/>
  <c r="Y26" i="18" a="1"/>
  <c r="D10" i="3" a="1"/>
  <c r="G15" i="3" a="1"/>
  <c r="D5" i="3" a="1"/>
  <c r="Y31" i="18" a="1"/>
  <c r="B56" i="15" a="1"/>
  <c r="R11" i="18" a="1"/>
  <c r="D3" i="3" a="1"/>
  <c r="G3" i="3" a="1"/>
  <c r="G5" i="3" a="1"/>
  <c r="G4" i="3" a="1"/>
  <c r="G14" i="3" a="1"/>
  <c r="R32" i="18" a="1"/>
  <c r="K26" i="18" a="1"/>
  <c r="D15" i="3" a="1"/>
  <c r="K32" i="18" l="1" a="1"/>
  <c r="K32" i="18" s="1"/>
  <c r="R32" i="18"/>
  <c r="B56" i="15"/>
  <c r="A56" i="15"/>
  <c r="B49" i="15"/>
  <c r="B52" i="15" a="1"/>
  <c r="B52" i="15" s="1"/>
  <c r="B53" i="15" a="1"/>
  <c r="B53" i="15" s="1"/>
  <c r="G15" i="3"/>
  <c r="G14" i="3"/>
  <c r="D15" i="3"/>
  <c r="D14" i="3"/>
  <c r="G3" i="3"/>
  <c r="G5" i="3"/>
  <c r="G4" i="3"/>
  <c r="D10" i="3"/>
  <c r="D9" i="3"/>
  <c r="D8" i="3"/>
  <c r="D7" i="3"/>
  <c r="D6" i="3"/>
  <c r="D5" i="3"/>
  <c r="D4" i="3"/>
  <c r="D3" i="3"/>
  <c r="Y26" i="18"/>
  <c r="Y31" i="18"/>
  <c r="K26" i="18"/>
  <c r="Q7" i="18"/>
  <c r="N29" i="18"/>
  <c r="AD10" i="18"/>
  <c r="P6" i="18"/>
  <c r="P7" i="18"/>
  <c r="M29" i="18"/>
  <c r="AC10" i="18"/>
  <c r="O6" i="18"/>
  <c r="AB10" i="18"/>
  <c r="N6" i="18"/>
  <c r="AE6" i="18"/>
  <c r="Z10" i="18"/>
  <c r="L6" i="18"/>
  <c r="AD24" i="18"/>
  <c r="AC24" i="18"/>
  <c r="AB24" i="18"/>
  <c r="AA24" i="18"/>
  <c r="Q6" i="18"/>
  <c r="AA10" i="18"/>
  <c r="AD6" i="18"/>
  <c r="Q24" i="18"/>
  <c r="AE24" i="18"/>
  <c r="M6" i="18"/>
  <c r="AC6" i="18"/>
  <c r="P24" i="18"/>
  <c r="Y29" i="18"/>
  <c r="AB6" i="18"/>
  <c r="AA6" i="18"/>
  <c r="Z6" i="18"/>
  <c r="M24" i="18"/>
  <c r="AC29" i="18"/>
  <c r="AE10" i="18"/>
  <c r="N24" i="18"/>
  <c r="N7" i="18"/>
  <c r="O7" i="18"/>
  <c r="L7" i="18"/>
  <c r="L24" i="18"/>
  <c r="AE7" i="18"/>
  <c r="AE29" i="18"/>
  <c r="AD29" i="18"/>
  <c r="K7" i="18"/>
  <c r="M7" i="18"/>
  <c r="AD7" i="18"/>
  <c r="Z29" i="18"/>
  <c r="Y11" i="18"/>
  <c r="AF11" i="18"/>
  <c r="K29" i="18"/>
  <c r="Q29" i="18"/>
  <c r="P29" i="18"/>
  <c r="O29" i="18"/>
  <c r="K22" i="18"/>
  <c r="R11" i="18"/>
  <c r="K11" i="18"/>
  <c r="R7" i="18"/>
  <c r="C139" i="3"/>
  <c r="G139" i="3"/>
  <c r="D139" i="3"/>
  <c r="H139" i="3"/>
  <c r="K25" i="18" a="1"/>
  <c r="Y25" i="18" a="1"/>
  <c r="Y25" i="18" l="1"/>
  <c r="X11" i="18" a="1"/>
  <c r="X11" i="18" s="1"/>
  <c r="K25" i="18"/>
  <c r="J11" i="18" a="1"/>
  <c r="J11" i="18" s="1"/>
  <c r="Z37" i="18" l="1" a="1"/>
  <c r="Z37" i="18" s="1"/>
  <c r="Z36" i="18" a="1"/>
  <c r="Z36" i="18" s="1"/>
  <c r="Z38" i="18" s="1"/>
  <c r="Y39" i="18" a="1"/>
  <c r="Y39" i="18" s="1"/>
  <c r="Y36" i="18" a="1"/>
  <c r="Y36" i="18" s="1"/>
  <c r="Y38" i="18" s="1"/>
  <c r="K38" i="18"/>
  <c r="L37" i="18" l="1" a="1"/>
  <c r="L37" i="18" s="1"/>
  <c r="L36" i="18" a="1"/>
  <c r="L36" i="18" s="1"/>
  <c r="K39" i="18" a="1"/>
  <c r="K39" i="18" s="1"/>
  <c r="C17" i="15"/>
  <c r="C49" i="15" a="1"/>
  <c r="C52" i="15" a="1"/>
  <c r="C34" i="5" a="1"/>
  <c r="C53" i="15" a="1"/>
  <c r="D38" i="5" a="1"/>
  <c r="E48" i="5" a="1"/>
  <c r="E43" i="5" a="1"/>
  <c r="D17" i="15" a="1"/>
  <c r="C53" i="15" l="1"/>
  <c r="C52" i="15"/>
  <c r="C49" i="15"/>
  <c r="D17" i="15"/>
  <c r="E48" i="5"/>
  <c r="E43" i="5"/>
  <c r="D38" i="5"/>
  <c r="C34" i="5"/>
  <c r="C21" i="3" l="1"/>
  <c r="C22" i="3"/>
  <c r="D23" i="3"/>
  <c r="D26" i="3"/>
  <c r="D27" i="3"/>
  <c r="D31" i="3"/>
  <c r="D34" i="3"/>
  <c r="C42" i="3"/>
  <c r="C44" i="3"/>
  <c r="C46" i="3"/>
  <c r="D51" i="3"/>
  <c r="D52" i="3"/>
  <c r="D53" i="3"/>
  <c r="C54" i="3"/>
  <c r="D56" i="3"/>
  <c r="C61" i="3"/>
  <c r="C62" i="3"/>
  <c r="C63" i="3"/>
  <c r="C67" i="3"/>
  <c r="C69" i="3"/>
  <c r="C71" i="3"/>
  <c r="C72" i="3"/>
  <c r="D73" i="3"/>
  <c r="C76" i="3"/>
  <c r="C81" i="3"/>
  <c r="C82" i="3"/>
  <c r="C83" i="3"/>
  <c r="D84" i="3"/>
  <c r="D87" i="3"/>
  <c r="C92" i="3"/>
  <c r="D93" i="3"/>
  <c r="C94" i="3"/>
  <c r="C96" i="3"/>
  <c r="D102" i="3"/>
  <c r="C103" i="3"/>
  <c r="C107" i="3"/>
  <c r="D111" i="3"/>
  <c r="C112" i="3"/>
  <c r="D114" i="3"/>
  <c r="C116" i="3"/>
  <c r="C122" i="3"/>
  <c r="D123" i="3"/>
  <c r="C124" i="3"/>
  <c r="D127" i="3"/>
  <c r="C132" i="3"/>
  <c r="D133" i="3"/>
  <c r="C134" i="3"/>
  <c r="C136" i="3"/>
  <c r="G77" i="3"/>
  <c r="H77" i="3"/>
  <c r="G78" i="3"/>
  <c r="H78" i="3"/>
  <c r="G79" i="3"/>
  <c r="H79" i="3"/>
  <c r="G80" i="3"/>
  <c r="H86" i="3"/>
  <c r="H89" i="3"/>
  <c r="G97" i="3"/>
  <c r="H97" i="3"/>
  <c r="G98" i="3"/>
  <c r="H98" i="3"/>
  <c r="G99" i="3"/>
  <c r="G117" i="3"/>
  <c r="H117" i="3"/>
  <c r="G118" i="3"/>
  <c r="H118" i="3"/>
  <c r="G119" i="3"/>
  <c r="H119" i="3"/>
  <c r="G120" i="3"/>
  <c r="H126" i="3"/>
  <c r="G127" i="3"/>
  <c r="H127" i="3"/>
  <c r="H129" i="3"/>
  <c r="G130" i="3"/>
  <c r="G137" i="3"/>
  <c r="H137" i="3"/>
  <c r="G138" i="3"/>
  <c r="G37" i="3"/>
  <c r="H37" i="3"/>
  <c r="G38" i="3"/>
  <c r="H38" i="3"/>
  <c r="G39" i="3"/>
  <c r="H39" i="3"/>
  <c r="G40" i="3"/>
  <c r="H40" i="3"/>
  <c r="G41" i="3"/>
  <c r="G45" i="3"/>
  <c r="H47" i="3"/>
  <c r="H50" i="3"/>
  <c r="H58" i="3"/>
  <c r="G59" i="3"/>
  <c r="H59" i="3"/>
  <c r="G60" i="3"/>
  <c r="H60" i="3"/>
  <c r="G61" i="3"/>
  <c r="G65" i="3"/>
  <c r="G67" i="3"/>
  <c r="G68" i="3"/>
  <c r="G69" i="3"/>
  <c r="H70" i="3"/>
  <c r="G71" i="3"/>
  <c r="G72" i="3"/>
  <c r="G73" i="3"/>
  <c r="G74" i="3"/>
  <c r="H76" i="3"/>
  <c r="H80" i="3"/>
  <c r="G81" i="3"/>
  <c r="G82" i="3"/>
  <c r="G83" i="3"/>
  <c r="G85" i="3"/>
  <c r="G86" i="3"/>
  <c r="G87" i="3"/>
  <c r="G88" i="3"/>
  <c r="G89" i="3"/>
  <c r="H90" i="3"/>
  <c r="G91" i="3"/>
  <c r="G92" i="3"/>
  <c r="G93" i="3"/>
  <c r="G94" i="3"/>
  <c r="H96" i="3"/>
  <c r="H99" i="3"/>
  <c r="H100" i="3"/>
  <c r="G101" i="3"/>
  <c r="G102" i="3"/>
  <c r="G103" i="3"/>
  <c r="G105" i="3"/>
  <c r="G106" i="3"/>
  <c r="G107" i="3"/>
  <c r="G108" i="3"/>
  <c r="G109" i="3"/>
  <c r="H110" i="3"/>
  <c r="G111" i="3"/>
  <c r="G112" i="3"/>
  <c r="G113" i="3"/>
  <c r="G114" i="3"/>
  <c r="H116" i="3"/>
  <c r="H120" i="3"/>
  <c r="G121" i="3"/>
  <c r="G122" i="3"/>
  <c r="G123" i="3"/>
  <c r="G125" i="3"/>
  <c r="G126" i="3"/>
  <c r="G128" i="3"/>
  <c r="G129" i="3"/>
  <c r="H130" i="3"/>
  <c r="G131" i="3"/>
  <c r="G132" i="3"/>
  <c r="G133" i="3"/>
  <c r="G134" i="3"/>
  <c r="G135" i="3"/>
  <c r="H138" i="3"/>
  <c r="G20" i="3"/>
  <c r="H21" i="3"/>
  <c r="G22" i="3"/>
  <c r="G23" i="3"/>
  <c r="H25" i="3"/>
  <c r="G26" i="3"/>
  <c r="G27" i="3"/>
  <c r="G28" i="3"/>
  <c r="G29" i="3"/>
  <c r="G30" i="3"/>
  <c r="H31" i="3"/>
  <c r="G32" i="3"/>
  <c r="G33" i="3"/>
  <c r="G34" i="3"/>
  <c r="G35" i="3"/>
  <c r="H41" i="3"/>
  <c r="G42" i="3"/>
  <c r="G43" i="3"/>
  <c r="H45" i="3"/>
  <c r="G46" i="3"/>
  <c r="G47" i="3"/>
  <c r="G48" i="3"/>
  <c r="G49" i="3"/>
  <c r="G50" i="3"/>
  <c r="H51" i="3"/>
  <c r="G52" i="3"/>
  <c r="G53" i="3"/>
  <c r="G54" i="3"/>
  <c r="G55" i="3"/>
  <c r="G57" i="3"/>
  <c r="G58" i="3"/>
  <c r="H61" i="3"/>
  <c r="G62" i="3"/>
  <c r="G63" i="3"/>
  <c r="H65" i="3"/>
  <c r="G66" i="3"/>
  <c r="D68" i="3"/>
  <c r="C78" i="3"/>
  <c r="D78" i="3"/>
  <c r="C79" i="3"/>
  <c r="D79" i="3"/>
  <c r="C80" i="3"/>
  <c r="D80" i="3"/>
  <c r="C98" i="3"/>
  <c r="D98" i="3"/>
  <c r="C99" i="3"/>
  <c r="D99" i="3"/>
  <c r="C100" i="3"/>
  <c r="D100" i="3"/>
  <c r="C101" i="3"/>
  <c r="D101" i="3"/>
  <c r="C118" i="3"/>
  <c r="D118" i="3"/>
  <c r="C119" i="3"/>
  <c r="D119" i="3"/>
  <c r="C120" i="3"/>
  <c r="D120" i="3"/>
  <c r="C121" i="3"/>
  <c r="D121" i="3"/>
  <c r="D122" i="3"/>
  <c r="C123" i="3"/>
  <c r="C138" i="3"/>
  <c r="D138" i="3"/>
  <c r="C20" i="3"/>
  <c r="D20" i="3"/>
  <c r="C38" i="3"/>
  <c r="D38" i="3"/>
  <c r="C39" i="3"/>
  <c r="D39" i="3"/>
  <c r="C40" i="3"/>
  <c r="D40" i="3"/>
  <c r="C41" i="3"/>
  <c r="D41" i="3"/>
  <c r="D42" i="3"/>
  <c r="C43" i="3"/>
  <c r="D43" i="3"/>
  <c r="D46" i="3"/>
  <c r="C47" i="3"/>
  <c r="C58" i="3"/>
  <c r="D58" i="3"/>
  <c r="C59" i="3"/>
  <c r="D59" i="3"/>
  <c r="C60" i="3"/>
  <c r="D60" i="3"/>
  <c r="D61" i="3"/>
  <c r="C37" i="15"/>
  <c r="C36" i="15"/>
  <c r="C35" i="15"/>
  <c r="A40" i="15" s="1" a="1"/>
  <c r="A40" i="15" s="1"/>
  <c r="C24" i="15"/>
  <c r="C23" i="15"/>
  <c r="C22" i="15"/>
  <c r="D37" i="8" a="1"/>
  <c r="D21" i="8" a="1"/>
  <c r="G4" i="4" a="1"/>
  <c r="G3" i="4" a="1"/>
  <c r="D35" i="8" a="1"/>
  <c r="D3" i="4" a="1"/>
  <c r="D5" i="4" a="1"/>
  <c r="G31" i="15" a="1"/>
  <c r="D22" i="15" a="1"/>
  <c r="D24" i="8" a="1"/>
  <c r="D25" i="8" a="1"/>
  <c r="G44" i="15" a="1"/>
  <c r="D36" i="8" a="1"/>
  <c r="G41" i="15" a="1"/>
  <c r="L2" i="18" a="1"/>
  <c r="D36" i="15" a="1"/>
  <c r="D24" i="15" a="1"/>
  <c r="D35" i="15" a="1"/>
  <c r="D13" i="4" a="1"/>
  <c r="K31" i="18" a="1"/>
  <c r="D29" i="11" a="1"/>
  <c r="D12" i="4" a="1"/>
  <c r="G45" i="15" a="1"/>
  <c r="G28" i="15" a="1"/>
  <c r="D23" i="8" a="1"/>
  <c r="G29" i="15" a="1"/>
  <c r="B27" i="15" a="1"/>
  <c r="D37" i="15" a="1"/>
  <c r="G43" i="15" a="1"/>
  <c r="D6" i="4" a="1"/>
  <c r="B40" i="15" a="1"/>
  <c r="D10" i="4" a="1"/>
  <c r="G40" i="15" a="1"/>
  <c r="D30" i="11" a="1"/>
  <c r="D33" i="8" a="1"/>
  <c r="D23" i="15" a="1"/>
  <c r="D4" i="4" a="1"/>
  <c r="D28" i="11" a="1"/>
  <c r="G27" i="15" a="1"/>
  <c r="G42" i="15" a="1"/>
  <c r="G30" i="15" a="1"/>
  <c r="A27" i="15" l="1" a="1"/>
  <c r="A27" i="15" s="1"/>
  <c r="D113" i="3"/>
  <c r="G64" i="3"/>
  <c r="G44" i="3"/>
  <c r="G24" i="3"/>
  <c r="H124" i="3"/>
  <c r="H104" i="3"/>
  <c r="H84" i="3"/>
  <c r="G90" i="3"/>
  <c r="H27" i="3"/>
  <c r="G31" i="3"/>
  <c r="G25" i="3"/>
  <c r="G110" i="3"/>
  <c r="G70" i="3"/>
  <c r="H30" i="3"/>
  <c r="G21" i="3"/>
  <c r="H109" i="3"/>
  <c r="H69" i="3"/>
  <c r="H57" i="3"/>
  <c r="H20" i="3"/>
  <c r="H106" i="3"/>
  <c r="G100" i="3"/>
  <c r="G51" i="3"/>
  <c r="C45" i="3"/>
  <c r="D21" i="3"/>
  <c r="C30" i="3"/>
  <c r="C86" i="3"/>
  <c r="C66" i="3"/>
  <c r="C31" i="3"/>
  <c r="C125" i="3"/>
  <c r="C105" i="3"/>
  <c r="C85" i="3"/>
  <c r="D65" i="3"/>
  <c r="D64" i="3"/>
  <c r="D45" i="3"/>
  <c r="D44" i="3"/>
  <c r="C87" i="3"/>
  <c r="D135" i="3"/>
  <c r="C115" i="3"/>
  <c r="D29" i="3"/>
  <c r="D47" i="3"/>
  <c r="C126" i="3"/>
  <c r="C106" i="3"/>
  <c r="C65" i="3"/>
  <c r="D85" i="3"/>
  <c r="D66" i="3"/>
  <c r="D86" i="3"/>
  <c r="D81" i="3"/>
  <c r="D36" i="3"/>
  <c r="C128" i="3"/>
  <c r="D108" i="3"/>
  <c r="C88" i="3"/>
  <c r="C48" i="3"/>
  <c r="D28" i="3"/>
  <c r="C64" i="3"/>
  <c r="D83" i="3"/>
  <c r="D82" i="3"/>
  <c r="C52" i="3"/>
  <c r="D72" i="3"/>
  <c r="D129" i="3"/>
  <c r="D109" i="3"/>
  <c r="D89" i="3"/>
  <c r="D69" i="3"/>
  <c r="D50" i="3"/>
  <c r="C127" i="3"/>
  <c r="D126" i="3"/>
  <c r="C111" i="3"/>
  <c r="D106" i="3"/>
  <c r="D125" i="3"/>
  <c r="C84" i="3"/>
  <c r="D105" i="3"/>
  <c r="D33" i="3"/>
  <c r="D112" i="3"/>
  <c r="D124" i="3"/>
  <c r="D95" i="3"/>
  <c r="D75" i="3"/>
  <c r="C55" i="3"/>
  <c r="C33" i="3"/>
  <c r="C114" i="3"/>
  <c r="D131" i="3"/>
  <c r="D91" i="3"/>
  <c r="C51" i="3"/>
  <c r="C50" i="3"/>
  <c r="D107" i="3"/>
  <c r="C104" i="3"/>
  <c r="C24" i="3"/>
  <c r="C32" i="3"/>
  <c r="C23" i="3"/>
  <c r="C102" i="3"/>
  <c r="D22" i="3"/>
  <c r="D32" i="3"/>
  <c r="C34" i="3"/>
  <c r="C109" i="3"/>
  <c r="C113" i="3"/>
  <c r="C35" i="3"/>
  <c r="C68" i="3"/>
  <c r="D67" i="3"/>
  <c r="C90" i="3"/>
  <c r="C70" i="3"/>
  <c r="D54" i="3"/>
  <c r="D30" i="3"/>
  <c r="C108" i="3"/>
  <c r="C28" i="3"/>
  <c r="D94" i="3"/>
  <c r="C53" i="3"/>
  <c r="C133" i="3"/>
  <c r="C93" i="3"/>
  <c r="D92" i="3"/>
  <c r="D132" i="3"/>
  <c r="D63" i="3"/>
  <c r="D25" i="3"/>
  <c r="C131" i="3"/>
  <c r="D104" i="3"/>
  <c r="C91" i="3"/>
  <c r="D49" i="3"/>
  <c r="C129" i="3"/>
  <c r="C89" i="3"/>
  <c r="D62" i="3"/>
  <c r="D48" i="3"/>
  <c r="D24" i="3"/>
  <c r="D128" i="3"/>
  <c r="D103" i="3"/>
  <c r="D88" i="3"/>
  <c r="D134" i="3"/>
  <c r="C73" i="3"/>
  <c r="C49" i="3"/>
  <c r="C29" i="3"/>
  <c r="D137" i="3"/>
  <c r="D117" i="3"/>
  <c r="D97" i="3"/>
  <c r="D77" i="3"/>
  <c r="H49" i="3"/>
  <c r="H29" i="3"/>
  <c r="H128" i="3"/>
  <c r="H108" i="3"/>
  <c r="H88" i="3"/>
  <c r="H68" i="3"/>
  <c r="C137" i="3"/>
  <c r="C117" i="3"/>
  <c r="C97" i="3"/>
  <c r="C77" i="3"/>
  <c r="D57" i="3"/>
  <c r="D37" i="3"/>
  <c r="D136" i="3"/>
  <c r="D116" i="3"/>
  <c r="D96" i="3"/>
  <c r="D76" i="3"/>
  <c r="H48" i="3"/>
  <c r="H28" i="3"/>
  <c r="H107" i="3"/>
  <c r="H87" i="3"/>
  <c r="H67" i="3"/>
  <c r="C57" i="3"/>
  <c r="C37" i="3"/>
  <c r="D115" i="3"/>
  <c r="C56" i="3"/>
  <c r="C36" i="3"/>
  <c r="C135" i="3"/>
  <c r="C95" i="3"/>
  <c r="C75" i="3"/>
  <c r="G136" i="3"/>
  <c r="G116" i="3"/>
  <c r="G96" i="3"/>
  <c r="G76" i="3"/>
  <c r="H136" i="3"/>
  <c r="D55" i="3"/>
  <c r="D35" i="3"/>
  <c r="D74" i="3"/>
  <c r="H66" i="3"/>
  <c r="H56" i="3"/>
  <c r="H46" i="3"/>
  <c r="H36" i="3"/>
  <c r="H26" i="3"/>
  <c r="H135" i="3"/>
  <c r="H125" i="3"/>
  <c r="H115" i="3"/>
  <c r="H105" i="3"/>
  <c r="H95" i="3"/>
  <c r="H85" i="3"/>
  <c r="H75" i="3"/>
  <c r="C74" i="3"/>
  <c r="G56" i="3"/>
  <c r="G36" i="3"/>
  <c r="G115" i="3"/>
  <c r="G95" i="3"/>
  <c r="G75" i="3"/>
  <c r="H55" i="3"/>
  <c r="H35" i="3"/>
  <c r="H134" i="3"/>
  <c r="H114" i="3"/>
  <c r="H94" i="3"/>
  <c r="H74" i="3"/>
  <c r="G124" i="3"/>
  <c r="G104" i="3"/>
  <c r="G84" i="3"/>
  <c r="H64" i="3"/>
  <c r="H54" i="3"/>
  <c r="H44" i="3"/>
  <c r="H34" i="3"/>
  <c r="H24" i="3"/>
  <c r="H133" i="3"/>
  <c r="H123" i="3"/>
  <c r="H113" i="3"/>
  <c r="H103" i="3"/>
  <c r="H93" i="3"/>
  <c r="H83" i="3"/>
  <c r="H73" i="3"/>
  <c r="D71" i="3"/>
  <c r="H63" i="3"/>
  <c r="H53" i="3"/>
  <c r="H43" i="3"/>
  <c r="H33" i="3"/>
  <c r="H23" i="3"/>
  <c r="H132" i="3"/>
  <c r="H122" i="3"/>
  <c r="H112" i="3"/>
  <c r="H102" i="3"/>
  <c r="H92" i="3"/>
  <c r="H82" i="3"/>
  <c r="H72" i="3"/>
  <c r="D130" i="3"/>
  <c r="D110" i="3"/>
  <c r="D90" i="3"/>
  <c r="D70" i="3"/>
  <c r="H62" i="3"/>
  <c r="H52" i="3"/>
  <c r="H42" i="3"/>
  <c r="H32" i="3"/>
  <c r="H22" i="3"/>
  <c r="H131" i="3"/>
  <c r="H121" i="3"/>
  <c r="H111" i="3"/>
  <c r="H101" i="3"/>
  <c r="H91" i="3"/>
  <c r="H81" i="3"/>
  <c r="H71" i="3"/>
  <c r="C130" i="3"/>
  <c r="C110" i="3"/>
  <c r="K31" i="18"/>
  <c r="L2" i="18"/>
  <c r="D29" i="11"/>
  <c r="D30" i="11"/>
  <c r="D28" i="11"/>
  <c r="D37" i="8"/>
  <c r="D36" i="8"/>
  <c r="D35" i="8"/>
  <c r="D33" i="8"/>
  <c r="D24" i="8"/>
  <c r="D25" i="8"/>
  <c r="D23" i="8"/>
  <c r="D21" i="8"/>
  <c r="D13" i="4"/>
  <c r="D12" i="4"/>
  <c r="D10" i="4"/>
  <c r="G3" i="4"/>
  <c r="G4" i="4"/>
  <c r="D5" i="4"/>
  <c r="D6" i="4"/>
  <c r="D4" i="4"/>
  <c r="D3" i="4"/>
  <c r="G40" i="15"/>
  <c r="G44" i="15"/>
  <c r="G41" i="15"/>
  <c r="G45" i="15"/>
  <c r="G42" i="15"/>
  <c r="G43" i="15"/>
  <c r="B40" i="15"/>
  <c r="D36" i="15"/>
  <c r="D37" i="15"/>
  <c r="D35" i="15"/>
  <c r="G28" i="15"/>
  <c r="G29" i="15"/>
  <c r="G31" i="15"/>
  <c r="G30" i="15"/>
  <c r="G27" i="15"/>
  <c r="B27" i="15"/>
  <c r="D24" i="15"/>
  <c r="D23" i="15"/>
  <c r="D22" i="15"/>
  <c r="F40" i="15"/>
  <c r="F27" i="15" l="1"/>
  <c r="F28" i="15"/>
  <c r="F29" i="15"/>
  <c r="F42" i="15"/>
  <c r="F41" i="15"/>
  <c r="F44" i="15" s="1" a="1"/>
  <c r="F44" i="15" s="1"/>
  <c r="F43" i="15" l="1" a="1"/>
  <c r="F43" i="15" s="1"/>
  <c r="F31" i="15" a="1"/>
  <c r="F31" i="15" s="1"/>
  <c r="F30" i="15" a="1"/>
  <c r="F30" i="15" s="1"/>
  <c r="F45" i="15" a="1"/>
  <c r="F45" i="15" s="1"/>
  <c r="C33" i="8"/>
  <c r="C36" i="8" l="1" a="1"/>
  <c r="C36" i="8" s="1"/>
  <c r="C35" i="8" a="1"/>
  <c r="C35" i="8" s="1"/>
  <c r="C28" i="11"/>
  <c r="C37" i="8" l="1"/>
  <c r="C21" i="8"/>
  <c r="C23" i="8" l="1" a="1"/>
  <c r="C23" i="8" s="1"/>
  <c r="C24" i="8" a="1"/>
  <c r="C24" i="8" s="1"/>
  <c r="A28" i="4"/>
  <c r="A18" i="4"/>
  <c r="C10" i="4"/>
  <c r="C25" i="8" l="1"/>
  <c r="A19" i="4"/>
  <c r="A29" i="4"/>
  <c r="C5" i="4" l="1"/>
  <c r="F4" i="4"/>
  <c r="F3" i="4"/>
  <c r="A30" i="4"/>
  <c r="A20" i="4"/>
  <c r="A21" i="4" l="1"/>
  <c r="A31" i="4"/>
  <c r="C10" i="3"/>
  <c r="C6" i="4"/>
  <c r="F14" i="3"/>
  <c r="C4" i="4"/>
  <c r="F15" i="3"/>
  <c r="B17" i="4" l="1"/>
  <c r="B27" i="4"/>
  <c r="B18" i="4"/>
  <c r="B28" i="4"/>
  <c r="B29" i="4"/>
  <c r="B19" i="4"/>
  <c r="B30" i="4"/>
  <c r="A32" i="4"/>
  <c r="B31" i="4"/>
  <c r="B20" i="4"/>
  <c r="A22" i="4"/>
  <c r="B21" i="4"/>
  <c r="C13" i="4"/>
  <c r="C15" i="3"/>
  <c r="C3" i="4"/>
  <c r="C14" i="3"/>
  <c r="C12" i="4" l="1"/>
  <c r="C17" i="4"/>
  <c r="C27" i="4"/>
  <c r="C28" i="4"/>
  <c r="C18" i="4"/>
  <c r="C19" i="4"/>
  <c r="C29" i="4"/>
  <c r="C20" i="4"/>
  <c r="C30" i="4"/>
  <c r="A23" i="4"/>
  <c r="B22" i="4"/>
  <c r="C22" i="4"/>
  <c r="C21" i="4"/>
  <c r="C31" i="4"/>
  <c r="A33" i="4"/>
  <c r="B32" i="4"/>
  <c r="C32" i="4"/>
  <c r="A34" i="4" l="1"/>
  <c r="B33" i="4"/>
  <c r="C33" i="4"/>
  <c r="A24" i="4"/>
  <c r="B23" i="4"/>
  <c r="C23" i="4"/>
  <c r="A25" i="4" l="1"/>
  <c r="B24" i="4"/>
  <c r="C24" i="4"/>
  <c r="A35" i="4"/>
  <c r="B34" i="4"/>
  <c r="C34" i="4"/>
  <c r="A36" i="4" l="1"/>
  <c r="B35" i="4"/>
  <c r="C35" i="4"/>
  <c r="A26" i="4"/>
  <c r="B25" i="4"/>
  <c r="C25" i="4"/>
  <c r="Z47" i="18"/>
  <c r="Z43" i="18"/>
  <c r="Z56" i="18"/>
  <c r="Z57" i="18"/>
  <c r="Z58" i="18"/>
  <c r="Z52" i="18"/>
  <c r="Z54" i="18"/>
  <c r="Z53" i="18"/>
  <c r="Z46" i="18"/>
  <c r="Z55" i="18"/>
  <c r="Z48" i="18"/>
  <c r="Z49" i="18"/>
  <c r="Z45" i="18"/>
  <c r="Z51" i="18"/>
  <c r="Z50" i="18"/>
  <c r="Z44" i="18"/>
  <c r="AA53" i="18"/>
  <c r="AA44" i="18"/>
  <c r="AA56" i="18"/>
  <c r="AA46" i="18"/>
  <c r="AA57" i="18"/>
  <c r="AA52" i="18"/>
  <c r="AA43" i="18"/>
  <c r="AA54" i="18"/>
  <c r="AA47" i="18"/>
  <c r="AA58" i="18"/>
  <c r="AA49" i="18"/>
  <c r="AA50" i="18"/>
  <c r="AA55" i="18"/>
  <c r="AA51" i="18"/>
  <c r="AA45" i="18"/>
  <c r="AA48" i="18"/>
  <c r="B26" i="4" l="1"/>
  <c r="C26" i="4"/>
  <c r="A37" i="4"/>
  <c r="B36" i="4"/>
  <c r="C36" i="4"/>
  <c r="A38" i="4" l="1"/>
  <c r="C37" i="4"/>
  <c r="B37" i="4"/>
  <c r="L38" i="18"/>
  <c r="A39" i="4" l="1"/>
  <c r="B38" i="4"/>
  <c r="C38" i="4"/>
  <c r="M50" i="18"/>
  <c r="L57" i="18" l="1"/>
  <c r="A40" i="4"/>
  <c r="B39" i="4"/>
  <c r="C39" i="4"/>
  <c r="M43" i="18"/>
  <c r="M54" i="18"/>
  <c r="M55" i="18"/>
  <c r="M48" i="18"/>
  <c r="M56" i="18"/>
  <c r="M45" i="18"/>
  <c r="M52" i="18"/>
  <c r="M49" i="18"/>
  <c r="M57" i="18"/>
  <c r="M47" i="18"/>
  <c r="M46" i="18"/>
  <c r="M51" i="18"/>
  <c r="M58" i="18"/>
  <c r="M53" i="18"/>
  <c r="M44" i="18"/>
  <c r="L58" i="18"/>
  <c r="L44" i="18"/>
  <c r="L56" i="18"/>
  <c r="L48" i="18"/>
  <c r="L54" i="18"/>
  <c r="L45" i="18"/>
  <c r="L43" i="18"/>
  <c r="L51" i="18"/>
  <c r="L53" i="18"/>
  <c r="L55" i="18"/>
  <c r="L52" i="18"/>
  <c r="L47" i="18"/>
  <c r="L46" i="18"/>
  <c r="L49" i="18"/>
  <c r="L50" i="18"/>
  <c r="A41" i="4" l="1"/>
  <c r="B40" i="4"/>
  <c r="C40" i="4"/>
  <c r="A42" i="4" l="1"/>
  <c r="B41" i="4"/>
  <c r="C41" i="4"/>
  <c r="A43" i="4" l="1"/>
  <c r="B42" i="4"/>
  <c r="C42" i="4"/>
  <c r="A44" i="4" l="1"/>
  <c r="B43" i="4"/>
  <c r="C43" i="4"/>
  <c r="A45" i="4" l="1"/>
  <c r="B44" i="4"/>
  <c r="C44" i="4"/>
  <c r="A46" i="4" l="1"/>
  <c r="C45" i="4"/>
  <c r="B45" i="4"/>
  <c r="A47" i="4" l="1"/>
  <c r="B46" i="4"/>
  <c r="C46" i="4"/>
  <c r="C47" i="4" l="1"/>
  <c r="B47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<sst xmlns="http://schemas.openxmlformats.org/spreadsheetml/2006/main" count="567" uniqueCount="191">
  <si>
    <t>Date</t>
  </si>
  <si>
    <t>Open</t>
  </si>
  <si>
    <t>High</t>
  </si>
  <si>
    <t>Low</t>
  </si>
  <si>
    <t>Close</t>
  </si>
  <si>
    <t>Adj Close</t>
  </si>
  <si>
    <t>Volume</t>
  </si>
  <si>
    <t>Monthly statistics</t>
  </si>
  <si>
    <t>Average</t>
  </si>
  <si>
    <t>Covariance</t>
  </si>
  <si>
    <t>Correlation</t>
  </si>
  <si>
    <t>Annual statistics</t>
  </si>
  <si>
    <t>Mobile</t>
  </si>
  <si>
    <t>Unicom</t>
  </si>
  <si>
    <t>Standard Deviation</t>
  </si>
  <si>
    <t>Adj. Close</t>
  </si>
  <si>
    <t>LN(ret)</t>
  </si>
  <si>
    <t>SD (sample)</t>
  </si>
  <si>
    <t>SD (population)</t>
  </si>
  <si>
    <t>Covariance (sample)</t>
  </si>
  <si>
    <t>Covariance (population)</t>
  </si>
  <si>
    <t>Correlation (sample)</t>
  </si>
  <si>
    <t>Correlation (population)</t>
  </si>
  <si>
    <t>(Note: highlighted cells are recommended calculation)</t>
  </si>
  <si>
    <t>Portfolio calculations</t>
  </si>
  <si>
    <t>Portfolio mean return</t>
  </si>
  <si>
    <t>Portfolio standard deviation</t>
  </si>
  <si>
    <t>Mean</t>
  </si>
  <si>
    <t>China Mobile (0941.HK) AND China Unicom (0762.HK)
Portfolio</t>
  </si>
  <si>
    <t>Proportion of Mobile</t>
  </si>
  <si>
    <t>Proportion of Unicom</t>
  </si>
  <si>
    <t>SD</t>
  </si>
  <si>
    <t>Standard deviation</t>
  </si>
  <si>
    <t>Matrix Operation Basics:</t>
  </si>
  <si>
    <t>Matrix A (2 by 1)</t>
  </si>
  <si>
    <t>Matrix B (1 by 3)</t>
  </si>
  <si>
    <t>Matrix C (3 by 2)</t>
  </si>
  <si>
    <t>a1</t>
  </si>
  <si>
    <t>b1</t>
  </si>
  <si>
    <t>b2</t>
  </si>
  <si>
    <t>b3</t>
  </si>
  <si>
    <t>c1</t>
  </si>
  <si>
    <t>c4</t>
  </si>
  <si>
    <t>a2</t>
  </si>
  <si>
    <t>c2</t>
  </si>
  <si>
    <t>c5</t>
  </si>
  <si>
    <t>c3</t>
  </si>
  <si>
    <t>c6</t>
  </si>
  <si>
    <t>Transpose (Matrix A) - 1 by 2</t>
  </si>
  <si>
    <t>Transpose (Matrix B) - 3 by 1</t>
  </si>
  <si>
    <t>a1*b1</t>
  </si>
  <si>
    <t>a1*b2</t>
  </si>
  <si>
    <t>a1*b3</t>
  </si>
  <si>
    <t>b1*c1 + b2*c2 + b3*c3</t>
  </si>
  <si>
    <t>b1*c4 + b2*c5 + b3*c6</t>
  </si>
  <si>
    <t>a2*b1</t>
  </si>
  <si>
    <t>a2*b2</t>
  </si>
  <si>
    <t>a2*b3</t>
  </si>
  <si>
    <t>Step 1: Input list of three risky securites and one risk-free asset</t>
  </si>
  <si>
    <t>Asset Data</t>
  </si>
  <si>
    <t>Exp. Ret</t>
  </si>
  <si>
    <t>Std Dev</t>
  </si>
  <si>
    <t>Fund 1</t>
  </si>
  <si>
    <t>&lt;= Money market fund</t>
  </si>
  <si>
    <t>Fund 2</t>
  </si>
  <si>
    <t>&lt;= Corporate bond fund</t>
  </si>
  <si>
    <t>Fund 3</t>
  </si>
  <si>
    <t>&lt;= Equity fund</t>
  </si>
  <si>
    <t>Risk-free asset</t>
  </si>
  <si>
    <t>3. Specify in the Solver Parameter Dialog box:</t>
  </si>
  <si>
    <t>Frontier Portfolio weights</t>
  </si>
  <si>
    <t>Portfolio A</t>
  </si>
  <si>
    <t>w_A</t>
  </si>
  <si>
    <t>Variance</t>
  </si>
  <si>
    <t>Cov(r_A, r_B)</t>
  </si>
  <si>
    <t>Optimal risky portfolio weights</t>
  </si>
  <si>
    <t>Portfolio P</t>
  </si>
  <si>
    <t>w_P</t>
  </si>
  <si>
    <t>Sharpe ratio</t>
  </si>
  <si>
    <t>Initial target expected return</t>
  </si>
  <si>
    <t>Counter step value</t>
  </si>
  <si>
    <t>&lt;- iterate target mean</t>
  </si>
  <si>
    <t>Target mean</t>
  </si>
  <si>
    <t>Portfolio SD</t>
  </si>
  <si>
    <t>Portfolio mean</t>
  </si>
  <si>
    <t>VBA result:</t>
  </si>
  <si>
    <t>&lt;- increase target mean by this amount every step</t>
  </si>
  <si>
    <t>Counter step number</t>
  </si>
  <si>
    <t>Current target expected return</t>
  </si>
  <si>
    <t>Step 2: Setup loop for target expected return value</t>
  </si>
  <si>
    <t>If you cannot run "SolverOK" in sub procedure solve(), go to Tools-&gt;References, then select Solver</t>
  </si>
  <si>
    <t>sum of weights</t>
  </si>
  <si>
    <t>2. Invoke Solver by choosing Data =&gt; Solver.</t>
    <phoneticPr fontId="5" type="noConversion"/>
  </si>
  <si>
    <t>GMVP</t>
  </si>
  <si>
    <t>GMVP weights</t>
  </si>
  <si>
    <t>w_GMVP</t>
  </si>
  <si>
    <t>GE</t>
  </si>
  <si>
    <t>BAC</t>
  </si>
  <si>
    <t>AAPL</t>
  </si>
  <si>
    <t>Inputs (at monthly frequency)</t>
  </si>
  <si>
    <t>Risk-free</t>
  </si>
  <si>
    <t>Mean return</t>
  </si>
  <si>
    <t>Variance-Covariance Matrix</t>
  </si>
  <si>
    <t>Step 2: Choose two constants</t>
  </si>
  <si>
    <t xml:space="preserve">Step 3: </t>
  </si>
  <si>
    <t>Mean minus constant E(r)-c</t>
  </si>
  <si>
    <r>
      <t>Vector z = Σ</t>
    </r>
    <r>
      <rPr>
        <b/>
        <vertAlign val="superscript"/>
        <sz val="11"/>
        <color theme="1"/>
        <rFont val="Calibri"/>
        <family val="2"/>
      </rPr>
      <t>-1</t>
    </r>
    <r>
      <rPr>
        <b/>
        <sz val="11"/>
        <color theme="1"/>
        <rFont val="Calibri"/>
        <family val="2"/>
      </rPr>
      <t>(E(r)-c)</t>
    </r>
  </si>
  <si>
    <r>
      <t>Normalized weights x</t>
    </r>
    <r>
      <rPr>
        <b/>
        <vertAlign val="subscript"/>
        <sz val="11"/>
        <color theme="1"/>
        <rFont val="Calibri"/>
        <family val="2"/>
      </rPr>
      <t>i</t>
    </r>
    <r>
      <rPr>
        <b/>
        <sz val="11"/>
        <color theme="1"/>
        <rFont val="Calibri"/>
        <family val="2"/>
      </rPr>
      <t xml:space="preserve"> = z</t>
    </r>
    <r>
      <rPr>
        <b/>
        <vertAlign val="subscript"/>
        <sz val="11"/>
        <color theme="1"/>
        <rFont val="Calibri"/>
        <family val="2"/>
      </rPr>
      <t>i</t>
    </r>
    <r>
      <rPr>
        <b/>
        <sz val="11"/>
        <color theme="1"/>
        <rFont val="Calibri"/>
        <family val="2"/>
      </rPr>
      <t>/sum(z</t>
    </r>
    <r>
      <rPr>
        <b/>
        <vertAlign val="subscript"/>
        <sz val="11"/>
        <color theme="1"/>
        <rFont val="Calibri"/>
        <family val="2"/>
      </rPr>
      <t>j</t>
    </r>
    <r>
      <rPr>
        <b/>
        <sz val="11"/>
        <color theme="1"/>
        <rFont val="Calibri"/>
        <family val="2"/>
      </rPr>
      <t>)</t>
    </r>
  </si>
  <si>
    <t>Weights</t>
  </si>
  <si>
    <t># estimators in Var-Cov matrix:</t>
  </si>
  <si>
    <t>(variances and covariances)</t>
  </si>
  <si>
    <t>E(r) - rf</t>
  </si>
  <si>
    <t>Summary:</t>
  </si>
  <si>
    <t>P</t>
  </si>
  <si>
    <t>Sharpe Ratio</t>
  </si>
  <si>
    <t>Efficient Frontier: Constructed with GMVP and P</t>
  </si>
  <si>
    <t>Weight in GMVP</t>
  </si>
  <si>
    <t>Weight in P</t>
  </si>
  <si>
    <t>SD of ret</t>
  </si>
  <si>
    <r>
      <t xml:space="preserve">Computing </t>
    </r>
    <r>
      <rPr>
        <b/>
        <sz val="11"/>
        <color rgb="FFFF0000"/>
        <rFont val="Calibri"/>
        <family val="2"/>
      </rPr>
      <t>Global Minimum Variance Portfolio (GMVP)</t>
    </r>
  </si>
  <si>
    <r>
      <t xml:space="preserve">Computing </t>
    </r>
    <r>
      <rPr>
        <b/>
        <sz val="11"/>
        <color rgb="FFFF0000"/>
        <rFont val="Calibri"/>
        <family val="2"/>
      </rPr>
      <t>Optimal Risky Portfolio (P)</t>
    </r>
  </si>
  <si>
    <r>
      <t>Variance-Covariance Matrix (</t>
    </r>
    <r>
      <rPr>
        <b/>
        <sz val="11"/>
        <color rgb="FFFF0000"/>
        <rFont val="Calibri"/>
        <family val="2"/>
      </rPr>
      <t>Constant Correlation</t>
    </r>
    <r>
      <rPr>
        <b/>
        <sz val="11"/>
        <rFont val="Calibri"/>
        <family val="2"/>
      </rPr>
      <t>)</t>
    </r>
  </si>
  <si>
    <t>M1 (3 by 4)</t>
  </si>
  <si>
    <t>M2 (4 by 2)</t>
  </si>
  <si>
    <t>M3 (4 by 4)</t>
  </si>
  <si>
    <t>M1 * M2 =&gt; 3 by 2 matrix</t>
  </si>
  <si>
    <t>Transpose of M1</t>
  </si>
  <si>
    <t>Inverse matrix of M3</t>
  </si>
  <si>
    <t xml:space="preserve">M3 * Inv(M3) = Identity matrix </t>
  </si>
  <si>
    <t>Transpose (Matrix C) - 2 by 3</t>
  </si>
  <si>
    <t>A * B ( 2 by 1 * 1 by 3 =&gt; 2 by 3)</t>
  </si>
  <si>
    <t>B * C ( 1 by 3 * 3 by 2 =&gt; 1 by 2)</t>
  </si>
  <si>
    <t>Excel function MMULT, TRANSPOSE, MINVERSE</t>
  </si>
  <si>
    <t>Black's Zero-Beta CAPM: Analytical Solution to Envelope Portfolios</t>
  </si>
  <si>
    <t>Portfolio A with constant c1</t>
  </si>
  <si>
    <t>constant c1 for portfolio A:</t>
  </si>
  <si>
    <t>I choose risk-free rate as the second constant.</t>
  </si>
  <si>
    <t>Portfolio B will be the optimal risky portfolio.</t>
  </si>
  <si>
    <t>constant rf for portfolio B:</t>
  </si>
  <si>
    <t>Portfolio B (Optimal risky portfolio P) with constant rf</t>
  </si>
  <si>
    <t xml:space="preserve">Step 4: GMVP </t>
  </si>
  <si>
    <t>TB4WK</t>
  </si>
  <si>
    <t xml:space="preserve">GMVP </t>
  </si>
  <si>
    <r>
      <t xml:space="preserve">Variance-Covariance Matrix (VBA Fn. </t>
    </r>
    <r>
      <rPr>
        <b/>
        <sz val="11"/>
        <rFont val="Courier New"/>
        <family val="3"/>
      </rPr>
      <t>VarCov</t>
    </r>
    <r>
      <rPr>
        <b/>
        <sz val="11"/>
        <rFont val="Calibri"/>
        <family val="2"/>
      </rPr>
      <t>)</t>
    </r>
  </si>
  <si>
    <r>
      <t xml:space="preserve">Variance-Covariance Matrix (VBA Fn. </t>
    </r>
    <r>
      <rPr>
        <b/>
        <sz val="11"/>
        <rFont val="Courier New"/>
        <family val="3"/>
      </rPr>
      <t>VarCovConst</t>
    </r>
    <r>
      <rPr>
        <b/>
        <sz val="11"/>
        <rFont val="Calibri"/>
        <family val="2"/>
      </rPr>
      <t>)</t>
    </r>
  </si>
  <si>
    <r>
      <t>Assume constant correlation (</t>
    </r>
    <r>
      <rPr>
        <b/>
        <sz val="11"/>
        <color theme="1"/>
        <rFont val="Courier New"/>
        <family val="3"/>
      </rPr>
      <t>rho</t>
    </r>
    <r>
      <rPr>
        <b/>
        <sz val="11"/>
        <color theme="1"/>
        <rFont val="Calibri"/>
        <family val="2"/>
      </rPr>
      <t>)</t>
    </r>
  </si>
  <si>
    <t>Varying the proportion of Mobile</t>
  </si>
  <si>
    <t>Using Solver to find optimal risky portfolio</t>
  </si>
  <si>
    <t>The weights of the portfolio w1, w2 and w3 are saved in cells $C$19, $C$20, and $C$21.</t>
  </si>
  <si>
    <t xml:space="preserve">1. The constraint in weights can be achieved by putting $C$21 = 1 - $C$19 - $C$20. </t>
  </si>
  <si>
    <t xml:space="preserve">    So the changing cells are $C$19 and $C$20 only.</t>
  </si>
  <si>
    <t xml:space="preserve">    If it is not in your Excel, first go to Options =&gt; Add-ins (or Tools =&gt; Add-ins for Mac), and select Solver.</t>
  </si>
  <si>
    <t xml:space="preserve">     Set Objective: $C$25 (Sharpe ratio)</t>
  </si>
  <si>
    <t xml:space="preserve">     To: Max</t>
  </si>
  <si>
    <t xml:space="preserve">     By Changing Variable Cells: $C$19:$C$20</t>
  </si>
  <si>
    <t>4. No additional constraints</t>
  </si>
  <si>
    <t>6. Solve and get the results in the spreadsheet. Cell $C$19 and $C$20 updates to the solution.</t>
  </si>
  <si>
    <t>5. Click Options and by default select GRG Nonlinear as solving method, and DON'T check Make Unconstrained Variables Non-Negative.</t>
  </si>
  <si>
    <t>Construct Efficient Frontier with Short-Sales Constraints (Excel Solver)</t>
  </si>
  <si>
    <r>
      <t xml:space="preserve">Construct Optimal Risky Portfolio and GMVP with </t>
    </r>
    <r>
      <rPr>
        <b/>
        <sz val="14"/>
        <color rgb="FFFF0000"/>
        <rFont val="Calibri"/>
        <family val="2"/>
      </rPr>
      <t>Excel Solver</t>
    </r>
  </si>
  <si>
    <t>ADJUSTED CLOSE PRICE DATA FOR 7 US STOCKS 
DEC 2014 - DEC 2024</t>
    <phoneticPr fontId="26" type="noConversion"/>
  </si>
  <si>
    <t>LOG RETURNS FOR 7 US STOCKS 
JAN 2015 - DEC 2024</t>
    <phoneticPr fontId="26" type="noConversion"/>
  </si>
  <si>
    <t>CAT</t>
  </si>
  <si>
    <t>KO</t>
  </si>
  <si>
    <t>MRK</t>
  </si>
  <si>
    <t>PG</t>
  </si>
  <si>
    <t>YearMonth</t>
  </si>
  <si>
    <t xml:space="preserve">Data source: </t>
    <phoneticPr fontId="5" type="noConversion"/>
  </si>
  <si>
    <t>https://finance.yahoo.com/quote/0941.HK/</t>
    <phoneticPr fontId="5" type="noConversion"/>
  </si>
  <si>
    <t>https://finance.yahoo.com/quote/0762.HK/</t>
  </si>
  <si>
    <t>Ticker</t>
  </si>
  <si>
    <t>0941.HK</t>
  </si>
  <si>
    <t>0762.HK</t>
  </si>
  <si>
    <r>
      <t xml:space="preserve">China Mobile (0941.HK) and China Unicom (0762.HK)
</t>
    </r>
    <r>
      <rPr>
        <b/>
        <sz val="12"/>
        <rFont val="Calibri"/>
        <family val="2"/>
      </rPr>
      <t>Return statistics, 2015.01-2024.12 
(Yahoo!Finance adjusted close prices)</t>
    </r>
    <phoneticPr fontId="5" type="noConversion"/>
  </si>
  <si>
    <t>Discrete Return</t>
    <phoneticPr fontId="5" type="noConversion"/>
  </si>
  <si>
    <r>
      <t xml:space="preserve">10 YEARS OF </t>
    </r>
    <r>
      <rPr>
        <b/>
        <sz val="14"/>
        <color rgb="FFFF0000"/>
        <rFont val="Calibri"/>
        <family val="2"/>
      </rPr>
      <t>LOG RETURNS</t>
    </r>
    <r>
      <rPr>
        <b/>
        <sz val="14"/>
        <rFont val="Calibri"/>
        <family val="2"/>
      </rPr>
      <t xml:space="preserve"> FOR 7 STOCKS </t>
    </r>
    <phoneticPr fontId="5" type="noConversion"/>
  </si>
  <si>
    <t>observation_date</t>
  </si>
  <si>
    <t>FRED Graph Observations</t>
  </si>
  <si>
    <t>Federal Reserve Economic Data, Federal Reserve Bank of St. Louis</t>
  </si>
  <si>
    <t>Link: https://fred.stlouisfed.org</t>
  </si>
  <si>
    <t>(in December 2024)</t>
    <phoneticPr fontId="5" type="noConversion"/>
  </si>
  <si>
    <t>We construct portfolio at the beginning of Jan. 2025. So we choose risk-free rate in Dec. 2024 (one-month lagged).</t>
    <phoneticPr fontId="5" type="noConversion"/>
  </si>
  <si>
    <t>Summary:</t>
    <phoneticPr fontId="5" type="noConversion"/>
  </si>
  <si>
    <t xml:space="preserve"> </t>
    <phoneticPr fontId="5" type="noConversion"/>
  </si>
  <si>
    <t>(variances and rho)</t>
    <phoneticPr fontId="5" type="noConversion"/>
  </si>
  <si>
    <r>
      <t xml:space="preserve">VBA function </t>
    </r>
    <r>
      <rPr>
        <b/>
        <sz val="11"/>
        <color theme="1"/>
        <rFont val="Courier New"/>
        <family val="3"/>
      </rPr>
      <t>UnitColVector</t>
    </r>
    <r>
      <rPr>
        <b/>
        <sz val="11"/>
        <color theme="1"/>
        <rFont val="Calibri"/>
        <family val="2"/>
      </rPr>
      <t>:</t>
    </r>
  </si>
  <si>
    <r>
      <t xml:space="preserve">VBA Fn. </t>
    </r>
    <r>
      <rPr>
        <b/>
        <sz val="11"/>
        <color theme="1"/>
        <rFont val="Courier New"/>
        <family val="3"/>
      </rPr>
      <t>UnitRowVector</t>
    </r>
  </si>
  <si>
    <r>
      <t xml:space="preserve">Notes: </t>
    </r>
    <r>
      <rPr>
        <sz val="11"/>
        <rFont val="Calibri"/>
        <family val="2"/>
        <scheme val="minor"/>
      </rPr>
      <t>Averages of business days. Discount basis.</t>
    </r>
  </si>
  <si>
    <r>
      <rPr>
        <b/>
        <sz val="11"/>
        <rFont val="Calibri"/>
        <family val="2"/>
        <scheme val="minor"/>
      </rPr>
      <t>Frequency:</t>
    </r>
    <r>
      <rPr>
        <sz val="11"/>
        <rFont val="Calibri"/>
        <family val="2"/>
        <scheme val="minor"/>
      </rPr>
      <t>  Monthly</t>
    </r>
  </si>
  <si>
    <t>Optimal risky portfolio:</t>
  </si>
  <si>
    <t>GMVP: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</si>
</sst>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"/>
    <numFmt numFmtId="166" formatCode="0.000"/>
    <numFmt numFmtId="167" formatCode="0.0%"/>
    <numFmt numFmtId="168" formatCode="0.0000_ "/>
    <numFmt numFmtId="169" formatCode="0.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4"/>
      <name val="Calibri"/>
      <family val="2"/>
    </font>
    <font>
      <b/>
      <sz val="12"/>
      <name val="Calibri"/>
      <family val="2"/>
    </font>
    <font>
      <sz val="11"/>
      <color theme="1"/>
      <name val="Calibri"/>
      <family val="2"/>
    </font>
    <font>
      <b/>
      <sz val="10"/>
      <name val="Calibri"/>
      <family val="2"/>
    </font>
    <font>
      <i/>
      <sz val="10"/>
      <color theme="1"/>
      <name val="Calibri"/>
      <family val="2"/>
    </font>
    <font>
      <sz val="10"/>
      <name val="Calibri"/>
      <family val="2"/>
    </font>
    <font>
      <b/>
      <sz val="13"/>
      <color theme="1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b/>
      <sz val="11"/>
      <color theme="1"/>
      <name val="Calibri"/>
      <family val="2"/>
    </font>
    <font>
      <b/>
      <sz val="11"/>
      <color rgb="FF0070C0"/>
      <name val="Calibri"/>
      <family val="2"/>
    </font>
    <font>
      <b/>
      <sz val="11"/>
      <name val="Calibri"/>
      <family val="2"/>
    </font>
    <font>
      <b/>
      <sz val="14"/>
      <color rgb="FFFF0000"/>
      <name val="Calibri"/>
      <family val="2"/>
    </font>
    <font>
      <sz val="11"/>
      <color rgb="FF0070C0"/>
      <name val="Calibri"/>
      <family val="2"/>
    </font>
    <font>
      <b/>
      <vertAlign val="superscript"/>
      <sz val="11"/>
      <color theme="1"/>
      <name val="Calibri"/>
      <family val="2"/>
    </font>
    <font>
      <b/>
      <vertAlign val="subscript"/>
      <sz val="11"/>
      <color theme="1"/>
      <name val="Calibri"/>
      <family val="2"/>
    </font>
    <font>
      <sz val="1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ourier New"/>
      <family val="3"/>
    </font>
    <font>
      <b/>
      <sz val="11"/>
      <name val="Courier New"/>
      <family val="3"/>
    </font>
    <font>
      <sz val="8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3" fillId="0" borderId="0"/>
    <xf numFmtId="0" fontId="27" fillId="0" borderId="0" applyNumberFormat="0" applyFill="0" applyBorder="0" applyAlignment="0" applyProtection="0"/>
  </cellStyleXfs>
  <cellXfs count="110">
    <xf numFmtId="0" fontId="0" fillId="0" borderId="0" xfId="0"/>
    <xf numFmtId="0" fontId="8" fillId="0" borderId="0" xfId="0" applyFont="1"/>
    <xf numFmtId="0" fontId="9" fillId="0" borderId="0" xfId="0" applyFont="1"/>
    <xf numFmtId="164" fontId="8" fillId="0" borderId="0" xfId="0" applyNumberFormat="1" applyFont="1"/>
    <xf numFmtId="164" fontId="9" fillId="0" borderId="0" xfId="0" applyNumberFormat="1" applyFont="1" applyAlignment="1">
      <alignment horizontal="center"/>
    </xf>
    <xf numFmtId="0" fontId="10" fillId="0" borderId="0" xfId="0" applyFont="1"/>
    <xf numFmtId="164" fontId="11" fillId="0" borderId="0" xfId="0" applyNumberFormat="1" applyFont="1"/>
    <xf numFmtId="164" fontId="11" fillId="2" borderId="0" xfId="0" applyNumberFormat="1" applyFont="1" applyFill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8" fillId="3" borderId="2" xfId="0" applyFont="1" applyFill="1" applyBorder="1"/>
    <xf numFmtId="0" fontId="8" fillId="3" borderId="3" xfId="0" applyFont="1" applyFill="1" applyBorder="1"/>
    <xf numFmtId="0" fontId="8" fillId="3" borderId="5" xfId="0" applyFont="1" applyFill="1" applyBorder="1"/>
    <xf numFmtId="0" fontId="14" fillId="3" borderId="1" xfId="0" applyFont="1" applyFill="1" applyBorder="1"/>
    <xf numFmtId="0" fontId="8" fillId="3" borderId="7" xfId="0" applyFont="1" applyFill="1" applyBorder="1"/>
    <xf numFmtId="0" fontId="8" fillId="3" borderId="8" xfId="0" applyFont="1" applyFill="1" applyBorder="1"/>
    <xf numFmtId="0" fontId="16" fillId="3" borderId="4" xfId="0" applyFont="1" applyFill="1" applyBorder="1"/>
    <xf numFmtId="0" fontId="15" fillId="0" borderId="0" xfId="0" applyFont="1"/>
    <xf numFmtId="164" fontId="8" fillId="4" borderId="0" xfId="0" applyNumberFormat="1" applyFont="1" applyFill="1"/>
    <xf numFmtId="0" fontId="8" fillId="5" borderId="0" xfId="0" applyFont="1" applyFill="1"/>
    <xf numFmtId="9" fontId="8" fillId="0" borderId="0" xfId="0" applyNumberFormat="1" applyFont="1"/>
    <xf numFmtId="0" fontId="8" fillId="4" borderId="0" xfId="0" applyFont="1" applyFill="1"/>
    <xf numFmtId="164" fontId="8" fillId="5" borderId="0" xfId="0" applyNumberFormat="1" applyFont="1" applyFill="1"/>
    <xf numFmtId="164" fontId="8" fillId="5" borderId="0" xfId="1" applyNumberFormat="1" applyFont="1" applyFill="1"/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7" fillId="0" borderId="0" xfId="0" applyFont="1"/>
    <xf numFmtId="0" fontId="8" fillId="0" borderId="2" xfId="0" applyFont="1" applyBorder="1"/>
    <xf numFmtId="0" fontId="15" fillId="0" borderId="1" xfId="0" applyFont="1" applyBorder="1"/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15" fillId="0" borderId="4" xfId="0" applyFont="1" applyBorder="1"/>
    <xf numFmtId="0" fontId="8" fillId="0" borderId="6" xfId="0" applyFont="1" applyBorder="1"/>
    <xf numFmtId="0" fontId="8" fillId="0" borderId="7" xfId="0" applyFont="1" applyBorder="1"/>
    <xf numFmtId="167" fontId="16" fillId="0" borderId="0" xfId="0" applyNumberFormat="1" applyFont="1"/>
    <xf numFmtId="165" fontId="16" fillId="0" borderId="0" xfId="0" applyNumberFormat="1" applyFont="1"/>
    <xf numFmtId="165" fontId="16" fillId="0" borderId="5" xfId="0" applyNumberFormat="1" applyFont="1" applyBorder="1"/>
    <xf numFmtId="0" fontId="6" fillId="0" borderId="0" xfId="0" applyFont="1" applyAlignment="1">
      <alignment vertical="center"/>
    </xf>
    <xf numFmtId="164" fontId="19" fillId="0" borderId="0" xfId="0" applyNumberFormat="1" applyFont="1"/>
    <xf numFmtId="0" fontId="19" fillId="0" borderId="0" xfId="0" applyFont="1"/>
    <xf numFmtId="9" fontId="8" fillId="2" borderId="3" xfId="0" applyNumberFormat="1" applyFont="1" applyFill="1" applyBorder="1"/>
    <xf numFmtId="0" fontId="8" fillId="3" borderId="6" xfId="0" applyFont="1" applyFill="1" applyBorder="1"/>
    <xf numFmtId="167" fontId="8" fillId="0" borderId="0" xfId="0" applyNumberFormat="1" applyFont="1"/>
    <xf numFmtId="0" fontId="3" fillId="0" borderId="0" xfId="0" applyFont="1"/>
    <xf numFmtId="14" fontId="3" fillId="0" borderId="0" xfId="0" applyNumberFormat="1" applyFont="1"/>
    <xf numFmtId="164" fontId="3" fillId="0" borderId="0" xfId="0" applyNumberFormat="1" applyFont="1"/>
    <xf numFmtId="0" fontId="3" fillId="2" borderId="0" xfId="0" applyFont="1" applyFill="1"/>
    <xf numFmtId="10" fontId="3" fillId="0" borderId="0" xfId="0" applyNumberFormat="1" applyFont="1"/>
    <xf numFmtId="164" fontId="3" fillId="2" borderId="0" xfId="0" applyNumberFormat="1" applyFont="1" applyFill="1"/>
    <xf numFmtId="165" fontId="3" fillId="0" borderId="0" xfId="0" applyNumberFormat="1" applyFont="1"/>
    <xf numFmtId="0" fontId="17" fillId="0" borderId="0" xfId="0" applyFont="1" applyAlignment="1">
      <alignment vertical="center"/>
    </xf>
    <xf numFmtId="165" fontId="19" fillId="0" borderId="0" xfId="0" applyNumberFormat="1" applyFont="1"/>
    <xf numFmtId="165" fontId="22" fillId="0" borderId="0" xfId="0" applyNumberFormat="1" applyFont="1"/>
    <xf numFmtId="0" fontId="16" fillId="0" borderId="0" xfId="0" applyFont="1"/>
    <xf numFmtId="1" fontId="3" fillId="0" borderId="0" xfId="0" applyNumberFormat="1" applyFont="1"/>
    <xf numFmtId="164" fontId="3" fillId="6" borderId="0" xfId="0" applyNumberFormat="1" applyFont="1" applyFill="1"/>
    <xf numFmtId="165" fontId="16" fillId="0" borderId="7" xfId="0" applyNumberFormat="1" applyFont="1" applyBorder="1"/>
    <xf numFmtId="165" fontId="16" fillId="0" borderId="8" xfId="0" applyNumberFormat="1" applyFont="1" applyBorder="1"/>
    <xf numFmtId="0" fontId="3" fillId="3" borderId="1" xfId="0" applyFont="1" applyFill="1" applyBorder="1"/>
    <xf numFmtId="0" fontId="3" fillId="3" borderId="6" xfId="0" applyFont="1" applyFill="1" applyBorder="1"/>
    <xf numFmtId="167" fontId="8" fillId="2" borderId="8" xfId="0" applyNumberFormat="1" applyFont="1" applyFill="1" applyBorder="1"/>
    <xf numFmtId="0" fontId="23" fillId="0" borderId="0" xfId="0" applyFont="1"/>
    <xf numFmtId="0" fontId="8" fillId="3" borderId="0" xfId="0" applyFont="1" applyFill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9" fontId="3" fillId="2" borderId="0" xfId="0" applyNumberFormat="1" applyFont="1" applyFill="1"/>
    <xf numFmtId="167" fontId="3" fillId="2" borderId="0" xfId="0" applyNumberFormat="1" applyFont="1" applyFill="1"/>
    <xf numFmtId="9" fontId="3" fillId="0" borderId="0" xfId="0" applyNumberFormat="1" applyFont="1"/>
    <xf numFmtId="0" fontId="3" fillId="5" borderId="0" xfId="0" applyFont="1" applyFill="1"/>
    <xf numFmtId="9" fontId="3" fillId="5" borderId="0" xfId="0" applyNumberFormat="1" applyFont="1" applyFill="1"/>
    <xf numFmtId="9" fontId="3" fillId="5" borderId="0" xfId="1" applyFont="1" applyFill="1"/>
    <xf numFmtId="0" fontId="3" fillId="4" borderId="0" xfId="0" applyFont="1" applyFill="1"/>
    <xf numFmtId="164" fontId="3" fillId="4" borderId="0" xfId="0" applyNumberFormat="1" applyFont="1" applyFill="1"/>
    <xf numFmtId="164" fontId="16" fillId="0" borderId="0" xfId="0" applyNumberFormat="1" applyFont="1"/>
    <xf numFmtId="0" fontId="2" fillId="0" borderId="0" xfId="0" applyFont="1"/>
    <xf numFmtId="0" fontId="22" fillId="0" borderId="0" xfId="0" applyFont="1"/>
    <xf numFmtId="1" fontId="17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14" fontId="22" fillId="0" borderId="0" xfId="0" applyNumberFormat="1" applyFont="1"/>
    <xf numFmtId="166" fontId="22" fillId="0" borderId="0" xfId="0" applyNumberFormat="1" applyFont="1"/>
    <xf numFmtId="164" fontId="22" fillId="0" borderId="0" xfId="1" applyNumberFormat="1" applyFont="1"/>
    <xf numFmtId="0" fontId="28" fillId="0" borderId="0" xfId="3" applyFont="1"/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168" fontId="3" fillId="0" borderId="0" xfId="1" applyNumberFormat="1" applyFont="1"/>
    <xf numFmtId="164" fontId="22" fillId="0" borderId="0" xfId="0" applyNumberFormat="1" applyFont="1"/>
    <xf numFmtId="164" fontId="3" fillId="6" borderId="0" xfId="0" applyNumberFormat="1" applyFont="1" applyFill="1" applyAlignment="1">
      <alignment horizontal="right"/>
    </xf>
    <xf numFmtId="164" fontId="3" fillId="0" borderId="0" xfId="0" applyNumberFormat="1" applyFont="1" applyAlignment="1">
      <alignment horizontal="right"/>
    </xf>
    <xf numFmtId="164" fontId="17" fillId="0" borderId="0" xfId="0" applyNumberFormat="1" applyFont="1" applyAlignment="1">
      <alignment horizontal="center"/>
    </xf>
    <xf numFmtId="164" fontId="2" fillId="0" borderId="0" xfId="0" applyNumberFormat="1" applyFont="1"/>
    <xf numFmtId="168" fontId="2" fillId="0" borderId="0" xfId="1" applyNumberFormat="1" applyFont="1"/>
    <xf numFmtId="2" fontId="2" fillId="0" borderId="0" xfId="1" applyNumberFormat="1" applyFont="1"/>
    <xf numFmtId="169" fontId="2" fillId="0" borderId="0" xfId="0" applyNumberFormat="1" applyFont="1"/>
    <xf numFmtId="0" fontId="2" fillId="0" borderId="0" xfId="0" applyFont="1" applyAlignment="1">
      <alignment horizontal="right"/>
    </xf>
    <xf numFmtId="0" fontId="2" fillId="2" borderId="0" xfId="0" applyFont="1" applyFill="1"/>
    <xf numFmtId="166" fontId="2" fillId="0" borderId="0" xfId="0" applyNumberFormat="1" applyFont="1"/>
    <xf numFmtId="2" fontId="2" fillId="0" borderId="0" xfId="0" applyNumberFormat="1" applyFont="1"/>
    <xf numFmtId="14" fontId="29" fillId="0" borderId="0" xfId="2" applyNumberFormat="1" applyFont="1"/>
    <xf numFmtId="0" fontId="29" fillId="0" borderId="0" xfId="2" applyFont="1"/>
    <xf numFmtId="14" fontId="30" fillId="0" borderId="0" xfId="2" applyNumberFormat="1" applyFont="1"/>
    <xf numFmtId="0" fontId="29" fillId="2" borderId="0" xfId="2" applyFont="1" applyFill="1"/>
    <xf numFmtId="0" fontId="6" fillId="0" borderId="0" xfId="0" applyFont="1" applyAlignment="1">
      <alignment horizontal="center" vertical="center" wrapText="1"/>
    </xf>
    <xf numFmtId="164" fontId="9" fillId="0" borderId="0" xfId="0" applyNumberFormat="1" applyFont="1" applyAlignment="1">
      <alignment horizontal="center"/>
    </xf>
  </cellXfs>
  <cellStyles count="4">
    <cellStyle name="Hyperlink" xfId="3" builtinId="8"/>
    <cellStyle name="Normal" xfId="0" builtinId="0"/>
    <cellStyle name="Normal 2" xfId="2" xr:uid="{00000000-0005-0000-0000-000001000000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>
                <a:latin typeface="+mn-lt"/>
              </a:rPr>
              <a:t>Envelope Frontier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4736869156863704E-2"/>
          <c:y val="6.5476269768935641E-2"/>
          <c:w val="0.84912304948003736"/>
          <c:h val="0.82142956619210172"/>
        </c:manualLayout>
      </c:layout>
      <c:scatterChart>
        <c:scatterStyle val="lineMarker"/>
        <c:varyColors val="0"/>
        <c:ser>
          <c:idx val="0"/>
          <c:order val="0"/>
          <c:tx>
            <c:v>Frontier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'2stocks_portfolio'!$B$17:$B$47</c:f>
              <c:numCache>
                <c:formatCode>0.0000</c:formatCode>
                <c:ptCount val="31"/>
                <c:pt idx="0">
                  <c:v>0.14251094435122136</c:v>
                </c:pt>
                <c:pt idx="1">
                  <c:v>0.13642374103168567</c:v>
                </c:pt>
                <c:pt idx="2">
                  <c:v>0.13037787030919587</c:v>
                </c:pt>
                <c:pt idx="3">
                  <c:v>0.12437935965311972</c:v>
                </c:pt>
                <c:pt idx="4">
                  <c:v>0.11843540535311325</c:v>
                </c:pt>
                <c:pt idx="5">
                  <c:v>0.11255465102193657</c:v>
                </c:pt>
                <c:pt idx="6">
                  <c:v>0.10674754228674847</c:v>
                </c:pt>
                <c:pt idx="7">
                  <c:v>0.10102677958803753</c:v>
                </c:pt>
                <c:pt idx="8">
                  <c:v>9.5407896401064327E-2</c:v>
                </c:pt>
                <c:pt idx="9">
                  <c:v>8.9909995492715222E-2</c:v>
                </c:pt>
                <c:pt idx="10">
                  <c:v>8.455667907032216E-2</c:v>
                </c:pt>
                <c:pt idx="11">
                  <c:v>7.937720550246391E-2</c:v>
                </c:pt>
                <c:pt idx="12">
                  <c:v>7.4407886836254516E-2</c:v>
                </c:pt>
                <c:pt idx="13">
                  <c:v>6.9693691146120729E-2</c:v>
                </c:pt>
                <c:pt idx="14">
                  <c:v>6.5289904577832097E-2</c:v>
                </c:pt>
                <c:pt idx="15">
                  <c:v>6.126350288770234E-2</c:v>
                </c:pt>
                <c:pt idx="16">
                  <c:v>5.7693552711183822E-2</c:v>
                </c:pt>
                <c:pt idx="17">
                  <c:v>5.4669546869187791E-2</c:v>
                </c:pt>
                <c:pt idx="18">
                  <c:v>5.2286296267798849E-2</c:v>
                </c:pt>
                <c:pt idx="19">
                  <c:v>5.0634358809046771E-2</c:v>
                </c:pt>
                <c:pt idx="20">
                  <c:v>4.9786583520865228E-2</c:v>
                </c:pt>
                <c:pt idx="21">
                  <c:v>4.9784069715466478E-2</c:v>
                </c:pt>
                <c:pt idx="22">
                  <c:v>5.0626943303603719E-2</c:v>
                </c:pt>
                <c:pt idx="23">
                  <c:v>5.2274327075302718E-2</c:v>
                </c:pt>
                <c:pt idx="24">
                  <c:v>5.4653519979619675E-2</c:v>
                </c:pt>
                <c:pt idx="25">
                  <c:v>5.7674026330985333E-2</c:v>
                </c:pt>
                <c:pt idx="26">
                  <c:v>6.1241027688709086E-2</c:v>
                </c:pt>
                <c:pt idx="27">
                  <c:v>6.5264980836500786E-2</c:v>
                </c:pt>
                <c:pt idx="28">
                  <c:v>6.966675008126863E-2</c:v>
                </c:pt>
                <c:pt idx="29">
                  <c:v>7.4379288126874457E-2</c:v>
                </c:pt>
                <c:pt idx="30">
                  <c:v>7.9347243365556278E-2</c:v>
                </c:pt>
              </c:numCache>
            </c:numRef>
          </c:xVal>
          <c:yVal>
            <c:numRef>
              <c:f>'2stocks_portfolio'!$C$17:$C$47</c:f>
              <c:numCache>
                <c:formatCode>0.0000</c:formatCode>
                <c:ptCount val="31"/>
                <c:pt idx="0">
                  <c:v>-3.8147577439280153E-3</c:v>
                </c:pt>
                <c:pt idx="1">
                  <c:v>-3.5275671942807006E-3</c:v>
                </c:pt>
                <c:pt idx="2">
                  <c:v>-3.2403766446333863E-3</c:v>
                </c:pt>
                <c:pt idx="3">
                  <c:v>-2.953186094986072E-3</c:v>
                </c:pt>
                <c:pt idx="4">
                  <c:v>-2.6659955453387577E-3</c:v>
                </c:pt>
                <c:pt idx="5">
                  <c:v>-2.3788049956914433E-3</c:v>
                </c:pt>
                <c:pt idx="6">
                  <c:v>-2.091614446044129E-3</c:v>
                </c:pt>
                <c:pt idx="7">
                  <c:v>-1.8044238963968147E-3</c:v>
                </c:pt>
                <c:pt idx="8">
                  <c:v>-1.5172333467495004E-3</c:v>
                </c:pt>
                <c:pt idx="9">
                  <c:v>-1.2300427971021859E-3</c:v>
                </c:pt>
                <c:pt idx="10">
                  <c:v>-9.4285224745487104E-4</c:v>
                </c:pt>
                <c:pt idx="11">
                  <c:v>-6.5566169780755662E-4</c:v>
                </c:pt>
                <c:pt idx="12">
                  <c:v>-3.684711481602422E-4</c:v>
                </c:pt>
                <c:pt idx="13">
                  <c:v>-8.1280598512927676E-5</c:v>
                </c:pt>
                <c:pt idx="14">
                  <c:v>2.0590995113438674E-4</c:v>
                </c:pt>
                <c:pt idx="15">
                  <c:v>4.9310050078170105E-4</c:v>
                </c:pt>
                <c:pt idx="16">
                  <c:v>7.8029105042901547E-4</c:v>
                </c:pt>
                <c:pt idx="17">
                  <c:v>1.0674816000763299E-3</c:v>
                </c:pt>
                <c:pt idx="18">
                  <c:v>1.3546721497236442E-3</c:v>
                </c:pt>
                <c:pt idx="19">
                  <c:v>1.6418626993709587E-3</c:v>
                </c:pt>
                <c:pt idx="20">
                  <c:v>1.929053249018273E-3</c:v>
                </c:pt>
                <c:pt idx="21">
                  <c:v>2.2162437986655873E-3</c:v>
                </c:pt>
                <c:pt idx="22">
                  <c:v>2.5034343483129021E-3</c:v>
                </c:pt>
                <c:pt idx="23">
                  <c:v>2.7906248979602164E-3</c:v>
                </c:pt>
                <c:pt idx="24">
                  <c:v>3.0778154476075311E-3</c:v>
                </c:pt>
                <c:pt idx="25">
                  <c:v>3.3650059972548463E-3</c:v>
                </c:pt>
                <c:pt idx="26">
                  <c:v>3.6521965469021606E-3</c:v>
                </c:pt>
                <c:pt idx="27">
                  <c:v>3.9393870965494749E-3</c:v>
                </c:pt>
                <c:pt idx="28">
                  <c:v>4.2265776461967901E-3</c:v>
                </c:pt>
                <c:pt idx="29">
                  <c:v>4.5137681958441044E-3</c:v>
                </c:pt>
                <c:pt idx="30">
                  <c:v>4.8009587454914187E-3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0E-48C0-B10D-E9F40C3E1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059040"/>
        <c:axId val="1"/>
      </c:scatterChart>
      <c:valAx>
        <c:axId val="506059040"/>
        <c:scaling>
          <c:orientation val="minMax"/>
        </c:scaling>
        <c:delete val="0"/>
        <c:axPos val="b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LID4096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LID4096"/>
          </a:p>
        </c:txPr>
        <c:crossAx val="5060590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LID4096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'7stocks'!$M$42</c:f>
              <c:strCache>
                <c:ptCount val="1"/>
                <c:pt idx="0">
                  <c:v>Mean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5"/>
            <c:marker>
              <c:symbol val="square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30F1-3840-B33C-F03F871E0CA5}"/>
              </c:ext>
            </c:extLst>
          </c:dPt>
          <c:dPt>
            <c:idx val="10"/>
            <c:marker>
              <c:symbol val="square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30F1-3840-B33C-F03F871E0CA5}"/>
              </c:ext>
            </c:extLst>
          </c:dPt>
          <c:dLbls>
            <c:dLbl>
              <c:idx val="5"/>
              <c:layout>
                <c:manualLayout>
                  <c:x val="0"/>
                  <c:y val="1.851851851851851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30F1-3840-B33C-F03F871E0CA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GMVP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0F1-3840-B33C-F03F871E0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'7stocks'!$L$43:$L$58</c:f>
              <c:numCache>
                <c:formatCode>0.0000</c:formatCode>
                <c:ptCount val="16"/>
                <c:pt idx="0">
                  <c:v>0.13181986689285632</c:v>
                </c:pt>
                <c:pt idx="1">
                  <c:v>0.11980144911377778</c:v>
                </c:pt>
                <c:pt idx="2">
                  <c:v>0.10791951809257606</c:v>
                </c:pt>
                <c:pt idx="3">
                  <c:v>9.6224647748737624E-2</c:v>
                </c:pt>
                <c:pt idx="4">
                  <c:v>8.4794271957871384E-2</c:v>
                </c:pt>
                <c:pt idx="5">
                  <c:v>7.3751471529890825E-2</c:v>
                </c:pt>
                <c:pt idx="6">
                  <c:v>6.3299414075054211E-2</c:v>
                </c:pt>
                <c:pt idx="7">
                  <c:v>5.3783616140308667E-2</c:v>
                </c:pt>
                <c:pt idx="8">
                  <c:v>4.5791529582150894E-2</c:v>
                </c:pt>
                <c:pt idx="9">
                  <c:v>4.0241474516721651E-2</c:v>
                </c:pt>
                <c:pt idx="10">
                  <c:v>3.8212741782669084E-2</c:v>
                </c:pt>
                <c:pt idx="11">
                  <c:v>4.0241474516721644E-2</c:v>
                </c:pt>
                <c:pt idx="12">
                  <c:v>4.5791529582150881E-2</c:v>
                </c:pt>
                <c:pt idx="13">
                  <c:v>5.3783616140308674E-2</c:v>
                </c:pt>
                <c:pt idx="14">
                  <c:v>6.3299414075054197E-2</c:v>
                </c:pt>
                <c:pt idx="15">
                  <c:v>7.3751471529890825E-2</c:v>
                </c:pt>
              </c:numCache>
            </c:numRef>
          </c:xVal>
          <c:yVal>
            <c:numRef>
              <c:f>'7stocks'!$M$43:$M$58</c:f>
              <c:numCache>
                <c:formatCode>0.0000</c:formatCode>
                <c:ptCount val="16"/>
                <c:pt idx="0">
                  <c:v>3.3683175896740122E-2</c:v>
                </c:pt>
                <c:pt idx="1">
                  <c:v>3.1140561609033952E-2</c:v>
                </c:pt>
                <c:pt idx="2">
                  <c:v>2.8597947321327782E-2</c:v>
                </c:pt>
                <c:pt idx="3">
                  <c:v>2.6055333033621602E-2</c:v>
                </c:pt>
                <c:pt idx="4">
                  <c:v>2.3512718745915432E-2</c:v>
                </c:pt>
                <c:pt idx="5">
                  <c:v>2.0970104458209259E-2</c:v>
                </c:pt>
                <c:pt idx="6">
                  <c:v>1.8427490170503085E-2</c:v>
                </c:pt>
                <c:pt idx="7">
                  <c:v>1.5884875882796912E-2</c:v>
                </c:pt>
                <c:pt idx="8">
                  <c:v>1.3342261595090738E-2</c:v>
                </c:pt>
                <c:pt idx="9">
                  <c:v>1.0799647307384565E-2</c:v>
                </c:pt>
                <c:pt idx="10">
                  <c:v>8.2570330196783913E-3</c:v>
                </c:pt>
                <c:pt idx="11">
                  <c:v>5.7144187319722187E-3</c:v>
                </c:pt>
                <c:pt idx="12">
                  <c:v>3.1718044442660444E-3</c:v>
                </c:pt>
                <c:pt idx="13">
                  <c:v>6.2919015655987093E-4</c:v>
                </c:pt>
                <c:pt idx="14">
                  <c:v>-1.9134241311463043E-3</c:v>
                </c:pt>
                <c:pt idx="15">
                  <c:v>-4.456038418852476E-3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F1-3840-B33C-F03F871E0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470320"/>
        <c:axId val="612470976"/>
      </c:scatterChart>
      <c:valAx>
        <c:axId val="61247032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2470976"/>
        <c:crosses val="autoZero"/>
        <c:crossBetween val="midCat"/>
      </c:valAx>
      <c:valAx>
        <c:axId val="61247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2470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'7stocks'!$AA$42</c:f>
              <c:strCache>
                <c:ptCount val="1"/>
                <c:pt idx="0">
                  <c:v>Mean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5"/>
            <c:marker>
              <c:symbol val="square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52B-4E8C-8951-42A8184A8579}"/>
              </c:ext>
            </c:extLst>
          </c:dPt>
          <c:dPt>
            <c:idx val="10"/>
            <c:marker>
              <c:symbol val="square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52B-4E8C-8951-42A8184A8579}"/>
              </c:ext>
            </c:extLst>
          </c:dPt>
          <c:dLbls>
            <c:dLbl>
              <c:idx val="5"/>
              <c:layout>
                <c:manualLayout>
                  <c:x val="8.0911836042464064E-3"/>
                  <c:y val="3.1057083198397468E-2"/>
                </c:manualLayout>
              </c:layout>
              <c:tx>
                <c:rich>
                  <a:bodyPr/>
                  <a:lstStyle/>
                  <a:p>
                    <a:r>
                      <a:rPr lang="en-US" altLang="zh-CN"/>
                      <a:t>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52B-4E8C-8951-42A8184A857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 altLang="zh-CN"/>
                      <a:t>GMVP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52B-4E8C-8951-42A8184A85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'7stocks'!$Z$43:$Z$58</c:f>
              <c:numCache>
                <c:formatCode>0.0000</c:formatCode>
                <c:ptCount val="16"/>
                <c:pt idx="0">
                  <c:v>0.1017662718979407</c:v>
                </c:pt>
                <c:pt idx="1">
                  <c:v>9.2717547374768589E-2</c:v>
                </c:pt>
                <c:pt idx="2">
                  <c:v>8.3797126458342502E-2</c:v>
                </c:pt>
                <c:pt idx="3">
                  <c:v>7.5050773017035249E-2</c:v>
                </c:pt>
                <c:pt idx="4">
                  <c:v>6.6547156021349016E-2</c:v>
                </c:pt>
                <c:pt idx="5">
                  <c:v>5.8392420183625816E-2</c:v>
                </c:pt>
                <c:pt idx="6">
                  <c:v>5.0755007748680074E-2</c:v>
                </c:pt>
                <c:pt idx="7">
                  <c:v>4.3905719496805377E-2</c:v>
                </c:pt>
                <c:pt idx="8">
                  <c:v>3.8270078570494949E-2</c:v>
                </c:pt>
                <c:pt idx="9">
                  <c:v>3.4448961368199152E-2</c:v>
                </c:pt>
                <c:pt idx="10">
                  <c:v>3.3077307647382939E-2</c:v>
                </c:pt>
                <c:pt idx="11">
                  <c:v>3.4448961368199152E-2</c:v>
                </c:pt>
                <c:pt idx="12">
                  <c:v>3.8270078570494949E-2</c:v>
                </c:pt>
                <c:pt idx="13">
                  <c:v>4.3905719496805391E-2</c:v>
                </c:pt>
                <c:pt idx="14">
                  <c:v>5.0755007748680081E-2</c:v>
                </c:pt>
                <c:pt idx="15">
                  <c:v>5.8392420183625823E-2</c:v>
                </c:pt>
              </c:numCache>
            </c:numRef>
          </c:xVal>
          <c:yVal>
            <c:numRef>
              <c:f>'7stocks'!$AA$43:$AA$58</c:f>
              <c:numCache>
                <c:formatCode>0.0000</c:formatCode>
                <c:ptCount val="16"/>
                <c:pt idx="0">
                  <c:v>2.587372217836665E-2</c:v>
                </c:pt>
                <c:pt idx="1">
                  <c:v>2.4071332425246041E-2</c:v>
                </c:pt>
                <c:pt idx="2">
                  <c:v>2.2268942672125432E-2</c:v>
                </c:pt>
                <c:pt idx="3">
                  <c:v>2.0466552919004823E-2</c:v>
                </c:pt>
                <c:pt idx="4">
                  <c:v>1.8664163165884214E-2</c:v>
                </c:pt>
                <c:pt idx="5">
                  <c:v>1.6861773412763605E-2</c:v>
                </c:pt>
                <c:pt idx="6">
                  <c:v>1.5059383659642996E-2</c:v>
                </c:pt>
                <c:pt idx="7">
                  <c:v>1.3256993906522387E-2</c:v>
                </c:pt>
                <c:pt idx="8">
                  <c:v>1.1454604153401778E-2</c:v>
                </c:pt>
                <c:pt idx="9">
                  <c:v>9.6522144002811686E-3</c:v>
                </c:pt>
                <c:pt idx="10">
                  <c:v>7.8498246471605596E-3</c:v>
                </c:pt>
                <c:pt idx="11">
                  <c:v>6.0474348940399505E-3</c:v>
                </c:pt>
                <c:pt idx="12">
                  <c:v>4.2450451409193415E-3</c:v>
                </c:pt>
                <c:pt idx="13">
                  <c:v>2.4426553877987325E-3</c:v>
                </c:pt>
                <c:pt idx="14">
                  <c:v>6.4026563467812353E-4</c:v>
                </c:pt>
                <c:pt idx="15">
                  <c:v>-1.1621241184424855E-3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52B-4E8C-8951-42A8184A8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470320"/>
        <c:axId val="612470976"/>
      </c:scatterChart>
      <c:valAx>
        <c:axId val="612470320"/>
        <c:scaling>
          <c:orientation val="minMax"/>
          <c:max val="0.1400000000000000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2470976"/>
        <c:crosses val="autoZero"/>
        <c:crossBetween val="midCat"/>
      </c:valAx>
      <c:valAx>
        <c:axId val="612470976"/>
        <c:scaling>
          <c:orientation val="minMax"/>
          <c:max val="4.0000000000000008E-2"/>
          <c:min val="-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2470320"/>
        <c:crosses val="autoZero"/>
        <c:crossBetween val="midCat"/>
        <c:majorUnit val="5.000000000000001E-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Envelope frontier with Short-Sales Constraint</a:t>
            </a:r>
          </a:p>
        </c:rich>
      </c:tx>
      <c:layout>
        <c:manualLayout>
          <c:xMode val="edge"/>
          <c:yMode val="edge"/>
          <c:x val="0.14822222222222223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'Frontier-ShortSale'!$K$3</c:f>
              <c:strCache>
                <c:ptCount val="1"/>
                <c:pt idx="0">
                  <c:v>Portfolio mean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'Frontier-ShortSale'!$J$4:$J$20</c:f>
              <c:numCache>
                <c:formatCode>0.0000</c:formatCode>
                <c:ptCount val="17"/>
                <c:pt idx="0">
                  <c:v>4.3000061720499062E-2</c:v>
                </c:pt>
                <c:pt idx="1">
                  <c:v>4.122822341854962E-2</c:v>
                </c:pt>
                <c:pt idx="2">
                  <c:v>4.3767074487236352E-2</c:v>
                </c:pt>
                <c:pt idx="3">
                  <c:v>4.9963663464572046E-2</c:v>
                </c:pt>
                <c:pt idx="4">
                  <c:v>5.8670334427128053E-2</c:v>
                </c:pt>
                <c:pt idx="5">
                  <c:v>6.8942505840053847E-2</c:v>
                </c:pt>
                <c:pt idx="6">
                  <c:v>8.0180674884911915E-2</c:v>
                </c:pt>
                <c:pt idx="7">
                  <c:v>9.2031851516630653E-2</c:v>
                </c:pt>
                <c:pt idx="8">
                  <c:v>0.10428707153456962</c:v>
                </c:pt>
                <c:pt idx="9">
                  <c:v>0.11681929814583324</c:v>
                </c:pt>
                <c:pt idx="10">
                  <c:v>0.12954816512600437</c:v>
                </c:pt>
                <c:pt idx="11">
                  <c:v>0.1424209580586786</c:v>
                </c:pt>
                <c:pt idx="12">
                  <c:v>0.15540186273425813</c:v>
                </c:pt>
                <c:pt idx="13">
                  <c:v>0.16846015524586769</c:v>
                </c:pt>
                <c:pt idx="14">
                  <c:v>0.18157500424149961</c:v>
                </c:pt>
                <c:pt idx="15">
                  <c:v>0.19473433295482323</c:v>
                </c:pt>
                <c:pt idx="16">
                  <c:v>0.20799999989553966</c:v>
                </c:pt>
              </c:numCache>
            </c:numRef>
          </c:xVal>
          <c:yVal>
            <c:numRef>
              <c:f>'Frontier-ShortSale'!$K$4:$K$20</c:f>
              <c:numCache>
                <c:formatCode>0.0000</c:formatCode>
                <c:ptCount val="17"/>
                <c:pt idx="0">
                  <c:v>9.9999199999996225E-3</c:v>
                </c:pt>
                <c:pt idx="1">
                  <c:v>1.4999999999999406E-2</c:v>
                </c:pt>
                <c:pt idx="2">
                  <c:v>2.0000014865276486E-2</c:v>
                </c:pt>
                <c:pt idx="3">
                  <c:v>2.5000000067921902E-2</c:v>
                </c:pt>
                <c:pt idx="4">
                  <c:v>3.0000025000000062E-2</c:v>
                </c:pt>
                <c:pt idx="5">
                  <c:v>3.5000030000024995E-2</c:v>
                </c:pt>
                <c:pt idx="6">
                  <c:v>3.9999999999999904E-2</c:v>
                </c:pt>
                <c:pt idx="7">
                  <c:v>4.5000039999999998E-2</c:v>
                </c:pt>
                <c:pt idx="8">
                  <c:v>5.0000045000040003E-2</c:v>
                </c:pt>
                <c:pt idx="9">
                  <c:v>5.5000050000045E-2</c:v>
                </c:pt>
                <c:pt idx="10">
                  <c:v>6.0000055000049998E-2</c:v>
                </c:pt>
                <c:pt idx="11">
                  <c:v>6.5000060000054996E-2</c:v>
                </c:pt>
                <c:pt idx="12">
                  <c:v>7.0000048344204174E-2</c:v>
                </c:pt>
                <c:pt idx="13">
                  <c:v>7.5000000158066904E-2</c:v>
                </c:pt>
                <c:pt idx="14">
                  <c:v>8.000007498379251E-2</c:v>
                </c:pt>
                <c:pt idx="15">
                  <c:v>8.5000000008329746E-2</c:v>
                </c:pt>
                <c:pt idx="16">
                  <c:v>8.9999999954800819E-2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6E-4222-B32E-FF4467C5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521016"/>
        <c:axId val="896522328"/>
      </c:scatterChart>
      <c:valAx>
        <c:axId val="896521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896522328"/>
        <c:crosses val="autoZero"/>
        <c:crossBetween val="midCat"/>
      </c:valAx>
      <c:valAx>
        <c:axId val="896522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896521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457200</xdr:colOff>
      <xdr:row>14</xdr:row>
      <xdr:rowOff>140970</xdr:rowOff>
    </xdr:from>
    <xdr:to>
      <xdr:col>13</xdr:col>
      <xdr:colOff>72390</xdr:colOff>
      <xdr:row>36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4C750-1CAE-41E1-83AA-0A2309FEC5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30480</xdr:colOff>
      <xdr:row>16</xdr:row>
      <xdr:rowOff>137160</xdr:rowOff>
    </xdr:from>
    <xdr:ext cx="2141220" cy="157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17FFEABD-4412-EF46-802A-ABBB4987FEBA}"/>
                </a:ext>
              </a:extLst>
            </xdr:cNvPr>
            <xdr:cNvSpPr txBox="1"/>
          </xdr:nvSpPr>
          <xdr:spPr>
            <a:xfrm>
              <a:off x="6576060" y="3147060"/>
              <a:ext cx="2141220" cy="1573316"/>
            </a:xfrm>
            <a:prstGeom prst="rect">
              <a:avLst/>
            </a:prstGeom>
            <a:ln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rtl="0" eaLnBrk="0" fontAlgn="base" hangingPunct="0"/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he weight vector of portfolio A is </a:t>
              </a:r>
              <a:endParaRPr lang="en-US" sz="1100" i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rtl="0" eaLnBrk="0" fontAlgn="base" hangingPunc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mPr>
                          <m:mr>
                            <m:e>
                              <m:sSub>
                                <m:sSubPr>
                                  <m:ctrlP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𝑧</m:t>
                                  </m:r>
                                </m:e>
                                <m:sub>
                                  <m: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</m:t>
                                  </m:r>
                                </m:sub>
                              </m:sSub>
                            </m:e>
                          </m:mr>
                          <m:mr>
                            <m:e>
                              <m:r>
                                <a:rPr lang="en-US" sz="11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⋮</m:t>
                              </m:r>
                            </m:e>
                          </m:mr>
                          <m:mr>
                            <m:e>
                              <m:sSub>
                                <m:sSubPr>
                                  <m:ctrlP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𝑧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𝑛</m:t>
                                  </m:r>
                                </m:sub>
                              </m:sSub>
                            </m:e>
                          </m:mr>
                        </m:m>
                      </m:e>
                    </m:d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l-G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Σ</m:t>
                        </m:r>
                      </m:e>
                      <m:sup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sup>
                    </m:sSup>
                    <m:d>
                      <m:d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mPr>
                          <m:mr>
                            <m:e>
                              <m:r>
                                <a:rPr lang="en-US" sz="11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  <m:d>
                                <m:dPr>
                                  <m:ctrlP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sSub>
                                    <m:sSubPr>
                                      <m:ctrlPr>
                                        <a:rPr lang="en-US" sz="110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𝑟</m:t>
                                      </m:r>
                                    </m:e>
                                    <m:sub>
                                      <m:r>
                                        <a:rPr lang="en-US" sz="110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1</m:t>
                                      </m:r>
                                    </m:sub>
                                  </m:sSub>
                                </m:e>
                              </m:d>
                              <m:r>
                                <a:rPr lang="en-US" sz="11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𝑐</m:t>
                                  </m:r>
                                </m:e>
                                <m:sub>
                                  <m: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</m:t>
                                  </m:r>
                                </m:sub>
                              </m:sSub>
                            </m:e>
                          </m:mr>
                          <m:mr>
                            <m:e>
                              <m:r>
                                <a:rPr lang="en-US" sz="11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⋮</m:t>
                              </m:r>
                            </m:e>
                          </m:mr>
                          <m:mr>
                            <m:e>
                              <m:r>
                                <a:rPr lang="en-US" sz="11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  <m:d>
                                <m:dPr>
                                  <m:ctrlP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sSub>
                                    <m:sSubPr>
                                      <m:ctrlPr>
                                        <a:rPr lang="en-US" sz="110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𝑟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𝑛</m:t>
                                      </m:r>
                                    </m:sub>
                                  </m:sSub>
                                </m:e>
                              </m:d>
                              <m:r>
                                <a:rPr lang="en-US" sz="11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𝑐</m:t>
                                  </m:r>
                                </m:e>
                                <m:sub>
                                  <m: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</m:t>
                                  </m:r>
                                </m:sub>
                              </m:sSub>
                            </m:e>
                          </m:mr>
                        </m:m>
                      </m:e>
                    </m:d>
                  </m:oMath>
                </m:oMathPara>
              </a14:m>
              <a:endParaRPr lang="en-US">
                <a:effectLst/>
              </a:endParaRPr>
            </a:p>
            <a:p>
              <a:pPr rtl="0" eaLnBrk="0" fontAlgn="base" hangingPunct="0"/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Make sum of weights equal to 1:</a:t>
              </a:r>
              <a:endParaRPr lang="en-US">
                <a:effectLst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mPr>
                          <m:mr>
                            <m:e>
                              <m:sSubSup>
                                <m:sSubSupPr>
                                  <m:ctrlP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Sup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𝑤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</m:t>
                                  </m:r>
                                </m:sub>
                                <m:sup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𝐴</m:t>
                                  </m:r>
                                </m:sup>
                              </m:sSubSup>
                            </m:e>
                          </m:mr>
                          <m:mr>
                            <m:e>
                              <m:r>
                                <a:rPr lang="en-US" sz="11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⋮</m:t>
                              </m:r>
                            </m:e>
                          </m:mr>
                          <m:mr>
                            <m:e>
                              <m:sSubSup>
                                <m:sSubSupPr>
                                  <m:ctrlP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SupPr>
                                <m:e>
                                  <m: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𝑤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𝑛</m:t>
                                  </m:r>
                                </m:sub>
                                <m:sup>
                                  <m: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𝐴</m:t>
                                  </m:r>
                                </m:sup>
                              </m:sSubSup>
                            </m:e>
                          </m:mr>
                        </m:m>
                      </m:e>
                    </m:d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num>
                      <m:den>
                        <m:nary>
                          <m:naryPr>
                            <m:chr m:val="∑"/>
                            <m:limLoc m:val="subSup"/>
                            <m:ctrl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m:rPr>
                                <m:brk m:alnAt="25"/>
                              </m:rP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𝑗</m:t>
                            </m:r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=1</m:t>
                            </m:r>
                          </m:sub>
                          <m:sup>
                            <m:r>
                              <a:rPr lang="en-US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𝑧</m:t>
                                </m:r>
                              </m:e>
                              <m:sub>
                                <m:r>
                                  <a:rPr lang="en-US" sz="110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𝑗</m:t>
                                </m:r>
                              </m:sub>
                            </m:sSub>
                          </m:e>
                        </m:nary>
                      </m:den>
                    </m:f>
                    <m:d>
                      <m:d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mPr>
                          <m:mr>
                            <m:e>
                              <m:sSub>
                                <m:sSubPr>
                                  <m:ctrlP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𝑧</m:t>
                                  </m:r>
                                </m:e>
                                <m:sub>
                                  <m: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</m:t>
                                  </m:r>
                                </m:sub>
                              </m:sSub>
                            </m:e>
                          </m:mr>
                          <m:mr>
                            <m:e>
                              <m:r>
                                <a:rPr lang="en-US" sz="11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⋮</m:t>
                              </m:r>
                            </m:e>
                          </m:mr>
                          <m:mr>
                            <m:e>
                              <m:sSub>
                                <m:sSubPr>
                                  <m:ctrlPr>
                                    <a:rPr 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𝑧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𝑛</m:t>
                                  </m:r>
                                </m:sub>
                              </m:sSub>
                            </m:e>
                          </m:mr>
                        </m:m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17FFEABD-4412-EF46-802A-ABBB4987FEBA}"/>
                </a:ext>
              </a:extLst>
            </xdr:cNvPr>
            <xdr:cNvSpPr txBox="1"/>
          </xdr:nvSpPr>
          <xdr:spPr>
            <a:xfrm>
              <a:off x="6576060" y="3147060"/>
              <a:ext cx="2141220" cy="1573316"/>
            </a:xfrm>
            <a:prstGeom prst="rect">
              <a:avLst/>
            </a:prstGeom>
            <a:ln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rtl="0" eaLnBrk="0" fontAlgn="base" hangingPunct="0"/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he weight vector of portfolio A is </a:t>
              </a:r>
              <a:endParaRPr lang="en-US" sz="1100" i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rtl="0" eaLnBrk="0" fontAlgn="base" hangingPunct="0"/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(■8(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𝑧_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1@⋮@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𝑧_𝑛 ))=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Σ^(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−1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(■8(𝐸(𝑟_1 )−𝑐_1@⋮@𝐸(𝑟_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 )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−𝑐_1 ))</a:t>
              </a:r>
              <a:endParaRPr lang="en-US">
                <a:effectLst/>
              </a:endParaRPr>
            </a:p>
            <a:p>
              <a:pPr rtl="0" eaLnBrk="0" fontAlgn="base" hangingPunct="0"/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Make sum of weights equal to 1:</a:t>
              </a:r>
              <a:endParaRPr lang="en-US">
                <a:effectLst/>
              </a:endParaRPr>
            </a:p>
            <a:p>
              <a:pPr/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(■8(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𝑤_1^𝐴@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⋮@𝑤_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𝑛^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 ))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=1/(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∑2_(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𝑗=1)^𝑛▒𝑧_𝑗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(■8(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𝑧_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1@⋮@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𝑧_𝑛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548005</xdr:colOff>
      <xdr:row>49</xdr:row>
      <xdr:rowOff>53340</xdr:rowOff>
    </xdr:from>
    <xdr:ext cx="3614420" cy="8061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282711A2-7C75-4D27-8AB9-00D0E471CC03}"/>
                </a:ext>
              </a:extLst>
            </xdr:cNvPr>
            <xdr:cNvSpPr txBox="1"/>
          </xdr:nvSpPr>
          <xdr:spPr>
            <a:xfrm>
              <a:off x="6301105" y="9530715"/>
              <a:ext cx="3614420" cy="806183"/>
            </a:xfrm>
            <a:prstGeom prst="rect">
              <a:avLst/>
            </a:prstGeom>
            <a:ln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rtl="0" eaLnBrk="0" fontAlgn="base" hangingPunct="0"/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he weight vector of GMVP is </a:t>
              </a:r>
            </a:p>
            <a:p>
              <a:pPr marL="0" marR="0" lvl="0" indent="0" defTabSz="914400" rtl="0" eaLnBrk="0" fontAlgn="base" latinLnBrk="0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ar-A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ar-AE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𝒘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n-HK" sz="110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GMVP</m:t>
                        </m:r>
                      </m:sub>
                    </m:sSub>
                    <m:r>
                      <m:rPr>
                        <m:aln/>
                      </m:rPr>
                      <a:rPr lang="ar-AE" sz="110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ar-A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ar-A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ar-A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𝛴</m:t>
                            </m:r>
                          </m:e>
                          <m:sup>
                            <m:r>
                              <a:rPr lang="ar-A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</m:t>
                            </m:r>
                          </m:sup>
                        </m:sSup>
                        <m:r>
                          <a:rPr lang="ar-AE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</m:num>
                      <m:den>
                        <m:sSup>
                          <m:sSupPr>
                            <m:ctrlPr>
                              <a:rPr lang="ar-A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ar-AE" sz="1100" b="1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𝟏</m:t>
                            </m:r>
                          </m:e>
                          <m:sup>
                            <m:r>
                              <a:rPr lang="ar-A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p>
                        </m:sSup>
                        <m:sSup>
                          <m:sSupPr>
                            <m:ctrlPr>
                              <a:rPr lang="ar-A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ar-A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𝛴</m:t>
                            </m:r>
                          </m:e>
                          <m:sup>
                            <m:r>
                              <a:rPr lang="ar-A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</m:t>
                            </m:r>
                          </m:sup>
                        </m:sSup>
                        <m:r>
                          <a:rPr lang="ar-AE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</m:den>
                    </m:f>
                    <m:r>
                      <m:rPr>
                        <m:aln/>
                      </m:rPr>
                      <a:rPr lang="ar-AE" sz="110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ar-AE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ar-A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ar-A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𝛴</m:t>
                            </m:r>
                          </m:e>
                          <m:sup>
                            <m:r>
                              <a:rPr lang="ar-AE" sz="110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</m:t>
                            </m:r>
                          </m:sup>
                        </m:sSup>
                        <m:r>
                          <a:rPr lang="ar-AE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n-HK" sz="110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sum</m:t>
                        </m:r>
                        <m:r>
                          <a:rPr lang="en-HK" sz="110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m:rPr>
                            <m:sty m:val="p"/>
                          </m:rPr>
                          <a:rPr lang="en-HK" sz="110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numerator</m:t>
                        </m:r>
                        <m:r>
                          <a:rPr lang="en-HK" sz="110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ar-AE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rtl="0" eaLnBrk="0" fontAlgn="base" hangingPunct="0"/>
              <a:endParaRPr lang="en-US" sz="1100" i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282711A2-7C75-4D27-8AB9-00D0E471CC03}"/>
                </a:ext>
              </a:extLst>
            </xdr:cNvPr>
            <xdr:cNvSpPr txBox="1"/>
          </xdr:nvSpPr>
          <xdr:spPr>
            <a:xfrm>
              <a:off x="6301105" y="9530715"/>
              <a:ext cx="3614420" cy="806183"/>
            </a:xfrm>
            <a:prstGeom prst="rect">
              <a:avLst/>
            </a:prstGeom>
            <a:ln>
              <a:solidFill>
                <a:srgbClr val="FF0000"/>
              </a:solidFill>
            </a:ln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rtl="0" eaLnBrk="0" fontAlgn="base" hangingPunct="0"/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he weight vector of GMVP is </a:t>
              </a:r>
            </a:p>
            <a:p>
              <a:pPr marL="0" marR="0" lvl="0" indent="0" defTabSz="914400" rtl="0" eaLnBrk="0" fontAlgn="base" latinLnBrk="0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ar-A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𝒘_</a:t>
              </a:r>
              <a:r>
                <a:rPr lang="en-HK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GMVP</a:t>
              </a:r>
              <a:r>
                <a:rPr lang="ar-A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&amp;=(𝛴^(−1)</a:t>
              </a:r>
              <a:r>
                <a:rPr lang="ar-A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𝟏)/(𝟏^</a:t>
              </a:r>
              <a:r>
                <a:rPr lang="ar-A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 𝛴^(−1)</a:t>
              </a:r>
              <a:r>
                <a:rPr lang="ar-A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𝟏)&amp;</a:t>
              </a:r>
              <a:r>
                <a:rPr lang="ar-A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=(𝛴^(−1)</a:t>
              </a:r>
              <a:r>
                <a:rPr lang="ar-AE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𝟏)/(</a:t>
              </a:r>
              <a:r>
                <a:rPr lang="en-HK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sum(numerator)</a:t>
              </a:r>
              <a:r>
                <a:rPr lang="ar-AE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ar-AE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rtl="0" eaLnBrk="0" fontAlgn="base" hangingPunct="0"/>
              <a:endParaRPr lang="en-US" sz="1100" i="1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571500</xdr:colOff>
      <xdr:row>16</xdr:row>
      <xdr:rowOff>49530</xdr:rowOff>
    </xdr:from>
    <xdr:to>
      <xdr:col>18</xdr:col>
      <xdr:colOff>296550</xdr:colOff>
      <xdr:row>42</xdr:row>
      <xdr:rowOff>177866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02BAB-EB35-406E-9D30-3AC23385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43675" y="3145155"/>
          <a:ext cx="5040000" cy="5081336"/>
        </a:xfrm>
        <a:prstGeom prst="rect">
          <a:avLst/>
        </a:prstGeom>
      </xdr:spPr>
    </xdr:pic>
    <xdr:clientData/>
  </xdr:twoCellAnchor>
  <xdr:twoCellAnchor editAs="oneCell">
    <xdr:from>
      <xdr:col>18</xdr:col>
      <xdr:colOff>588646</xdr:colOff>
      <xdr:row>16</xdr:row>
      <xdr:rowOff>41910</xdr:rowOff>
    </xdr:from>
    <xdr:to>
      <xdr:col>27</xdr:col>
      <xdr:colOff>313696</xdr:colOff>
      <xdr:row>42</xdr:row>
      <xdr:rowOff>170245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BE2395-CED3-4AC0-904A-F93C42F9B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75771" y="3137535"/>
          <a:ext cx="5040000" cy="50813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32774</xdr:colOff>
      <xdr:row>32</xdr:row>
      <xdr:rowOff>117686</xdr:rowOff>
    </xdr:from>
    <xdr:ext cx="5242560" cy="170944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C5FC5E2-16F3-F54B-9A39-275F4C61E81A}"/>
                </a:ext>
              </a:extLst>
            </xdr:cNvPr>
            <xdr:cNvSpPr txBox="1"/>
          </xdr:nvSpPr>
          <xdr:spPr>
            <a:xfrm>
              <a:off x="10798840" y="6303801"/>
              <a:ext cx="5242560" cy="1709442"/>
            </a:xfrm>
            <a:prstGeom prst="rect">
              <a:avLst/>
            </a:prstGeom>
            <a:noFill/>
            <a:ln w="12700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GMVP as a row</a:t>
              </a:r>
              <a:r>
                <a:rPr lang="en-US" sz="1200" b="1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vector:</a:t>
              </a:r>
              <a:r>
                <a:rPr lang="en-US" sz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𝒘</m:t>
                      </m:r>
                    </m:e>
                    <m:sub>
                      <m:r>
                        <m:rPr>
                          <m:sty m:val="p"/>
                        </m:rP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row</m:t>
                      </m:r>
                    </m:sub>
                  </m:sSub>
                  <m:r>
                    <a:rPr lang="en-US" sz="12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=</m:t>
                  </m:r>
                  <m:d>
                    <m:dPr>
                      <m:ctrlP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dPr>
                    <m:e>
                      <m:sSub>
                        <m:sSubPr>
                          <m:ctrlP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𝑤</m:t>
                          </m:r>
                        </m:e>
                        <m:sub>
                          <m: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1</m:t>
                          </m:r>
                        </m:sub>
                      </m:sSub>
                      <m: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,⋯,</m:t>
                      </m:r>
                      <m:sSub>
                        <m:sSubPr>
                          <m:ctrlP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𝑤</m:t>
                          </m:r>
                        </m:e>
                        <m:sub>
                          <m: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𝑛</m:t>
                          </m:r>
                        </m:sub>
                      </m:sSub>
                    </m:e>
                  </m:d>
                  <m:r>
                    <a:rPr lang="en-US" sz="12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=</m:t>
                  </m:r>
                  <m:f>
                    <m:fPr>
                      <m:ctrlP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𝟏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row</m:t>
                          </m:r>
                        </m:sub>
                      </m:sSub>
                      <m:sSup>
                        <m:sSupPr>
                          <m:ctrlP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sSupPr>
                        <m:e>
                          <m:r>
                            <m:rPr>
                              <m:sty m:val="p"/>
                            </m:rPr>
                            <a:rPr lang="el-GR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Σ</m:t>
                          </m:r>
                        </m:e>
                        <m:sup>
                          <m: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−1</m:t>
                          </m:r>
                        </m:sup>
                      </m:sSup>
                    </m:num>
                    <m:den>
                      <m: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𝑠𝑢𝑚</m:t>
                      </m:r>
                      <m: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(</m:t>
                      </m:r>
                      <m: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𝑛𝑢𝑚𝑒𝑟𝑎𝑡𝑜𝑟</m:t>
                      </m:r>
                      <m: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)</m:t>
                      </m:r>
                    </m:den>
                  </m:f>
                </m:oMath>
              </a14:m>
              <a:endParaRPr lang="en-US" sz="120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  <a:p>
              <a:r>
                <a:rPr lang="en-US" sz="1200" b="1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GMVP as a column</a:t>
              </a:r>
              <a:r>
                <a:rPr lang="en-US" sz="1200" b="1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vector:</a:t>
              </a:r>
              <a:r>
                <a:rPr lang="en-US" sz="120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𝒘</m:t>
                      </m:r>
                    </m:e>
                    <m:sub>
                      <m:r>
                        <m:rPr>
                          <m:sty m:val="p"/>
                        </m:rPr>
                        <a:rPr lang="en-US" sz="12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col</m:t>
                      </m:r>
                    </m:sub>
                  </m:sSub>
                  <m:r>
                    <a:rPr lang="en-US" sz="12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d>
                    <m:dPr>
                      <m:ctrlP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dPr>
                    <m:e>
                      <m:m>
                        <m:mPr>
                          <m:mcs>
                            <m:mc>
                              <m:mcPr>
                                <m:count m:val="1"/>
                                <m:mcJc m:val="center"/>
                              </m:mcPr>
                            </m:mc>
                          </m:mcs>
                          <m:ctrlP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mPr>
                        <m:mr>
                          <m:e>
                            <m:sSub>
                              <m:sSubPr>
                                <m:ctrlPr>
                                  <a:rPr lang="en-US" sz="12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2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n-US" sz="12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mr>
                        <m:mr>
                          <m:e>
                            <m:r>
                              <a:rPr lang="en-US" sz="12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⋮</m:t>
                            </m:r>
                          </m:e>
                        </m:mr>
                        <m:mr>
                          <m:e>
                            <m:sSub>
                              <m:sSubPr>
                                <m:ctrlPr>
                                  <a:rPr lang="en-US" sz="12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2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n-US" sz="12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𝑛</m:t>
                                </m:r>
                              </m:sub>
                            </m:sSub>
                          </m:e>
                        </m:mr>
                      </m:m>
                    </m:e>
                  </m:d>
                  <m:r>
                    <a:rPr lang="en-US" sz="12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=</m:t>
                  </m:r>
                  <m:f>
                    <m:fPr>
                      <m:ctrlP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fPr>
                    <m:num>
                      <m:sSup>
                        <m:sSupPr>
                          <m:ctrlP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sSupPr>
                        <m:e>
                          <m:r>
                            <m:rPr>
                              <m:sty m:val="p"/>
                            </m:rPr>
                            <a:rPr lang="el-GR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Σ</m:t>
                          </m:r>
                        </m:e>
                        <m:sup>
                          <m: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−1</m:t>
                          </m:r>
                        </m:sup>
                      </m:sSup>
                      <m:sSub>
                        <m:sSubPr>
                          <m:ctrlP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2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𝟏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col</m:t>
                          </m:r>
                        </m:sub>
                      </m:sSub>
                    </m:num>
                    <m:den>
                      <m: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𝑠𝑢𝑚</m:t>
                      </m:r>
                      <m: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(</m:t>
                      </m:r>
                      <m: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𝑛𝑢𝑚𝑒𝑟𝑎𝑡𝑜𝑟</m:t>
                      </m:r>
                      <m: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)</m:t>
                      </m:r>
                    </m:den>
                  </m:f>
                </m:oMath>
              </a14:m>
              <a:endParaRPr lang="en-US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 as a row</a:t>
              </a:r>
              <a:r>
                <a:rPr lang="en-US" sz="1200" b="1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vector:</a:t>
              </a:r>
              <a:r>
                <a:rPr lang="en-US" sz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𝒘</m:t>
                      </m:r>
                    </m:e>
                    <m:sub>
                      <m:r>
                        <m:rPr>
                          <m:sty m:val="p"/>
                        </m:rPr>
                        <a:rPr lang="en-US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row</m:t>
                      </m:r>
                    </m:sub>
                  </m:sSub>
                  <m:r>
                    <a:rPr lang="en-US" sz="12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=(</m:t>
                  </m:r>
                  <m:sSub>
                    <m:sSubPr>
                      <m:ctrlP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e>
                    <m:sub>
                      <m:r>
                        <a:rPr lang="en-US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  <m:r>
                    <a:rPr lang="en-US" sz="12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,⋯,</m:t>
                  </m:r>
                  <m:sSub>
                    <m:sSubPr>
                      <m:ctrlP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e>
                    <m:sub>
                      <m:r>
                        <a:rPr lang="en-US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sub>
                  </m:sSub>
                  <m:r>
                    <a:rPr lang="en-US" sz="12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)=</m:t>
                  </m:r>
                  <m:f>
                    <m:fPr>
                      <m:ctrlP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d>
                        <m:dPr>
                          <m:begChr m:val="["/>
                          <m:endChr m:val="]"/>
                          <m:ctrlP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n-US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𝐸</m:t>
                          </m:r>
                          <m:d>
                            <m:dPr>
                              <m:ctrlPr>
                                <a:rPr lang="en-US" sz="12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20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𝒓</m:t>
                              </m:r>
                            </m:e>
                          </m:d>
                          <m:r>
                            <a:rPr lang="en-US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−</m:t>
                          </m:r>
                          <m:sSub>
                            <m:sSubPr>
                              <m:ctrlPr>
                                <a:rPr lang="en-US" sz="12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20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𝑟</m:t>
                              </m:r>
                            </m:e>
                            <m:sub>
                              <m:r>
                                <a:rPr lang="en-US" sz="120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𝑓</m:t>
                              </m:r>
                            </m:sub>
                          </m:sSub>
                          <m:r>
                            <a:rPr lang="en-US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×</m:t>
                          </m:r>
                          <m:sSub>
                            <m:sSubPr>
                              <m:ctrlPr>
                                <a:rPr lang="en-US" sz="12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20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𝟏</m:t>
                              </m:r>
                            </m:e>
                            <m:sub>
                              <m:r>
                                <m:rPr>
                                  <m:sty m:val="p"/>
                                </m:rPr>
                                <a:rPr lang="en-US" sz="120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row</m:t>
                              </m:r>
                            </m:sub>
                          </m:sSub>
                        </m:e>
                      </m:d>
                      <m:sSup>
                        <m:sSupPr>
                          <m:ctrlP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m:rPr>
                              <m:sty m:val="p"/>
                            </m:rPr>
                            <a:rPr lang="el-GR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Σ</m:t>
                          </m:r>
                        </m:e>
                        <m:sup>
                          <m:r>
                            <a:rPr lang="en-US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−1</m:t>
                          </m:r>
                        </m:sup>
                      </m:sSup>
                    </m:num>
                    <m:den>
                      <m:r>
                        <a:rPr lang="en-US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𝑠𝑢𝑚</m:t>
                      </m:r>
                      <m:r>
                        <a:rPr lang="en-US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r>
                        <a:rPr lang="en-US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𝑛𝑢𝑚𝑒𝑟𝑎𝑡𝑜𝑟</m:t>
                      </m:r>
                      <m:r>
                        <a:rPr lang="en-US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den>
                  </m:f>
                </m:oMath>
              </a14:m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14:m>
                <m:oMath xmlns:m="http://schemas.openxmlformats.org/officeDocument/2006/math">
                  <m:r>
                    <a:rPr lang="en-US" sz="12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𝐸</m:t>
                  </m:r>
                  <m:d>
                    <m:dPr>
                      <m:ctrlP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𝒓</m:t>
                      </m:r>
                    </m:e>
                  </m:d>
                </m:oMath>
              </a14:m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is in a row</a:t>
              </a:r>
              <a:endParaRPr lang="en-US" sz="1200">
                <a:effectLst/>
              </a:endParaRPr>
            </a:p>
            <a:p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 as a column</a:t>
              </a:r>
              <a:r>
                <a:rPr lang="en-US" sz="1200" b="1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vector:</a:t>
              </a:r>
              <a:r>
                <a:rPr lang="en-US" sz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𝒘</m:t>
                      </m:r>
                    </m:e>
                    <m:sub>
                      <m:r>
                        <m:rPr>
                          <m:sty m:val="p"/>
                        </m:rPr>
                        <a:rPr lang="en-US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col</m:t>
                      </m:r>
                    </m:sub>
                  </m:sSub>
                  <m:r>
                    <a:rPr lang="en-US" sz="12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d>
                    <m:dPr>
                      <m:ctrlP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m>
                        <m:mPr>
                          <m:mcs>
                            <m:mc>
                              <m:mcPr>
                                <m:count m:val="1"/>
                                <m:mcJc m:val="center"/>
                              </m:mcPr>
                            </m:mc>
                          </m:mcs>
                          <m:ctrlP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mPr>
                        <m:mr>
                          <m:e>
                            <m:sSub>
                              <m:sSubPr>
                                <m:ctrlPr>
                                  <a:rPr lang="en-US" sz="12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n-US" sz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mr>
                        <m:mr>
                          <m:e>
                            <m:r>
                              <a:rPr lang="en-US" sz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⋮</m:t>
                            </m:r>
                          </m:e>
                        </m:mr>
                        <m:mr>
                          <m:e>
                            <m:sSub>
                              <m:sSubPr>
                                <m:ctrlPr>
                                  <a:rPr lang="en-US" sz="12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𝑤</m:t>
                                </m:r>
                              </m:e>
                              <m:sub>
                                <m:r>
                                  <a:rPr lang="en-US" sz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𝑛</m:t>
                                </m:r>
                              </m:sub>
                            </m:sSub>
                          </m:e>
                        </m:mr>
                      </m:m>
                    </m:e>
                  </m:d>
                  <m:r>
                    <a:rPr lang="en-US" sz="12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f>
                    <m:fPr>
                      <m:ctrlP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p>
                        <m:sSupPr>
                          <m:ctrlP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m:rPr>
                              <m:sty m:val="p"/>
                            </m:rPr>
                            <a:rPr lang="el-GR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Σ</m:t>
                          </m:r>
                        </m:e>
                        <m:sup>
                          <m:r>
                            <a:rPr lang="en-US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−1</m:t>
                          </m:r>
                        </m:sup>
                      </m:sSup>
                      <m:d>
                        <m:dPr>
                          <m:begChr m:val="["/>
                          <m:endChr m:val="]"/>
                          <m:ctrlPr>
                            <a:rPr lang="en-US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n-US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𝐸</m:t>
                          </m:r>
                          <m:d>
                            <m:dPr>
                              <m:ctrlPr>
                                <a:rPr lang="en-US" sz="12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20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𝒓</m:t>
                              </m:r>
                            </m:e>
                          </m:d>
                          <m:r>
                            <a:rPr lang="en-US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−</m:t>
                          </m:r>
                          <m:sSub>
                            <m:sSubPr>
                              <m:ctrlPr>
                                <a:rPr lang="en-US" sz="12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20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𝑟</m:t>
                              </m:r>
                            </m:e>
                            <m:sub>
                              <m:r>
                                <a:rPr lang="en-US" sz="120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𝑓</m:t>
                              </m:r>
                            </m:sub>
                          </m:sSub>
                          <m:r>
                            <a:rPr lang="en-US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×</m:t>
                          </m:r>
                          <m:sSub>
                            <m:sSubPr>
                              <m:ctrlPr>
                                <a:rPr lang="en-US" sz="12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20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𝟏</m:t>
                              </m:r>
                            </m:e>
                            <m:sub>
                              <m:r>
                                <m:rPr>
                                  <m:sty m:val="p"/>
                                </m:rPr>
                                <a:rPr lang="en-US" sz="120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col</m:t>
                              </m:r>
                            </m:sub>
                          </m:sSub>
                        </m:e>
                      </m:d>
                    </m:num>
                    <m:den>
                      <m:r>
                        <a:rPr lang="en-US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𝑠𝑢𝑚</m:t>
                      </m:r>
                      <m:r>
                        <a:rPr lang="en-US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r>
                        <a:rPr lang="en-US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𝑛𝑢𝑚𝑒𝑟𝑎𝑡𝑜𝑟</m:t>
                      </m:r>
                      <m:r>
                        <a:rPr lang="en-US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den>
                  </m:f>
                </m:oMath>
              </a14:m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14:m>
                <m:oMath xmlns:m="http://schemas.openxmlformats.org/officeDocument/2006/math">
                  <m:r>
                    <a:rPr lang="en-US" sz="12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𝐸</m:t>
                  </m:r>
                  <m:d>
                    <m:dPr>
                      <m:ctrlPr>
                        <a:rPr lang="en-US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2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𝒓</m:t>
                      </m:r>
                    </m:e>
                  </m:d>
                </m:oMath>
              </a14:m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is in a column</a:t>
              </a:r>
              <a:endParaRPr lang="en-US" sz="1200">
                <a:effectLst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C5FC5E2-16F3-F54B-9A39-275F4C61E81A}"/>
                </a:ext>
              </a:extLst>
            </xdr:cNvPr>
            <xdr:cNvSpPr txBox="1"/>
          </xdr:nvSpPr>
          <xdr:spPr>
            <a:xfrm>
              <a:off x="10798840" y="6303801"/>
              <a:ext cx="5242560" cy="1709442"/>
            </a:xfrm>
            <a:prstGeom prst="rect">
              <a:avLst/>
            </a:prstGeom>
            <a:noFill/>
            <a:ln w="12700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GMVP as a row</a:t>
              </a:r>
              <a:r>
                <a:rPr lang="en-US" sz="1200" b="1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vector:</a:t>
              </a:r>
              <a:r>
                <a:rPr lang="en-US" sz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𝒘_row=</a:t>
              </a:r>
              <a:r>
                <a:rPr lang="en-US" altLang="zh-C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𝑤_1,⋯,𝑤_𝑛 )=</a:t>
              </a:r>
              <a:r>
                <a:rPr lang="en-US" altLang="zh-C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𝟏_row </a:t>
              </a:r>
              <a:r>
                <a:rPr lang="el-GR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Σ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^(−1))/(𝑠𝑢𝑚(𝑛𝑢𝑚𝑒𝑟𝑎𝑡𝑜𝑟))</a:t>
              </a:r>
              <a:endParaRPr lang="en-US" sz="120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  <a:p>
              <a:r>
                <a:rPr lang="en-US" sz="1200" b="1" i="0" u="none" strike="noStrike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GMVP as a column</a:t>
              </a:r>
              <a:r>
                <a:rPr lang="en-US" sz="1200" b="1" i="0" u="none" strike="noStrike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vector:</a:t>
              </a:r>
              <a:r>
                <a:rPr lang="en-US" sz="1200"/>
                <a:t> 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𝒘_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col=</a:t>
              </a:r>
              <a:r>
                <a:rPr lang="en-US" altLang="zh-C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(■8(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𝑤_1@⋮@𝑤_𝑛 ))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n-US" altLang="zh-C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l-GR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Σ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^(−1) 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𝟏_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col)/(𝑠𝑢𝑚(𝑛𝑢𝑚𝑒𝑟𝑎𝑡𝑜𝑟))</a:t>
              </a:r>
              <a:endParaRPr lang="en-US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 as a row</a:t>
              </a:r>
              <a:r>
                <a:rPr lang="en-US" sz="1200" b="1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vector:</a:t>
              </a:r>
              <a:r>
                <a:rPr lang="en-US" sz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𝒘_row=(𝑤_1,⋯,𝑤_𝑛)=</a:t>
              </a:r>
              <a:r>
                <a:rPr lang="en-US" altLang="zh-C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([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𝐸(𝒓)−𝑟_𝑓×𝟏_row ] </a:t>
              </a:r>
              <a:r>
                <a:rPr lang="el-GR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Σ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^(−1))/(𝑠𝑢𝑚(𝑛𝑢𝑚𝑒𝑟𝑎𝑡𝑜𝑟))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altLang="zh-C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𝒓)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is in a row</a:t>
              </a:r>
              <a:endParaRPr lang="en-US" sz="1200">
                <a:effectLst/>
              </a:endParaRPr>
            </a:p>
            <a:p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 as a column</a:t>
              </a:r>
              <a:r>
                <a:rPr lang="en-US" sz="1200" b="1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vector:</a:t>
              </a:r>
              <a:r>
                <a:rPr lang="en-US" sz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𝒘_col=</a:t>
              </a:r>
              <a:r>
                <a:rPr lang="en-US" altLang="zh-C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(■8(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𝑤_1@⋮@𝑤_𝑛 ))=</a:t>
              </a:r>
              <a:r>
                <a:rPr lang="en-US" altLang="zh-C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l-GR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Σ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^(−1) [𝐸(𝒓)−𝑟_𝑓×𝟏_col ])/(𝑠𝑢𝑚(𝑛𝑢𝑚𝑒𝑟𝑎𝑡𝑜𝑟))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en-US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</a:t>
              </a:r>
              <a:r>
                <a:rPr lang="en-US" altLang="zh-C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𝒓)</a:t>
              </a:r>
              <a:r>
                <a:rPr lang="en-US" sz="12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is in a column</a:t>
              </a:r>
              <a:endParaRPr lang="en-US" sz="1200">
                <a:effectLst/>
              </a:endParaRPr>
            </a:p>
          </xdr:txBody>
        </xdr:sp>
      </mc:Fallback>
    </mc:AlternateContent>
    <xdr:clientData/>
  </xdr:oneCellAnchor>
  <xdr:twoCellAnchor>
    <xdr:from>
      <xdr:col>14</xdr:col>
      <xdr:colOff>3804</xdr:colOff>
      <xdr:row>42</xdr:row>
      <xdr:rowOff>182652</xdr:rowOff>
    </xdr:from>
    <xdr:to>
      <xdr:col>21</xdr:col>
      <xdr:colOff>148584</xdr:colOff>
      <xdr:row>57</xdr:row>
      <xdr:rowOff>182654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AB0DF8-BD90-E94F-A135-450AAAB4F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23</xdr:col>
      <xdr:colOff>15240</xdr:colOff>
      <xdr:row>1</xdr:row>
      <xdr:rowOff>60960</xdr:rowOff>
    </xdr:from>
    <xdr:ext cx="3413760" cy="3695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2F5C3BC-9E6D-3B4A-AA25-03B537755AD6}"/>
                </a:ext>
              </a:extLst>
            </xdr:cNvPr>
            <xdr:cNvSpPr txBox="1"/>
          </xdr:nvSpPr>
          <xdr:spPr>
            <a:xfrm>
              <a:off x="15300960" y="335280"/>
              <a:ext cx="3413760" cy="369588"/>
            </a:xfrm>
            <a:prstGeom prst="rect">
              <a:avLst/>
            </a:prstGeom>
            <a:noFill/>
            <a:ln w="12700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algn="l"/>
              <a14:m>
                <m:oMath xmlns:m="http://schemas.openxmlformats.org/officeDocument/2006/math">
                  <m:r>
                    <a:rPr lang="en-US" sz="1100" b="1" i="0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𝐂𝐨𝐯</m:t>
                  </m:r>
                  <m:d>
                    <m:dPr>
                      <m:ctrlPr>
                        <a:rPr lang="en-US" sz="1100" b="1" i="1">
                          <a:solidFill>
                            <a:sysClr val="windowText" lastClr="000000"/>
                          </a:solidFill>
                          <a:latin typeface="Cambria Math" panose="02040503050406030204" pitchFamily="18" charset="0"/>
                        </a:rPr>
                      </m:ctrlPr>
                    </m:dPr>
                    <m:e>
                      <m:sSub>
                        <m:sSubPr>
                          <m:ctrlPr>
                            <a:rPr lang="en-US" sz="1100" b="1" i="1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1" i="1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  <m:t>𝒓</m:t>
                          </m:r>
                        </m:e>
                        <m:sub>
                          <m:r>
                            <a:rPr lang="en-US" sz="1100" b="1" i="1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  <m:t>𝒊</m:t>
                          </m:r>
                        </m:sub>
                      </m:sSub>
                      <m:r>
                        <a:rPr lang="en-US" sz="1100" b="1" i="1">
                          <a:solidFill>
                            <a:sysClr val="windowText" lastClr="000000"/>
                          </a:solidFill>
                          <a:latin typeface="Cambria Math" panose="02040503050406030204" pitchFamily="18" charset="0"/>
                        </a:rPr>
                        <m:t>,</m:t>
                      </m:r>
                      <m:sSub>
                        <m:sSubPr>
                          <m:ctrlPr>
                            <a:rPr lang="en-US" sz="1100" b="1" i="1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1" i="1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  <m:t>𝒓</m:t>
                          </m:r>
                        </m:e>
                        <m:sub>
                          <m:r>
                            <a:rPr lang="en-US" sz="1100" b="1" i="1">
                              <a:solidFill>
                                <a:sysClr val="windowText" lastClr="000000"/>
                              </a:solidFill>
                              <a:latin typeface="Cambria Math" panose="02040503050406030204" pitchFamily="18" charset="0"/>
                            </a:rPr>
                            <m:t>𝒋</m:t>
                          </m:r>
                        </m:sub>
                      </m:sSub>
                    </m:e>
                  </m:d>
                  <m:r>
                    <a:rPr lang="en-US" sz="1100" b="1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en-US" sz="1100" b="1" i="1">
                      <a:solidFill>
                        <a:sysClr val="windowText" lastClr="000000"/>
                      </a:solidFill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𝛒</m:t>
                  </m:r>
                  <m:sSub>
                    <m:sSubPr>
                      <m:ctrlPr>
                        <a:rPr lang="en-US" sz="1100" b="1" i="1">
                          <a:solidFill>
                            <a:sysClr val="windowText" lastClr="00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1" i="1">
                          <a:solidFill>
                            <a:sysClr val="windowText" lastClr="00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𝝈</m:t>
                      </m:r>
                    </m:e>
                    <m:sub>
                      <m:r>
                        <a:rPr lang="en-US" sz="1100" b="1" i="1">
                          <a:solidFill>
                            <a:sysClr val="windowText" lastClr="00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𝒊</m:t>
                      </m:r>
                    </m:sub>
                  </m:sSub>
                  <m:sSub>
                    <m:sSubPr>
                      <m:ctrlPr>
                        <a:rPr lang="en-US" sz="1100" b="1" i="1">
                          <a:solidFill>
                            <a:sysClr val="windowText" lastClr="00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1" i="1">
                          <a:solidFill>
                            <a:sysClr val="windowText" lastClr="00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𝝈</m:t>
                      </m:r>
                    </m:e>
                    <m:sub>
                      <m:r>
                        <a:rPr lang="en-US" sz="1100" b="1" i="1">
                          <a:solidFill>
                            <a:sysClr val="windowText" lastClr="000000"/>
                          </a:solidFill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𝒋</m:t>
                      </m:r>
                    </m:sub>
                  </m:sSub>
                  <m:r>
                    <a:rPr lang="en-US" sz="1100" b="1" i="0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 </m:t>
                  </m:r>
                  <m:r>
                    <a:rPr lang="en-US" sz="1100" b="1" i="0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𝐢𝐟</m:t>
                  </m:r>
                  <m:r>
                    <a:rPr lang="en-US" sz="1100" b="1" i="0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1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𝒊</m:t>
                  </m:r>
                  <m:r>
                    <a:rPr lang="en-US" sz="11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≠</m:t>
                  </m:r>
                  <m:r>
                    <a:rPr lang="en-US" sz="11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𝒋</m:t>
                  </m:r>
                  <m:r>
                    <a:rPr lang="en-US" sz="11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;</m:t>
                  </m:r>
                  <m:r>
                    <a:rPr lang="en-US" sz="1100" b="1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𝑽𝒂𝒓</m:t>
                  </m:r>
                  <m:d>
                    <m:dPr>
                      <m:ctrlPr>
                        <a:rPr lang="en-US" sz="1100" b="1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dPr>
                    <m:e>
                      <m:sSub>
                        <m:sSubPr>
                          <m:ctrlPr>
                            <a:rPr lang="en-US" sz="11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𝒓</m:t>
                          </m:r>
                        </m:e>
                        <m:sub>
                          <m:r>
                            <a:rPr lang="en-US" sz="1100" b="1" i="1">
                              <a:solidFill>
                                <a:sysClr val="windowText" lastClr="000000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𝒊</m:t>
                          </m:r>
                        </m:sub>
                      </m:sSub>
                    </m:e>
                  </m:d>
                </m:oMath>
              </a14:m>
              <a:r>
                <a:rPr lang="en-US" sz="1100" b="1" i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rPr>
                <a:t> is sample variance.</a:t>
              </a:r>
            </a:p>
            <a:p>
              <a:pPr algn="l"/>
              <a14:m>
                <m:oMath xmlns:m="http://schemas.openxmlformats.org/officeDocument/2006/math">
                  <m:r>
                    <a:rPr lang="en-US" sz="11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𝛒</m:t>
                  </m:r>
                </m:oMath>
              </a14:m>
              <a:r>
                <a:rPr lang="en-US" sz="1100" b="1" i="0"/>
                <a:t> is average</a:t>
              </a:r>
              <a:r>
                <a:rPr lang="en-US" sz="1100" b="1" i="0" baseline="0"/>
                <a:t> correlation of sample correlations.</a:t>
              </a:r>
              <a:endParaRPr lang="en-US" sz="1100" b="1" i="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2F5C3BC-9E6D-3B4A-AA25-03B537755AD6}"/>
                </a:ext>
              </a:extLst>
            </xdr:cNvPr>
            <xdr:cNvSpPr txBox="1"/>
          </xdr:nvSpPr>
          <xdr:spPr>
            <a:xfrm>
              <a:off x="15300960" y="335280"/>
              <a:ext cx="3413760" cy="369588"/>
            </a:xfrm>
            <a:prstGeom prst="rect">
              <a:avLst/>
            </a:prstGeom>
            <a:noFill/>
            <a:ln w="12700"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algn="l"/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𝐂𝐨𝐯(𝒓_𝒊,𝒓_𝒋 )=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𝛒𝝈_𝒊 𝝈_𝒋</a:t>
              </a:r>
              <a:r>
                <a:rPr lang="en-US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, 𝐢𝐟 𝒊</a:t>
              </a:r>
              <a:r>
                <a:rPr lang="en-US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≠𝒋;𝑽𝒂𝒓(𝒓_𝒊 )</a:t>
              </a:r>
              <a:r>
                <a:rPr lang="en-US" sz="1100" b="1" i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rPr>
                <a:t> is sample variance.</a:t>
              </a:r>
            </a:p>
            <a:p>
              <a:pPr algn="l"/>
              <a:r>
                <a:rPr lang="en-US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𝛒</a:t>
              </a:r>
              <a:r>
                <a:rPr lang="en-US" sz="1100" b="1" i="0"/>
                <a:t> is average</a:t>
              </a:r>
              <a:r>
                <a:rPr lang="en-US" sz="1100" b="1" i="0" baseline="0"/>
                <a:t> correlation of sample correlations.</a:t>
              </a:r>
              <a:endParaRPr lang="en-US" sz="1100" b="1" i="0"/>
            </a:p>
          </xdr:txBody>
        </xdr:sp>
      </mc:Fallback>
    </mc:AlternateContent>
    <xdr:clientData/>
  </xdr:oneCellAnchor>
  <xdr:twoCellAnchor>
    <xdr:from>
      <xdr:col>28</xdr:col>
      <xdr:colOff>7951</xdr:colOff>
      <xdr:row>42</xdr:row>
      <xdr:rowOff>182880</xdr:rowOff>
    </xdr:from>
    <xdr:to>
      <xdr:col>34</xdr:col>
      <xdr:colOff>518491</xdr:colOff>
      <xdr:row>57</xdr:row>
      <xdr:rowOff>182882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F9B9473-59E7-46D0-B4AB-ACF05B00AA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403860</xdr:colOff>
      <xdr:row>21</xdr:row>
      <xdr:rowOff>0</xdr:rowOff>
    </xdr:from>
    <xdr:to>
      <xdr:col>15</xdr:col>
      <xdr:colOff>247650</xdr:colOff>
      <xdr:row>37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DC59C5-7304-4430-8092-8627296A3B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39</xdr:row>
      <xdr:rowOff>19050</xdr:rowOff>
    </xdr:from>
    <xdr:to>
      <xdr:col>8</xdr:col>
      <xdr:colOff>401227</xdr:colOff>
      <xdr:row>55</xdr:row>
      <xdr:rowOff>152844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BCC37034-1152-942C-DA6F-3719A63DD984}"/>
            </a:ext>
          </a:extLst>
        </xdr:cNvPr>
        <xdr:cNvGrpSpPr/>
      </xdr:nvGrpSpPr>
      <xdr:grpSpPr>
        <a:xfrm>
          <a:off x="0" y="7512050"/>
          <a:ext cx="9596027" cy="3181794"/>
          <a:chOff x="0" y="11477625"/>
          <a:chExt cx="8430802" cy="3181794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E353E8B-F1F7-CBB5-4C08-44E6729186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0" y="11477625"/>
            <a:ext cx="8430802" cy="3181794"/>
          </a:xfrm>
          <a:prstGeom prst="rect">
            <a:avLst/>
          </a:prstGeom>
        </xdr:spPr>
      </xdr:pic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B7A8DFCD-8B2A-4744-957B-59AD24A3D164}"/>
              </a:ext>
            </a:extLst>
          </xdr:cNvPr>
          <xdr:cNvSpPr/>
        </xdr:nvSpPr>
        <xdr:spPr>
          <a:xfrm>
            <a:off x="2800350" y="11658600"/>
            <a:ext cx="1821590" cy="444995"/>
          </a:xfrm>
          <a:prstGeom prst="ellipse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 editAs="oneCell">
    <xdr:from>
      <xdr:col>8</xdr:col>
      <xdr:colOff>542925</xdr:colOff>
      <xdr:row>39</xdr:row>
      <xdr:rowOff>0</xdr:rowOff>
    </xdr:from>
    <xdr:to>
      <xdr:col>14</xdr:col>
      <xdr:colOff>543517</xdr:colOff>
      <xdr:row>57</xdr:row>
      <xdr:rowOff>38584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4DA3EA9-0C33-435B-7C0B-9D059B8EB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72500" y="7477125"/>
          <a:ext cx="4239217" cy="34675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finance.yahoo.com/quote/0762.HK/" TargetMode="External"/><Relationship Id="rId1" Type="http://schemas.openxmlformats.org/officeDocument/2006/relationships/hyperlink" Target="https://finance.yahoo.com/quote/0941.HK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1"/>
  <sheetViews>
    <sheetView workbookViewId="0">
      <selection activeCell="K116" sqref="K116"/>
    </sheetView>
  </sheetViews>
  <sheetFormatPr baseColWidth="10" defaultColWidth="8.83203125" defaultRowHeight="15" x14ac:dyDescent="0.2"/>
  <cols>
    <col min="1" max="1" width="13.5" style="45" customWidth="1"/>
    <col min="2" max="2" width="11" style="47" bestFit="1" customWidth="1"/>
    <col min="3" max="3" width="12.83203125" style="47" bestFit="1" customWidth="1"/>
    <col min="4" max="4" width="9.6640625" style="47" customWidth="1"/>
    <col min="5" max="5" width="13.1640625" style="47" customWidth="1"/>
    <col min="6" max="6" width="10" style="47" bestFit="1" customWidth="1"/>
    <col min="7" max="7" width="15.1640625" style="45" customWidth="1"/>
    <col min="8" max="8" width="9.6640625" style="45" customWidth="1"/>
    <col min="9" max="16384" width="8.83203125" style="45"/>
  </cols>
  <sheetData>
    <row r="1" spans="1:11" ht="62" customHeight="1" x14ac:dyDescent="0.2">
      <c r="A1" s="108" t="s">
        <v>173</v>
      </c>
      <c r="B1" s="108"/>
      <c r="C1" s="108"/>
      <c r="D1" s="108"/>
      <c r="E1" s="108"/>
      <c r="F1" s="108"/>
      <c r="G1" s="108"/>
    </row>
    <row r="2" spans="1:11" x14ac:dyDescent="0.2">
      <c r="A2" s="2" t="s">
        <v>7</v>
      </c>
      <c r="C2" s="4" t="s">
        <v>12</v>
      </c>
      <c r="F2" s="4" t="s">
        <v>13</v>
      </c>
    </row>
    <row r="3" spans="1:11" x14ac:dyDescent="0.2">
      <c r="A3" s="48" t="s">
        <v>8</v>
      </c>
      <c r="C3" s="91">
        <f>AVERAGE(D20:D139)</f>
        <v>1.9290532490182733E-3</v>
      </c>
      <c r="D3" s="79" t="str" cm="1">
        <f t="array" aca="1" ref="D3" ca="1">GETFORMULA(C3)</f>
        <v>&lt;--  =AVERAGE(D20:D139)</v>
      </c>
      <c r="F3" s="91">
        <f>AVERAGE(H20:H139)</f>
        <v>-9.4285224745487104E-4</v>
      </c>
      <c r="G3" s="79" t="str" cm="1">
        <f t="array" aca="1" ref="G3" ca="1">GETFORMULA(F3)</f>
        <v>&lt;--  =AVERAGE(H20:H139)</v>
      </c>
      <c r="K3" s="47"/>
    </row>
    <row r="4" spans="1:11" x14ac:dyDescent="0.2">
      <c r="A4" s="48" t="s">
        <v>17</v>
      </c>
      <c r="C4" s="91">
        <f>_xlfn.STDEV.S(D20:D139)</f>
        <v>4.9786583520865228E-2</v>
      </c>
      <c r="D4" s="79" t="str" cm="1">
        <f t="array" aca="1" ref="D4" ca="1">GETFORMULA(C4)</f>
        <v>&lt;--  =STDEV.S(D20:D139)</v>
      </c>
      <c r="F4" s="91">
        <f>_xlfn.STDEV.S(H20:H139)</f>
        <v>8.455667907032216E-2</v>
      </c>
      <c r="G4" s="79" t="str" cm="1">
        <f t="array" aca="1" ref="G4" ca="1">GETFORMULA(F4)</f>
        <v>&lt;--  =STDEV.S(H20:H139)</v>
      </c>
    </row>
    <row r="5" spans="1:11" x14ac:dyDescent="0.2">
      <c r="A5" s="45" t="s">
        <v>18</v>
      </c>
      <c r="C5" s="91">
        <f>_xlfn.STDEV.P(D20:D139)</f>
        <v>4.957870543749357E-2</v>
      </c>
      <c r="D5" s="79" t="str" cm="1">
        <f t="array" aca="1" ref="D5" ca="1">GETFORMULA(C5)</f>
        <v>&lt;--  =STDEV.P(D20:D139)</v>
      </c>
      <c r="F5" s="91">
        <f>_xlfn.STDEV.P(H20:H139)</f>
        <v>8.420362250089429E-2</v>
      </c>
      <c r="G5" s="79" t="str" cm="1">
        <f t="array" aca="1" ref="G5" ca="1">GETFORMULA(F5)</f>
        <v>&lt;--  =STDEV.P(H20:H139)</v>
      </c>
    </row>
    <row r="6" spans="1:11" x14ac:dyDescent="0.2">
      <c r="A6" s="48" t="s">
        <v>19</v>
      </c>
      <c r="B6" s="50"/>
      <c r="C6" s="91">
        <f>_xlfn.COVARIANCE.S(D20:D139,H20:H139)</f>
        <v>2.6921656351022514E-3</v>
      </c>
      <c r="D6" s="79" t="str" cm="1">
        <f t="array" aca="1" ref="D6" ca="1">GETFORMULA(C6)</f>
        <v>&lt;--  =COVARIANCE.S(D20:D139,H20:H139)</v>
      </c>
      <c r="K6" s="91"/>
    </row>
    <row r="7" spans="1:11" x14ac:dyDescent="0.2">
      <c r="A7" s="45" t="s">
        <v>20</v>
      </c>
      <c r="C7" s="91">
        <f>COVAR(D20:D139,H20:H139)</f>
        <v>2.669730921476399E-3</v>
      </c>
      <c r="D7" s="79" t="str" cm="1">
        <f t="array" aca="1" ref="D7" ca="1">GETFORMULA(C7)</f>
        <v>&lt;--  =COVAR(D20:D139,H20:H139)</v>
      </c>
    </row>
    <row r="8" spans="1:11" x14ac:dyDescent="0.2">
      <c r="A8" s="45" t="s">
        <v>20</v>
      </c>
      <c r="C8" s="91">
        <f>_xlfn.COVARIANCE.P(D20:D139,H20:H139)</f>
        <v>2.669730921476399E-3</v>
      </c>
      <c r="D8" s="79" t="str" cm="1">
        <f t="array" aca="1" ref="D8" ca="1">GETFORMULA(C8)</f>
        <v>&lt;--  =COVARIANCE.P(D20:D139,H20:H139)</v>
      </c>
    </row>
    <row r="9" spans="1:11" x14ac:dyDescent="0.2">
      <c r="A9" s="48" t="s">
        <v>21</v>
      </c>
      <c r="B9" s="50"/>
      <c r="C9" s="91">
        <f>CORREL(D20:D139,H20:H139)</f>
        <v>0.63950144988873225</v>
      </c>
      <c r="D9" s="79" t="str" cm="1">
        <f t="array" aca="1" ref="D9" ca="1">GETFORMULA(C9)</f>
        <v>&lt;--  =CORREL(D20:D139,H20:H139)</v>
      </c>
    </row>
    <row r="10" spans="1:11" x14ac:dyDescent="0.2">
      <c r="A10" s="45" t="s">
        <v>22</v>
      </c>
      <c r="C10" s="91">
        <f>C7/(C5*F5)</f>
        <v>0.63950144988873192</v>
      </c>
      <c r="D10" s="79" t="str" cm="1">
        <f t="array" aca="1" ref="D10" ca="1">GETFORMULA(C10)</f>
        <v>&lt;--  =C7/(C5*F5)</v>
      </c>
    </row>
    <row r="11" spans="1:11" x14ac:dyDescent="0.2">
      <c r="A11" s="5" t="s">
        <v>23</v>
      </c>
    </row>
    <row r="13" spans="1:11" x14ac:dyDescent="0.2">
      <c r="A13" s="2" t="s">
        <v>11</v>
      </c>
      <c r="C13" s="4" t="s">
        <v>12</v>
      </c>
      <c r="F13" s="4" t="s">
        <v>13</v>
      </c>
    </row>
    <row r="14" spans="1:11" x14ac:dyDescent="0.2">
      <c r="A14" s="45" t="s">
        <v>8</v>
      </c>
      <c r="C14" s="49">
        <f>12*C3</f>
        <v>2.314863898821928E-2</v>
      </c>
      <c r="D14" s="79" t="str" cm="1">
        <f t="array" aca="1" ref="D14" ca="1">GETFORMULA(C14)</f>
        <v>&lt;--  =12*C3</v>
      </c>
      <c r="F14" s="49">
        <f>12*F3</f>
        <v>-1.1314226969458453E-2</v>
      </c>
      <c r="G14" s="79" t="str" cm="1">
        <f t="array" aca="1" ref="G14" ca="1">GETFORMULA(F14)</f>
        <v>&lt;--  =12*F3</v>
      </c>
    </row>
    <row r="15" spans="1:11" x14ac:dyDescent="0.2">
      <c r="A15" s="45" t="s">
        <v>14</v>
      </c>
      <c r="C15" s="49">
        <f>SQRT(12)*C4</f>
        <v>0.17246578438681995</v>
      </c>
      <c r="D15" s="79" t="str" cm="1">
        <f t="array" aca="1" ref="D15" ca="1">GETFORMULA(C15)</f>
        <v>&lt;--  =SQRT(12)*C4</v>
      </c>
      <c r="F15" s="49">
        <f>SQRT(12)*F4</f>
        <v>0.29291292853818773</v>
      </c>
      <c r="G15" s="79" t="str" cm="1">
        <f t="array" aca="1" ref="G15" ca="1">GETFORMULA(F15)</f>
        <v>&lt;--  =SQRT(12)*F4</v>
      </c>
    </row>
    <row r="17" spans="1:8" x14ac:dyDescent="0.2">
      <c r="B17" s="109" t="s">
        <v>12</v>
      </c>
      <c r="C17" s="109"/>
      <c r="D17" s="109"/>
      <c r="F17" s="109" t="s">
        <v>13</v>
      </c>
      <c r="G17" s="109"/>
      <c r="H17" s="109"/>
    </row>
    <row r="18" spans="1:8" x14ac:dyDescent="0.2">
      <c r="B18" s="47" t="s">
        <v>15</v>
      </c>
      <c r="C18" s="6" t="s">
        <v>174</v>
      </c>
      <c r="D18" s="7" t="s">
        <v>16</v>
      </c>
      <c r="F18" s="47" t="s">
        <v>15</v>
      </c>
      <c r="G18" s="6" t="s">
        <v>174</v>
      </c>
      <c r="H18" s="7" t="s">
        <v>16</v>
      </c>
    </row>
    <row r="19" spans="1:8" x14ac:dyDescent="0.2">
      <c r="A19" s="46">
        <f>'2stocks_data'!A6</f>
        <v>42004</v>
      </c>
      <c r="B19" s="51">
        <f>'2stocks_data'!F6</f>
        <v>60.096527099609375</v>
      </c>
      <c r="C19" s="91"/>
      <c r="D19" s="91"/>
      <c r="F19" s="51">
        <f>'2stocks_data'!F127</f>
        <v>7.9505176544189453</v>
      </c>
      <c r="G19" s="91"/>
      <c r="H19" s="91"/>
    </row>
    <row r="20" spans="1:8" x14ac:dyDescent="0.2">
      <c r="A20" s="46">
        <f>'2stocks_data'!A7</f>
        <v>42035</v>
      </c>
      <c r="B20" s="51">
        <f>'2stocks_data'!F7</f>
        <v>61.796817779541016</v>
      </c>
      <c r="C20" s="91">
        <f t="shared" ref="C20:C83" si="0">B20/B19-1</f>
        <v>2.82926611901122E-2</v>
      </c>
      <c r="D20" s="91">
        <f t="shared" ref="D20:D67" si="1">LN(B20/B19)</f>
        <v>2.7899816390150857E-2</v>
      </c>
      <c r="F20" s="51">
        <f>'2stocks_data'!F128</f>
        <v>8.8595352172851562</v>
      </c>
      <c r="G20" s="91">
        <f t="shared" ref="G20:G67" si="2">F20/F19-1</f>
        <v>0.11433438706484389</v>
      </c>
      <c r="H20" s="91">
        <f t="shared" ref="H20:H67" si="3">LN(F20/F19)</f>
        <v>0.10825726438547766</v>
      </c>
    </row>
    <row r="21" spans="1:8" x14ac:dyDescent="0.2">
      <c r="A21" s="46">
        <f>'2stocks_data'!A8</f>
        <v>42063</v>
      </c>
      <c r="B21" s="51">
        <f>'2stocks_data'!F8</f>
        <v>59.334320068359375</v>
      </c>
      <c r="C21" s="91">
        <f t="shared" si="0"/>
        <v>-3.9848293159148618E-2</v>
      </c>
      <c r="D21" s="91">
        <f t="shared" si="1"/>
        <v>-4.0663979046137576E-2</v>
      </c>
      <c r="F21" s="51">
        <f>'2stocks_data'!F129</f>
        <v>8.0047874450683594</v>
      </c>
      <c r="G21" s="91">
        <f t="shared" si="2"/>
        <v>-9.6477721602050259E-2</v>
      </c>
      <c r="H21" s="91">
        <f t="shared" si="3"/>
        <v>-0.10145451137012483</v>
      </c>
    </row>
    <row r="22" spans="1:8" x14ac:dyDescent="0.2">
      <c r="A22" s="46">
        <f>'2stocks_data'!A9</f>
        <v>42094</v>
      </c>
      <c r="B22" s="51">
        <f>'2stocks_data'!F9</f>
        <v>64.904228210449219</v>
      </c>
      <c r="C22" s="91">
        <f t="shared" si="0"/>
        <v>9.3873295180137317E-2</v>
      </c>
      <c r="D22" s="91">
        <f t="shared" si="1"/>
        <v>8.9724879358313692E-2</v>
      </c>
      <c r="F22" s="51">
        <f>'2stocks_data'!F130</f>
        <v>9.8770942687988281</v>
      </c>
      <c r="G22" s="91">
        <f t="shared" si="2"/>
        <v>0.23389838100997573</v>
      </c>
      <c r="H22" s="91">
        <f t="shared" si="3"/>
        <v>0.21017857282972893</v>
      </c>
    </row>
    <row r="23" spans="1:8" x14ac:dyDescent="0.2">
      <c r="A23" s="46">
        <f>'2stocks_data'!A10</f>
        <v>42124</v>
      </c>
      <c r="B23" s="51">
        <f>'2stocks_data'!F10</f>
        <v>59.861988067626953</v>
      </c>
      <c r="C23" s="91">
        <f t="shared" si="0"/>
        <v>-7.7687390819485835E-2</v>
      </c>
      <c r="D23" s="91">
        <f t="shared" si="1"/>
        <v>-8.0871057381554562E-2</v>
      </c>
      <c r="F23" s="51">
        <f>'2stocks_data'!F131</f>
        <v>8.8731021881103516</v>
      </c>
      <c r="G23" s="91">
        <f t="shared" si="2"/>
        <v>-0.10164852671904023</v>
      </c>
      <c r="H23" s="91">
        <f t="shared" si="3"/>
        <v>-0.10719389161941649</v>
      </c>
    </row>
    <row r="24" spans="1:8" x14ac:dyDescent="0.2">
      <c r="A24" s="46">
        <f>'2stocks_data'!A11</f>
        <v>42155</v>
      </c>
      <c r="B24" s="51">
        <f>'2stocks_data'!F11</f>
        <v>58.191036224365234</v>
      </c>
      <c r="C24" s="91">
        <f t="shared" si="0"/>
        <v>-2.7913403767579892E-2</v>
      </c>
      <c r="D24" s="91">
        <f t="shared" si="1"/>
        <v>-2.8310387715950534E-2</v>
      </c>
      <c r="F24" s="51">
        <f>'2stocks_data'!F132</f>
        <v>8.4269990921020508</v>
      </c>
      <c r="G24" s="91">
        <f t="shared" si="2"/>
        <v>-5.0275888471797758E-2</v>
      </c>
      <c r="H24" s="91">
        <f t="shared" si="3"/>
        <v>-5.1583745482068004E-2</v>
      </c>
    </row>
    <row r="25" spans="1:8" x14ac:dyDescent="0.2">
      <c r="A25" s="46">
        <f>'2stocks_data'!A12</f>
        <v>42185</v>
      </c>
      <c r="B25" s="51">
        <f>'2stocks_data'!F12</f>
        <v>60.305835723876953</v>
      </c>
      <c r="C25" s="91">
        <v>3.6342358492427618E-2</v>
      </c>
      <c r="D25" s="91">
        <f t="shared" si="1"/>
        <v>3.5697551112073123E-2</v>
      </c>
      <c r="F25" s="51">
        <f>'2stocks_data'!F133</f>
        <v>7.5566701889038086</v>
      </c>
      <c r="G25" s="91">
        <f t="shared" si="2"/>
        <v>-0.10327862785863251</v>
      </c>
      <c r="H25" s="91">
        <f t="shared" si="3"/>
        <v>-0.10901008709229909</v>
      </c>
    </row>
    <row r="26" spans="1:8" x14ac:dyDescent="0.2">
      <c r="A26" s="46">
        <f>'2stocks_data'!A13</f>
        <v>42216</v>
      </c>
      <c r="B26" s="51">
        <f>'2stocks_data'!F13</f>
        <v>55.790332794189453</v>
      </c>
      <c r="C26" s="91">
        <v>0</v>
      </c>
      <c r="D26" s="91">
        <f t="shared" si="1"/>
        <v>-7.7828270261943014E-2</v>
      </c>
      <c r="F26" s="51">
        <f>'2stocks_data'!F134</f>
        <v>7.031710147857666</v>
      </c>
      <c r="G26" s="91">
        <f t="shared" si="2"/>
        <v>-6.9469756906552882E-2</v>
      </c>
      <c r="H26" s="91">
        <f t="shared" si="3"/>
        <v>-7.2000701446873469E-2</v>
      </c>
    </row>
    <row r="27" spans="1:8" x14ac:dyDescent="0.2">
      <c r="A27" s="46">
        <f>'2stocks_data'!A14</f>
        <v>42247</v>
      </c>
      <c r="B27" s="51">
        <f>'2stocks_data'!F14</f>
        <v>54.542617797851562</v>
      </c>
      <c r="C27" s="91">
        <v>0</v>
      </c>
      <c r="D27" s="91">
        <f t="shared" si="1"/>
        <v>-2.2618232936263652E-2</v>
      </c>
      <c r="F27" s="51">
        <f>'2stocks_data'!F135</f>
        <v>6.7761373519897461</v>
      </c>
      <c r="G27" s="91">
        <f t="shared" si="2"/>
        <v>-3.6345752383690755E-2</v>
      </c>
      <c r="H27" s="91">
        <f t="shared" si="3"/>
        <v>-3.7022713005448987E-2</v>
      </c>
    </row>
    <row r="28" spans="1:8" x14ac:dyDescent="0.2">
      <c r="A28" s="46">
        <f>'2stocks_data'!A15</f>
        <v>42277</v>
      </c>
      <c r="B28" s="51">
        <f>'2stocks_data'!F15</f>
        <v>56.071277618408203</v>
      </c>
      <c r="C28" s="91">
        <f t="shared" si="0"/>
        <v>2.8026887638987752E-2</v>
      </c>
      <c r="D28" s="91">
        <f t="shared" si="1"/>
        <v>2.7641321981773825E-2</v>
      </c>
      <c r="F28" s="51">
        <f>'2stocks_data'!F136</f>
        <v>6.6103606224060059</v>
      </c>
      <c r="G28" s="91">
        <f t="shared" si="2"/>
        <v>-2.4464782954120801E-2</v>
      </c>
      <c r="H28" s="91">
        <f t="shared" si="3"/>
        <v>-2.4769018037167134E-2</v>
      </c>
    </row>
    <row r="29" spans="1:8" x14ac:dyDescent="0.2">
      <c r="A29" s="46">
        <f>'2stocks_data'!A16</f>
        <v>42308</v>
      </c>
      <c r="B29" s="51">
        <f>'2stocks_data'!F16</f>
        <v>53.231460571289062</v>
      </c>
      <c r="C29" s="91">
        <f t="shared" si="0"/>
        <v>-5.0646555023151962E-2</v>
      </c>
      <c r="D29" s="91">
        <f t="shared" si="1"/>
        <v>-5.1974110325032449E-2</v>
      </c>
      <c r="F29" s="51">
        <f>'2stocks_data'!F137</f>
        <v>6.6310830116271973</v>
      </c>
      <c r="G29" s="91">
        <f t="shared" si="2"/>
        <v>3.1348349061248726E-3</v>
      </c>
      <c r="H29" s="91">
        <f t="shared" si="3"/>
        <v>3.1299315559701491E-3</v>
      </c>
    </row>
    <row r="30" spans="1:8" x14ac:dyDescent="0.2">
      <c r="A30" s="46">
        <f>'2stocks_data'!A17</f>
        <v>42338</v>
      </c>
      <c r="B30" s="51">
        <f>'2stocks_data'!F17</f>
        <v>52.868949890136719</v>
      </c>
      <c r="C30" s="91">
        <f t="shared" si="0"/>
        <v>-6.8100833090397606E-3</v>
      </c>
      <c r="D30" s="91">
        <f t="shared" si="1"/>
        <v>-6.8333777446465743E-3</v>
      </c>
      <c r="F30" s="51">
        <f>'2stocks_data'!F138</f>
        <v>6.527472972869873</v>
      </c>
      <c r="G30" s="91">
        <f t="shared" si="2"/>
        <v>-1.56249044953366E-2</v>
      </c>
      <c r="H30" s="91">
        <f t="shared" si="3"/>
        <v>-1.5748259947533438E-2</v>
      </c>
    </row>
    <row r="31" spans="1:8" x14ac:dyDescent="0.2">
      <c r="A31" s="46">
        <f>'2stocks_data'!A18</f>
        <v>42369</v>
      </c>
      <c r="B31" s="51">
        <f>'2stocks_data'!F18</f>
        <v>51.781341552734375</v>
      </c>
      <c r="C31" s="91">
        <f t="shared" si="0"/>
        <v>-2.0571778703046384E-2</v>
      </c>
      <c r="D31" s="91">
        <f t="shared" si="1"/>
        <v>-2.0786325245505988E-2</v>
      </c>
      <c r="F31" s="51">
        <f>'2stocks_data'!F139</f>
        <v>5.9058074951171875</v>
      </c>
      <c r="G31" s="91">
        <f t="shared" si="2"/>
        <v>-9.523830743329198E-2</v>
      </c>
      <c r="H31" s="91">
        <f t="shared" si="3"/>
        <v>-0.10008369308854329</v>
      </c>
    </row>
    <row r="32" spans="1:8" x14ac:dyDescent="0.2">
      <c r="A32" s="46">
        <f>'2stocks_data'!A19</f>
        <v>42400</v>
      </c>
      <c r="B32" s="51">
        <f>'2stocks_data'!F19</f>
        <v>49.666591644287109</v>
      </c>
      <c r="C32" s="91">
        <f t="shared" si="0"/>
        <v>-4.0839998444103576E-2</v>
      </c>
      <c r="D32" s="91">
        <f t="shared" si="1"/>
        <v>-4.1697375934064251E-2</v>
      </c>
      <c r="F32" s="51">
        <f>'2stocks_data'!F140</f>
        <v>6.1199355125427246</v>
      </c>
      <c r="G32" s="91">
        <f t="shared" si="2"/>
        <v>3.6257195582919621E-2</v>
      </c>
      <c r="H32" s="91">
        <f t="shared" si="3"/>
        <v>3.5615371310974094E-2</v>
      </c>
    </row>
    <row r="33" spans="1:8" x14ac:dyDescent="0.2">
      <c r="A33" s="46">
        <f>'2stocks_data'!A20</f>
        <v>42429</v>
      </c>
      <c r="B33" s="51">
        <f>'2stocks_data'!F20</f>
        <v>52.234508514404297</v>
      </c>
      <c r="C33" s="91">
        <f t="shared" si="0"/>
        <v>5.1703102328999107E-2</v>
      </c>
      <c r="D33" s="91">
        <f t="shared" si="1"/>
        <v>5.04108523626376E-2</v>
      </c>
      <c r="F33" s="51">
        <f>'2stocks_data'!F141</f>
        <v>7.0731549263000488</v>
      </c>
      <c r="G33" s="91">
        <f t="shared" si="2"/>
        <v>0.15575644740107375</v>
      </c>
      <c r="H33" s="91">
        <f t="shared" si="3"/>
        <v>0.14475506241363906</v>
      </c>
    </row>
    <row r="34" spans="1:8" x14ac:dyDescent="0.2">
      <c r="A34" s="46">
        <f>'2stocks_data'!A21</f>
        <v>42460</v>
      </c>
      <c r="B34" s="51">
        <f>'2stocks_data'!F21</f>
        <v>53.745059967041016</v>
      </c>
      <c r="C34" s="91">
        <f t="shared" si="0"/>
        <v>2.891864967428881E-2</v>
      </c>
      <c r="D34" s="91">
        <f t="shared" si="1"/>
        <v>2.850839607293916E-2</v>
      </c>
      <c r="F34" s="51">
        <f>'2stocks_data'!F142</f>
        <v>6.3271570205688477</v>
      </c>
      <c r="G34" s="91">
        <f t="shared" si="2"/>
        <v>-0.10546890510730422</v>
      </c>
      <c r="H34" s="91">
        <f t="shared" si="3"/>
        <v>-0.11145561432040284</v>
      </c>
    </row>
    <row r="35" spans="1:8" x14ac:dyDescent="0.2">
      <c r="A35" s="46">
        <f>'2stocks_data'!A22</f>
        <v>42490</v>
      </c>
      <c r="B35" s="51">
        <f>'2stocks_data'!F22</f>
        <v>53.5335693359375</v>
      </c>
      <c r="C35" s="91">
        <f t="shared" si="0"/>
        <v>-3.9350710787784404E-3</v>
      </c>
      <c r="D35" s="91">
        <f t="shared" si="1"/>
        <v>-3.9428338423523378E-3</v>
      </c>
      <c r="F35" s="51">
        <f>'2stocks_data'!F143</f>
        <v>5.7952899932861328</v>
      </c>
      <c r="G35" s="91">
        <f t="shared" si="2"/>
        <v>-8.4060981188498585E-2</v>
      </c>
      <c r="H35" s="91">
        <f t="shared" si="3"/>
        <v>-8.7805489873999887E-2</v>
      </c>
    </row>
    <row r="36" spans="1:8" x14ac:dyDescent="0.2">
      <c r="A36" s="46">
        <f>'2stocks_data'!A23</f>
        <v>42521</v>
      </c>
      <c r="B36" s="51">
        <f>'2stocks_data'!F23</f>
        <v>53.56378173828125</v>
      </c>
      <c r="C36" s="91">
        <f t="shared" si="0"/>
        <v>5.6436368279788596E-4</v>
      </c>
      <c r="D36" s="91">
        <f t="shared" si="1"/>
        <v>5.6420448950711389E-4</v>
      </c>
      <c r="F36" s="51">
        <f>'2stocks_data'!F144</f>
        <v>5.6685781478881836</v>
      </c>
      <c r="G36" s="91">
        <f t="shared" si="2"/>
        <v>-2.186462550532331E-2</v>
      </c>
      <c r="H36" s="91">
        <f t="shared" si="3"/>
        <v>-2.2107198797738144E-2</v>
      </c>
    </row>
    <row r="37" spans="1:8" x14ac:dyDescent="0.2">
      <c r="A37" s="46">
        <f>'2stocks_data'!A24</f>
        <v>42551</v>
      </c>
      <c r="B37" s="51">
        <f>'2stocks_data'!F24</f>
        <v>58.568157196044922</v>
      </c>
      <c r="C37" s="91">
        <f t="shared" si="0"/>
        <v>9.3428344589551626E-2</v>
      </c>
      <c r="D37" s="91">
        <f t="shared" si="1"/>
        <v>8.9318030491533598E-2</v>
      </c>
      <c r="F37" s="51">
        <f>'2stocks_data'!F145</f>
        <v>5.8452801704406738</v>
      </c>
      <c r="G37" s="91">
        <f t="shared" si="2"/>
        <v>3.1172194850717538E-2</v>
      </c>
      <c r="H37" s="91">
        <f t="shared" si="3"/>
        <v>3.0696208402968099E-2</v>
      </c>
    </row>
    <row r="38" spans="1:8" x14ac:dyDescent="0.2">
      <c r="A38" s="46">
        <f>'2stocks_data'!A25</f>
        <v>42582</v>
      </c>
      <c r="B38" s="51">
        <f>'2stocks_data'!F25</f>
        <v>58.660018920898438</v>
      </c>
      <c r="C38" s="91">
        <f t="shared" si="0"/>
        <v>1.5684585148552088E-3</v>
      </c>
      <c r="D38" s="91">
        <f t="shared" si="1"/>
        <v>1.5672297684561735E-3</v>
      </c>
      <c r="F38" s="51">
        <f>'2stocks_data'!F146</f>
        <v>6.2128181457519531</v>
      </c>
      <c r="G38" s="91">
        <f t="shared" si="2"/>
        <v>6.2877734615682357E-2</v>
      </c>
      <c r="H38" s="91">
        <f t="shared" si="3"/>
        <v>6.0980073568382136E-2</v>
      </c>
    </row>
    <row r="39" spans="1:8" x14ac:dyDescent="0.2">
      <c r="A39" s="46">
        <f>'2stocks_data'!A26</f>
        <v>42613</v>
      </c>
      <c r="B39" s="51">
        <f>'2stocks_data'!F26</f>
        <v>57.465988159179688</v>
      </c>
      <c r="C39" s="91">
        <f t="shared" si="0"/>
        <v>-2.0355103589872137E-2</v>
      </c>
      <c r="D39" s="91">
        <f t="shared" si="1"/>
        <v>-2.0565123584272087E-2</v>
      </c>
      <c r="F39" s="51">
        <f>'2stocks_data'!F147</f>
        <v>6.5803570747375488</v>
      </c>
      <c r="G39" s="91">
        <f t="shared" si="2"/>
        <v>5.9158166288337588E-2</v>
      </c>
      <c r="H39" s="91">
        <f t="shared" si="3"/>
        <v>5.7474409846936594E-2</v>
      </c>
    </row>
    <row r="40" spans="1:8" x14ac:dyDescent="0.2">
      <c r="A40" s="46">
        <f>'2stocks_data'!A27</f>
        <v>42643</v>
      </c>
      <c r="B40" s="51">
        <f>'2stocks_data'!F27</f>
        <v>55.263362884521484</v>
      </c>
      <c r="C40" s="91">
        <f t="shared" si="0"/>
        <v>-3.8329198630622563E-2</v>
      </c>
      <c r="D40" s="91">
        <f t="shared" si="1"/>
        <v>-3.9083089199739511E-2</v>
      </c>
      <c r="F40" s="51">
        <f>'2stocks_data'!F148</f>
        <v>6.4248600006103516</v>
      </c>
      <c r="G40" s="91">
        <f t="shared" si="2"/>
        <v>-2.3630491835186507E-2</v>
      </c>
      <c r="H40" s="91">
        <f t="shared" si="3"/>
        <v>-2.3914169786671536E-2</v>
      </c>
    </row>
    <row r="41" spans="1:8" x14ac:dyDescent="0.2">
      <c r="A41" s="46">
        <f>'2stocks_data'!A28</f>
        <v>42674</v>
      </c>
      <c r="B41" s="51">
        <f>'2stocks_data'!F28</f>
        <v>52.651020050048828</v>
      </c>
      <c r="C41" s="91">
        <f t="shared" si="0"/>
        <v>-4.7270790232788018E-2</v>
      </c>
      <c r="D41" s="91">
        <f t="shared" si="1"/>
        <v>-4.8424560754933295E-2</v>
      </c>
      <c r="F41" s="51">
        <f>'2stocks_data'!F149</f>
        <v>6.6581048965454102</v>
      </c>
      <c r="G41" s="91">
        <f t="shared" si="2"/>
        <v>3.630349858407822E-2</v>
      </c>
      <c r="H41" s="91">
        <f t="shared" si="3"/>
        <v>3.5660053236378372E-2</v>
      </c>
    </row>
    <row r="42" spans="1:8" x14ac:dyDescent="0.2">
      <c r="A42" s="46">
        <f>'2stocks_data'!A29</f>
        <v>42704</v>
      </c>
      <c r="B42" s="51">
        <f>'2stocks_data'!F29</f>
        <v>51.127155303955078</v>
      </c>
      <c r="C42" s="91">
        <f t="shared" si="0"/>
        <v>-2.8942739279223861E-2</v>
      </c>
      <c r="D42" s="91">
        <f t="shared" si="1"/>
        <v>-2.9369841553340385E-2</v>
      </c>
      <c r="F42" s="51">
        <f>'2stocks_data'!F150</f>
        <v>6.3824515342712402</v>
      </c>
      <c r="G42" s="91">
        <f t="shared" si="2"/>
        <v>-4.1401174441873745E-2</v>
      </c>
      <c r="H42" s="91">
        <f t="shared" si="3"/>
        <v>-4.2282617421005461E-2</v>
      </c>
    </row>
    <row r="43" spans="1:8" x14ac:dyDescent="0.2">
      <c r="A43" s="46">
        <f>'2stocks_data'!A30</f>
        <v>42735</v>
      </c>
      <c r="B43" s="51">
        <f>'2stocks_data'!F30</f>
        <v>54.641361236572266</v>
      </c>
      <c r="C43" s="91">
        <f t="shared" si="0"/>
        <v>6.8734626671970167E-2</v>
      </c>
      <c r="D43" s="91">
        <f t="shared" si="1"/>
        <v>6.6475356764880686E-2</v>
      </c>
      <c r="F43" s="51">
        <f>'2stocks_data'!F151</f>
        <v>6.5167450904846191</v>
      </c>
      <c r="G43" s="91">
        <f t="shared" si="2"/>
        <v>2.104106165041375E-2</v>
      </c>
      <c r="H43" s="91">
        <f t="shared" si="3"/>
        <v>2.0822755465335373E-2</v>
      </c>
    </row>
    <row r="44" spans="1:8" x14ac:dyDescent="0.2">
      <c r="A44" s="46">
        <f>'2stocks_data'!A31</f>
        <v>42766</v>
      </c>
      <c r="B44" s="51">
        <f>'2stocks_data'!F31</f>
        <v>53.241897583007812</v>
      </c>
      <c r="C44" s="91">
        <f t="shared" si="0"/>
        <v>-2.5611800692618369E-2</v>
      </c>
      <c r="D44" s="91">
        <f t="shared" si="1"/>
        <v>-2.5945492827075523E-2</v>
      </c>
      <c r="F44" s="51">
        <f>'2stocks_data'!F152</f>
        <v>6.6722407341003418</v>
      </c>
      <c r="G44" s="91">
        <f t="shared" si="2"/>
        <v>2.3860936933495891E-2</v>
      </c>
      <c r="H44" s="91">
        <f t="shared" si="3"/>
        <v>2.3580713619265406E-2</v>
      </c>
    </row>
    <row r="45" spans="1:8" x14ac:dyDescent="0.2">
      <c r="A45" s="46">
        <f>'2stocks_data'!A32</f>
        <v>42794</v>
      </c>
      <c r="B45" s="51">
        <f>'2stocks_data'!F32</f>
        <v>52.899810791015625</v>
      </c>
      <c r="C45" s="91">
        <f t="shared" si="0"/>
        <v>-6.4251427451257337E-3</v>
      </c>
      <c r="D45" s="91">
        <f t="shared" si="1"/>
        <v>-6.445872818266786E-3</v>
      </c>
      <c r="F45" s="51">
        <f>'2stocks_data'!F153</f>
        <v>7.3507742881774902</v>
      </c>
      <c r="G45" s="91">
        <f t="shared" si="2"/>
        <v>0.10169500488933414</v>
      </c>
      <c r="H45" s="91">
        <f t="shared" si="3"/>
        <v>9.6849907351002268E-2</v>
      </c>
    </row>
    <row r="46" spans="1:8" x14ac:dyDescent="0.2">
      <c r="A46" s="46">
        <f>'2stocks_data'!A33</f>
        <v>42825</v>
      </c>
      <c r="B46" s="51">
        <f>'2stocks_data'!F33</f>
        <v>51.593635559082031</v>
      </c>
      <c r="C46" s="91">
        <f t="shared" si="0"/>
        <v>-2.4691491564945878E-2</v>
      </c>
      <c r="D46" s="91">
        <f t="shared" si="1"/>
        <v>-2.5001439126447103E-2</v>
      </c>
      <c r="F46" s="51">
        <f>'2stocks_data'!F154</f>
        <v>7.0963249206542969</v>
      </c>
      <c r="G46" s="91">
        <f t="shared" si="2"/>
        <v>-3.4615315005989689E-2</v>
      </c>
      <c r="H46" s="91">
        <f t="shared" si="3"/>
        <v>-3.5228619778397113E-2</v>
      </c>
    </row>
    <row r="47" spans="1:8" x14ac:dyDescent="0.2">
      <c r="A47" s="46">
        <f>'2stocks_data'!A34</f>
        <v>42855</v>
      </c>
      <c r="B47" s="51">
        <f>'2stocks_data'!F34</f>
        <v>53.770587921142578</v>
      </c>
      <c r="C47" s="91">
        <f t="shared" si="0"/>
        <v>4.2194203577059941E-2</v>
      </c>
      <c r="D47" s="91">
        <f t="shared" si="1"/>
        <v>4.1328301759088165E-2</v>
      </c>
      <c r="F47" s="51">
        <f>'2stocks_data'!F155</f>
        <v>7.9020829200744629</v>
      </c>
      <c r="G47" s="91">
        <f t="shared" si="2"/>
        <v>0.11354581539452302</v>
      </c>
      <c r="H47" s="91">
        <f t="shared" si="3"/>
        <v>0.10754935226131371</v>
      </c>
    </row>
    <row r="48" spans="1:8" x14ac:dyDescent="0.2">
      <c r="A48" s="46">
        <f>'2stocks_data'!A35</f>
        <v>42886</v>
      </c>
      <c r="B48" s="51">
        <f>'2stocks_data'!F35</f>
        <v>51.531440734863281</v>
      </c>
      <c r="C48" s="91">
        <f t="shared" si="0"/>
        <v>-4.1642601891634934E-2</v>
      </c>
      <c r="D48" s="91">
        <f t="shared" si="1"/>
        <v>-4.2534503664475226E-2</v>
      </c>
      <c r="F48" s="51">
        <f>'2stocks_data'!F156</f>
        <v>8.1989421844482422</v>
      </c>
      <c r="G48" s="91">
        <f t="shared" si="2"/>
        <v>3.756721707129107E-2</v>
      </c>
      <c r="H48" s="91">
        <f t="shared" si="3"/>
        <v>3.6878758562688178E-2</v>
      </c>
    </row>
    <row r="49" spans="1:8" x14ac:dyDescent="0.2">
      <c r="A49" s="46">
        <f>'2stocks_data'!A36</f>
        <v>42916</v>
      </c>
      <c r="B49" s="51">
        <f>'2stocks_data'!F36</f>
        <v>52.846698760986328</v>
      </c>
      <c r="C49" s="91">
        <f t="shared" si="0"/>
        <v>2.5523408764956512E-2</v>
      </c>
      <c r="D49" s="91">
        <f t="shared" si="1"/>
        <v>2.520312495427517E-2</v>
      </c>
      <c r="F49" s="51">
        <f>'2stocks_data'!F157</f>
        <v>8.0151710510253906</v>
      </c>
      <c r="G49" s="91">
        <f t="shared" si="2"/>
        <v>-2.2414005281245708E-2</v>
      </c>
      <c r="H49" s="91">
        <f t="shared" si="3"/>
        <v>-2.2669016855280614E-2</v>
      </c>
    </row>
    <row r="50" spans="1:8" x14ac:dyDescent="0.2">
      <c r="A50" s="46">
        <f>'2stocks_data'!A37</f>
        <v>42947</v>
      </c>
      <c r="B50" s="51">
        <f>'2stocks_data'!F37</f>
        <v>52.373443603515625</v>
      </c>
      <c r="C50" s="91">
        <f t="shared" si="0"/>
        <v>-8.95524542812276E-3</v>
      </c>
      <c r="D50" s="91">
        <f t="shared" si="1"/>
        <v>-8.9955846508104308E-3</v>
      </c>
      <c r="F50" s="51">
        <f>'2stocks_data'!F158</f>
        <v>8.0575790405273438</v>
      </c>
      <c r="G50" s="91">
        <f t="shared" si="2"/>
        <v>5.2909650002450626E-3</v>
      </c>
      <c r="H50" s="91">
        <f t="shared" si="3"/>
        <v>5.277017022139366E-3</v>
      </c>
    </row>
    <row r="51" spans="1:8" x14ac:dyDescent="0.2">
      <c r="A51" s="46">
        <f>'2stocks_data'!A38</f>
        <v>42978</v>
      </c>
      <c r="B51" s="51">
        <f>'2stocks_data'!F38</f>
        <v>50.87872314453125</v>
      </c>
      <c r="C51" s="91">
        <f t="shared" si="0"/>
        <v>-2.8539663542078819E-2</v>
      </c>
      <c r="D51" s="91">
        <f t="shared" si="1"/>
        <v>-2.8954838112943717E-2</v>
      </c>
      <c r="F51" s="51">
        <f>'2stocks_data'!F159</f>
        <v>7.6759047508239746</v>
      </c>
      <c r="G51" s="91">
        <f t="shared" si="2"/>
        <v>-4.7368358136315569E-2</v>
      </c>
      <c r="H51" s="91">
        <f t="shared" si="3"/>
        <v>-4.8526974849910968E-2</v>
      </c>
    </row>
    <row r="52" spans="1:8" x14ac:dyDescent="0.2">
      <c r="A52" s="46">
        <f>'2stocks_data'!A39</f>
        <v>43008</v>
      </c>
      <c r="B52" s="51">
        <f>'2stocks_data'!F39</f>
        <v>50.364479064941406</v>
      </c>
      <c r="C52" s="91">
        <f t="shared" si="0"/>
        <v>-1.0107252065446493E-2</v>
      </c>
      <c r="D52" s="91">
        <f t="shared" si="1"/>
        <v>-1.0158677141849801E-2</v>
      </c>
      <c r="F52" s="51">
        <f>'2stocks_data'!F160</f>
        <v>7.8314023017883301</v>
      </c>
      <c r="G52" s="91">
        <f t="shared" si="2"/>
        <v>2.0257879170225923E-2</v>
      </c>
      <c r="H52" s="91">
        <f t="shared" si="3"/>
        <v>2.0055418057810373E-2</v>
      </c>
    </row>
    <row r="53" spans="1:8" x14ac:dyDescent="0.2">
      <c r="A53" s="46">
        <f>'2stocks_data'!A40</f>
        <v>43039</v>
      </c>
      <c r="B53" s="51">
        <f>'2stocks_data'!F40</f>
        <v>50.943004608154297</v>
      </c>
      <c r="C53" s="91">
        <f t="shared" si="0"/>
        <v>1.1486777068952181E-2</v>
      </c>
      <c r="D53" s="91">
        <f t="shared" si="1"/>
        <v>1.1421304944024359E-2</v>
      </c>
      <c r="F53" s="51">
        <f>'2stocks_data'!F161</f>
        <v>8.0010347366333008</v>
      </c>
      <c r="G53" s="91">
        <f t="shared" si="2"/>
        <v>2.1660544090071232E-2</v>
      </c>
      <c r="H53" s="91">
        <f t="shared" si="3"/>
        <v>2.1429287968083632E-2</v>
      </c>
    </row>
    <row r="54" spans="1:8" x14ac:dyDescent="0.2">
      <c r="A54" s="46">
        <f>'2stocks_data'!A41</f>
        <v>43069</v>
      </c>
      <c r="B54" s="51">
        <f>'2stocks_data'!F41</f>
        <v>50.943004608154297</v>
      </c>
      <c r="C54" s="91">
        <f t="shared" si="0"/>
        <v>0</v>
      </c>
      <c r="D54" s="91">
        <f t="shared" si="1"/>
        <v>0</v>
      </c>
      <c r="F54" s="51">
        <f>'2stocks_data'!F162</f>
        <v>7.4638633728027344</v>
      </c>
      <c r="G54" s="91">
        <f t="shared" si="2"/>
        <v>-6.7137736744359966E-2</v>
      </c>
      <c r="H54" s="91">
        <f t="shared" si="3"/>
        <v>-6.949771684031035E-2</v>
      </c>
    </row>
    <row r="55" spans="1:8" x14ac:dyDescent="0.2">
      <c r="A55" s="46">
        <f>'2stocks_data'!A42</f>
        <v>43100</v>
      </c>
      <c r="B55" s="51">
        <f>'2stocks_data'!F42</f>
        <v>53.096431732177734</v>
      </c>
      <c r="C55" s="91">
        <f t="shared" si="0"/>
        <v>4.2271301832062402E-2</v>
      </c>
      <c r="D55" s="91">
        <f t="shared" si="1"/>
        <v>4.1402275883234183E-2</v>
      </c>
      <c r="F55" s="51">
        <f>'2stocks_data'!F163</f>
        <v>8.2837581634521484</v>
      </c>
      <c r="G55" s="91">
        <f t="shared" si="2"/>
        <v>0.10984857970967088</v>
      </c>
      <c r="H55" s="91">
        <f t="shared" si="3"/>
        <v>0.10422359134294241</v>
      </c>
    </row>
    <row r="56" spans="1:8" x14ac:dyDescent="0.2">
      <c r="A56" s="46">
        <f>'2stocks_data'!A43</f>
        <v>43131</v>
      </c>
      <c r="B56" s="51">
        <f>'2stocks_data'!F43</f>
        <v>47.182552337646484</v>
      </c>
      <c r="C56" s="91">
        <f t="shared" si="0"/>
        <v>-0.11137997793074472</v>
      </c>
      <c r="D56" s="91">
        <f t="shared" si="1"/>
        <v>-0.11808555658331284</v>
      </c>
      <c r="F56" s="51">
        <f>'2stocks_data'!F164</f>
        <v>7.1670055389404297</v>
      </c>
      <c r="G56" s="91">
        <f t="shared" si="2"/>
        <v>-0.13481231615848221</v>
      </c>
      <c r="H56" s="91">
        <f t="shared" si="3"/>
        <v>-0.14480882004671874</v>
      </c>
    </row>
    <row r="57" spans="1:8" x14ac:dyDescent="0.2">
      <c r="A57" s="46">
        <f>'2stocks_data'!A44</f>
        <v>43159</v>
      </c>
      <c r="B57" s="51">
        <f>'2stocks_data'!F44</f>
        <v>46.250473022460938</v>
      </c>
      <c r="C57" s="91">
        <f t="shared" si="0"/>
        <v>-1.9754745536346263E-2</v>
      </c>
      <c r="D57" s="91">
        <f t="shared" si="1"/>
        <v>-1.995247897045423E-2</v>
      </c>
      <c r="F57" s="51">
        <f>'2stocks_data'!F165</f>
        <v>6.9973721504211426</v>
      </c>
      <c r="G57" s="91">
        <f t="shared" si="2"/>
        <v>-2.3668655981583853E-2</v>
      </c>
      <c r="H57" s="91">
        <f t="shared" si="3"/>
        <v>-2.3953258361206171E-2</v>
      </c>
    </row>
    <row r="58" spans="1:8" x14ac:dyDescent="0.2">
      <c r="A58" s="46">
        <f>'2stocks_data'!A45</f>
        <v>43190</v>
      </c>
      <c r="B58" s="51">
        <f>'2stocks_data'!F45</f>
        <v>48.339599609375</v>
      </c>
      <c r="C58" s="91">
        <f t="shared" si="0"/>
        <v>4.5169842606788135E-2</v>
      </c>
      <c r="D58" s="91">
        <f t="shared" si="1"/>
        <v>4.4179401020721737E-2</v>
      </c>
      <c r="F58" s="51">
        <f>'2stocks_data'!F166</f>
        <v>7.9020829200744629</v>
      </c>
      <c r="G58" s="91">
        <f t="shared" si="2"/>
        <v>0.12929293314760604</v>
      </c>
      <c r="H58" s="91">
        <f t="shared" si="3"/>
        <v>0.12159171399976304</v>
      </c>
    </row>
    <row r="59" spans="1:8" x14ac:dyDescent="0.2">
      <c r="A59" s="46">
        <f>'2stocks_data'!A46</f>
        <v>43220</v>
      </c>
      <c r="B59" s="51">
        <f>'2stocks_data'!F46</f>
        <v>44.996982574462891</v>
      </c>
      <c r="C59" s="91">
        <f t="shared" si="0"/>
        <v>-6.9148628907216736E-2</v>
      </c>
      <c r="D59" s="91">
        <f t="shared" si="1"/>
        <v>-7.1655658818242471E-2</v>
      </c>
      <c r="F59" s="51">
        <f>'2stocks_data'!F167</f>
        <v>7.5345444679260254</v>
      </c>
      <c r="G59" s="91">
        <f t="shared" si="2"/>
        <v>-4.6511591420376308E-2</v>
      </c>
      <c r="H59" s="91">
        <f t="shared" si="3"/>
        <v>-4.7628010722820746E-2</v>
      </c>
    </row>
    <row r="60" spans="1:8" x14ac:dyDescent="0.2">
      <c r="A60" s="46">
        <f>'2stocks_data'!A47</f>
        <v>43251</v>
      </c>
      <c r="B60" s="51">
        <f>'2stocks_data'!F47</f>
        <v>45.794521331787109</v>
      </c>
      <c r="C60" s="91">
        <f t="shared" si="0"/>
        <v>1.7724271977669126E-2</v>
      </c>
      <c r="D60" s="91">
        <f t="shared" si="1"/>
        <v>1.7569028766925381E-2</v>
      </c>
      <c r="F60" s="51">
        <f>'2stocks_data'!F168</f>
        <v>6.9669656753540039</v>
      </c>
      <c r="G60" s="91">
        <f t="shared" si="2"/>
        <v>-7.5330206754789297E-2</v>
      </c>
      <c r="H60" s="91">
        <f t="shared" si="3"/>
        <v>-7.8318585477786251E-2</v>
      </c>
    </row>
    <row r="61" spans="1:8" x14ac:dyDescent="0.2">
      <c r="A61" s="46">
        <f>'2stocks_data'!A48</f>
        <v>43281</v>
      </c>
      <c r="B61" s="51">
        <f>'2stocks_data'!F48</f>
        <v>46.517253875732422</v>
      </c>
      <c r="C61" s="91">
        <f t="shared" si="0"/>
        <v>1.5782074425650716E-2</v>
      </c>
      <c r="D61" s="91">
        <f t="shared" si="1"/>
        <v>1.5658832473691122E-2</v>
      </c>
      <c r="F61" s="51">
        <f>'2stocks_data'!F169</f>
        <v>6.8745465278625488</v>
      </c>
      <c r="G61" s="91">
        <f t="shared" si="2"/>
        <v>-1.3265336991452714E-2</v>
      </c>
      <c r="H61" s="91">
        <f t="shared" si="3"/>
        <v>-1.3354107495319279E-2</v>
      </c>
    </row>
    <row r="62" spans="1:8" x14ac:dyDescent="0.2">
      <c r="A62" s="46">
        <f>'2stocks_data'!A49</f>
        <v>43312</v>
      </c>
      <c r="B62" s="51">
        <f>'2stocks_data'!F49</f>
        <v>48.488311767578125</v>
      </c>
      <c r="C62" s="91">
        <f t="shared" si="0"/>
        <v>4.2372619353482133E-2</v>
      </c>
      <c r="D62" s="91">
        <f t="shared" si="1"/>
        <v>4.1499479554777174E-2</v>
      </c>
      <c r="F62" s="51">
        <f>'2stocks_data'!F170</f>
        <v>6.4906520843505859</v>
      </c>
      <c r="G62" s="91">
        <f t="shared" si="2"/>
        <v>-5.5842875156352223E-2</v>
      </c>
      <c r="H62" s="91">
        <f t="shared" si="3"/>
        <v>-5.7462680878254215E-2</v>
      </c>
    </row>
    <row r="63" spans="1:8" x14ac:dyDescent="0.2">
      <c r="A63" s="46">
        <f>'2stocks_data'!A50</f>
        <v>43343</v>
      </c>
      <c r="B63" s="51">
        <f>'2stocks_data'!F50</f>
        <v>51.954250335693359</v>
      </c>
      <c r="C63" s="91">
        <f t="shared" si="0"/>
        <v>7.1479877145006032E-2</v>
      </c>
      <c r="D63" s="91">
        <f t="shared" si="1"/>
        <v>6.904075567582435E-2</v>
      </c>
      <c r="F63" s="51">
        <f>'2stocks_data'!F171</f>
        <v>6.5546355247497559</v>
      </c>
      <c r="G63" s="91">
        <f t="shared" si="2"/>
        <v>9.8577830960064894E-3</v>
      </c>
      <c r="H63" s="91">
        <f t="shared" si="3"/>
        <v>9.8095121228409052E-3</v>
      </c>
    </row>
    <row r="64" spans="1:8" x14ac:dyDescent="0.2">
      <c r="A64" s="46">
        <f>'2stocks_data'!A51</f>
        <v>43373</v>
      </c>
      <c r="B64" s="51">
        <f>'2stocks_data'!F51</f>
        <v>49.361591339111328</v>
      </c>
      <c r="C64" s="91">
        <f t="shared" si="0"/>
        <v>-4.9902731342094553E-2</v>
      </c>
      <c r="D64" s="91">
        <f t="shared" si="1"/>
        <v>-5.1190911567897179E-2</v>
      </c>
      <c r="F64" s="51">
        <f>'2stocks_data'!F172</f>
        <v>5.7868471145629883</v>
      </c>
      <c r="G64" s="91">
        <f t="shared" si="2"/>
        <v>-0.11713670535724874</v>
      </c>
      <c r="H64" s="91">
        <f t="shared" si="3"/>
        <v>-0.12458490956803933</v>
      </c>
    </row>
    <row r="65" spans="1:8" x14ac:dyDescent="0.2">
      <c r="A65" s="46">
        <f>'2stocks_data'!A52</f>
        <v>43404</v>
      </c>
      <c r="B65" s="51">
        <f>'2stocks_data'!F52</f>
        <v>52.290962219238281</v>
      </c>
      <c r="C65" s="91">
        <f t="shared" si="0"/>
        <v>5.9345146715436004E-2</v>
      </c>
      <c r="D65" s="91">
        <f t="shared" si="1"/>
        <v>5.7650931097987954E-2</v>
      </c>
      <c r="F65" s="51">
        <f>'2stocks_data'!F173</f>
        <v>6.4479975700378418</v>
      </c>
      <c r="G65" s="91">
        <f t="shared" si="2"/>
        <v>0.1142505482494991</v>
      </c>
      <c r="H65" s="91">
        <f t="shared" si="3"/>
        <v>0.10818202487895867</v>
      </c>
    </row>
    <row r="66" spans="1:8" x14ac:dyDescent="0.2">
      <c r="A66" s="46">
        <f>'2stocks_data'!A53</f>
        <v>43434</v>
      </c>
      <c r="B66" s="51">
        <f>'2stocks_data'!F53</f>
        <v>50.742107391357422</v>
      </c>
      <c r="C66" s="91">
        <f t="shared" si="0"/>
        <v>-2.9619933582155866E-2</v>
      </c>
      <c r="D66" s="91">
        <f t="shared" si="1"/>
        <v>-3.0067463177206658E-2</v>
      </c>
      <c r="F66" s="51">
        <f>'2stocks_data'!F174</f>
        <v>5.9432473182678223</v>
      </c>
      <c r="G66" s="91">
        <f t="shared" si="2"/>
        <v>-7.8280155395135664E-2</v>
      </c>
      <c r="H66" s="91">
        <f t="shared" si="3"/>
        <v>-8.1513957776121748E-2</v>
      </c>
    </row>
    <row r="67" spans="1:8" x14ac:dyDescent="0.2">
      <c r="A67" s="46">
        <f>'2stocks_data'!A54</f>
        <v>43465</v>
      </c>
      <c r="B67" s="51">
        <f>'2stocks_data'!F54</f>
        <v>55.422367095947266</v>
      </c>
      <c r="C67" s="91">
        <f t="shared" si="0"/>
        <v>9.223621061877707E-2</v>
      </c>
      <c r="D67" s="91">
        <f t="shared" si="1"/>
        <v>8.8227164021514051E-2</v>
      </c>
      <c r="F67" s="51">
        <f>'2stocks_data'!F175</f>
        <v>6.3626880645751953</v>
      </c>
      <c r="G67" s="91">
        <f t="shared" si="2"/>
        <v>7.0574338210380949E-2</v>
      </c>
      <c r="H67" s="91">
        <f t="shared" si="3"/>
        <v>6.8195269149781065E-2</v>
      </c>
    </row>
    <row r="68" spans="1:8" x14ac:dyDescent="0.2">
      <c r="A68" s="46">
        <f>'2stocks_data'!A55</f>
        <v>43496</v>
      </c>
      <c r="B68" s="51">
        <f>'2stocks_data'!F55</f>
        <v>55.624393463134766</v>
      </c>
      <c r="C68" s="91">
        <f t="shared" si="0"/>
        <v>3.645213616332077E-3</v>
      </c>
      <c r="D68" s="91">
        <f t="shared" ref="D68:D131" si="4">LN(B68/B67)</f>
        <v>3.6385859265247529E-3</v>
      </c>
      <c r="F68" s="51">
        <f>'2stocks_data'!F176</f>
        <v>6.618617057800293</v>
      </c>
      <c r="G68" s="91">
        <f t="shared" ref="G68:G131" si="5">F68/F67-1</f>
        <v>4.0223407249838861E-2</v>
      </c>
      <c r="H68" s="91">
        <f t="shared" ref="H68:H131" si="6">LN(F68/F67)</f>
        <v>3.9435504747221808E-2</v>
      </c>
    </row>
    <row r="69" spans="1:8" x14ac:dyDescent="0.2">
      <c r="A69" s="46">
        <f>'2stocks_data'!A56</f>
        <v>43524</v>
      </c>
      <c r="B69" s="51">
        <f>'2stocks_data'!F56</f>
        <v>53.873493194580078</v>
      </c>
      <c r="C69" s="91">
        <f t="shared" si="0"/>
        <v>-3.1477201988999726E-2</v>
      </c>
      <c r="D69" s="91">
        <f t="shared" si="4"/>
        <v>-3.198325690671526E-2</v>
      </c>
      <c r="F69" s="51">
        <f>'2stocks_data'!F177</f>
        <v>7.0736017227172852</v>
      </c>
      <c r="G69" s="91">
        <f t="shared" si="5"/>
        <v>6.8743162044822448E-2</v>
      </c>
      <c r="H69" s="91">
        <f t="shared" si="6"/>
        <v>6.6483343161649236E-2</v>
      </c>
    </row>
    <row r="70" spans="1:8" x14ac:dyDescent="0.2">
      <c r="A70" s="46">
        <f>'2stocks_data'!A57</f>
        <v>43555</v>
      </c>
      <c r="B70" s="51">
        <f>'2stocks_data'!F57</f>
        <v>50.338050842285156</v>
      </c>
      <c r="C70" s="91">
        <f t="shared" si="0"/>
        <v>-6.5624895336295008E-2</v>
      </c>
      <c r="D70" s="91">
        <f t="shared" si="4"/>
        <v>-6.7877310388424525E-2</v>
      </c>
      <c r="F70" s="51">
        <f>'2stocks_data'!F178</f>
        <v>6.618617057800293</v>
      </c>
      <c r="G70" s="91">
        <f t="shared" si="5"/>
        <v>-6.4321498827928369E-2</v>
      </c>
      <c r="H70" s="91">
        <f t="shared" si="6"/>
        <v>-6.6483343161649291E-2</v>
      </c>
    </row>
    <row r="71" spans="1:8" x14ac:dyDescent="0.2">
      <c r="A71" s="46">
        <f>'2stocks_data'!A58</f>
        <v>43585</v>
      </c>
      <c r="B71" s="51">
        <f>'2stocks_data'!F58</f>
        <v>46.095508575439453</v>
      </c>
      <c r="C71" s="91">
        <f t="shared" si="0"/>
        <v>-8.4281019941317759E-2</v>
      </c>
      <c r="D71" s="91">
        <f t="shared" si="4"/>
        <v>-8.804575170673655E-2</v>
      </c>
      <c r="F71" s="51">
        <f>'2stocks_data'!F179</f>
        <v>5.8792662620544434</v>
      </c>
      <c r="G71" s="91">
        <f t="shared" si="5"/>
        <v>-0.11170774639008563</v>
      </c>
      <c r="H71" s="91">
        <f t="shared" si="6"/>
        <v>-0.11845447571066041</v>
      </c>
    </row>
    <row r="72" spans="1:8" x14ac:dyDescent="0.2">
      <c r="A72" s="46">
        <f>'2stocks_data'!A59</f>
        <v>43616</v>
      </c>
      <c r="B72" s="51">
        <f>'2stocks_data'!F59</f>
        <v>48.83929443359375</v>
      </c>
      <c r="C72" s="91">
        <f t="shared" si="0"/>
        <v>5.9523930702789496E-2</v>
      </c>
      <c r="D72" s="91">
        <f t="shared" si="4"/>
        <v>5.7819685259991795E-2</v>
      </c>
      <c r="F72" s="51">
        <f>'2stocks_data'!F180</f>
        <v>6.2037434577941895</v>
      </c>
      <c r="G72" s="91">
        <f t="shared" si="5"/>
        <v>5.5190083469082607E-2</v>
      </c>
      <c r="H72" s="91">
        <f t="shared" si="6"/>
        <v>5.3720924603004996E-2</v>
      </c>
    </row>
    <row r="73" spans="1:8" x14ac:dyDescent="0.2">
      <c r="A73" s="46">
        <f>'2stocks_data'!A60</f>
        <v>43646</v>
      </c>
      <c r="B73" s="51">
        <f>'2stocks_data'!F60</f>
        <v>45.819019317626953</v>
      </c>
      <c r="C73" s="91">
        <f t="shared" si="0"/>
        <v>-6.1841088226068264E-2</v>
      </c>
      <c r="D73" s="91">
        <f t="shared" si="4"/>
        <v>-6.3835928787863219E-2</v>
      </c>
      <c r="F73" s="51">
        <f>'2stocks_data'!F181</f>
        <v>5.5450024604797363</v>
      </c>
      <c r="G73" s="91">
        <f t="shared" si="5"/>
        <v>-0.1061844355421937</v>
      </c>
      <c r="H73" s="91">
        <f t="shared" si="6"/>
        <v>-0.11225582883063817</v>
      </c>
    </row>
    <row r="74" spans="1:8" x14ac:dyDescent="0.2">
      <c r="A74" s="46">
        <f>'2stocks_data'!A61</f>
        <v>43677</v>
      </c>
      <c r="B74" s="51">
        <f>'2stocks_data'!F61</f>
        <v>44.583446502685547</v>
      </c>
      <c r="C74" s="91">
        <f t="shared" si="0"/>
        <v>-2.696637408095004E-2</v>
      </c>
      <c r="D74" s="91">
        <f t="shared" si="4"/>
        <v>-2.7336638380896564E-2</v>
      </c>
      <c r="F74" s="51">
        <f>'2stocks_data'!F182</f>
        <v>5.6535859107971191</v>
      </c>
      <c r="G74" s="91">
        <f t="shared" si="5"/>
        <v>1.9582218599771162E-2</v>
      </c>
      <c r="H74" s="91">
        <f t="shared" si="6"/>
        <v>1.939295378337692E-2</v>
      </c>
    </row>
    <row r="75" spans="1:8" x14ac:dyDescent="0.2">
      <c r="A75" s="46">
        <f>'2stocks_data'!A62</f>
        <v>43708</v>
      </c>
      <c r="B75" s="51">
        <f>'2stocks_data'!F62</f>
        <v>45.569107055664062</v>
      </c>
      <c r="C75" s="91">
        <f t="shared" si="0"/>
        <v>2.2108217966485544E-2</v>
      </c>
      <c r="D75" s="91">
        <f t="shared" si="4"/>
        <v>2.1867374596948271E-2</v>
      </c>
      <c r="F75" s="51">
        <f>'2stocks_data'!F183</f>
        <v>6.0227699279785156</v>
      </c>
      <c r="G75" s="91">
        <f t="shared" si="5"/>
        <v>6.5300859137266354E-2</v>
      </c>
      <c r="H75" s="91">
        <f t="shared" si="6"/>
        <v>6.325725610917228E-2</v>
      </c>
    </row>
    <row r="76" spans="1:8" x14ac:dyDescent="0.2">
      <c r="A76" s="46">
        <f>'2stocks_data'!A63</f>
        <v>43738</v>
      </c>
      <c r="B76" s="51">
        <f>'2stocks_data'!F63</f>
        <v>44.831295013427734</v>
      </c>
      <c r="C76" s="91">
        <f t="shared" si="0"/>
        <v>-1.6191057712302115E-2</v>
      </c>
      <c r="D76" s="91">
        <f t="shared" si="4"/>
        <v>-1.6323565123990219E-2</v>
      </c>
      <c r="F76" s="51">
        <f>'2stocks_data'!F184</f>
        <v>5.6246304512023926</v>
      </c>
      <c r="G76" s="91">
        <f t="shared" si="5"/>
        <v>-6.6105709090195086E-2</v>
      </c>
      <c r="H76" s="91">
        <f t="shared" si="6"/>
        <v>-6.839202605593428E-2</v>
      </c>
    </row>
    <row r="77" spans="1:8" x14ac:dyDescent="0.2">
      <c r="A77" s="46">
        <f>'2stocks_data'!A64</f>
        <v>43769</v>
      </c>
      <c r="B77" s="51">
        <f>'2stocks_data'!F64</f>
        <v>41.458396911621094</v>
      </c>
      <c r="C77" s="91">
        <f t="shared" si="0"/>
        <v>-7.5235348450148454E-2</v>
      </c>
      <c r="D77" s="91">
        <f t="shared" si="4"/>
        <v>-7.8216004599625383E-2</v>
      </c>
      <c r="F77" s="51">
        <f>'2stocks_data'!F185</f>
        <v>4.8500676155090332</v>
      </c>
      <c r="G77" s="91">
        <f t="shared" si="5"/>
        <v>-0.13770910683168158</v>
      </c>
      <c r="H77" s="91">
        <f t="shared" si="6"/>
        <v>-0.14816260217400437</v>
      </c>
    </row>
    <row r="78" spans="1:8" x14ac:dyDescent="0.2">
      <c r="A78" s="46">
        <f>'2stocks_data'!A65</f>
        <v>43799</v>
      </c>
      <c r="B78" s="51">
        <f>'2stocks_data'!F65</f>
        <v>46.025852203369141</v>
      </c>
      <c r="C78" s="91">
        <f t="shared" si="0"/>
        <v>0.11016960693112954</v>
      </c>
      <c r="D78" s="91">
        <f t="shared" si="4"/>
        <v>0.10451280268871256</v>
      </c>
      <c r="F78" s="51">
        <f>'2stocks_data'!F186</f>
        <v>5.3133578300476074</v>
      </c>
      <c r="G78" s="91">
        <f t="shared" si="5"/>
        <v>9.5522423864177419E-2</v>
      </c>
      <c r="H78" s="91">
        <f t="shared" si="6"/>
        <v>9.1231348912063068E-2</v>
      </c>
    </row>
    <row r="79" spans="1:8" x14ac:dyDescent="0.2">
      <c r="A79" s="46">
        <f>'2stocks_data'!A66</f>
        <v>43830</v>
      </c>
      <c r="B79" s="51">
        <f>'2stocks_data'!F66</f>
        <v>45.112358093261719</v>
      </c>
      <c r="C79" s="91">
        <f t="shared" si="0"/>
        <v>-1.9847413277022441E-2</v>
      </c>
      <c r="D79" s="91">
        <f t="shared" si="4"/>
        <v>-2.0047018699889053E-2</v>
      </c>
      <c r="F79" s="51">
        <f>'2stocks_data'!F187</f>
        <v>4.7342448234558105</v>
      </c>
      <c r="G79" s="91">
        <f t="shared" si="5"/>
        <v>-0.10899190777569145</v>
      </c>
      <c r="H79" s="91">
        <f t="shared" si="6"/>
        <v>-0.11540176937040604</v>
      </c>
    </row>
    <row r="80" spans="1:8" x14ac:dyDescent="0.2">
      <c r="A80" s="46">
        <f>'2stocks_data'!A67</f>
        <v>43861</v>
      </c>
      <c r="B80" s="51">
        <f>'2stocks_data'!F67</f>
        <v>43.074573516845703</v>
      </c>
      <c r="C80" s="91">
        <f t="shared" si="0"/>
        <v>-4.5171315855474958E-2</v>
      </c>
      <c r="D80" s="91">
        <f t="shared" si="4"/>
        <v>-4.6223342923758112E-2</v>
      </c>
      <c r="F80" s="51">
        <f>'2stocks_data'!F188</f>
        <v>4.4519271850585938</v>
      </c>
      <c r="G80" s="91">
        <f t="shared" si="5"/>
        <v>-5.9633088047849614E-2</v>
      </c>
      <c r="H80" s="91">
        <f t="shared" si="6"/>
        <v>-6.1485148013762002E-2</v>
      </c>
    </row>
    <row r="81" spans="1:8" x14ac:dyDescent="0.2">
      <c r="A81" s="46">
        <f>'2stocks_data'!A68</f>
        <v>43890</v>
      </c>
      <c r="B81" s="51">
        <f>'2stocks_data'!F68</f>
        <v>40.509773254394531</v>
      </c>
      <c r="C81" s="91">
        <f t="shared" si="0"/>
        <v>-5.9543253781679906E-2</v>
      </c>
      <c r="D81" s="91">
        <f t="shared" si="4"/>
        <v>-6.1389621497123646E-2</v>
      </c>
      <c r="F81" s="51">
        <f>'2stocks_data'!F189</f>
        <v>3.2357912063598633</v>
      </c>
      <c r="G81" s="91">
        <f t="shared" si="5"/>
        <v>-0.27317068050445314</v>
      </c>
      <c r="H81" s="91">
        <f t="shared" si="6"/>
        <v>-0.31906360274605822</v>
      </c>
    </row>
    <row r="82" spans="1:8" x14ac:dyDescent="0.2">
      <c r="A82" s="46">
        <f>'2stocks_data'!A69</f>
        <v>43921</v>
      </c>
      <c r="B82" s="51">
        <f>'2stocks_data'!F69</f>
        <v>43.882663726806641</v>
      </c>
      <c r="C82" s="91">
        <f t="shared" si="0"/>
        <v>8.3261154073386967E-2</v>
      </c>
      <c r="D82" s="91">
        <f t="shared" si="4"/>
        <v>7.9976078444677398E-2</v>
      </c>
      <c r="F82" s="51">
        <f>'2stocks_data'!F190</f>
        <v>3.6266922950744629</v>
      </c>
      <c r="G82" s="91">
        <f t="shared" si="5"/>
        <v>0.1208054116552062</v>
      </c>
      <c r="H82" s="91">
        <f t="shared" si="6"/>
        <v>0.11404754441516185</v>
      </c>
    </row>
    <row r="83" spans="1:8" x14ac:dyDescent="0.2">
      <c r="A83" s="46">
        <f>'2stocks_data'!A70</f>
        <v>43951</v>
      </c>
      <c r="B83" s="51">
        <f>'2stocks_data'!F70</f>
        <v>38.015243530273438</v>
      </c>
      <c r="C83" s="91">
        <f t="shared" si="0"/>
        <v>-0.13370701999908374</v>
      </c>
      <c r="D83" s="91">
        <f t="shared" si="4"/>
        <v>-0.14353211354619125</v>
      </c>
      <c r="F83" s="51">
        <f>'2stocks_data'!F191</f>
        <v>3.2502689361572266</v>
      </c>
      <c r="G83" s="91">
        <f t="shared" si="5"/>
        <v>-0.10379247211804266</v>
      </c>
      <c r="H83" s="91">
        <f t="shared" si="6"/>
        <v>-0.10958327688635278</v>
      </c>
    </row>
    <row r="84" spans="1:8" x14ac:dyDescent="0.2">
      <c r="A84" s="46">
        <f>'2stocks_data'!A71</f>
        <v>43982</v>
      </c>
      <c r="B84" s="51">
        <f>'2stocks_data'!F71</f>
        <v>37.913822174072266</v>
      </c>
      <c r="C84" s="91">
        <f t="shared" ref="C84:C138" si="7">B84/B83-1</f>
        <v>-2.667912836607389E-3</v>
      </c>
      <c r="D84" s="91">
        <f t="shared" si="4"/>
        <v>-2.671478058605421E-3</v>
      </c>
      <c r="F84" s="51">
        <f>'2stocks_data'!F192</f>
        <v>3.0331017971038818</v>
      </c>
      <c r="G84" s="91">
        <f t="shared" si="5"/>
        <v>-6.6815129245920257E-2</v>
      </c>
      <c r="H84" s="91">
        <f t="shared" si="6"/>
        <v>-6.9151951188656552E-2</v>
      </c>
    </row>
    <row r="85" spans="1:8" x14ac:dyDescent="0.2">
      <c r="A85" s="46">
        <f>'2stocks_data'!A72</f>
        <v>44012</v>
      </c>
      <c r="B85" s="51">
        <f>'2stocks_data'!F72</f>
        <v>38.493770599365234</v>
      </c>
      <c r="C85" s="91">
        <f t="shared" si="7"/>
        <v>1.529649062102667E-2</v>
      </c>
      <c r="D85" s="91">
        <f t="shared" si="4"/>
        <v>1.5180678824460414E-2</v>
      </c>
      <c r="F85" s="51">
        <f>'2stocks_data'!F193</f>
        <v>3.2441568374633789</v>
      </c>
      <c r="G85" s="91">
        <f t="shared" si="5"/>
        <v>6.9583896116187205E-2</v>
      </c>
      <c r="H85" s="91">
        <f t="shared" si="6"/>
        <v>6.7269690705143909E-2</v>
      </c>
    </row>
    <row r="86" spans="1:8" x14ac:dyDescent="0.2">
      <c r="A86" s="46">
        <f>'2stocks_data'!A73</f>
        <v>44043</v>
      </c>
      <c r="B86" s="51">
        <f>'2stocks_data'!F73</f>
        <v>39.25494384765625</v>
      </c>
      <c r="C86" s="91">
        <f t="shared" si="7"/>
        <v>1.9773933195922577E-2</v>
      </c>
      <c r="D86" s="91">
        <f t="shared" si="4"/>
        <v>1.9580968610063625E-2</v>
      </c>
      <c r="F86" s="51">
        <f>'2stocks_data'!F194</f>
        <v>4.1227817535400391</v>
      </c>
      <c r="G86" s="91">
        <f t="shared" si="5"/>
        <v>0.27083305773948374</v>
      </c>
      <c r="H86" s="91">
        <f t="shared" si="6"/>
        <v>0.23967263640466269</v>
      </c>
    </row>
    <row r="87" spans="1:8" x14ac:dyDescent="0.2">
      <c r="A87" s="46">
        <f>'2stocks_data'!A74</f>
        <v>44074</v>
      </c>
      <c r="B87" s="51">
        <f>'2stocks_data'!F74</f>
        <v>36.802963256835938</v>
      </c>
      <c r="C87" s="91">
        <f t="shared" si="7"/>
        <v>-6.2462975372889473E-2</v>
      </c>
      <c r="D87" s="91">
        <f t="shared" si="4"/>
        <v>-6.4499028981812062E-2</v>
      </c>
      <c r="F87" s="51">
        <f>'2stocks_data'!F195</f>
        <v>3.7923588752746582</v>
      </c>
      <c r="G87" s="91">
        <f t="shared" si="5"/>
        <v>-8.0145614785857244E-2</v>
      </c>
      <c r="H87" s="91">
        <f t="shared" si="6"/>
        <v>-8.353989840731714E-2</v>
      </c>
    </row>
    <row r="88" spans="1:8" x14ac:dyDescent="0.2">
      <c r="A88" s="46">
        <f>'2stocks_data'!A75</f>
        <v>44104</v>
      </c>
      <c r="B88" s="51">
        <f>'2stocks_data'!F75</f>
        <v>35.091205596923828</v>
      </c>
      <c r="C88" s="91">
        <f t="shared" si="7"/>
        <v>-4.651140855061886E-2</v>
      </c>
      <c r="D88" s="91">
        <f t="shared" si="4"/>
        <v>-4.7627818932613059E-2</v>
      </c>
      <c r="F88" s="51">
        <f>'2stocks_data'!F196</f>
        <v>3.5745797157287598</v>
      </c>
      <c r="G88" s="91">
        <f t="shared" si="5"/>
        <v>-5.7425778178792686E-2</v>
      </c>
      <c r="H88" s="91">
        <f t="shared" si="6"/>
        <v>-5.9140612817659664E-2</v>
      </c>
    </row>
    <row r="89" spans="1:8" x14ac:dyDescent="0.2">
      <c r="A89" s="46">
        <f>'2stocks_data'!A76</f>
        <v>44135</v>
      </c>
      <c r="B89" s="51">
        <f>'2stocks_data'!F76</f>
        <v>34.533016204833984</v>
      </c>
      <c r="C89" s="91">
        <f t="shared" si="7"/>
        <v>-1.5906817180962762E-2</v>
      </c>
      <c r="D89" s="91">
        <f t="shared" si="4"/>
        <v>-1.6034688426628467E-2</v>
      </c>
      <c r="F89" s="51">
        <f>'2stocks_data'!F197</f>
        <v>3.4994826316833496</v>
      </c>
      <c r="G89" s="91">
        <f t="shared" si="5"/>
        <v>-2.1008647174651118E-2</v>
      </c>
      <c r="H89" s="91">
        <f t="shared" si="6"/>
        <v>-2.1232469151156928E-2</v>
      </c>
    </row>
    <row r="90" spans="1:8" x14ac:dyDescent="0.2">
      <c r="A90" s="46">
        <f>'2stocks_data'!A77</f>
        <v>44165</v>
      </c>
      <c r="B90" s="51">
        <f>'2stocks_data'!F77</f>
        <v>33.007308959960938</v>
      </c>
      <c r="C90" s="91">
        <f t="shared" si="7"/>
        <v>-4.4181117450710183E-2</v>
      </c>
      <c r="D90" s="91">
        <f t="shared" si="4"/>
        <v>-4.5186837279622652E-2</v>
      </c>
      <c r="F90" s="51">
        <f>'2stocks_data'!F198</f>
        <v>3.3643100261688232</v>
      </c>
      <c r="G90" s="91">
        <f t="shared" si="5"/>
        <v>-3.8626454176600489E-2</v>
      </c>
      <c r="H90" s="91">
        <f t="shared" si="6"/>
        <v>-3.9392240206869801E-2</v>
      </c>
    </row>
    <row r="91" spans="1:8" x14ac:dyDescent="0.2">
      <c r="A91" s="46">
        <f>'2stocks_data'!A78</f>
        <v>44196</v>
      </c>
      <c r="B91" s="51">
        <f>'2stocks_data'!F78</f>
        <v>35.202838897705078</v>
      </c>
      <c r="C91" s="91">
        <f t="shared" si="7"/>
        <v>6.6516477923341144E-2</v>
      </c>
      <c r="D91" s="91">
        <f t="shared" si="4"/>
        <v>6.4397709277178805E-2</v>
      </c>
      <c r="F91" s="51">
        <f>'2stocks_data'!F199</f>
        <v>3.2741947174072266</v>
      </c>
      <c r="G91" s="91">
        <f t="shared" si="5"/>
        <v>-2.6785673157541101E-2</v>
      </c>
      <c r="H91" s="91">
        <f t="shared" si="6"/>
        <v>-2.7150946805810483E-2</v>
      </c>
    </row>
    <row r="92" spans="1:8" x14ac:dyDescent="0.2">
      <c r="A92" s="46">
        <f>'2stocks_data'!A79</f>
        <v>44227</v>
      </c>
      <c r="B92" s="51">
        <f>'2stocks_data'!F79</f>
        <v>39.966007232666016</v>
      </c>
      <c r="C92" s="91">
        <f t="shared" si="7"/>
        <v>0.13530636971643362</v>
      </c>
      <c r="D92" s="91">
        <f t="shared" si="4"/>
        <v>0.12690254377459659</v>
      </c>
      <c r="F92" s="51">
        <f>'2stocks_data'!F200</f>
        <v>3.6947336196899414</v>
      </c>
      <c r="G92" s="91">
        <f t="shared" si="5"/>
        <v>0.12844040705548876</v>
      </c>
      <c r="H92" s="91">
        <f t="shared" si="6"/>
        <v>0.12083650866399084</v>
      </c>
    </row>
    <row r="93" spans="1:8" x14ac:dyDescent="0.2">
      <c r="A93" s="46">
        <f>'2stocks_data'!A80</f>
        <v>44255</v>
      </c>
      <c r="B93" s="51">
        <f>'2stocks_data'!F80</f>
        <v>37.919334411621094</v>
      </c>
      <c r="C93" s="91">
        <f t="shared" si="7"/>
        <v>-5.1210340055488079E-2</v>
      </c>
      <c r="D93" s="91">
        <f t="shared" si="4"/>
        <v>-5.2568148832933669E-2</v>
      </c>
      <c r="F93" s="51">
        <f>'2stocks_data'!F201</f>
        <v>3.2967236042022705</v>
      </c>
      <c r="G93" s="91">
        <f t="shared" si="5"/>
        <v>-0.10772360241793877</v>
      </c>
      <c r="H93" s="91">
        <f t="shared" si="6"/>
        <v>-0.11397933163951957</v>
      </c>
    </row>
    <row r="94" spans="1:8" x14ac:dyDescent="0.2">
      <c r="A94" s="46">
        <f>'2stocks_data'!A81</f>
        <v>44286</v>
      </c>
      <c r="B94" s="51">
        <f>'2stocks_data'!F81</f>
        <v>38.700790405273438</v>
      </c>
      <c r="C94" s="91">
        <f t="shared" si="7"/>
        <v>2.0608378437487973E-2</v>
      </c>
      <c r="D94" s="91">
        <f t="shared" si="4"/>
        <v>2.039889893942274E-2</v>
      </c>
      <c r="F94" s="51">
        <f>'2stocks_data'!F202</f>
        <v>3.3718194961547852</v>
      </c>
      <c r="G94" s="91">
        <f t="shared" si="5"/>
        <v>2.2778946908619035E-2</v>
      </c>
      <c r="H94" s="91">
        <f t="shared" si="6"/>
        <v>2.2523380441875289E-2</v>
      </c>
    </row>
    <row r="95" spans="1:8" x14ac:dyDescent="0.2">
      <c r="A95" s="46">
        <f>'2stocks_data'!A82</f>
        <v>44316</v>
      </c>
      <c r="B95" s="51">
        <f>'2stocks_data'!F82</f>
        <v>36.021511077880859</v>
      </c>
      <c r="C95" s="91">
        <f t="shared" si="7"/>
        <v>-6.9230610003962467E-2</v>
      </c>
      <c r="D95" s="91">
        <f t="shared" si="4"/>
        <v>-7.1743733788733E-2</v>
      </c>
      <c r="F95" s="51">
        <f>'2stocks_data'!F203</f>
        <v>3.131511926651001</v>
      </c>
      <c r="G95" s="91">
        <f t="shared" si="5"/>
        <v>-7.1269405072789449E-2</v>
      </c>
      <c r="H95" s="91">
        <f t="shared" si="6"/>
        <v>-7.3936576921112593E-2</v>
      </c>
    </row>
    <row r="96" spans="1:8" x14ac:dyDescent="0.2">
      <c r="A96" s="46">
        <f>'2stocks_data'!A83</f>
        <v>44347</v>
      </c>
      <c r="B96" s="51">
        <f>'2stocks_data'!F83</f>
        <v>37.398952484130859</v>
      </c>
      <c r="C96" s="91">
        <f t="shared" si="7"/>
        <v>3.8239412091066516E-2</v>
      </c>
      <c r="D96" s="91">
        <f t="shared" si="4"/>
        <v>3.7526405635231276E-2</v>
      </c>
      <c r="F96" s="51">
        <f>'2stocks_data'!F204</f>
        <v>3.3321743011474609</v>
      </c>
      <c r="G96" s="91">
        <f t="shared" si="5"/>
        <v>6.4078432142859132E-2</v>
      </c>
      <c r="H96" s="91">
        <f t="shared" si="6"/>
        <v>6.2109102622658681E-2</v>
      </c>
    </row>
    <row r="97" spans="1:8" x14ac:dyDescent="0.2">
      <c r="A97" s="46">
        <f>'2stocks_data'!A84</f>
        <v>44377</v>
      </c>
      <c r="B97" s="51">
        <f>'2stocks_data'!F84</f>
        <v>36.859733581542969</v>
      </c>
      <c r="C97" s="91">
        <f t="shared" si="7"/>
        <v>-1.4418021542627169E-2</v>
      </c>
      <c r="D97" s="91">
        <f t="shared" si="4"/>
        <v>-1.4522971214437857E-2</v>
      </c>
      <c r="F97" s="51">
        <f>'2stocks_data'!F205</f>
        <v>3.3007385730743408</v>
      </c>
      <c r="G97" s="91">
        <f t="shared" si="5"/>
        <v>-9.4339987143814419E-3</v>
      </c>
      <c r="H97" s="91">
        <f t="shared" si="6"/>
        <v>-9.4787807519200011E-3</v>
      </c>
    </row>
    <row r="98" spans="1:8" x14ac:dyDescent="0.2">
      <c r="A98" s="46">
        <f>'2stocks_data'!A85</f>
        <v>44408</v>
      </c>
      <c r="B98" s="51">
        <f>'2stocks_data'!F85</f>
        <v>36.320510864257812</v>
      </c>
      <c r="C98" s="91">
        <f t="shared" si="7"/>
        <v>-1.462904543496657E-2</v>
      </c>
      <c r="D98" s="91">
        <f t="shared" si="4"/>
        <v>-1.4737105088068364E-2</v>
      </c>
      <c r="F98" s="51">
        <f>'2stocks_data'!F206</f>
        <v>3.3007385730743408</v>
      </c>
      <c r="G98" s="91">
        <f t="shared" si="5"/>
        <v>0</v>
      </c>
      <c r="H98" s="91">
        <f t="shared" si="6"/>
        <v>0</v>
      </c>
    </row>
    <row r="99" spans="1:8" x14ac:dyDescent="0.2">
      <c r="A99" s="46">
        <f>'2stocks_data'!A86</f>
        <v>44439</v>
      </c>
      <c r="B99" s="51">
        <f>'2stocks_data'!F86</f>
        <v>37.366596221923828</v>
      </c>
      <c r="C99" s="91">
        <f t="shared" si="7"/>
        <v>2.880150451560537E-2</v>
      </c>
      <c r="D99" s="91">
        <f t="shared" si="4"/>
        <v>2.8394536898676354E-2</v>
      </c>
      <c r="F99" s="51">
        <f>'2stocks_data'!F207</f>
        <v>3.1042664051055908</v>
      </c>
      <c r="G99" s="91">
        <f t="shared" si="5"/>
        <v>-5.9523698596267161E-2</v>
      </c>
      <c r="H99" s="91">
        <f t="shared" si="6"/>
        <v>-6.1368828428026184E-2</v>
      </c>
    </row>
    <row r="100" spans="1:8" x14ac:dyDescent="0.2">
      <c r="A100" s="46">
        <f>'2stocks_data'!A87</f>
        <v>44469</v>
      </c>
      <c r="B100" s="51">
        <f>'2stocks_data'!F87</f>
        <v>38.401241302490234</v>
      </c>
      <c r="C100" s="91">
        <f t="shared" si="7"/>
        <v>2.7689037407141681E-2</v>
      </c>
      <c r="D100" s="91">
        <f t="shared" si="4"/>
        <v>2.7312628478190396E-2</v>
      </c>
      <c r="F100" s="51">
        <f>'2stocks_data'!F208</f>
        <v>3.2702834606170654</v>
      </c>
      <c r="G100" s="91">
        <f t="shared" si="5"/>
        <v>5.3480286111535547E-2</v>
      </c>
      <c r="H100" s="91">
        <f t="shared" si="6"/>
        <v>5.2099241331003354E-2</v>
      </c>
    </row>
    <row r="101" spans="1:8" x14ac:dyDescent="0.2">
      <c r="A101" s="46">
        <f>'2stocks_data'!A88</f>
        <v>44500</v>
      </c>
      <c r="B101" s="51">
        <f>'2stocks_data'!F88</f>
        <v>37.088035583496094</v>
      </c>
      <c r="C101" s="91">
        <f t="shared" si="7"/>
        <v>-3.419696016203988E-2</v>
      </c>
      <c r="D101" s="91">
        <f t="shared" si="4"/>
        <v>-3.4795358065809828E-2</v>
      </c>
      <c r="F101" s="51">
        <f>'2stocks_data'!F209</f>
        <v>3.1970682144165039</v>
      </c>
      <c r="G101" s="91">
        <f t="shared" si="5"/>
        <v>-2.2388042835512101E-2</v>
      </c>
      <c r="H101" s="91">
        <f t="shared" si="6"/>
        <v>-2.2642459497535711E-2</v>
      </c>
    </row>
    <row r="102" spans="1:8" x14ac:dyDescent="0.2">
      <c r="A102" s="46">
        <f>'2stocks_data'!A89</f>
        <v>44530</v>
      </c>
      <c r="B102" s="51">
        <f>'2stocks_data'!F89</f>
        <v>37.247211456298828</v>
      </c>
      <c r="C102" s="91">
        <f t="shared" si="7"/>
        <v>4.2918388719830336E-3</v>
      </c>
      <c r="D102" s="91">
        <f t="shared" si="4"/>
        <v>4.2826551987189898E-3</v>
      </c>
      <c r="F102" s="51">
        <f>'2stocks_data'!F210</f>
        <v>3.1726632118225098</v>
      </c>
      <c r="G102" s="91">
        <f t="shared" si="5"/>
        <v>-7.6335570457787272E-3</v>
      </c>
      <c r="H102" s="91">
        <f t="shared" si="6"/>
        <v>-7.6628417686235521E-3</v>
      </c>
    </row>
    <row r="103" spans="1:8" x14ac:dyDescent="0.2">
      <c r="A103" s="46">
        <f>'2stocks_data'!A90</f>
        <v>44561</v>
      </c>
      <c r="B103" s="51">
        <f>'2stocks_data'!F90</f>
        <v>41.982700347900391</v>
      </c>
      <c r="C103" s="91">
        <f t="shared" si="7"/>
        <v>0.12713673605224352</v>
      </c>
      <c r="D103" s="91">
        <f t="shared" si="4"/>
        <v>0.11968055516233769</v>
      </c>
      <c r="F103" s="51">
        <f>'2stocks_data'!F211</f>
        <v>3.343498706817627</v>
      </c>
      <c r="G103" s="91">
        <f t="shared" si="5"/>
        <v>5.3846085635097074E-2</v>
      </c>
      <c r="H103" s="91">
        <f t="shared" si="6"/>
        <v>5.2446410646720107E-2</v>
      </c>
    </row>
    <row r="104" spans="1:8" x14ac:dyDescent="0.2">
      <c r="A104" s="46">
        <f>'2stocks_data'!A91</f>
        <v>44592</v>
      </c>
      <c r="B104" s="51">
        <f>'2stocks_data'!F91</f>
        <v>42.022495269775391</v>
      </c>
      <c r="C104" s="91">
        <f t="shared" si="7"/>
        <v>9.4788857184568975E-4</v>
      </c>
      <c r="D104" s="91">
        <f t="shared" si="4"/>
        <v>9.4743960916203733E-4</v>
      </c>
      <c r="F104" s="51">
        <f>'2stocks_data'!F212</f>
        <v>3.3597688674926758</v>
      </c>
      <c r="G104" s="91">
        <f t="shared" si="5"/>
        <v>4.8662081555086445E-3</v>
      </c>
      <c r="H104" s="91">
        <f t="shared" si="6"/>
        <v>4.8544064355339634E-3</v>
      </c>
    </row>
    <row r="105" spans="1:8" x14ac:dyDescent="0.2">
      <c r="A105" s="46">
        <f>'2stocks_data'!A92</f>
        <v>44620</v>
      </c>
      <c r="B105" s="51">
        <f>'2stocks_data'!F92</f>
        <v>43.096935272216797</v>
      </c>
      <c r="C105" s="91">
        <f t="shared" si="7"/>
        <v>2.5568210444042672E-2</v>
      </c>
      <c r="D105" s="91">
        <f t="shared" si="4"/>
        <v>2.5246810646980172E-2</v>
      </c>
      <c r="F105" s="51">
        <f>'2stocks_data'!F213</f>
        <v>3.1645281314849854</v>
      </c>
      <c r="G105" s="91">
        <f t="shared" si="5"/>
        <v>-5.8111359354726777E-2</v>
      </c>
      <c r="H105" s="91">
        <f t="shared" si="6"/>
        <v>-5.9868227269327473E-2</v>
      </c>
    </row>
    <row r="106" spans="1:8" x14ac:dyDescent="0.2">
      <c r="A106" s="46">
        <f>'2stocks_data'!A93</f>
        <v>44651</v>
      </c>
      <c r="B106" s="51">
        <f>'2stocks_data'!F93</f>
        <v>41.704143524169922</v>
      </c>
      <c r="C106" s="91">
        <f t="shared" si="7"/>
        <v>-3.2317651806316738E-2</v>
      </c>
      <c r="D106" s="91">
        <f t="shared" si="4"/>
        <v>-3.2851398251912647E-2</v>
      </c>
      <c r="F106" s="51">
        <f>'2stocks_data'!F214</f>
        <v>3.0831778049468994</v>
      </c>
      <c r="G106" s="91">
        <f t="shared" si="5"/>
        <v>-2.5706937387822038E-2</v>
      </c>
      <c r="H106" s="91">
        <f t="shared" si="6"/>
        <v>-2.6043134957821464E-2</v>
      </c>
    </row>
    <row r="107" spans="1:8" x14ac:dyDescent="0.2">
      <c r="A107" s="46">
        <f>'2stocks_data'!A94</f>
        <v>44681</v>
      </c>
      <c r="B107" s="51">
        <f>'2stocks_data'!F94</f>
        <v>40.311351776123047</v>
      </c>
      <c r="C107" s="91">
        <f t="shared" si="7"/>
        <v>-3.3396963235551747E-2</v>
      </c>
      <c r="D107" s="91">
        <f t="shared" si="4"/>
        <v>-3.3967377878955998E-2</v>
      </c>
      <c r="F107" s="51">
        <f>'2stocks_data'!F215</f>
        <v>3.0262322425842285</v>
      </c>
      <c r="G107" s="91">
        <f t="shared" si="5"/>
        <v>-1.8469762681640578E-2</v>
      </c>
      <c r="H107" s="91">
        <f t="shared" si="6"/>
        <v>-1.8642458487623706E-2</v>
      </c>
    </row>
    <row r="108" spans="1:8" x14ac:dyDescent="0.2">
      <c r="A108" s="46">
        <f>'2stocks_data'!A95</f>
        <v>44712</v>
      </c>
      <c r="B108" s="51">
        <f>'2stocks_data'!F95</f>
        <v>40.875808715820312</v>
      </c>
      <c r="C108" s="91">
        <f t="shared" si="7"/>
        <v>1.4002431444921193E-2</v>
      </c>
      <c r="D108" s="91">
        <f t="shared" si="4"/>
        <v>1.3905303040792256E-2</v>
      </c>
      <c r="F108" s="51">
        <f>'2stocks_data'!F216</f>
        <v>3.1109714508056641</v>
      </c>
      <c r="G108" s="91">
        <f t="shared" si="5"/>
        <v>2.8001554880359381E-2</v>
      </c>
      <c r="H108" s="91">
        <f t="shared" si="6"/>
        <v>2.7616679561361965E-2</v>
      </c>
    </row>
    <row r="109" spans="1:8" x14ac:dyDescent="0.2">
      <c r="A109" s="46">
        <f>'2stocks_data'!A96</f>
        <v>44742</v>
      </c>
      <c r="B109" s="51">
        <f>'2stocks_data'!F96</f>
        <v>41.418041229248047</v>
      </c>
      <c r="C109" s="91">
        <f t="shared" si="7"/>
        <v>1.3265364783299649E-2</v>
      </c>
      <c r="D109" s="91">
        <f t="shared" si="4"/>
        <v>1.3178150273437156E-2</v>
      </c>
      <c r="F109" s="51">
        <f>'2stocks_data'!F217</f>
        <v>3.1445128917694092</v>
      </c>
      <c r="G109" s="91">
        <f t="shared" si="5"/>
        <v>1.0781661450174562E-2</v>
      </c>
      <c r="H109" s="91">
        <f t="shared" si="6"/>
        <v>1.0723953757681664E-2</v>
      </c>
    </row>
    <row r="110" spans="1:8" x14ac:dyDescent="0.2">
      <c r="A110" s="46">
        <f>'2stocks_data'!A97</f>
        <v>44773</v>
      </c>
      <c r="B110" s="51">
        <f>'2stocks_data'!F97</f>
        <v>43.878929138183594</v>
      </c>
      <c r="C110" s="91">
        <f t="shared" si="7"/>
        <v>5.9415844784029836E-2</v>
      </c>
      <c r="D110" s="91">
        <f t="shared" si="4"/>
        <v>5.7717666391778728E-2</v>
      </c>
      <c r="F110" s="51">
        <f>'2stocks_data'!F218</f>
        <v>3.2283666133880615</v>
      </c>
      <c r="G110" s="91">
        <f t="shared" si="5"/>
        <v>2.6666680819829036E-2</v>
      </c>
      <c r="H110" s="91">
        <f t="shared" si="6"/>
        <v>2.6317322102921075E-2</v>
      </c>
    </row>
    <row r="111" spans="1:8" x14ac:dyDescent="0.2">
      <c r="A111" s="46">
        <f>'2stocks_data'!A98</f>
        <v>44804</v>
      </c>
      <c r="B111" s="51">
        <f>'2stocks_data'!F98</f>
        <v>41.626590728759766</v>
      </c>
      <c r="C111" s="91">
        <f t="shared" si="7"/>
        <v>-5.1330751539782615E-2</v>
      </c>
      <c r="D111" s="91">
        <f t="shared" si="4"/>
        <v>-5.2695067507085518E-2</v>
      </c>
      <c r="F111" s="51">
        <f>'2stocks_data'!F219</f>
        <v>2.9600346088409424</v>
      </c>
      <c r="G111" s="91">
        <f t="shared" si="5"/>
        <v>-8.311695562528254E-2</v>
      </c>
      <c r="H111" s="91">
        <f t="shared" si="6"/>
        <v>-8.6775356435889392E-2</v>
      </c>
    </row>
    <row r="112" spans="1:8" x14ac:dyDescent="0.2">
      <c r="A112" s="46">
        <f>'2stocks_data'!A99</f>
        <v>44834</v>
      </c>
      <c r="B112" s="51">
        <f>'2stocks_data'!F99</f>
        <v>41.158973693847656</v>
      </c>
      <c r="C112" s="91">
        <f t="shared" si="7"/>
        <v>-1.1233613580298174E-2</v>
      </c>
      <c r="D112" s="91">
        <f t="shared" si="4"/>
        <v>-1.1297187173175197E-2</v>
      </c>
      <c r="F112" s="51">
        <f>'2stocks_data'!F220</f>
        <v>2.9473049640655518</v>
      </c>
      <c r="G112" s="91">
        <f t="shared" si="5"/>
        <v>-4.3005053850958541E-3</v>
      </c>
      <c r="H112" s="91">
        <f t="shared" si="6"/>
        <v>-4.3097791558639369E-3</v>
      </c>
    </row>
    <row r="113" spans="1:8" x14ac:dyDescent="0.2">
      <c r="A113" s="46">
        <f>'2stocks_data'!A100</f>
        <v>44865</v>
      </c>
      <c r="B113" s="51">
        <f>'2stocks_data'!F100</f>
        <v>45.078880310058594</v>
      </c>
      <c r="C113" s="91">
        <f t="shared" si="7"/>
        <v>9.5238201160416036E-2</v>
      </c>
      <c r="D113" s="91">
        <f t="shared" si="4"/>
        <v>9.0971874917406229E-2</v>
      </c>
      <c r="F113" s="51">
        <f>'2stocks_data'!F221</f>
        <v>3.8385562896728516</v>
      </c>
      <c r="G113" s="91">
        <f t="shared" si="5"/>
        <v>0.30239535320359101</v>
      </c>
      <c r="H113" s="91">
        <f t="shared" si="6"/>
        <v>0.26420514838783826</v>
      </c>
    </row>
    <row r="114" spans="1:8" x14ac:dyDescent="0.2">
      <c r="A114" s="46">
        <f>'2stocks_data'!A101</f>
        <v>44895</v>
      </c>
      <c r="B114" s="51">
        <f>'2stocks_data'!F101</f>
        <v>45.078880310058594</v>
      </c>
      <c r="C114" s="91">
        <f t="shared" si="7"/>
        <v>0</v>
      </c>
      <c r="D114" s="91">
        <f t="shared" si="4"/>
        <v>0</v>
      </c>
      <c r="F114" s="51">
        <f>'2stocks_data'!F222</f>
        <v>4.2621207237243652</v>
      </c>
      <c r="G114" s="91">
        <f t="shared" si="5"/>
        <v>0.1103447239242159</v>
      </c>
      <c r="H114" s="91">
        <f t="shared" si="6"/>
        <v>0.10467052920370601</v>
      </c>
    </row>
    <row r="115" spans="1:8" x14ac:dyDescent="0.2">
      <c r="A115" s="46">
        <f>'2stocks_data'!A102</f>
        <v>44926</v>
      </c>
      <c r="B115" s="51">
        <f>'2stocks_data'!F102</f>
        <v>48.955226898193359</v>
      </c>
      <c r="C115" s="91">
        <f t="shared" si="7"/>
        <v>8.5990303252271083E-2</v>
      </c>
      <c r="D115" s="91">
        <f t="shared" si="4"/>
        <v>8.2492292606569068E-2</v>
      </c>
      <c r="F115" s="51">
        <f>'2stocks_data'!F223</f>
        <v>4.8621711730957031</v>
      </c>
      <c r="G115" s="91">
        <f t="shared" si="5"/>
        <v>0.14078682615235638</v>
      </c>
      <c r="H115" s="91">
        <f t="shared" si="6"/>
        <v>0.1317182227083035</v>
      </c>
    </row>
    <row r="116" spans="1:8" x14ac:dyDescent="0.2">
      <c r="A116" s="46">
        <f>'2stocks_data'!A103</f>
        <v>44957</v>
      </c>
      <c r="B116" s="51">
        <f>'2stocks_data'!F103</f>
        <v>51.220054626464844</v>
      </c>
      <c r="C116" s="91">
        <f t="shared" si="7"/>
        <v>4.6263246475833686E-2</v>
      </c>
      <c r="D116" s="91">
        <f t="shared" si="4"/>
        <v>4.5225003650201004E-2</v>
      </c>
      <c r="F116" s="51">
        <f>'2stocks_data'!F224</f>
        <v>5.0474801063537598</v>
      </c>
      <c r="G116" s="91">
        <f t="shared" si="5"/>
        <v>3.8112383678189587E-2</v>
      </c>
      <c r="H116" s="91">
        <f t="shared" si="6"/>
        <v>3.7404048322473155E-2</v>
      </c>
    </row>
    <row r="117" spans="1:8" x14ac:dyDescent="0.2">
      <c r="A117" s="46">
        <f>'2stocks_data'!A104</f>
        <v>44985</v>
      </c>
      <c r="B117" s="51">
        <f>'2stocks_data'!F104</f>
        <v>55.401283264160156</v>
      </c>
      <c r="C117" s="91">
        <f t="shared" si="7"/>
        <v>8.1632646981499191E-2</v>
      </c>
      <c r="D117" s="91">
        <f t="shared" si="4"/>
        <v>7.84716098206171E-2</v>
      </c>
      <c r="F117" s="51">
        <f>'2stocks_data'!F225</f>
        <v>4.9768867492675781</v>
      </c>
      <c r="G117" s="91">
        <f t="shared" si="5"/>
        <v>-1.3985861380081288E-2</v>
      </c>
      <c r="H117" s="91">
        <f t="shared" si="6"/>
        <v>-1.4084585111195123E-2</v>
      </c>
    </row>
    <row r="118" spans="1:8" x14ac:dyDescent="0.2">
      <c r="A118" s="46">
        <f>'2stocks_data'!A105</f>
        <v>45016</v>
      </c>
      <c r="B118" s="51">
        <f>'2stocks_data'!F105</f>
        <v>58.92919921875</v>
      </c>
      <c r="C118" s="91">
        <f t="shared" si="7"/>
        <v>6.367931836106222E-2</v>
      </c>
      <c r="D118" s="91">
        <f t="shared" si="4"/>
        <v>6.1733952973801111E-2</v>
      </c>
      <c r="F118" s="51">
        <f>'2stocks_data'!F226</f>
        <v>5.2945599555969238</v>
      </c>
      <c r="G118" s="91">
        <f t="shared" si="5"/>
        <v>6.3829703654819214E-2</v>
      </c>
      <c r="H118" s="91">
        <f t="shared" si="6"/>
        <v>6.1875325153614449E-2</v>
      </c>
    </row>
    <row r="119" spans="1:8" x14ac:dyDescent="0.2">
      <c r="A119" s="46">
        <f>'2stocks_data'!A106</f>
        <v>45046</v>
      </c>
      <c r="B119" s="51">
        <f>'2stocks_data'!F106</f>
        <v>55.444839477539062</v>
      </c>
      <c r="C119" s="91">
        <f t="shared" si="7"/>
        <v>-5.9127899028064368E-2</v>
      </c>
      <c r="D119" s="91">
        <f t="shared" si="4"/>
        <v>-6.0948066836454554E-2</v>
      </c>
      <c r="F119" s="51">
        <f>'2stocks_data'!F227</f>
        <v>5.0651283264160156</v>
      </c>
      <c r="G119" s="91">
        <f t="shared" si="5"/>
        <v>-4.3333465123645332E-2</v>
      </c>
      <c r="H119" s="91">
        <f t="shared" si="6"/>
        <v>-4.4300396656497452E-2</v>
      </c>
    </row>
    <row r="120" spans="1:8" x14ac:dyDescent="0.2">
      <c r="A120" s="46">
        <f>'2stocks_data'!A107</f>
        <v>45077</v>
      </c>
      <c r="B120" s="51">
        <f>'2stocks_data'!F107</f>
        <v>55.793277740478516</v>
      </c>
      <c r="C120" s="91">
        <f t="shared" si="7"/>
        <v>6.2844128727364001E-3</v>
      </c>
      <c r="D120" s="91">
        <f t="shared" si="4"/>
        <v>6.2647482940444647E-3</v>
      </c>
      <c r="F120" s="51">
        <f>'2stocks_data'!F228</f>
        <v>4.6632480621337891</v>
      </c>
      <c r="G120" s="91">
        <f t="shared" si="5"/>
        <v>-7.9342563185677339E-2</v>
      </c>
      <c r="H120" s="91">
        <f t="shared" si="6"/>
        <v>-8.2667258914836034E-2</v>
      </c>
    </row>
    <row r="121" spans="1:8" x14ac:dyDescent="0.2">
      <c r="A121" s="46">
        <f>'2stocks_data'!A108</f>
        <v>45107</v>
      </c>
      <c r="B121" s="51">
        <f>'2stocks_data'!F108</f>
        <v>57.778907775878906</v>
      </c>
      <c r="C121" s="91">
        <f t="shared" si="7"/>
        <v>3.5589055094352284E-2</v>
      </c>
      <c r="D121" s="91">
        <f t="shared" si="4"/>
        <v>3.4970400178091575E-2</v>
      </c>
      <c r="F121" s="51">
        <f>'2stocks_data'!F229</f>
        <v>5.0413494110107422</v>
      </c>
      <c r="G121" s="91">
        <f t="shared" si="5"/>
        <v>8.1081114244637265E-2</v>
      </c>
      <c r="H121" s="91">
        <f t="shared" si="6"/>
        <v>7.7961572146000857E-2</v>
      </c>
    </row>
    <row r="122" spans="1:8" x14ac:dyDescent="0.2">
      <c r="A122" s="46">
        <f>'2stocks_data'!A109</f>
        <v>45138</v>
      </c>
      <c r="B122" s="51">
        <f>'2stocks_data'!F109</f>
        <v>60.483066558837891</v>
      </c>
      <c r="C122" s="91">
        <f t="shared" si="7"/>
        <v>4.6801832832289891E-2</v>
      </c>
      <c r="D122" s="91">
        <f t="shared" si="4"/>
        <v>4.5739642562930304E-2</v>
      </c>
      <c r="F122" s="51">
        <f>'2stocks_data'!F230</f>
        <v>4.9873347282409668</v>
      </c>
      <c r="G122" s="91">
        <f t="shared" si="5"/>
        <v>-1.0714330304462227E-2</v>
      </c>
      <c r="H122" s="91">
        <f t="shared" si="6"/>
        <v>-1.0772142055014736E-2</v>
      </c>
    </row>
    <row r="123" spans="1:8" x14ac:dyDescent="0.2">
      <c r="A123" s="46">
        <f>'2stocks_data'!A110</f>
        <v>45169</v>
      </c>
      <c r="B123" s="51">
        <f>'2stocks_data'!F110</f>
        <v>59.221122741699219</v>
      </c>
      <c r="C123" s="91">
        <f t="shared" si="7"/>
        <v>-2.0864415264246761E-2</v>
      </c>
      <c r="D123" s="91">
        <f t="shared" si="4"/>
        <v>-2.1085152950252355E-2</v>
      </c>
      <c r="F123" s="51">
        <f>'2stocks_data'!F231</f>
        <v>5.1133685111999512</v>
      </c>
      <c r="G123" s="91">
        <f t="shared" si="5"/>
        <v>2.5270768822736711E-2</v>
      </c>
      <c r="H123" s="91">
        <f t="shared" si="6"/>
        <v>2.4956742410128293E-2</v>
      </c>
    </row>
    <row r="124" spans="1:8" x14ac:dyDescent="0.2">
      <c r="A124" s="46">
        <f>'2stocks_data'!A111</f>
        <v>45199</v>
      </c>
      <c r="B124" s="51">
        <f>'2stocks_data'!F111</f>
        <v>57.939167022705078</v>
      </c>
      <c r="C124" s="91">
        <f t="shared" si="7"/>
        <v>-2.1646933723049488E-2</v>
      </c>
      <c r="D124" s="91">
        <f t="shared" si="4"/>
        <v>-2.1884665632056547E-2</v>
      </c>
      <c r="F124" s="51">
        <f>'2stocks_data'!F232</f>
        <v>4.5579242706298828</v>
      </c>
      <c r="G124" s="91">
        <f t="shared" si="5"/>
        <v>-0.10862589687276858</v>
      </c>
      <c r="H124" s="91">
        <f t="shared" si="6"/>
        <v>-0.11499107080191481</v>
      </c>
    </row>
    <row r="125" spans="1:8" x14ac:dyDescent="0.2">
      <c r="A125" s="46">
        <f>'2stocks_data'!A112</f>
        <v>45230</v>
      </c>
      <c r="B125" s="51">
        <f>'2stocks_data'!F112</f>
        <v>59.201763153076172</v>
      </c>
      <c r="C125" s="91">
        <f t="shared" si="7"/>
        <v>2.1791754960445164E-2</v>
      </c>
      <c r="D125" s="91">
        <f t="shared" si="4"/>
        <v>2.1557708749537868E-2</v>
      </c>
      <c r="F125" s="51">
        <f>'2stocks_data'!F233</f>
        <v>4.736114501953125</v>
      </c>
      <c r="G125" s="91">
        <f t="shared" si="5"/>
        <v>3.9094601126099304E-2</v>
      </c>
      <c r="H125" s="91">
        <f t="shared" si="6"/>
        <v>3.8349758141764473E-2</v>
      </c>
    </row>
    <row r="126" spans="1:8" x14ac:dyDescent="0.2">
      <c r="A126" s="46">
        <f>'2stocks_data'!A113</f>
        <v>45260</v>
      </c>
      <c r="B126" s="51">
        <f>'2stocks_data'!F113</f>
        <v>60.604652404785156</v>
      </c>
      <c r="C126" s="91">
        <f t="shared" si="7"/>
        <v>2.3696747816134733E-2</v>
      </c>
      <c r="D126" s="91">
        <f t="shared" si="4"/>
        <v>2.342033804700586E-2</v>
      </c>
      <c r="F126" s="51">
        <f>'2stocks_data'!F234</f>
        <v>4.5954380035400391</v>
      </c>
      <c r="G126" s="91">
        <f t="shared" si="5"/>
        <v>-2.9702934410701487E-2</v>
      </c>
      <c r="H126" s="91">
        <f t="shared" si="6"/>
        <v>-3.0153001185798931E-2</v>
      </c>
    </row>
    <row r="127" spans="1:8" x14ac:dyDescent="0.2">
      <c r="A127" s="46">
        <f>'2stocks_data'!A114</f>
        <v>45291</v>
      </c>
      <c r="B127" s="51">
        <f>'2stocks_data'!F114</f>
        <v>62.147819519042969</v>
      </c>
      <c r="C127" s="91">
        <f t="shared" si="7"/>
        <v>2.5462849022725775E-2</v>
      </c>
      <c r="D127" s="91">
        <f t="shared" si="4"/>
        <v>2.5144070689997789E-2</v>
      </c>
      <c r="F127" s="51">
        <f>'2stocks_data'!F235</f>
        <v>5.0268464088439941</v>
      </c>
      <c r="G127" s="91">
        <f t="shared" si="5"/>
        <v>9.3877537891192242E-2</v>
      </c>
      <c r="H127" s="91">
        <f t="shared" si="6"/>
        <v>8.9728757963674771E-2</v>
      </c>
    </row>
    <row r="128" spans="1:8" x14ac:dyDescent="0.2">
      <c r="A128" s="46">
        <f>'2stocks_data'!A115</f>
        <v>45322</v>
      </c>
      <c r="B128" s="51">
        <f>'2stocks_data'!F115</f>
        <v>61.539913177490234</v>
      </c>
      <c r="C128" s="91">
        <f t="shared" si="7"/>
        <v>-9.7816197938603855E-3</v>
      </c>
      <c r="D128" s="91">
        <f t="shared" si="4"/>
        <v>-9.8297741122230012E-3</v>
      </c>
      <c r="F128" s="51">
        <f>'2stocks_data'!F236</f>
        <v>5.1018743515014648</v>
      </c>
      <c r="G128" s="91">
        <f t="shared" si="5"/>
        <v>1.4925449587134709E-2</v>
      </c>
      <c r="H128" s="91">
        <f t="shared" si="6"/>
        <v>1.4815161113638177E-2</v>
      </c>
    </row>
    <row r="129" spans="1:8" x14ac:dyDescent="0.2">
      <c r="A129" s="46">
        <f>'2stocks_data'!A116</f>
        <v>45351</v>
      </c>
      <c r="B129" s="51">
        <f>'2stocks_data'!F116</f>
        <v>62.568691253662109</v>
      </c>
      <c r="C129" s="91">
        <f t="shared" si="7"/>
        <v>1.6717249392353306E-2</v>
      </c>
      <c r="D129" s="91">
        <f t="shared" si="4"/>
        <v>1.6579054214221584E-2</v>
      </c>
      <c r="F129" s="51">
        <f>'2stocks_data'!F237</f>
        <v>5.2988214492797852</v>
      </c>
      <c r="G129" s="91">
        <f t="shared" si="5"/>
        <v>3.860289066514544E-2</v>
      </c>
      <c r="H129" s="91">
        <f t="shared" si="6"/>
        <v>3.7876435656584072E-2</v>
      </c>
    </row>
    <row r="130" spans="1:8" x14ac:dyDescent="0.2">
      <c r="A130" s="46">
        <f>'2stocks_data'!A117</f>
        <v>45382</v>
      </c>
      <c r="B130" s="51">
        <f>'2stocks_data'!F117</f>
        <v>65.374465942382812</v>
      </c>
      <c r="C130" s="91">
        <f t="shared" si="7"/>
        <v>4.4843109748703425E-2</v>
      </c>
      <c r="D130" s="91">
        <f t="shared" si="4"/>
        <v>4.3866739933738345E-2</v>
      </c>
      <c r="F130" s="51">
        <f>'2stocks_data'!F238</f>
        <v>5.580174446105957</v>
      </c>
      <c r="G130" s="91">
        <f t="shared" si="5"/>
        <v>5.3097278238052992E-2</v>
      </c>
      <c r="H130" s="91">
        <f t="shared" si="6"/>
        <v>5.1735610877337961E-2</v>
      </c>
    </row>
    <row r="131" spans="1:8" x14ac:dyDescent="0.2">
      <c r="A131" s="46">
        <f>'2stocks_data'!A118</f>
        <v>45412</v>
      </c>
      <c r="B131" s="51">
        <f>'2stocks_data'!F118</f>
        <v>70.23779296875</v>
      </c>
      <c r="C131" s="91">
        <f t="shared" si="7"/>
        <v>7.4391843302451299E-2</v>
      </c>
      <c r="D131" s="91">
        <f t="shared" si="4"/>
        <v>7.1754774335126878E-2</v>
      </c>
      <c r="F131" s="51">
        <f>'2stocks_data'!F239</f>
        <v>6.0209612846374512</v>
      </c>
      <c r="G131" s="91">
        <f t="shared" si="5"/>
        <v>7.8991587590794943E-2</v>
      </c>
      <c r="H131" s="91">
        <f t="shared" si="6"/>
        <v>7.6026889758853175E-2</v>
      </c>
    </row>
    <row r="132" spans="1:8" x14ac:dyDescent="0.2">
      <c r="A132" s="46">
        <f>'2stocks_data'!A119</f>
        <v>45443</v>
      </c>
      <c r="B132" s="51">
        <f>'2stocks_data'!F119</f>
        <v>72.014785766601562</v>
      </c>
      <c r="C132" s="91">
        <f t="shared" si="7"/>
        <v>2.529966735489797E-2</v>
      </c>
      <c r="D132" s="91">
        <f t="shared" ref="D132:D138" si="8">LN(B132/B131)</f>
        <v>2.4984928257006139E-2</v>
      </c>
      <c r="F132" s="51">
        <f>'2stocks_data'!F240</f>
        <v>6.7243447303771973</v>
      </c>
      <c r="G132" s="91">
        <f t="shared" ref="G132:G138" si="9">F132/F131-1</f>
        <v>0.11682244952055032</v>
      </c>
      <c r="H132" s="91">
        <f t="shared" ref="H132:H138" si="10">LN(F132/F131)</f>
        <v>0.11048755447199279</v>
      </c>
    </row>
    <row r="133" spans="1:8" x14ac:dyDescent="0.2">
      <c r="A133" s="46">
        <f>'2stocks_data'!A120</f>
        <v>45473</v>
      </c>
      <c r="B133" s="51">
        <f>'2stocks_data'!F120</f>
        <v>70.122833251953125</v>
      </c>
      <c r="C133" s="91">
        <f t="shared" si="7"/>
        <v>-2.6271723153912019E-2</v>
      </c>
      <c r="D133" s="91">
        <f t="shared" si="8"/>
        <v>-2.6622990804854436E-2</v>
      </c>
      <c r="F133" s="51">
        <f>'2stocks_data'!F241</f>
        <v>6.3416004180908203</v>
      </c>
      <c r="G133" s="91">
        <f t="shared" si="9"/>
        <v>-5.6919198469604249E-2</v>
      </c>
      <c r="H133" s="91">
        <f t="shared" si="10"/>
        <v>-5.8603314409305995E-2</v>
      </c>
    </row>
    <row r="134" spans="1:8" x14ac:dyDescent="0.2">
      <c r="A134" s="46">
        <f>'2stocks_data'!A121</f>
        <v>45504</v>
      </c>
      <c r="B134" s="51">
        <f>'2stocks_data'!F121</f>
        <v>73.599998474121094</v>
      </c>
      <c r="C134" s="91">
        <f t="shared" si="7"/>
        <v>4.9586775960327012E-2</v>
      </c>
      <c r="D134" s="91">
        <f t="shared" si="8"/>
        <v>4.8396540005153872E-2</v>
      </c>
      <c r="F134" s="51">
        <f>'2stocks_data'!F242</f>
        <v>6.3895697593688965</v>
      </c>
      <c r="G134" s="91">
        <f t="shared" si="9"/>
        <v>7.5642327039768809E-3</v>
      </c>
      <c r="H134" s="91">
        <f t="shared" si="10"/>
        <v>7.535767351356578E-3</v>
      </c>
    </row>
    <row r="135" spans="1:8" x14ac:dyDescent="0.2">
      <c r="A135" s="46">
        <f>'2stocks_data'!A122</f>
        <v>45535</v>
      </c>
      <c r="B135" s="51">
        <f>'2stocks_data'!F122</f>
        <v>70.943832397460938</v>
      </c>
      <c r="C135" s="91">
        <f t="shared" si="7"/>
        <v>-3.6089213746303361E-2</v>
      </c>
      <c r="D135" s="91">
        <f t="shared" si="8"/>
        <v>-3.6756534034162083E-2</v>
      </c>
      <c r="F135" s="51">
        <f>'2stocks_data'!F243</f>
        <v>6.3991637229919434</v>
      </c>
      <c r="G135" s="91">
        <f t="shared" si="9"/>
        <v>1.5015038546186688E-3</v>
      </c>
      <c r="H135" s="91">
        <f t="shared" si="10"/>
        <v>1.5003777248238342E-3</v>
      </c>
    </row>
    <row r="136" spans="1:8" x14ac:dyDescent="0.2">
      <c r="A136" s="46">
        <f>'2stocks_data'!A123</f>
        <v>45565</v>
      </c>
      <c r="B136" s="51">
        <f>'2stocks_data'!F123</f>
        <v>71.449996948242188</v>
      </c>
      <c r="C136" s="91">
        <f t="shared" si="7"/>
        <v>7.1347224089259864E-3</v>
      </c>
      <c r="D136" s="91">
        <f t="shared" si="8"/>
        <v>7.109390695461802E-3</v>
      </c>
      <c r="F136" s="51">
        <f>'2stocks_data'!F244</f>
        <v>6.7600002288818359</v>
      </c>
      <c r="G136" s="91">
        <f t="shared" si="9"/>
        <v>5.6388072177841142E-2</v>
      </c>
      <c r="H136" s="91">
        <f t="shared" si="10"/>
        <v>5.4855610367858333E-2</v>
      </c>
    </row>
    <row r="137" spans="1:8" x14ac:dyDescent="0.2">
      <c r="A137" s="46">
        <f>'2stocks_data'!A124</f>
        <v>45596</v>
      </c>
      <c r="B137" s="51">
        <f>'2stocks_data'!F124</f>
        <v>72.300003051757812</v>
      </c>
      <c r="C137" s="91">
        <f t="shared" si="7"/>
        <v>1.1896517002392137E-2</v>
      </c>
      <c r="D137" s="91">
        <f t="shared" si="8"/>
        <v>1.1826309710290134E-2</v>
      </c>
      <c r="F137" s="51">
        <f>'2stocks_data'!F245</f>
        <v>6.4800000190734863</v>
      </c>
      <c r="G137" s="91">
        <f t="shared" si="9"/>
        <v>-4.142014797751925E-2</v>
      </c>
      <c r="H137" s="91">
        <f t="shared" si="10"/>
        <v>-4.2302410605509343E-2</v>
      </c>
    </row>
    <row r="138" spans="1:8" x14ac:dyDescent="0.2">
      <c r="A138" s="46">
        <f>'2stocks_data'!A125</f>
        <v>45626</v>
      </c>
      <c r="B138" s="51">
        <f>'2stocks_data'!F125</f>
        <v>76.5</v>
      </c>
      <c r="C138" s="91">
        <f t="shared" si="7"/>
        <v>5.8091241645391145E-2</v>
      </c>
      <c r="D138" s="91">
        <f t="shared" si="8"/>
        <v>5.6466569458120321E-2</v>
      </c>
      <c r="F138" s="51">
        <f>'2stocks_data'!F246</f>
        <v>7.380000114440918</v>
      </c>
      <c r="G138" s="91">
        <f t="shared" si="9"/>
        <v>0.13888890319727398</v>
      </c>
      <c r="H138" s="91">
        <f t="shared" si="10"/>
        <v>0.13005314081165781</v>
      </c>
    </row>
    <row r="139" spans="1:8" x14ac:dyDescent="0.2">
      <c r="A139" s="46">
        <f>'2stocks_data'!A126</f>
        <v>45657</v>
      </c>
      <c r="B139" s="51">
        <f>'2stocks_data'!F126</f>
        <v>75.75</v>
      </c>
      <c r="C139" s="91">
        <f t="shared" ref="C139" si="11">B139/B138-1</f>
        <v>-9.8039215686274161E-3</v>
      </c>
      <c r="D139" s="91">
        <f t="shared" ref="D139" si="12">LN(B139/B138)</f>
        <v>-9.8522964430115944E-3</v>
      </c>
      <c r="F139" s="51">
        <f>'2stocks_data'!F247</f>
        <v>7.0999999046325684</v>
      </c>
      <c r="G139" s="91">
        <f t="shared" ref="G139" si="13">F139/F138-1</f>
        <v>-3.7940407244771657E-2</v>
      </c>
      <c r="H139" s="91">
        <f t="shared" ref="H139" si="14">LN(F139/F138)</f>
        <v>-3.8678883504043478E-2</v>
      </c>
    </row>
    <row r="140" spans="1:8" x14ac:dyDescent="0.2">
      <c r="A140" s="46"/>
    </row>
    <row r="141" spans="1:8" x14ac:dyDescent="0.2">
      <c r="A141" s="46"/>
    </row>
  </sheetData>
  <mergeCells count="3">
    <mergeCell ref="A1:G1"/>
    <mergeCell ref="B17:D17"/>
    <mergeCell ref="F17:H17"/>
  </mergeCells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47"/>
  <sheetViews>
    <sheetView workbookViewId="0">
      <selection activeCell="H15" sqref="H15"/>
    </sheetView>
  </sheetViews>
  <sheetFormatPr baseColWidth="10" defaultColWidth="8.83203125" defaultRowHeight="15" x14ac:dyDescent="0.2"/>
  <cols>
    <col min="1" max="1" width="11.1640625" style="45" bestFit="1" customWidth="1"/>
    <col min="2" max="6" width="9" style="45" bestFit="1" customWidth="1"/>
    <col min="7" max="7" width="11.6640625" style="45" bestFit="1" customWidth="1"/>
    <col min="8" max="16384" width="8.83203125" style="45"/>
  </cols>
  <sheetData>
    <row r="1" spans="1:8" s="18" customFormat="1" x14ac:dyDescent="0.2">
      <c r="A1" s="27" t="s">
        <v>167</v>
      </c>
    </row>
    <row r="2" spans="1:8" s="18" customFormat="1" x14ac:dyDescent="0.2">
      <c r="A2" s="88" t="s">
        <v>168</v>
      </c>
    </row>
    <row r="3" spans="1:8" s="18" customFormat="1" x14ac:dyDescent="0.2">
      <c r="A3" s="88" t="s">
        <v>169</v>
      </c>
    </row>
    <row r="4" spans="1:8" s="18" customFormat="1" x14ac:dyDescent="0.2">
      <c r="A4" s="9"/>
    </row>
    <row r="5" spans="1:8" x14ac:dyDescent="0.2">
      <c r="A5" s="89" t="s">
        <v>0</v>
      </c>
      <c r="B5" s="89" t="s">
        <v>1</v>
      </c>
      <c r="C5" s="89" t="s">
        <v>2</v>
      </c>
      <c r="D5" s="89" t="s">
        <v>3</v>
      </c>
      <c r="E5" s="89" t="s">
        <v>4</v>
      </c>
      <c r="F5" s="89" t="s">
        <v>5</v>
      </c>
      <c r="G5" s="89" t="s">
        <v>6</v>
      </c>
      <c r="H5" s="89" t="s">
        <v>170</v>
      </c>
    </row>
    <row r="6" spans="1:8" x14ac:dyDescent="0.2">
      <c r="A6" s="90">
        <v>42004</v>
      </c>
      <c r="B6" s="89">
        <v>90.5</v>
      </c>
      <c r="C6" s="89">
        <v>105.09999847412109</v>
      </c>
      <c r="D6" s="89">
        <v>87.900001525878906</v>
      </c>
      <c r="E6" s="89">
        <v>102.5</v>
      </c>
      <c r="F6" s="89">
        <v>60.096527099609375</v>
      </c>
      <c r="G6" s="89">
        <v>441921313</v>
      </c>
      <c r="H6" s="89" t="s">
        <v>171</v>
      </c>
    </row>
    <row r="7" spans="1:8" x14ac:dyDescent="0.2">
      <c r="A7" s="90">
        <v>42035</v>
      </c>
      <c r="B7" s="89">
        <v>101</v>
      </c>
      <c r="C7" s="89">
        <v>108.5</v>
      </c>
      <c r="D7" s="89">
        <v>101</v>
      </c>
      <c r="E7" s="89">
        <v>105.40000152587891</v>
      </c>
      <c r="F7" s="89">
        <v>61.796817779541016</v>
      </c>
      <c r="G7" s="89">
        <v>314899911</v>
      </c>
      <c r="H7" s="89" t="s">
        <v>171</v>
      </c>
    </row>
    <row r="8" spans="1:8" x14ac:dyDescent="0.2">
      <c r="A8" s="90">
        <v>42063</v>
      </c>
      <c r="B8" s="89">
        <v>105.5</v>
      </c>
      <c r="C8" s="89">
        <v>106.40000152587891</v>
      </c>
      <c r="D8" s="89">
        <v>97.849998474121094</v>
      </c>
      <c r="E8" s="89">
        <v>101.19999694824219</v>
      </c>
      <c r="F8" s="89">
        <v>59.334320068359375</v>
      </c>
      <c r="G8" s="89">
        <v>386200739</v>
      </c>
      <c r="H8" s="89" t="s">
        <v>171</v>
      </c>
    </row>
    <row r="9" spans="1:8" x14ac:dyDescent="0.2">
      <c r="A9" s="90">
        <v>42094</v>
      </c>
      <c r="B9" s="89">
        <v>101.5</v>
      </c>
      <c r="C9" s="89">
        <v>118</v>
      </c>
      <c r="D9" s="89">
        <v>100.30000305175781</v>
      </c>
      <c r="E9" s="89">
        <v>110.69999694824219</v>
      </c>
      <c r="F9" s="89">
        <v>64.904228210449219</v>
      </c>
      <c r="G9" s="89">
        <v>523222342</v>
      </c>
      <c r="H9" s="89" t="s">
        <v>171</v>
      </c>
    </row>
    <row r="10" spans="1:8" x14ac:dyDescent="0.2">
      <c r="A10" s="90">
        <v>42124</v>
      </c>
      <c r="B10" s="89">
        <v>110.69999694824219</v>
      </c>
      <c r="C10" s="89">
        <v>113.19999694824219</v>
      </c>
      <c r="D10" s="89">
        <v>102</v>
      </c>
      <c r="E10" s="89">
        <v>102.09999847412109</v>
      </c>
      <c r="F10" s="89">
        <v>59.861988067626953</v>
      </c>
      <c r="G10" s="89">
        <v>303957277</v>
      </c>
      <c r="H10" s="89" t="s">
        <v>171</v>
      </c>
    </row>
    <row r="11" spans="1:8" x14ac:dyDescent="0.2">
      <c r="A11" s="90">
        <v>42155</v>
      </c>
      <c r="B11" s="89">
        <v>101.5</v>
      </c>
      <c r="C11" s="89">
        <v>104.90000152587891</v>
      </c>
      <c r="D11" s="89">
        <v>97.75</v>
      </c>
      <c r="E11" s="89">
        <v>99.25</v>
      </c>
      <c r="F11" s="89">
        <v>58.191036224365234</v>
      </c>
      <c r="G11" s="89">
        <v>321690321</v>
      </c>
      <c r="H11" s="89" t="s">
        <v>171</v>
      </c>
    </row>
    <row r="12" spans="1:8" x14ac:dyDescent="0.2">
      <c r="A12" s="90">
        <v>42185</v>
      </c>
      <c r="B12" s="89">
        <v>99.25</v>
      </c>
      <c r="C12" s="89">
        <v>102.59999847412109</v>
      </c>
      <c r="D12" s="89">
        <v>85</v>
      </c>
      <c r="E12" s="89">
        <v>101.5</v>
      </c>
      <c r="F12" s="89">
        <v>60.305835723876953</v>
      </c>
      <c r="G12" s="89">
        <v>414183297</v>
      </c>
      <c r="H12" s="89" t="s">
        <v>171</v>
      </c>
    </row>
    <row r="13" spans="1:8" x14ac:dyDescent="0.2">
      <c r="A13" s="90">
        <v>42216</v>
      </c>
      <c r="B13" s="89">
        <v>101.69999694824219</v>
      </c>
      <c r="C13" s="89">
        <v>103.80000305175781</v>
      </c>
      <c r="D13" s="89">
        <v>89.75</v>
      </c>
      <c r="E13" s="89">
        <v>93.900001525878906</v>
      </c>
      <c r="F13" s="89">
        <v>55.790332794189453</v>
      </c>
      <c r="G13" s="89">
        <v>391113411</v>
      </c>
      <c r="H13" s="89" t="s">
        <v>171</v>
      </c>
    </row>
    <row r="14" spans="1:8" x14ac:dyDescent="0.2">
      <c r="A14" s="90">
        <v>42247</v>
      </c>
      <c r="B14" s="89">
        <v>94.5</v>
      </c>
      <c r="C14" s="89">
        <v>97.849998474121094</v>
      </c>
      <c r="D14" s="89">
        <v>88.400001525878906</v>
      </c>
      <c r="E14" s="89">
        <v>91.800003051757812</v>
      </c>
      <c r="F14" s="89">
        <v>54.542617797851562</v>
      </c>
      <c r="G14" s="89">
        <v>357585001</v>
      </c>
      <c r="H14" s="89" t="s">
        <v>171</v>
      </c>
    </row>
    <row r="15" spans="1:8" x14ac:dyDescent="0.2">
      <c r="A15" s="90">
        <v>42277</v>
      </c>
      <c r="B15" s="89">
        <v>91.800003051757812</v>
      </c>
      <c r="C15" s="89">
        <v>97.199996948242188</v>
      </c>
      <c r="D15" s="89">
        <v>91</v>
      </c>
      <c r="E15" s="89">
        <v>92.800003051757812</v>
      </c>
      <c r="F15" s="89">
        <v>56.071277618408203</v>
      </c>
      <c r="G15" s="89">
        <v>388963835</v>
      </c>
      <c r="H15" s="89" t="s">
        <v>171</v>
      </c>
    </row>
    <row r="16" spans="1:8" x14ac:dyDescent="0.2">
      <c r="A16" s="90">
        <v>42308</v>
      </c>
      <c r="B16" s="89">
        <v>94</v>
      </c>
      <c r="C16" s="89">
        <v>95.849998474121094</v>
      </c>
      <c r="D16" s="89">
        <v>87.050003051757812</v>
      </c>
      <c r="E16" s="89">
        <v>88.099998474121094</v>
      </c>
      <c r="F16" s="89">
        <v>53.231460571289062</v>
      </c>
      <c r="G16" s="89">
        <v>311385738</v>
      </c>
      <c r="H16" s="89" t="s">
        <v>171</v>
      </c>
    </row>
    <row r="17" spans="1:8" x14ac:dyDescent="0.2">
      <c r="A17" s="90">
        <v>42338</v>
      </c>
      <c r="B17" s="89">
        <v>89.849998474121094</v>
      </c>
      <c r="C17" s="89">
        <v>91.300003051757812</v>
      </c>
      <c r="D17" s="89">
        <v>87.199996948242188</v>
      </c>
      <c r="E17" s="89">
        <v>87.5</v>
      </c>
      <c r="F17" s="89">
        <v>52.868949890136719</v>
      </c>
      <c r="G17" s="89">
        <v>245922130</v>
      </c>
      <c r="H17" s="89" t="s">
        <v>171</v>
      </c>
    </row>
    <row r="18" spans="1:8" x14ac:dyDescent="0.2">
      <c r="A18" s="90">
        <v>42369</v>
      </c>
      <c r="B18" s="89">
        <v>87.5</v>
      </c>
      <c r="C18" s="89">
        <v>87.5</v>
      </c>
      <c r="D18" s="89">
        <v>79</v>
      </c>
      <c r="E18" s="89">
        <v>85.699996948242188</v>
      </c>
      <c r="F18" s="89">
        <v>51.781341552734375</v>
      </c>
      <c r="G18" s="89">
        <v>347769516</v>
      </c>
      <c r="H18" s="89" t="s">
        <v>171</v>
      </c>
    </row>
    <row r="19" spans="1:8" x14ac:dyDescent="0.2">
      <c r="A19" s="90">
        <v>42400</v>
      </c>
      <c r="B19" s="89">
        <v>85.199996948242188</v>
      </c>
      <c r="C19" s="89">
        <v>86.900001525878906</v>
      </c>
      <c r="D19" s="89">
        <v>80.599998474121094</v>
      </c>
      <c r="E19" s="89">
        <v>82.199996948242188</v>
      </c>
      <c r="F19" s="89">
        <v>49.666591644287109</v>
      </c>
      <c r="G19" s="89">
        <v>229457691</v>
      </c>
      <c r="H19" s="89" t="s">
        <v>171</v>
      </c>
    </row>
    <row r="20" spans="1:8" x14ac:dyDescent="0.2">
      <c r="A20" s="90">
        <v>42429</v>
      </c>
      <c r="B20" s="89">
        <v>83.25</v>
      </c>
      <c r="C20" s="89">
        <v>87.300003051757812</v>
      </c>
      <c r="D20" s="89">
        <v>82.650001525878906</v>
      </c>
      <c r="E20" s="89">
        <v>86.449996948242188</v>
      </c>
      <c r="F20" s="89">
        <v>52.234508514404297</v>
      </c>
      <c r="G20" s="89">
        <v>299633163</v>
      </c>
      <c r="H20" s="89" t="s">
        <v>171</v>
      </c>
    </row>
    <row r="21" spans="1:8" x14ac:dyDescent="0.2">
      <c r="A21" s="90">
        <v>42460</v>
      </c>
      <c r="B21" s="89">
        <v>86</v>
      </c>
      <c r="C21" s="89">
        <v>92</v>
      </c>
      <c r="D21" s="89">
        <v>84.300003051757812</v>
      </c>
      <c r="E21" s="89">
        <v>88.949996948242188</v>
      </c>
      <c r="F21" s="89">
        <v>53.745059967041016</v>
      </c>
      <c r="G21" s="89">
        <v>280962257</v>
      </c>
      <c r="H21" s="89" t="s">
        <v>171</v>
      </c>
    </row>
    <row r="22" spans="1:8" x14ac:dyDescent="0.2">
      <c r="A22" s="90">
        <v>42490</v>
      </c>
      <c r="B22" s="89">
        <v>88.949996948242188</v>
      </c>
      <c r="C22" s="89">
        <v>90</v>
      </c>
      <c r="D22" s="89">
        <v>83.050003051757812</v>
      </c>
      <c r="E22" s="89">
        <v>88.599998474121094</v>
      </c>
      <c r="F22" s="89">
        <v>53.5335693359375</v>
      </c>
      <c r="G22" s="89">
        <v>286159375</v>
      </c>
      <c r="H22" s="89" t="s">
        <v>171</v>
      </c>
    </row>
    <row r="23" spans="1:8" x14ac:dyDescent="0.2">
      <c r="A23" s="90">
        <v>42521</v>
      </c>
      <c r="B23" s="89">
        <v>88.150001525878906</v>
      </c>
      <c r="C23" s="89">
        <v>91.150001525878906</v>
      </c>
      <c r="D23" s="89">
        <v>83.400001525878906</v>
      </c>
      <c r="E23" s="89">
        <v>88.650001525878906</v>
      </c>
      <c r="F23" s="89">
        <v>53.56378173828125</v>
      </c>
      <c r="G23" s="89">
        <v>343568490</v>
      </c>
      <c r="H23" s="89" t="s">
        <v>171</v>
      </c>
    </row>
    <row r="24" spans="1:8" x14ac:dyDescent="0.2">
      <c r="A24" s="90">
        <v>42551</v>
      </c>
      <c r="B24" s="89">
        <v>88.650001525878906</v>
      </c>
      <c r="C24" s="89">
        <v>98.599998474121094</v>
      </c>
      <c r="D24" s="89">
        <v>86.150001525878906</v>
      </c>
      <c r="E24" s="89">
        <v>95.650001525878906</v>
      </c>
      <c r="F24" s="89">
        <v>58.568157196044922</v>
      </c>
      <c r="G24" s="89">
        <v>326282145</v>
      </c>
      <c r="H24" s="89" t="s">
        <v>171</v>
      </c>
    </row>
    <row r="25" spans="1:8" x14ac:dyDescent="0.2">
      <c r="A25" s="90">
        <v>42582</v>
      </c>
      <c r="B25" s="89">
        <v>97</v>
      </c>
      <c r="C25" s="89">
        <v>99.300003051757812</v>
      </c>
      <c r="D25" s="89">
        <v>94.400001525878906</v>
      </c>
      <c r="E25" s="89">
        <v>95.800003051757812</v>
      </c>
      <c r="F25" s="89">
        <v>58.660018920898438</v>
      </c>
      <c r="G25" s="89">
        <v>272385012</v>
      </c>
      <c r="H25" s="89" t="s">
        <v>171</v>
      </c>
    </row>
    <row r="26" spans="1:8" x14ac:dyDescent="0.2">
      <c r="A26" s="90">
        <v>42613</v>
      </c>
      <c r="B26" s="89">
        <v>94.699996948242188</v>
      </c>
      <c r="C26" s="89">
        <v>99.300003051757812</v>
      </c>
      <c r="D26" s="89">
        <v>93.550003051757812</v>
      </c>
      <c r="E26" s="89">
        <v>93.849998474121094</v>
      </c>
      <c r="F26" s="89">
        <v>57.465988159179688</v>
      </c>
      <c r="G26" s="89">
        <v>289505170</v>
      </c>
      <c r="H26" s="89" t="s">
        <v>171</v>
      </c>
    </row>
    <row r="27" spans="1:8" x14ac:dyDescent="0.2">
      <c r="A27" s="90">
        <v>42643</v>
      </c>
      <c r="B27" s="89">
        <v>95.5</v>
      </c>
      <c r="C27" s="89">
        <v>97.5</v>
      </c>
      <c r="D27" s="89">
        <v>87.800003051757812</v>
      </c>
      <c r="E27" s="89">
        <v>88.849998474121094</v>
      </c>
      <c r="F27" s="89">
        <v>55.263362884521484</v>
      </c>
      <c r="G27" s="89">
        <v>265093757</v>
      </c>
      <c r="H27" s="89" t="s">
        <v>171</v>
      </c>
    </row>
    <row r="28" spans="1:8" x14ac:dyDescent="0.2">
      <c r="A28" s="90">
        <v>42674</v>
      </c>
      <c r="B28" s="89">
        <v>88.5</v>
      </c>
      <c r="C28" s="89">
        <v>89.849998474121094</v>
      </c>
      <c r="D28" s="89">
        <v>83.099998474121094</v>
      </c>
      <c r="E28" s="89">
        <v>84.650001525878906</v>
      </c>
      <c r="F28" s="89">
        <v>52.651020050048828</v>
      </c>
      <c r="G28" s="89">
        <v>351228834</v>
      </c>
      <c r="H28" s="89" t="s">
        <v>171</v>
      </c>
    </row>
    <row r="29" spans="1:8" x14ac:dyDescent="0.2">
      <c r="A29" s="90">
        <v>42704</v>
      </c>
      <c r="B29" s="89">
        <v>85.199996948242188</v>
      </c>
      <c r="C29" s="89">
        <v>86</v>
      </c>
      <c r="D29" s="89">
        <v>80.300003051757812</v>
      </c>
      <c r="E29" s="89">
        <v>82.199996948242188</v>
      </c>
      <c r="F29" s="89">
        <v>51.127155303955078</v>
      </c>
      <c r="G29" s="89">
        <v>300265374</v>
      </c>
      <c r="H29" s="89" t="s">
        <v>171</v>
      </c>
    </row>
    <row r="30" spans="1:8" x14ac:dyDescent="0.2">
      <c r="A30" s="90">
        <v>42735</v>
      </c>
      <c r="B30" s="89">
        <v>82.199996948242188</v>
      </c>
      <c r="C30" s="89">
        <v>88.550003051757812</v>
      </c>
      <c r="D30" s="89">
        <v>81.349998474121094</v>
      </c>
      <c r="E30" s="89">
        <v>87.849998474121094</v>
      </c>
      <c r="F30" s="89">
        <v>54.641361236572266</v>
      </c>
      <c r="G30" s="89">
        <v>228492100</v>
      </c>
      <c r="H30" s="89" t="s">
        <v>171</v>
      </c>
    </row>
    <row r="31" spans="1:8" x14ac:dyDescent="0.2">
      <c r="A31" s="90">
        <v>42766</v>
      </c>
      <c r="B31" s="89">
        <v>87.400001525878906</v>
      </c>
      <c r="C31" s="89">
        <v>89.050003051757812</v>
      </c>
      <c r="D31" s="89">
        <v>85.5</v>
      </c>
      <c r="E31" s="89">
        <v>85.599998474121094</v>
      </c>
      <c r="F31" s="89">
        <v>53.241897583007812</v>
      </c>
      <c r="G31" s="89">
        <v>271735153</v>
      </c>
      <c r="H31" s="89" t="s">
        <v>171</v>
      </c>
    </row>
    <row r="32" spans="1:8" x14ac:dyDescent="0.2">
      <c r="A32" s="90">
        <v>42794</v>
      </c>
      <c r="B32" s="89">
        <v>86.550003051757812</v>
      </c>
      <c r="C32" s="89">
        <v>91.300003051757812</v>
      </c>
      <c r="D32" s="89">
        <v>83.300003051757812</v>
      </c>
      <c r="E32" s="89">
        <v>85.050003051757812</v>
      </c>
      <c r="F32" s="89">
        <v>52.899810791015625</v>
      </c>
      <c r="G32" s="89">
        <v>420547266</v>
      </c>
      <c r="H32" s="89" t="s">
        <v>171</v>
      </c>
    </row>
    <row r="33" spans="1:8" x14ac:dyDescent="0.2">
      <c r="A33" s="90">
        <v>42825</v>
      </c>
      <c r="B33" s="89">
        <v>86.050003051757812</v>
      </c>
      <c r="C33" s="89">
        <v>86.900001525878906</v>
      </c>
      <c r="D33" s="89">
        <v>82.349998474121094</v>
      </c>
      <c r="E33" s="89">
        <v>82.949996948242188</v>
      </c>
      <c r="F33" s="89">
        <v>51.593635559082031</v>
      </c>
      <c r="G33" s="89">
        <v>247115680</v>
      </c>
      <c r="H33" s="89" t="s">
        <v>171</v>
      </c>
    </row>
    <row r="34" spans="1:8" x14ac:dyDescent="0.2">
      <c r="A34" s="90">
        <v>42855</v>
      </c>
      <c r="B34" s="89">
        <v>82.949996948242188</v>
      </c>
      <c r="C34" s="89">
        <v>87.150001525878906</v>
      </c>
      <c r="D34" s="89">
        <v>82.599998474121094</v>
      </c>
      <c r="E34" s="89">
        <v>86.449996948242188</v>
      </c>
      <c r="F34" s="89">
        <v>53.770587921142578</v>
      </c>
      <c r="G34" s="89">
        <v>283137651</v>
      </c>
      <c r="H34" s="89" t="s">
        <v>171</v>
      </c>
    </row>
    <row r="35" spans="1:8" x14ac:dyDescent="0.2">
      <c r="A35" s="90">
        <v>42886</v>
      </c>
      <c r="B35" s="89">
        <v>87.199996948242188</v>
      </c>
      <c r="C35" s="89">
        <v>87.199996948242188</v>
      </c>
      <c r="D35" s="89">
        <v>82.5</v>
      </c>
      <c r="E35" s="89">
        <v>82.849998474121094</v>
      </c>
      <c r="F35" s="89">
        <v>51.531440734863281</v>
      </c>
      <c r="G35" s="89">
        <v>255797446</v>
      </c>
      <c r="H35" s="89" t="s">
        <v>171</v>
      </c>
    </row>
    <row r="36" spans="1:8" x14ac:dyDescent="0.2">
      <c r="A36" s="90">
        <v>42916</v>
      </c>
      <c r="B36" s="89">
        <v>82.599998474121094</v>
      </c>
      <c r="C36" s="89">
        <v>84.75</v>
      </c>
      <c r="D36" s="89">
        <v>80</v>
      </c>
      <c r="E36" s="89">
        <v>83.75</v>
      </c>
      <c r="F36" s="89">
        <v>52.846698760986328</v>
      </c>
      <c r="G36" s="89">
        <v>324323883</v>
      </c>
      <c r="H36" s="89" t="s">
        <v>171</v>
      </c>
    </row>
    <row r="37" spans="1:8" x14ac:dyDescent="0.2">
      <c r="A37" s="90">
        <v>42947</v>
      </c>
      <c r="B37" s="89">
        <v>84</v>
      </c>
      <c r="C37" s="89">
        <v>89.599998474121094</v>
      </c>
      <c r="D37" s="89">
        <v>82.800003051757812</v>
      </c>
      <c r="E37" s="89">
        <v>83</v>
      </c>
      <c r="F37" s="89">
        <v>52.373443603515625</v>
      </c>
      <c r="G37" s="89">
        <v>448712430</v>
      </c>
      <c r="H37" s="89" t="s">
        <v>171</v>
      </c>
    </row>
    <row r="38" spans="1:8" x14ac:dyDescent="0.2">
      <c r="A38" s="90">
        <v>42978</v>
      </c>
      <c r="B38" s="89">
        <v>83.300003051757812</v>
      </c>
      <c r="C38" s="89">
        <v>83.349998474121094</v>
      </c>
      <c r="D38" s="89">
        <v>78.599998474121094</v>
      </c>
      <c r="E38" s="89">
        <v>79.150001525878906</v>
      </c>
      <c r="F38" s="89">
        <v>50.87872314453125</v>
      </c>
      <c r="G38" s="89">
        <v>330427172</v>
      </c>
      <c r="H38" s="89" t="s">
        <v>171</v>
      </c>
    </row>
    <row r="39" spans="1:8" x14ac:dyDescent="0.2">
      <c r="A39" s="90">
        <v>43008</v>
      </c>
      <c r="B39" s="89">
        <v>79.150001525878906</v>
      </c>
      <c r="C39" s="89">
        <v>79.849998474121094</v>
      </c>
      <c r="D39" s="89">
        <v>77.800003051757812</v>
      </c>
      <c r="E39" s="89">
        <v>78.349998474121094</v>
      </c>
      <c r="F39" s="89">
        <v>50.364479064941406</v>
      </c>
      <c r="G39" s="89">
        <v>295119557</v>
      </c>
      <c r="H39" s="89" t="s">
        <v>171</v>
      </c>
    </row>
    <row r="40" spans="1:8" x14ac:dyDescent="0.2">
      <c r="A40" s="90">
        <v>43039</v>
      </c>
      <c r="B40" s="89">
        <v>78.949996948242188</v>
      </c>
      <c r="C40" s="89">
        <v>81.099998474121094</v>
      </c>
      <c r="D40" s="89">
        <v>77.800003051757812</v>
      </c>
      <c r="E40" s="89">
        <v>79.25</v>
      </c>
      <c r="F40" s="89">
        <v>50.943004608154297</v>
      </c>
      <c r="G40" s="89">
        <v>323124497</v>
      </c>
      <c r="H40" s="89" t="s">
        <v>171</v>
      </c>
    </row>
    <row r="41" spans="1:8" x14ac:dyDescent="0.2">
      <c r="A41" s="90">
        <v>43069</v>
      </c>
      <c r="B41" s="89">
        <v>79.699996948242188</v>
      </c>
      <c r="C41" s="89">
        <v>79.699996948242188</v>
      </c>
      <c r="D41" s="89">
        <v>75.800003051757812</v>
      </c>
      <c r="E41" s="89">
        <v>79.25</v>
      </c>
      <c r="F41" s="89">
        <v>50.943004608154297</v>
      </c>
      <c r="G41" s="89">
        <v>225660202</v>
      </c>
      <c r="H41" s="89" t="s">
        <v>171</v>
      </c>
    </row>
    <row r="42" spans="1:8" x14ac:dyDescent="0.2">
      <c r="A42" s="90">
        <v>43100</v>
      </c>
      <c r="B42" s="89">
        <v>79.25</v>
      </c>
      <c r="C42" s="89">
        <v>84.050003051757812</v>
      </c>
      <c r="D42" s="89">
        <v>77</v>
      </c>
      <c r="E42" s="89">
        <v>82.599998474121094</v>
      </c>
      <c r="F42" s="89">
        <v>53.096431732177734</v>
      </c>
      <c r="G42" s="89">
        <v>442024552</v>
      </c>
      <c r="H42" s="89" t="s">
        <v>171</v>
      </c>
    </row>
    <row r="43" spans="1:8" x14ac:dyDescent="0.2">
      <c r="A43" s="90">
        <v>43131</v>
      </c>
      <c r="B43" s="89">
        <v>82.400001525878906</v>
      </c>
      <c r="C43" s="89">
        <v>82.849998474121094</v>
      </c>
      <c r="D43" s="89">
        <v>72.849998474121094</v>
      </c>
      <c r="E43" s="89">
        <v>73.400001525878906</v>
      </c>
      <c r="F43" s="89">
        <v>47.182552337646484</v>
      </c>
      <c r="G43" s="89">
        <v>344218522</v>
      </c>
      <c r="H43" s="89" t="s">
        <v>171</v>
      </c>
    </row>
    <row r="44" spans="1:8" x14ac:dyDescent="0.2">
      <c r="A44" s="90">
        <v>43159</v>
      </c>
      <c r="B44" s="89">
        <v>73</v>
      </c>
      <c r="C44" s="89">
        <v>73.25</v>
      </c>
      <c r="D44" s="89">
        <v>69.650001525878906</v>
      </c>
      <c r="E44" s="89">
        <v>71.949996948242188</v>
      </c>
      <c r="F44" s="89">
        <v>46.250473022460938</v>
      </c>
      <c r="G44" s="89">
        <v>419678794</v>
      </c>
      <c r="H44" s="89" t="s">
        <v>171</v>
      </c>
    </row>
    <row r="45" spans="1:8" x14ac:dyDescent="0.2">
      <c r="A45" s="90">
        <v>43190</v>
      </c>
      <c r="B45" s="89">
        <v>71.949996948242188</v>
      </c>
      <c r="C45" s="89">
        <v>75.400001525878906</v>
      </c>
      <c r="D45" s="89">
        <v>70.449996948242188</v>
      </c>
      <c r="E45" s="89">
        <v>75.199996948242188</v>
      </c>
      <c r="F45" s="89">
        <v>48.339599609375</v>
      </c>
      <c r="G45" s="89">
        <v>327933825</v>
      </c>
      <c r="H45" s="89" t="s">
        <v>171</v>
      </c>
    </row>
    <row r="46" spans="1:8" x14ac:dyDescent="0.2">
      <c r="A46" s="90">
        <v>43220</v>
      </c>
      <c r="B46" s="89">
        <v>75.199996948242188</v>
      </c>
      <c r="C46" s="89">
        <v>75.300003051757812</v>
      </c>
      <c r="D46" s="89">
        <v>69.599998474121094</v>
      </c>
      <c r="E46" s="89">
        <v>70</v>
      </c>
      <c r="F46" s="89">
        <v>44.996982574462891</v>
      </c>
      <c r="G46" s="89">
        <v>293724940</v>
      </c>
      <c r="H46" s="89" t="s">
        <v>171</v>
      </c>
    </row>
    <row r="47" spans="1:8" x14ac:dyDescent="0.2">
      <c r="A47" s="90">
        <v>43251</v>
      </c>
      <c r="B47" s="89">
        <v>70.25</v>
      </c>
      <c r="C47" s="89">
        <v>73.5</v>
      </c>
      <c r="D47" s="89">
        <v>68.099998474121094</v>
      </c>
      <c r="E47" s="89">
        <v>69.699996948242188</v>
      </c>
      <c r="F47" s="89">
        <v>45.794521331787109</v>
      </c>
      <c r="G47" s="89">
        <v>347227122</v>
      </c>
      <c r="H47" s="89" t="s">
        <v>171</v>
      </c>
    </row>
    <row r="48" spans="1:8" x14ac:dyDescent="0.2">
      <c r="A48" s="90">
        <v>43281</v>
      </c>
      <c r="B48" s="89">
        <v>69.699996948242188</v>
      </c>
      <c r="C48" s="89">
        <v>71.199996948242188</v>
      </c>
      <c r="D48" s="89">
        <v>67.849998474121094</v>
      </c>
      <c r="E48" s="89">
        <v>70.800003051757812</v>
      </c>
      <c r="F48" s="89">
        <v>46.517253875732422</v>
      </c>
      <c r="G48" s="89">
        <v>295426101</v>
      </c>
      <c r="H48" s="89" t="s">
        <v>171</v>
      </c>
    </row>
    <row r="49" spans="1:8" x14ac:dyDescent="0.2">
      <c r="A49" s="90">
        <v>43312</v>
      </c>
      <c r="B49" s="89">
        <v>71.199996948242188</v>
      </c>
      <c r="C49" s="89">
        <v>75.25</v>
      </c>
      <c r="D49" s="89">
        <v>68.650001525878906</v>
      </c>
      <c r="E49" s="89">
        <v>73.800003051757812</v>
      </c>
      <c r="F49" s="89">
        <v>48.488311767578125</v>
      </c>
      <c r="G49" s="89">
        <v>371817222</v>
      </c>
      <c r="H49" s="89" t="s">
        <v>171</v>
      </c>
    </row>
    <row r="50" spans="1:8" x14ac:dyDescent="0.2">
      <c r="A50" s="90">
        <v>43343</v>
      </c>
      <c r="B50" s="89">
        <v>73.75</v>
      </c>
      <c r="C50" s="89">
        <v>77.150001525878906</v>
      </c>
      <c r="D50" s="89">
        <v>73.400001525878906</v>
      </c>
      <c r="E50" s="89">
        <v>77.150001525878906</v>
      </c>
      <c r="F50" s="89">
        <v>51.954250335693359</v>
      </c>
      <c r="G50" s="89">
        <v>372313782</v>
      </c>
      <c r="H50" s="89" t="s">
        <v>171</v>
      </c>
    </row>
    <row r="51" spans="1:8" x14ac:dyDescent="0.2">
      <c r="A51" s="90">
        <v>43373</v>
      </c>
      <c r="B51" s="89">
        <v>77.150001525878906</v>
      </c>
      <c r="C51" s="89">
        <v>81.050003051757812</v>
      </c>
      <c r="D51" s="89">
        <v>71.150001525878906</v>
      </c>
      <c r="E51" s="89">
        <v>73.300003051757812</v>
      </c>
      <c r="F51" s="89">
        <v>49.361591339111328</v>
      </c>
      <c r="G51" s="89">
        <v>427275395</v>
      </c>
      <c r="H51" s="89" t="s">
        <v>171</v>
      </c>
    </row>
    <row r="52" spans="1:8" x14ac:dyDescent="0.2">
      <c r="A52" s="90">
        <v>43404</v>
      </c>
      <c r="B52" s="89">
        <v>74.5</v>
      </c>
      <c r="C52" s="89">
        <v>78</v>
      </c>
      <c r="D52" s="89">
        <v>72</v>
      </c>
      <c r="E52" s="89">
        <v>77.650001525878906</v>
      </c>
      <c r="F52" s="89">
        <v>52.290962219238281</v>
      </c>
      <c r="G52" s="89">
        <v>305887583</v>
      </c>
      <c r="H52" s="89" t="s">
        <v>171</v>
      </c>
    </row>
    <row r="53" spans="1:8" x14ac:dyDescent="0.2">
      <c r="A53" s="90">
        <v>43434</v>
      </c>
      <c r="B53" s="89">
        <v>78.5</v>
      </c>
      <c r="C53" s="89">
        <v>78.5</v>
      </c>
      <c r="D53" s="89">
        <v>73.349998474121094</v>
      </c>
      <c r="E53" s="89">
        <v>75.349998474121094</v>
      </c>
      <c r="F53" s="89">
        <v>50.742107391357422</v>
      </c>
      <c r="G53" s="89">
        <v>345209183</v>
      </c>
      <c r="H53" s="89" t="s">
        <v>171</v>
      </c>
    </row>
    <row r="54" spans="1:8" x14ac:dyDescent="0.2">
      <c r="A54" s="90">
        <v>43465</v>
      </c>
      <c r="B54" s="89">
        <v>75.349998474121094</v>
      </c>
      <c r="C54" s="89">
        <v>83.050003051757812</v>
      </c>
      <c r="D54" s="89">
        <v>72.900001525878906</v>
      </c>
      <c r="E54" s="89">
        <v>82.300003051757812</v>
      </c>
      <c r="F54" s="89">
        <v>55.422367095947266</v>
      </c>
      <c r="G54" s="89">
        <v>418621493</v>
      </c>
      <c r="H54" s="89" t="s">
        <v>171</v>
      </c>
    </row>
    <row r="55" spans="1:8" x14ac:dyDescent="0.2">
      <c r="A55" s="90">
        <v>43496</v>
      </c>
      <c r="B55" s="89">
        <v>84</v>
      </c>
      <c r="C55" s="89">
        <v>85.199996948242188</v>
      </c>
      <c r="D55" s="89">
        <v>81.650001525878906</v>
      </c>
      <c r="E55" s="89">
        <v>82.599998474121094</v>
      </c>
      <c r="F55" s="89">
        <v>55.624393463134766</v>
      </c>
      <c r="G55" s="89">
        <v>276926466</v>
      </c>
      <c r="H55" s="89" t="s">
        <v>171</v>
      </c>
    </row>
    <row r="56" spans="1:8" x14ac:dyDescent="0.2">
      <c r="A56" s="90">
        <v>43524</v>
      </c>
      <c r="B56" s="89">
        <v>83.449996948242188</v>
      </c>
      <c r="C56" s="89">
        <v>87.699996948242188</v>
      </c>
      <c r="D56" s="89">
        <v>79.699996948242188</v>
      </c>
      <c r="E56" s="89">
        <v>80</v>
      </c>
      <c r="F56" s="89">
        <v>53.873493194580078</v>
      </c>
      <c r="G56" s="89">
        <v>387093401</v>
      </c>
      <c r="H56" s="89" t="s">
        <v>171</v>
      </c>
    </row>
    <row r="57" spans="1:8" x14ac:dyDescent="0.2">
      <c r="A57" s="90">
        <v>43555</v>
      </c>
      <c r="B57" s="89">
        <v>80.900001525878906</v>
      </c>
      <c r="C57" s="89">
        <v>81</v>
      </c>
      <c r="D57" s="89">
        <v>73.5</v>
      </c>
      <c r="E57" s="89">
        <v>74.75</v>
      </c>
      <c r="F57" s="89">
        <v>50.338050842285156</v>
      </c>
      <c r="G57" s="89">
        <v>385081195</v>
      </c>
      <c r="H57" s="89" t="s">
        <v>171</v>
      </c>
    </row>
    <row r="58" spans="1:8" x14ac:dyDescent="0.2">
      <c r="A58" s="90">
        <v>43585</v>
      </c>
      <c r="B58" s="89">
        <v>74.75</v>
      </c>
      <c r="C58" s="89">
        <v>74.75</v>
      </c>
      <c r="D58" s="89">
        <v>68.449996948242188</v>
      </c>
      <c r="E58" s="89">
        <v>68.449996948242188</v>
      </c>
      <c r="F58" s="89">
        <v>46.095508575439453</v>
      </c>
      <c r="G58" s="89">
        <v>377861190</v>
      </c>
      <c r="H58" s="89" t="s">
        <v>171</v>
      </c>
    </row>
    <row r="59" spans="1:8" x14ac:dyDescent="0.2">
      <c r="A59" s="90">
        <v>43616</v>
      </c>
      <c r="B59" s="89">
        <v>69.050003051757812</v>
      </c>
      <c r="C59" s="89">
        <v>71.5</v>
      </c>
      <c r="D59" s="89">
        <v>68</v>
      </c>
      <c r="E59" s="89">
        <v>71.150001525878906</v>
      </c>
      <c r="F59" s="89">
        <v>48.83929443359375</v>
      </c>
      <c r="G59" s="89">
        <v>295250936</v>
      </c>
      <c r="H59" s="89" t="s">
        <v>171</v>
      </c>
    </row>
    <row r="60" spans="1:8" x14ac:dyDescent="0.2">
      <c r="A60" s="90">
        <v>43646</v>
      </c>
      <c r="B60" s="89">
        <v>71.150001525878906</v>
      </c>
      <c r="C60" s="89">
        <v>71.800003051757812</v>
      </c>
      <c r="D60" s="89">
        <v>66.5</v>
      </c>
      <c r="E60" s="89">
        <v>66.75</v>
      </c>
      <c r="F60" s="89">
        <v>45.819019317626953</v>
      </c>
      <c r="G60" s="89">
        <v>236481365</v>
      </c>
      <c r="H60" s="89" t="s">
        <v>171</v>
      </c>
    </row>
    <row r="61" spans="1:8" x14ac:dyDescent="0.2">
      <c r="A61" s="90">
        <v>43677</v>
      </c>
      <c r="B61" s="89">
        <v>67.400001525878906</v>
      </c>
      <c r="C61" s="89">
        <v>68.099998474121094</v>
      </c>
      <c r="D61" s="89">
        <v>62.049999237060547</v>
      </c>
      <c r="E61" s="89">
        <v>64.949996948242188</v>
      </c>
      <c r="F61" s="89">
        <v>44.583446502685547</v>
      </c>
      <c r="G61" s="89">
        <v>447703256</v>
      </c>
      <c r="H61" s="89" t="s">
        <v>171</v>
      </c>
    </row>
    <row r="62" spans="1:8" x14ac:dyDescent="0.2">
      <c r="A62" s="90">
        <v>43708</v>
      </c>
      <c r="B62" s="89">
        <v>64.949996948242188</v>
      </c>
      <c r="C62" s="89">
        <v>67.800003051757812</v>
      </c>
      <c r="D62" s="89">
        <v>63.799999237060547</v>
      </c>
      <c r="E62" s="89">
        <v>64.849998474121094</v>
      </c>
      <c r="F62" s="89">
        <v>45.569107055664062</v>
      </c>
      <c r="G62" s="89">
        <v>296944221</v>
      </c>
      <c r="H62" s="89" t="s">
        <v>171</v>
      </c>
    </row>
    <row r="63" spans="1:8" x14ac:dyDescent="0.2">
      <c r="A63" s="90">
        <v>43738</v>
      </c>
      <c r="B63" s="89">
        <v>64.849998474121094</v>
      </c>
      <c r="C63" s="89">
        <v>66.849998474121094</v>
      </c>
      <c r="D63" s="89">
        <v>63.599998474121094</v>
      </c>
      <c r="E63" s="89">
        <v>63.799999237060547</v>
      </c>
      <c r="F63" s="89">
        <v>44.831295013427734</v>
      </c>
      <c r="G63" s="89">
        <v>283887244</v>
      </c>
      <c r="H63" s="89" t="s">
        <v>171</v>
      </c>
    </row>
    <row r="64" spans="1:8" x14ac:dyDescent="0.2">
      <c r="A64" s="90">
        <v>43769</v>
      </c>
      <c r="B64" s="89">
        <v>63.599998474121094</v>
      </c>
      <c r="C64" s="89">
        <v>65.300003051757812</v>
      </c>
      <c r="D64" s="89">
        <v>58.849998474121094</v>
      </c>
      <c r="E64" s="89">
        <v>59</v>
      </c>
      <c r="F64" s="89">
        <v>41.458396911621094</v>
      </c>
      <c r="G64" s="89">
        <v>330948239</v>
      </c>
      <c r="H64" s="89" t="s">
        <v>171</v>
      </c>
    </row>
    <row r="65" spans="1:8" x14ac:dyDescent="0.2">
      <c r="A65" s="90">
        <v>43799</v>
      </c>
      <c r="B65" s="89">
        <v>59.75</v>
      </c>
      <c r="C65" s="89">
        <v>66.199996948242188</v>
      </c>
      <c r="D65" s="89">
        <v>58.299999237060547</v>
      </c>
      <c r="E65" s="89">
        <v>65.5</v>
      </c>
      <c r="F65" s="89">
        <v>46.025852203369141</v>
      </c>
      <c r="G65" s="89">
        <v>318525055</v>
      </c>
      <c r="H65" s="89" t="s">
        <v>171</v>
      </c>
    </row>
    <row r="66" spans="1:8" x14ac:dyDescent="0.2">
      <c r="A66" s="90">
        <v>43830</v>
      </c>
      <c r="B66" s="89">
        <v>65.5</v>
      </c>
      <c r="C66" s="89">
        <v>70</v>
      </c>
      <c r="D66" s="89">
        <v>62.599998474121094</v>
      </c>
      <c r="E66" s="89">
        <v>64.199996948242188</v>
      </c>
      <c r="F66" s="89">
        <v>45.112358093261719</v>
      </c>
      <c r="G66" s="89">
        <v>389432502</v>
      </c>
      <c r="H66" s="89" t="s">
        <v>171</v>
      </c>
    </row>
    <row r="67" spans="1:8" x14ac:dyDescent="0.2">
      <c r="A67" s="90">
        <v>43861</v>
      </c>
      <c r="B67" s="89">
        <v>63.400001525878906</v>
      </c>
      <c r="C67" s="89">
        <v>67.849998474121094</v>
      </c>
      <c r="D67" s="89">
        <v>60.849998474121094</v>
      </c>
      <c r="E67" s="89">
        <v>61.299999237060547</v>
      </c>
      <c r="F67" s="89">
        <v>43.074573516845703</v>
      </c>
      <c r="G67" s="89">
        <v>391850800</v>
      </c>
      <c r="H67" s="89" t="s">
        <v>171</v>
      </c>
    </row>
    <row r="68" spans="1:8" x14ac:dyDescent="0.2">
      <c r="A68" s="90">
        <v>43890</v>
      </c>
      <c r="B68" s="89">
        <v>60.700000762939453</v>
      </c>
      <c r="C68" s="89">
        <v>62.799999237060547</v>
      </c>
      <c r="D68" s="89">
        <v>45.200000762939453</v>
      </c>
      <c r="E68" s="89">
        <v>57.650001525878906</v>
      </c>
      <c r="F68" s="89">
        <v>40.509773254394531</v>
      </c>
      <c r="G68" s="89">
        <v>886943669</v>
      </c>
      <c r="H68" s="89" t="s">
        <v>171</v>
      </c>
    </row>
    <row r="69" spans="1:8" x14ac:dyDescent="0.2">
      <c r="A69" s="90">
        <v>43921</v>
      </c>
      <c r="B69" s="89">
        <v>57.099998474121094</v>
      </c>
      <c r="C69" s="89">
        <v>63.75</v>
      </c>
      <c r="D69" s="89">
        <v>55.900001525878906</v>
      </c>
      <c r="E69" s="89">
        <v>62.450000762939453</v>
      </c>
      <c r="F69" s="89">
        <v>43.882663726806641</v>
      </c>
      <c r="G69" s="89">
        <v>461603476</v>
      </c>
      <c r="H69" s="89" t="s">
        <v>171</v>
      </c>
    </row>
    <row r="70" spans="1:8" x14ac:dyDescent="0.2">
      <c r="A70" s="90">
        <v>43951</v>
      </c>
      <c r="B70" s="89">
        <v>62.450000762939453</v>
      </c>
      <c r="C70" s="89">
        <v>62.450000762939453</v>
      </c>
      <c r="D70" s="89">
        <v>53.200000762939453</v>
      </c>
      <c r="E70" s="89">
        <v>54.099998474121094</v>
      </c>
      <c r="F70" s="89">
        <v>38.015243530273438</v>
      </c>
      <c r="G70" s="89">
        <v>554373323</v>
      </c>
      <c r="H70" s="89" t="s">
        <v>171</v>
      </c>
    </row>
    <row r="71" spans="1:8" x14ac:dyDescent="0.2">
      <c r="A71" s="90">
        <v>43982</v>
      </c>
      <c r="B71" s="89">
        <v>55.599998474121094</v>
      </c>
      <c r="C71" s="89">
        <v>57.150001525878906</v>
      </c>
      <c r="D71" s="89">
        <v>51.599998474121094</v>
      </c>
      <c r="E71" s="89">
        <v>52.299999237060547</v>
      </c>
      <c r="F71" s="89">
        <v>37.913822174072266</v>
      </c>
      <c r="G71" s="89">
        <v>511901847</v>
      </c>
      <c r="H71" s="89" t="s">
        <v>171</v>
      </c>
    </row>
    <row r="72" spans="1:8" x14ac:dyDescent="0.2">
      <c r="A72" s="90">
        <v>44012</v>
      </c>
      <c r="B72" s="89">
        <v>52.299999237060547</v>
      </c>
      <c r="C72" s="89">
        <v>58.299999237060547</v>
      </c>
      <c r="D72" s="89">
        <v>51.900001525878906</v>
      </c>
      <c r="E72" s="89">
        <v>53.099998474121094</v>
      </c>
      <c r="F72" s="89">
        <v>38.493770599365234</v>
      </c>
      <c r="G72" s="89">
        <v>461272349</v>
      </c>
      <c r="H72" s="89" t="s">
        <v>171</v>
      </c>
    </row>
    <row r="73" spans="1:8" x14ac:dyDescent="0.2">
      <c r="A73" s="90">
        <v>44043</v>
      </c>
      <c r="B73" s="89">
        <v>52.900001525878906</v>
      </c>
      <c r="C73" s="89">
        <v>60.400001525878906</v>
      </c>
      <c r="D73" s="89">
        <v>52.900001525878906</v>
      </c>
      <c r="E73" s="89">
        <v>54.150001525878906</v>
      </c>
      <c r="F73" s="89">
        <v>39.25494384765625</v>
      </c>
      <c r="G73" s="89">
        <v>458149993</v>
      </c>
      <c r="H73" s="89" t="s">
        <v>171</v>
      </c>
    </row>
    <row r="74" spans="1:8" x14ac:dyDescent="0.2">
      <c r="A74" s="90">
        <v>44074</v>
      </c>
      <c r="B74" s="89">
        <v>54</v>
      </c>
      <c r="C74" s="89">
        <v>54.950000762939453</v>
      </c>
      <c r="D74" s="89">
        <v>48.799999237060547</v>
      </c>
      <c r="E74" s="89">
        <v>49.450000762939453</v>
      </c>
      <c r="F74" s="89">
        <v>36.802963256835938</v>
      </c>
      <c r="G74" s="89">
        <v>437374854</v>
      </c>
      <c r="H74" s="89" t="s">
        <v>171</v>
      </c>
    </row>
    <row r="75" spans="1:8" x14ac:dyDescent="0.2">
      <c r="A75" s="90">
        <v>44104</v>
      </c>
      <c r="B75" s="89">
        <v>49.450000762939453</v>
      </c>
      <c r="C75" s="89">
        <v>52.450000762939453</v>
      </c>
      <c r="D75" s="89">
        <v>46.900001525878906</v>
      </c>
      <c r="E75" s="89">
        <v>47.150001525878906</v>
      </c>
      <c r="F75" s="89">
        <v>35.091205596923828</v>
      </c>
      <c r="G75" s="89">
        <v>321078335</v>
      </c>
      <c r="H75" s="89" t="s">
        <v>171</v>
      </c>
    </row>
    <row r="76" spans="1:8" x14ac:dyDescent="0.2">
      <c r="A76" s="90">
        <v>44135</v>
      </c>
      <c r="B76" s="89">
        <v>47.700000762939453</v>
      </c>
      <c r="C76" s="89">
        <v>53.950000762939453</v>
      </c>
      <c r="D76" s="89">
        <v>46.200000762939453</v>
      </c>
      <c r="E76" s="89">
        <v>46.400001525878906</v>
      </c>
      <c r="F76" s="89">
        <v>34.533016204833984</v>
      </c>
      <c r="G76" s="89">
        <v>864381879</v>
      </c>
      <c r="H76" s="89" t="s">
        <v>171</v>
      </c>
    </row>
    <row r="77" spans="1:8" x14ac:dyDescent="0.2">
      <c r="A77" s="90">
        <v>44165</v>
      </c>
      <c r="B77" s="89">
        <v>46.049999237060547</v>
      </c>
      <c r="C77" s="89">
        <v>47.5</v>
      </c>
      <c r="D77" s="89">
        <v>43.700000762939453</v>
      </c>
      <c r="E77" s="89">
        <v>44.349998474121094</v>
      </c>
      <c r="F77" s="89">
        <v>33.007308959960938</v>
      </c>
      <c r="G77" s="89">
        <v>874738460</v>
      </c>
      <c r="H77" s="89" t="s">
        <v>171</v>
      </c>
    </row>
    <row r="78" spans="1:8" x14ac:dyDescent="0.2">
      <c r="A78" s="90">
        <v>44196</v>
      </c>
      <c r="B78" s="89">
        <v>44.349998474121094</v>
      </c>
      <c r="C78" s="89">
        <v>51.5</v>
      </c>
      <c r="D78" s="89">
        <v>39</v>
      </c>
      <c r="E78" s="89">
        <v>47.299999237060547</v>
      </c>
      <c r="F78" s="89">
        <v>35.202838897705078</v>
      </c>
      <c r="G78" s="89">
        <v>4307194619</v>
      </c>
      <c r="H78" s="89" t="s">
        <v>171</v>
      </c>
    </row>
    <row r="79" spans="1:8" x14ac:dyDescent="0.2">
      <c r="A79" s="90">
        <v>44227</v>
      </c>
      <c r="B79" s="89">
        <v>47.5</v>
      </c>
      <c r="C79" s="89">
        <v>57.799999237060547</v>
      </c>
      <c r="D79" s="89">
        <v>46.200000762939453</v>
      </c>
      <c r="E79" s="89">
        <v>53.700000762939453</v>
      </c>
      <c r="F79" s="89">
        <v>39.966007232666016</v>
      </c>
      <c r="G79" s="89">
        <v>1491654835</v>
      </c>
      <c r="H79" s="89" t="s">
        <v>171</v>
      </c>
    </row>
    <row r="80" spans="1:8" x14ac:dyDescent="0.2">
      <c r="A80" s="90">
        <v>44255</v>
      </c>
      <c r="B80" s="89">
        <v>54.099998474121094</v>
      </c>
      <c r="C80" s="89">
        <v>59.200000762939453</v>
      </c>
      <c r="D80" s="89">
        <v>50</v>
      </c>
      <c r="E80" s="89">
        <v>50.950000762939453</v>
      </c>
      <c r="F80" s="89">
        <v>37.919334411621094</v>
      </c>
      <c r="G80" s="89">
        <v>1285601634</v>
      </c>
      <c r="H80" s="89" t="s">
        <v>171</v>
      </c>
    </row>
    <row r="81" spans="1:8" x14ac:dyDescent="0.2">
      <c r="A81" s="90">
        <v>44286</v>
      </c>
      <c r="B81" s="89">
        <v>50.799999237060547</v>
      </c>
      <c r="C81" s="89">
        <v>54.049999237060547</v>
      </c>
      <c r="D81" s="89">
        <v>49.5</v>
      </c>
      <c r="E81" s="89">
        <v>52</v>
      </c>
      <c r="F81" s="89">
        <v>38.700790405273438</v>
      </c>
      <c r="G81" s="89">
        <v>581240519</v>
      </c>
      <c r="H81" s="89" t="s">
        <v>171</v>
      </c>
    </row>
    <row r="82" spans="1:8" x14ac:dyDescent="0.2">
      <c r="A82" s="90">
        <v>44316</v>
      </c>
      <c r="B82" s="89">
        <v>50.25</v>
      </c>
      <c r="C82" s="89">
        <v>51.150001525878906</v>
      </c>
      <c r="D82" s="89">
        <v>47.950000762939453</v>
      </c>
      <c r="E82" s="89">
        <v>48.400001525878906</v>
      </c>
      <c r="F82" s="89">
        <v>36.021511077880859</v>
      </c>
      <c r="G82" s="89">
        <v>435961358</v>
      </c>
      <c r="H82" s="89" t="s">
        <v>171</v>
      </c>
    </row>
    <row r="83" spans="1:8" x14ac:dyDescent="0.2">
      <c r="A83" s="90">
        <v>44347</v>
      </c>
      <c r="B83" s="89">
        <v>48.25</v>
      </c>
      <c r="C83" s="89">
        <v>50.049999237060547</v>
      </c>
      <c r="D83" s="89">
        <v>47.299999237060547</v>
      </c>
      <c r="E83" s="89">
        <v>48.549999237060547</v>
      </c>
      <c r="F83" s="89">
        <v>37.398952484130859</v>
      </c>
      <c r="G83" s="89">
        <v>503036025</v>
      </c>
      <c r="H83" s="89" t="s">
        <v>171</v>
      </c>
    </row>
    <row r="84" spans="1:8" x14ac:dyDescent="0.2">
      <c r="A84" s="90">
        <v>44377</v>
      </c>
      <c r="B84" s="89">
        <v>48.549999237060547</v>
      </c>
      <c r="C84" s="89">
        <v>51.099998474121094</v>
      </c>
      <c r="D84" s="89">
        <v>46.5</v>
      </c>
      <c r="E84" s="89">
        <v>47.849998474121094</v>
      </c>
      <c r="F84" s="89">
        <v>36.859733581542969</v>
      </c>
      <c r="G84" s="89">
        <v>719808164</v>
      </c>
      <c r="H84" s="89" t="s">
        <v>171</v>
      </c>
    </row>
    <row r="85" spans="1:8" x14ac:dyDescent="0.2">
      <c r="A85" s="90">
        <v>44408</v>
      </c>
      <c r="B85" s="89">
        <v>48</v>
      </c>
      <c r="C85" s="89">
        <v>52.950000762939453</v>
      </c>
      <c r="D85" s="89">
        <v>46.950000762939453</v>
      </c>
      <c r="E85" s="89">
        <v>47.150001525878906</v>
      </c>
      <c r="F85" s="89">
        <v>36.320510864257812</v>
      </c>
      <c r="G85" s="89">
        <v>718744760</v>
      </c>
      <c r="H85" s="89" t="s">
        <v>171</v>
      </c>
    </row>
    <row r="86" spans="1:8" x14ac:dyDescent="0.2">
      <c r="A86" s="90">
        <v>44439</v>
      </c>
      <c r="B86" s="89">
        <v>47.150001525878906</v>
      </c>
      <c r="C86" s="89">
        <v>49.950000762939453</v>
      </c>
      <c r="D86" s="89">
        <v>46.599998474121094</v>
      </c>
      <c r="E86" s="89">
        <v>46.950000762939453</v>
      </c>
      <c r="F86" s="89">
        <v>37.366596221923828</v>
      </c>
      <c r="G86" s="89">
        <v>449893180</v>
      </c>
      <c r="H86" s="89" t="s">
        <v>171</v>
      </c>
    </row>
    <row r="87" spans="1:8" x14ac:dyDescent="0.2">
      <c r="A87" s="90">
        <v>44469</v>
      </c>
      <c r="B87" s="89">
        <v>46.950000762939453</v>
      </c>
      <c r="C87" s="89">
        <v>49.5</v>
      </c>
      <c r="D87" s="89">
        <v>46.400001525878906</v>
      </c>
      <c r="E87" s="89">
        <v>48.25</v>
      </c>
      <c r="F87" s="89">
        <v>38.401241302490234</v>
      </c>
      <c r="G87" s="89">
        <v>289101797</v>
      </c>
      <c r="H87" s="89" t="s">
        <v>171</v>
      </c>
    </row>
    <row r="88" spans="1:8" x14ac:dyDescent="0.2">
      <c r="A88" s="90">
        <v>44500</v>
      </c>
      <c r="B88" s="89">
        <v>48.400001525878906</v>
      </c>
      <c r="C88" s="89">
        <v>49.299999237060547</v>
      </c>
      <c r="D88" s="89">
        <v>46.400001525878906</v>
      </c>
      <c r="E88" s="89">
        <v>46.599998474121094</v>
      </c>
      <c r="F88" s="89">
        <v>37.088035583496094</v>
      </c>
      <c r="G88" s="89">
        <v>346163185</v>
      </c>
      <c r="H88" s="89" t="s">
        <v>171</v>
      </c>
    </row>
    <row r="89" spans="1:8" x14ac:dyDescent="0.2">
      <c r="A89" s="90">
        <v>44530</v>
      </c>
      <c r="B89" s="89">
        <v>46.700000762939453</v>
      </c>
      <c r="C89" s="89">
        <v>47.900001525878906</v>
      </c>
      <c r="D89" s="89">
        <v>45.900001525878906</v>
      </c>
      <c r="E89" s="89">
        <v>46.799999237060547</v>
      </c>
      <c r="F89" s="89">
        <v>37.247211456298828</v>
      </c>
      <c r="G89" s="89">
        <v>326575417</v>
      </c>
      <c r="H89" s="89" t="s">
        <v>171</v>
      </c>
    </row>
    <row r="90" spans="1:8" x14ac:dyDescent="0.2">
      <c r="A90" s="90">
        <v>44561</v>
      </c>
      <c r="B90" s="89">
        <v>47</v>
      </c>
      <c r="C90" s="89">
        <v>53.799999237060547</v>
      </c>
      <c r="D90" s="89">
        <v>46.799999237060547</v>
      </c>
      <c r="E90" s="89">
        <v>52.75</v>
      </c>
      <c r="F90" s="89">
        <v>41.982700347900391</v>
      </c>
      <c r="G90" s="89">
        <v>644112009</v>
      </c>
      <c r="H90" s="89" t="s">
        <v>171</v>
      </c>
    </row>
    <row r="91" spans="1:8" x14ac:dyDescent="0.2">
      <c r="A91" s="90">
        <v>44592</v>
      </c>
      <c r="B91" s="89">
        <v>52.75</v>
      </c>
      <c r="C91" s="89">
        <v>58.650001525878906</v>
      </c>
      <c r="D91" s="89">
        <v>51.75</v>
      </c>
      <c r="E91" s="89">
        <v>52.799999237060547</v>
      </c>
      <c r="F91" s="89">
        <v>42.022495269775391</v>
      </c>
      <c r="G91" s="89">
        <v>682932162</v>
      </c>
      <c r="H91" s="89" t="s">
        <v>171</v>
      </c>
    </row>
    <row r="92" spans="1:8" x14ac:dyDescent="0.2">
      <c r="A92" s="90">
        <v>44620</v>
      </c>
      <c r="B92" s="89">
        <v>52.549999237060547</v>
      </c>
      <c r="C92" s="89">
        <v>57.099998474121094</v>
      </c>
      <c r="D92" s="89">
        <v>47.799999237060547</v>
      </c>
      <c r="E92" s="89">
        <v>54.150001525878906</v>
      </c>
      <c r="F92" s="89">
        <v>43.096935272216797</v>
      </c>
      <c r="G92" s="89">
        <v>806687152</v>
      </c>
      <c r="H92" s="89" t="s">
        <v>171</v>
      </c>
    </row>
    <row r="93" spans="1:8" x14ac:dyDescent="0.2">
      <c r="A93" s="90">
        <v>44651</v>
      </c>
      <c r="B93" s="89">
        <v>53.700000762939453</v>
      </c>
      <c r="C93" s="89">
        <v>56.099998474121094</v>
      </c>
      <c r="D93" s="89">
        <v>51.150001525878906</v>
      </c>
      <c r="E93" s="89">
        <v>52.400001525878906</v>
      </c>
      <c r="F93" s="89">
        <v>41.704143524169922</v>
      </c>
      <c r="G93" s="89">
        <v>426643614</v>
      </c>
      <c r="H93" s="89" t="s">
        <v>171</v>
      </c>
    </row>
    <row r="94" spans="1:8" x14ac:dyDescent="0.2">
      <c r="A94" s="90">
        <v>44681</v>
      </c>
      <c r="B94" s="89">
        <v>52.400001525878906</v>
      </c>
      <c r="C94" s="89">
        <v>53</v>
      </c>
      <c r="D94" s="89">
        <v>50</v>
      </c>
      <c r="E94" s="89">
        <v>50.650001525878906</v>
      </c>
      <c r="F94" s="89">
        <v>40.311351776123047</v>
      </c>
      <c r="G94" s="89">
        <v>596264038</v>
      </c>
      <c r="H94" s="89" t="s">
        <v>171</v>
      </c>
    </row>
    <row r="95" spans="1:8" x14ac:dyDescent="0.2">
      <c r="A95" s="90">
        <v>44712</v>
      </c>
      <c r="B95" s="89">
        <v>50.200000762939453</v>
      </c>
      <c r="C95" s="89">
        <v>50.900001525878906</v>
      </c>
      <c r="D95" s="89">
        <v>48.700000762939453</v>
      </c>
      <c r="E95" s="89">
        <v>49</v>
      </c>
      <c r="F95" s="89">
        <v>40.875808715820312</v>
      </c>
      <c r="G95" s="89">
        <v>436704349</v>
      </c>
      <c r="H95" s="89" t="s">
        <v>171</v>
      </c>
    </row>
    <row r="96" spans="1:8" x14ac:dyDescent="0.2">
      <c r="A96" s="90">
        <v>44742</v>
      </c>
      <c r="B96" s="89">
        <v>49</v>
      </c>
      <c r="C96" s="89">
        <v>50.799999237060547</v>
      </c>
      <c r="D96" s="89">
        <v>48.5</v>
      </c>
      <c r="E96" s="89">
        <v>49.650001525878906</v>
      </c>
      <c r="F96" s="89">
        <v>41.418041229248047</v>
      </c>
      <c r="G96" s="89">
        <v>284427599</v>
      </c>
      <c r="H96" s="89" t="s">
        <v>171</v>
      </c>
    </row>
    <row r="97" spans="1:8" x14ac:dyDescent="0.2">
      <c r="A97" s="90">
        <v>44773</v>
      </c>
      <c r="B97" s="89">
        <v>49.400001525878906</v>
      </c>
      <c r="C97" s="89">
        <v>53.150001525878906</v>
      </c>
      <c r="D97" s="89">
        <v>48.900001525878906</v>
      </c>
      <c r="E97" s="89">
        <v>52.599998474121094</v>
      </c>
      <c r="F97" s="89">
        <v>43.878929138183594</v>
      </c>
      <c r="G97" s="89">
        <v>428972176</v>
      </c>
      <c r="H97" s="89" t="s">
        <v>171</v>
      </c>
    </row>
    <row r="98" spans="1:8" x14ac:dyDescent="0.2">
      <c r="A98" s="90">
        <v>44804</v>
      </c>
      <c r="B98" s="89">
        <v>52.400001525878906</v>
      </c>
      <c r="C98" s="89">
        <v>52.650001525878906</v>
      </c>
      <c r="D98" s="89">
        <v>49.150001525878906</v>
      </c>
      <c r="E98" s="89">
        <v>49.900001525878906</v>
      </c>
      <c r="F98" s="89">
        <v>41.626590728759766</v>
      </c>
      <c r="G98" s="89">
        <v>446907364</v>
      </c>
      <c r="H98" s="89" t="s">
        <v>171</v>
      </c>
    </row>
    <row r="99" spans="1:8" x14ac:dyDescent="0.2">
      <c r="A99" s="90">
        <v>44834</v>
      </c>
      <c r="B99" s="89">
        <v>49.25</v>
      </c>
      <c r="C99" s="89">
        <v>50.950000762939453</v>
      </c>
      <c r="D99" s="89">
        <v>46.799999237060547</v>
      </c>
      <c r="E99" s="89">
        <v>47.25</v>
      </c>
      <c r="F99" s="89">
        <v>41.158973693847656</v>
      </c>
      <c r="G99" s="89">
        <v>370700685</v>
      </c>
      <c r="H99" s="89" t="s">
        <v>171</v>
      </c>
    </row>
    <row r="100" spans="1:8" x14ac:dyDescent="0.2">
      <c r="A100" s="90">
        <v>44865</v>
      </c>
      <c r="B100" s="89">
        <v>47</v>
      </c>
      <c r="C100" s="89">
        <v>52.799999237060547</v>
      </c>
      <c r="D100" s="89">
        <v>46.849998474121094</v>
      </c>
      <c r="E100" s="89">
        <v>51.75</v>
      </c>
      <c r="F100" s="89">
        <v>45.078880310058594</v>
      </c>
      <c r="G100" s="89">
        <v>455318623</v>
      </c>
      <c r="H100" s="89" t="s">
        <v>171</v>
      </c>
    </row>
    <row r="101" spans="1:8" x14ac:dyDescent="0.2">
      <c r="A101" s="90">
        <v>44895</v>
      </c>
      <c r="B101" s="89">
        <v>52.200000762939453</v>
      </c>
      <c r="C101" s="89">
        <v>53.400001525878906</v>
      </c>
      <c r="D101" s="89">
        <v>50.75</v>
      </c>
      <c r="E101" s="89">
        <v>51.75</v>
      </c>
      <c r="F101" s="89">
        <v>45.078880310058594</v>
      </c>
      <c r="G101" s="89">
        <v>482163730</v>
      </c>
      <c r="H101" s="89" t="s">
        <v>171</v>
      </c>
    </row>
    <row r="102" spans="1:8" x14ac:dyDescent="0.2">
      <c r="A102" s="90">
        <v>44926</v>
      </c>
      <c r="B102" s="89">
        <v>51.75</v>
      </c>
      <c r="C102" s="89">
        <v>57.5</v>
      </c>
      <c r="D102" s="89">
        <v>51.200000762939453</v>
      </c>
      <c r="E102" s="89">
        <v>56.200000762939453</v>
      </c>
      <c r="F102" s="89">
        <v>48.955226898193359</v>
      </c>
      <c r="G102" s="89">
        <v>435715087</v>
      </c>
      <c r="H102" s="89" t="s">
        <v>171</v>
      </c>
    </row>
    <row r="103" spans="1:8" x14ac:dyDescent="0.2">
      <c r="A103" s="90">
        <v>44957</v>
      </c>
      <c r="B103" s="89">
        <v>56.150001525878906</v>
      </c>
      <c r="C103" s="89">
        <v>59.450000762939453</v>
      </c>
      <c r="D103" s="89">
        <v>55.799999237060547</v>
      </c>
      <c r="E103" s="89">
        <v>58.799999237060547</v>
      </c>
      <c r="F103" s="89">
        <v>51.220054626464844</v>
      </c>
      <c r="G103" s="89">
        <v>437800867</v>
      </c>
      <c r="H103" s="89" t="s">
        <v>171</v>
      </c>
    </row>
    <row r="104" spans="1:8" x14ac:dyDescent="0.2">
      <c r="A104" s="90">
        <v>44985</v>
      </c>
      <c r="B104" s="89">
        <v>59</v>
      </c>
      <c r="C104" s="89">
        <v>66.099998474121094</v>
      </c>
      <c r="D104" s="89">
        <v>58.900001525878906</v>
      </c>
      <c r="E104" s="89">
        <v>63.599998474121094</v>
      </c>
      <c r="F104" s="89">
        <v>55.401283264160156</v>
      </c>
      <c r="G104" s="89">
        <v>816841270</v>
      </c>
      <c r="H104" s="89" t="s">
        <v>171</v>
      </c>
    </row>
    <row r="105" spans="1:8" x14ac:dyDescent="0.2">
      <c r="A105" s="90">
        <v>45016</v>
      </c>
      <c r="B105" s="89">
        <v>63.099998474121094</v>
      </c>
      <c r="C105" s="89">
        <v>70</v>
      </c>
      <c r="D105" s="89">
        <v>63.099998474121094</v>
      </c>
      <c r="E105" s="89">
        <v>67.650001525878906</v>
      </c>
      <c r="F105" s="89">
        <v>58.92919921875</v>
      </c>
      <c r="G105" s="89">
        <v>388836991</v>
      </c>
      <c r="H105" s="89" t="s">
        <v>171</v>
      </c>
    </row>
    <row r="106" spans="1:8" x14ac:dyDescent="0.2">
      <c r="A106" s="90">
        <v>45046</v>
      </c>
      <c r="B106" s="89">
        <v>67.650001525878906</v>
      </c>
      <c r="C106" s="89">
        <v>70.199996948242188</v>
      </c>
      <c r="D106" s="89">
        <v>62.549999237060547</v>
      </c>
      <c r="E106" s="89">
        <v>63.650001525878906</v>
      </c>
      <c r="F106" s="89">
        <v>55.444839477539062</v>
      </c>
      <c r="G106" s="89">
        <v>423729346</v>
      </c>
      <c r="H106" s="89" t="s">
        <v>171</v>
      </c>
    </row>
    <row r="107" spans="1:8" x14ac:dyDescent="0.2">
      <c r="A107" s="90">
        <v>45077</v>
      </c>
      <c r="B107" s="89">
        <v>63</v>
      </c>
      <c r="C107" s="89">
        <v>66.199996948242188</v>
      </c>
      <c r="D107" s="89">
        <v>62</v>
      </c>
      <c r="E107" s="89">
        <v>64.050003051757812</v>
      </c>
      <c r="F107" s="89">
        <v>55.793277740478516</v>
      </c>
      <c r="G107" s="89">
        <v>332152873</v>
      </c>
      <c r="H107" s="89" t="s">
        <v>171</v>
      </c>
    </row>
    <row r="108" spans="1:8" x14ac:dyDescent="0.2">
      <c r="A108" s="90">
        <v>45107</v>
      </c>
      <c r="B108" s="89">
        <v>64</v>
      </c>
      <c r="C108" s="89">
        <v>65.650001525878906</v>
      </c>
      <c r="D108" s="89">
        <v>62.299999237060547</v>
      </c>
      <c r="E108" s="89">
        <v>64.099998474121094</v>
      </c>
      <c r="F108" s="89">
        <v>57.778907775878906</v>
      </c>
      <c r="G108" s="89">
        <v>288357976</v>
      </c>
      <c r="H108" s="89" t="s">
        <v>171</v>
      </c>
    </row>
    <row r="109" spans="1:8" x14ac:dyDescent="0.2">
      <c r="A109" s="90">
        <v>45138</v>
      </c>
      <c r="B109" s="89">
        <v>64.099998474121094</v>
      </c>
      <c r="C109" s="89">
        <v>67.349998474121094</v>
      </c>
      <c r="D109" s="89">
        <v>63.400001525878906</v>
      </c>
      <c r="E109" s="89">
        <v>67.099998474121094</v>
      </c>
      <c r="F109" s="89">
        <v>60.483066558837891</v>
      </c>
      <c r="G109" s="89">
        <v>377427215</v>
      </c>
      <c r="H109" s="89" t="s">
        <v>171</v>
      </c>
    </row>
    <row r="110" spans="1:8" x14ac:dyDescent="0.2">
      <c r="A110" s="90">
        <v>45169</v>
      </c>
      <c r="B110" s="89">
        <v>67.099998474121094</v>
      </c>
      <c r="C110" s="89">
        <v>68.949996948242188</v>
      </c>
      <c r="D110" s="89">
        <v>64.349998474121094</v>
      </c>
      <c r="E110" s="89">
        <v>65.699996948242188</v>
      </c>
      <c r="F110" s="89">
        <v>59.221122741699219</v>
      </c>
      <c r="G110" s="89">
        <v>279391082</v>
      </c>
      <c r="H110" s="89" t="s">
        <v>171</v>
      </c>
    </row>
    <row r="111" spans="1:8" x14ac:dyDescent="0.2">
      <c r="A111" s="90">
        <v>45199</v>
      </c>
      <c r="B111" s="89">
        <v>65.699996948242188</v>
      </c>
      <c r="C111" s="89">
        <v>66.400001525878906</v>
      </c>
      <c r="D111" s="89">
        <v>60.900001525878906</v>
      </c>
      <c r="E111" s="89">
        <v>61.950000762939453</v>
      </c>
      <c r="F111" s="89">
        <v>57.939167022705078</v>
      </c>
      <c r="G111" s="89">
        <v>300198153</v>
      </c>
      <c r="H111" s="89" t="s">
        <v>171</v>
      </c>
    </row>
    <row r="112" spans="1:8" x14ac:dyDescent="0.2">
      <c r="A112" s="90">
        <v>45230</v>
      </c>
      <c r="B112" s="89">
        <v>61.950000762939453</v>
      </c>
      <c r="C112" s="89">
        <v>63.950000762939453</v>
      </c>
      <c r="D112" s="89">
        <v>61.349998474121094</v>
      </c>
      <c r="E112" s="89">
        <v>63.299999237060547</v>
      </c>
      <c r="F112" s="89">
        <v>59.201763153076172</v>
      </c>
      <c r="G112" s="89">
        <v>265474745</v>
      </c>
      <c r="H112" s="89" t="s">
        <v>171</v>
      </c>
    </row>
    <row r="113" spans="1:8" x14ac:dyDescent="0.2">
      <c r="A113" s="90">
        <v>45260</v>
      </c>
      <c r="B113" s="89">
        <v>63.299999237060547</v>
      </c>
      <c r="C113" s="89">
        <v>65.349998474121094</v>
      </c>
      <c r="D113" s="89">
        <v>61.150001525878906</v>
      </c>
      <c r="E113" s="89">
        <v>64.800003051757812</v>
      </c>
      <c r="F113" s="89">
        <v>60.604652404785156</v>
      </c>
      <c r="G113" s="89">
        <v>289728488</v>
      </c>
      <c r="H113" s="89" t="s">
        <v>171</v>
      </c>
    </row>
    <row r="114" spans="1:8" x14ac:dyDescent="0.2">
      <c r="A114" s="90">
        <v>45291</v>
      </c>
      <c r="B114" s="89">
        <v>64.800003051757812</v>
      </c>
      <c r="C114" s="89">
        <v>68.349998474121094</v>
      </c>
      <c r="D114" s="89">
        <v>63</v>
      </c>
      <c r="E114" s="89">
        <v>66.449996948242188</v>
      </c>
      <c r="F114" s="89">
        <v>62.147819519042969</v>
      </c>
      <c r="G114" s="89">
        <v>380801904</v>
      </c>
      <c r="H114" s="89" t="s">
        <v>171</v>
      </c>
    </row>
    <row r="115" spans="1:8" x14ac:dyDescent="0.2">
      <c r="A115" s="90">
        <v>45322</v>
      </c>
      <c r="B115" s="89">
        <v>66.050003051757812</v>
      </c>
      <c r="C115" s="89">
        <v>69.099998474121094</v>
      </c>
      <c r="D115" s="89">
        <v>65.300003051757812</v>
      </c>
      <c r="E115" s="89">
        <v>65.800003051757812</v>
      </c>
      <c r="F115" s="89">
        <v>61.539913177490234</v>
      </c>
      <c r="G115" s="89">
        <v>278126165</v>
      </c>
      <c r="H115" s="89" t="s">
        <v>171</v>
      </c>
    </row>
    <row r="116" spans="1:8" x14ac:dyDescent="0.2">
      <c r="A116" s="90">
        <v>45351</v>
      </c>
      <c r="B116" s="89">
        <v>65.650001525878906</v>
      </c>
      <c r="C116" s="89">
        <v>68.849998474121094</v>
      </c>
      <c r="D116" s="89">
        <v>65.349998474121094</v>
      </c>
      <c r="E116" s="89">
        <v>66.900001525878906</v>
      </c>
      <c r="F116" s="89">
        <v>62.568691253662109</v>
      </c>
      <c r="G116" s="89">
        <v>405256547</v>
      </c>
      <c r="H116" s="89" t="s">
        <v>171</v>
      </c>
    </row>
    <row r="117" spans="1:8" x14ac:dyDescent="0.2">
      <c r="A117" s="90">
        <v>45382</v>
      </c>
      <c r="B117" s="89">
        <v>67.199996948242188</v>
      </c>
      <c r="C117" s="89">
        <v>71.5</v>
      </c>
      <c r="D117" s="89">
        <v>66.650001525878906</v>
      </c>
      <c r="E117" s="89">
        <v>69.900001525878906</v>
      </c>
      <c r="F117" s="89">
        <v>65.374465942382812</v>
      </c>
      <c r="G117" s="89">
        <v>378582378</v>
      </c>
      <c r="H117" s="89" t="s">
        <v>171</v>
      </c>
    </row>
    <row r="118" spans="1:8" x14ac:dyDescent="0.2">
      <c r="A118" s="90">
        <v>45412</v>
      </c>
      <c r="B118" s="89">
        <v>70</v>
      </c>
      <c r="C118" s="89">
        <v>75.5</v>
      </c>
      <c r="D118" s="89">
        <v>68.900001525878906</v>
      </c>
      <c r="E118" s="89">
        <v>75.099998474121094</v>
      </c>
      <c r="F118" s="89">
        <v>70.23779296875</v>
      </c>
      <c r="G118" s="89">
        <v>461259225</v>
      </c>
      <c r="H118" s="89" t="s">
        <v>171</v>
      </c>
    </row>
    <row r="119" spans="1:8" x14ac:dyDescent="0.2">
      <c r="A119" s="90">
        <v>45443</v>
      </c>
      <c r="B119" s="89">
        <v>75.199996948242188</v>
      </c>
      <c r="C119" s="89">
        <v>77.800003051757812</v>
      </c>
      <c r="D119" s="89">
        <v>72.300003051757812</v>
      </c>
      <c r="E119" s="89">
        <v>77</v>
      </c>
      <c r="F119" s="89">
        <v>72.014785766601562</v>
      </c>
      <c r="G119" s="89">
        <v>493022480</v>
      </c>
      <c r="H119" s="89" t="s">
        <v>171</v>
      </c>
    </row>
    <row r="120" spans="1:8" x14ac:dyDescent="0.2">
      <c r="A120" s="90">
        <v>45473</v>
      </c>
      <c r="B120" s="89">
        <v>76.5</v>
      </c>
      <c r="C120" s="89">
        <v>79</v>
      </c>
      <c r="D120" s="89">
        <v>72</v>
      </c>
      <c r="E120" s="89">
        <v>72.599998474121094</v>
      </c>
      <c r="F120" s="89">
        <v>70.122833251953125</v>
      </c>
      <c r="G120" s="89">
        <v>445687878</v>
      </c>
      <c r="H120" s="89" t="s">
        <v>171</v>
      </c>
    </row>
    <row r="121" spans="1:8" x14ac:dyDescent="0.2">
      <c r="A121" s="90">
        <v>45504</v>
      </c>
      <c r="B121" s="89">
        <v>72.650001525878906</v>
      </c>
      <c r="C121" s="89">
        <v>76.699996948242188</v>
      </c>
      <c r="D121" s="89">
        <v>70</v>
      </c>
      <c r="E121" s="89">
        <v>76.199996948242188</v>
      </c>
      <c r="F121" s="89">
        <v>73.599998474121094</v>
      </c>
      <c r="G121" s="89">
        <v>424177039</v>
      </c>
      <c r="H121" s="89" t="s">
        <v>171</v>
      </c>
    </row>
    <row r="122" spans="1:8" x14ac:dyDescent="0.2">
      <c r="A122" s="90">
        <v>45535</v>
      </c>
      <c r="B122" s="89">
        <v>74</v>
      </c>
      <c r="C122" s="89">
        <v>75.949996948242188</v>
      </c>
      <c r="D122" s="89">
        <v>69.5</v>
      </c>
      <c r="E122" s="89">
        <v>73.449996948242188</v>
      </c>
      <c r="F122" s="89">
        <v>70.943832397460938</v>
      </c>
      <c r="G122" s="89">
        <v>573058562</v>
      </c>
      <c r="H122" s="89" t="s">
        <v>171</v>
      </c>
    </row>
    <row r="123" spans="1:8" x14ac:dyDescent="0.2">
      <c r="A123" s="90">
        <v>45565</v>
      </c>
      <c r="B123" s="89">
        <v>73.050003051757812</v>
      </c>
      <c r="C123" s="89">
        <v>77.699996948242188</v>
      </c>
      <c r="D123" s="89">
        <v>70.599998474121094</v>
      </c>
      <c r="E123" s="89">
        <v>71.449996948242188</v>
      </c>
      <c r="F123" s="89">
        <v>71.449996948242188</v>
      </c>
      <c r="G123" s="89">
        <v>710169687</v>
      </c>
      <c r="H123" s="89" t="s">
        <v>171</v>
      </c>
    </row>
    <row r="124" spans="1:8" x14ac:dyDescent="0.2">
      <c r="A124" s="90">
        <v>45596</v>
      </c>
      <c r="B124" s="89">
        <v>71.599998474121094</v>
      </c>
      <c r="C124" s="89">
        <v>72.699996948242188</v>
      </c>
      <c r="D124" s="89">
        <v>68.5</v>
      </c>
      <c r="E124" s="89">
        <v>72.300003051757812</v>
      </c>
      <c r="F124" s="89">
        <v>72.300003051757812</v>
      </c>
      <c r="G124" s="89">
        <v>412717633</v>
      </c>
      <c r="H124" s="89" t="s">
        <v>171</v>
      </c>
    </row>
    <row r="125" spans="1:8" x14ac:dyDescent="0.2">
      <c r="A125" s="90">
        <v>45626</v>
      </c>
      <c r="B125" s="89">
        <v>72.5</v>
      </c>
      <c r="C125" s="89">
        <v>76.5</v>
      </c>
      <c r="D125" s="89">
        <v>71.400001525878906</v>
      </c>
      <c r="E125" s="89">
        <v>76.5</v>
      </c>
      <c r="F125" s="89">
        <v>76.5</v>
      </c>
      <c r="G125" s="89">
        <v>403769394</v>
      </c>
      <c r="H125" s="89" t="s">
        <v>171</v>
      </c>
    </row>
    <row r="126" spans="1:8" x14ac:dyDescent="0.2">
      <c r="A126" s="90">
        <v>45657</v>
      </c>
      <c r="B126" s="89">
        <v>76.599998474121094</v>
      </c>
      <c r="C126" s="89">
        <v>76.699996948242188</v>
      </c>
      <c r="D126" s="89">
        <v>73.5</v>
      </c>
      <c r="E126" s="89">
        <v>75.75</v>
      </c>
      <c r="F126" s="89">
        <v>75.75</v>
      </c>
      <c r="G126" s="89">
        <v>356081206</v>
      </c>
      <c r="H126" s="89" t="s">
        <v>171</v>
      </c>
    </row>
    <row r="127" spans="1:8" x14ac:dyDescent="0.2">
      <c r="A127" s="90">
        <v>42004</v>
      </c>
      <c r="B127" s="89">
        <v>10.399999618530273</v>
      </c>
      <c r="C127" s="89">
        <v>12.359999656677246</v>
      </c>
      <c r="D127" s="89">
        <v>10.380000114440918</v>
      </c>
      <c r="E127" s="89">
        <v>11.720000267028809</v>
      </c>
      <c r="F127" s="89">
        <v>7.9505176544189453</v>
      </c>
      <c r="G127" s="89">
        <v>918020707</v>
      </c>
      <c r="H127" s="89" t="s">
        <v>172</v>
      </c>
    </row>
    <row r="128" spans="1:8" x14ac:dyDescent="0.2">
      <c r="A128" s="90">
        <v>42035</v>
      </c>
      <c r="B128" s="89">
        <v>11.699999809265137</v>
      </c>
      <c r="C128" s="89">
        <v>13.359999656677246</v>
      </c>
      <c r="D128" s="89">
        <v>11.539999961853027</v>
      </c>
      <c r="E128" s="89">
        <v>13.060000419616699</v>
      </c>
      <c r="F128" s="89">
        <v>8.8595352172851562</v>
      </c>
      <c r="G128" s="89">
        <v>778845639</v>
      </c>
      <c r="H128" s="89" t="s">
        <v>172</v>
      </c>
    </row>
    <row r="129" spans="1:8" x14ac:dyDescent="0.2">
      <c r="A129" s="90">
        <v>42063</v>
      </c>
      <c r="B129" s="89">
        <v>13.300000190734863</v>
      </c>
      <c r="C129" s="89">
        <v>13.319999694824219</v>
      </c>
      <c r="D129" s="89">
        <v>11.420000076293945</v>
      </c>
      <c r="E129" s="89">
        <v>11.800000190734863</v>
      </c>
      <c r="F129" s="89">
        <v>8.0047874450683594</v>
      </c>
      <c r="G129" s="89">
        <v>799093905</v>
      </c>
      <c r="H129" s="89" t="s">
        <v>172</v>
      </c>
    </row>
    <row r="130" spans="1:8" x14ac:dyDescent="0.2">
      <c r="A130" s="90">
        <v>42094</v>
      </c>
      <c r="B130" s="89">
        <v>11.920000076293945</v>
      </c>
      <c r="C130" s="89">
        <v>16</v>
      </c>
      <c r="D130" s="89">
        <v>11.779999732971191</v>
      </c>
      <c r="E130" s="89">
        <v>14.560000419616699</v>
      </c>
      <c r="F130" s="89">
        <v>9.8770942687988281</v>
      </c>
      <c r="G130" s="89">
        <v>1578803326</v>
      </c>
      <c r="H130" s="89" t="s">
        <v>172</v>
      </c>
    </row>
    <row r="131" spans="1:8" x14ac:dyDescent="0.2">
      <c r="A131" s="90">
        <v>42124</v>
      </c>
      <c r="B131" s="89">
        <v>14.560000419616699</v>
      </c>
      <c r="C131" s="89">
        <v>15.300000190734863</v>
      </c>
      <c r="D131" s="89">
        <v>13.039999961853027</v>
      </c>
      <c r="E131" s="89">
        <v>13.079999923706055</v>
      </c>
      <c r="F131" s="89">
        <v>8.8731021881103516</v>
      </c>
      <c r="G131" s="89">
        <v>804974200</v>
      </c>
      <c r="H131" s="89" t="s">
        <v>172</v>
      </c>
    </row>
    <row r="132" spans="1:8" x14ac:dyDescent="0.2">
      <c r="A132" s="90">
        <v>42155</v>
      </c>
      <c r="B132" s="89">
        <v>13.199999809265137</v>
      </c>
      <c r="C132" s="89">
        <v>13.720000267028809</v>
      </c>
      <c r="D132" s="89">
        <v>11.460000038146973</v>
      </c>
      <c r="E132" s="89">
        <v>12.199999809265137</v>
      </c>
      <c r="F132" s="89">
        <v>8.4269990921020508</v>
      </c>
      <c r="G132" s="89">
        <v>738304517</v>
      </c>
      <c r="H132" s="89" t="s">
        <v>172</v>
      </c>
    </row>
    <row r="133" spans="1:8" x14ac:dyDescent="0.2">
      <c r="A133" s="90">
        <v>42185</v>
      </c>
      <c r="B133" s="89">
        <v>12.199999809265137</v>
      </c>
      <c r="C133" s="89">
        <v>12.319999694824219</v>
      </c>
      <c r="D133" s="89">
        <v>9.6800003051757812</v>
      </c>
      <c r="E133" s="89">
        <v>10.939999580383301</v>
      </c>
      <c r="F133" s="89">
        <v>7.5566701889038086</v>
      </c>
      <c r="G133" s="89">
        <v>1010210122</v>
      </c>
      <c r="H133" s="89" t="s">
        <v>172</v>
      </c>
    </row>
    <row r="134" spans="1:8" x14ac:dyDescent="0.2">
      <c r="A134" s="90">
        <v>42216</v>
      </c>
      <c r="B134" s="89">
        <v>11</v>
      </c>
      <c r="C134" s="89">
        <v>11.319999694824219</v>
      </c>
      <c r="D134" s="89">
        <v>9.8999996185302734</v>
      </c>
      <c r="E134" s="89">
        <v>10.180000305175781</v>
      </c>
      <c r="F134" s="89">
        <v>7.031710147857666</v>
      </c>
      <c r="G134" s="89">
        <v>1075602999</v>
      </c>
      <c r="H134" s="89" t="s">
        <v>172</v>
      </c>
    </row>
    <row r="135" spans="1:8" x14ac:dyDescent="0.2">
      <c r="A135" s="90">
        <v>42247</v>
      </c>
      <c r="B135" s="89">
        <v>10.180000305175781</v>
      </c>
      <c r="C135" s="89">
        <v>10.579999923706055</v>
      </c>
      <c r="D135" s="89">
        <v>9.4499998092651367</v>
      </c>
      <c r="E135" s="89">
        <v>9.8100004196166992</v>
      </c>
      <c r="F135" s="89">
        <v>6.7761373519897461</v>
      </c>
      <c r="G135" s="89">
        <v>636667559</v>
      </c>
      <c r="H135" s="89" t="s">
        <v>172</v>
      </c>
    </row>
    <row r="136" spans="1:8" x14ac:dyDescent="0.2">
      <c r="A136" s="90">
        <v>42277</v>
      </c>
      <c r="B136" s="89">
        <v>9.8100004196166992</v>
      </c>
      <c r="C136" s="89">
        <v>11.359999656677246</v>
      </c>
      <c r="D136" s="89">
        <v>9.3100004196166992</v>
      </c>
      <c r="E136" s="89">
        <v>9.5699996948242188</v>
      </c>
      <c r="F136" s="89">
        <v>6.6103606224060059</v>
      </c>
      <c r="G136" s="89">
        <v>1445185989</v>
      </c>
      <c r="H136" s="89" t="s">
        <v>172</v>
      </c>
    </row>
    <row r="137" spans="1:8" x14ac:dyDescent="0.2">
      <c r="A137" s="90">
        <v>42308</v>
      </c>
      <c r="B137" s="89">
        <v>9.4499998092651367</v>
      </c>
      <c r="C137" s="89">
        <v>10.319999694824219</v>
      </c>
      <c r="D137" s="89">
        <v>9.3400001525878906</v>
      </c>
      <c r="E137" s="89">
        <v>9.6000003814697266</v>
      </c>
      <c r="F137" s="89">
        <v>6.6310830116271973</v>
      </c>
      <c r="G137" s="89">
        <v>935476617</v>
      </c>
      <c r="H137" s="89" t="s">
        <v>172</v>
      </c>
    </row>
    <row r="138" spans="1:8" x14ac:dyDescent="0.2">
      <c r="A138" s="90">
        <v>42338</v>
      </c>
      <c r="B138" s="89">
        <v>9.6899995803833008</v>
      </c>
      <c r="C138" s="89">
        <v>9.8000001907348633</v>
      </c>
      <c r="D138" s="89">
        <v>8.8999996185302734</v>
      </c>
      <c r="E138" s="89">
        <v>9.4499998092651367</v>
      </c>
      <c r="F138" s="89">
        <v>6.527472972869873</v>
      </c>
      <c r="G138" s="89">
        <v>775211130</v>
      </c>
      <c r="H138" s="89" t="s">
        <v>172</v>
      </c>
    </row>
    <row r="139" spans="1:8" x14ac:dyDescent="0.2">
      <c r="A139" s="90">
        <v>42369</v>
      </c>
      <c r="B139" s="89">
        <v>9.4499998092651367</v>
      </c>
      <c r="C139" s="89">
        <v>9.4499998092651367</v>
      </c>
      <c r="D139" s="89">
        <v>7.869999885559082</v>
      </c>
      <c r="E139" s="89">
        <v>8.5500001907348633</v>
      </c>
      <c r="F139" s="89">
        <v>5.9058074951171875</v>
      </c>
      <c r="G139" s="89">
        <v>720241271</v>
      </c>
      <c r="H139" s="89" t="s">
        <v>172</v>
      </c>
    </row>
    <row r="140" spans="1:8" x14ac:dyDescent="0.2">
      <c r="A140" s="90">
        <v>42400</v>
      </c>
      <c r="B140" s="89">
        <v>8.619999885559082</v>
      </c>
      <c r="C140" s="89">
        <v>9.1499996185302734</v>
      </c>
      <c r="D140" s="89">
        <v>8</v>
      </c>
      <c r="E140" s="89">
        <v>8.8599996566772461</v>
      </c>
      <c r="F140" s="89">
        <v>6.1199355125427246</v>
      </c>
      <c r="G140" s="89">
        <v>544814988</v>
      </c>
      <c r="H140" s="89" t="s">
        <v>172</v>
      </c>
    </row>
    <row r="141" spans="1:8" x14ac:dyDescent="0.2">
      <c r="A141" s="90">
        <v>42429</v>
      </c>
      <c r="B141" s="89">
        <v>8.869999885559082</v>
      </c>
      <c r="C141" s="89">
        <v>10.260000228881836</v>
      </c>
      <c r="D141" s="89">
        <v>8.8199996948242188</v>
      </c>
      <c r="E141" s="89">
        <v>10.239999771118164</v>
      </c>
      <c r="F141" s="89">
        <v>7.0731549263000488</v>
      </c>
      <c r="G141" s="89">
        <v>833044887</v>
      </c>
      <c r="H141" s="89" t="s">
        <v>172</v>
      </c>
    </row>
    <row r="142" spans="1:8" x14ac:dyDescent="0.2">
      <c r="A142" s="90">
        <v>42460</v>
      </c>
      <c r="B142" s="89">
        <v>10.119999885559082</v>
      </c>
      <c r="C142" s="89">
        <v>10.199999809265137</v>
      </c>
      <c r="D142" s="89">
        <v>9.119999885559082</v>
      </c>
      <c r="E142" s="89">
        <v>9.1599998474121094</v>
      </c>
      <c r="F142" s="89">
        <v>6.3271570205688477</v>
      </c>
      <c r="G142" s="89">
        <v>719376228</v>
      </c>
      <c r="H142" s="89" t="s">
        <v>172</v>
      </c>
    </row>
    <row r="143" spans="1:8" x14ac:dyDescent="0.2">
      <c r="A143" s="90">
        <v>42490</v>
      </c>
      <c r="B143" s="89">
        <v>9.1599998474121094</v>
      </c>
      <c r="C143" s="89">
        <v>9.369999885559082</v>
      </c>
      <c r="D143" s="89">
        <v>8.130000114440918</v>
      </c>
      <c r="E143" s="89">
        <v>8.3900003433227539</v>
      </c>
      <c r="F143" s="89">
        <v>5.7952899932861328</v>
      </c>
      <c r="G143" s="89">
        <v>688313291</v>
      </c>
      <c r="H143" s="89" t="s">
        <v>172</v>
      </c>
    </row>
    <row r="144" spans="1:8" x14ac:dyDescent="0.2">
      <c r="A144" s="90">
        <v>42521</v>
      </c>
      <c r="B144" s="89">
        <v>8.3999996185302734</v>
      </c>
      <c r="C144" s="89">
        <v>8.75</v>
      </c>
      <c r="D144" s="89">
        <v>7.6999998092651367</v>
      </c>
      <c r="E144" s="89">
        <v>8.0200004577636719</v>
      </c>
      <c r="F144" s="89">
        <v>5.6685781478881836</v>
      </c>
      <c r="G144" s="89">
        <v>613666617</v>
      </c>
      <c r="H144" s="89" t="s">
        <v>172</v>
      </c>
    </row>
    <row r="145" spans="1:8" x14ac:dyDescent="0.2">
      <c r="A145" s="90">
        <v>42551</v>
      </c>
      <c r="B145" s="89">
        <v>8.0200004577636719</v>
      </c>
      <c r="C145" s="89">
        <v>8.380000114440918</v>
      </c>
      <c r="D145" s="89">
        <v>7.75</v>
      </c>
      <c r="E145" s="89">
        <v>8.2700004577636719</v>
      </c>
      <c r="F145" s="89">
        <v>5.8452801704406738</v>
      </c>
      <c r="G145" s="89">
        <v>1253920306</v>
      </c>
      <c r="H145" s="89" t="s">
        <v>172</v>
      </c>
    </row>
    <row r="146" spans="1:8" x14ac:dyDescent="0.2">
      <c r="A146" s="90">
        <v>42582</v>
      </c>
      <c r="B146" s="89">
        <v>8.25</v>
      </c>
      <c r="C146" s="89">
        <v>9.3900003433227539</v>
      </c>
      <c r="D146" s="89">
        <v>8.0200004577636719</v>
      </c>
      <c r="E146" s="89">
        <v>8.7899999618530273</v>
      </c>
      <c r="F146" s="89">
        <v>6.2128181457519531</v>
      </c>
      <c r="G146" s="89">
        <v>1166214975</v>
      </c>
      <c r="H146" s="89" t="s">
        <v>172</v>
      </c>
    </row>
    <row r="147" spans="1:8" x14ac:dyDescent="0.2">
      <c r="A147" s="90">
        <v>42613</v>
      </c>
      <c r="B147" s="89">
        <v>8.8100004196166992</v>
      </c>
      <c r="C147" s="89">
        <v>9.7299995422363281</v>
      </c>
      <c r="D147" s="89">
        <v>8.6400003433227539</v>
      </c>
      <c r="E147" s="89">
        <v>9.3100004196166992</v>
      </c>
      <c r="F147" s="89">
        <v>6.5803570747375488</v>
      </c>
      <c r="G147" s="89">
        <v>985249111</v>
      </c>
      <c r="H147" s="89" t="s">
        <v>172</v>
      </c>
    </row>
    <row r="148" spans="1:8" x14ac:dyDescent="0.2">
      <c r="A148" s="90">
        <v>42643</v>
      </c>
      <c r="B148" s="89">
        <v>9.5200004577636719</v>
      </c>
      <c r="C148" s="89">
        <v>10</v>
      </c>
      <c r="D148" s="89">
        <v>9.0200004577636719</v>
      </c>
      <c r="E148" s="89">
        <v>9.0900001525878906</v>
      </c>
      <c r="F148" s="89">
        <v>6.4248600006103516</v>
      </c>
      <c r="G148" s="89">
        <v>1087276272</v>
      </c>
      <c r="H148" s="89" t="s">
        <v>172</v>
      </c>
    </row>
    <row r="149" spans="1:8" x14ac:dyDescent="0.2">
      <c r="A149" s="90">
        <v>42674</v>
      </c>
      <c r="B149" s="89">
        <v>9.0299997329711914</v>
      </c>
      <c r="C149" s="89">
        <v>9.6400003433227539</v>
      </c>
      <c r="D149" s="89">
        <v>8.3999996185302734</v>
      </c>
      <c r="E149" s="89">
        <v>9.4200000762939453</v>
      </c>
      <c r="F149" s="89">
        <v>6.6581048965454102</v>
      </c>
      <c r="G149" s="89">
        <v>1253873500</v>
      </c>
      <c r="H149" s="89" t="s">
        <v>172</v>
      </c>
    </row>
    <row r="150" spans="1:8" x14ac:dyDescent="0.2">
      <c r="A150" s="90">
        <v>42704</v>
      </c>
      <c r="B150" s="89">
        <v>9.3999996185302734</v>
      </c>
      <c r="C150" s="89">
        <v>9.9799995422363281</v>
      </c>
      <c r="D150" s="89">
        <v>8.7899999618530273</v>
      </c>
      <c r="E150" s="89">
        <v>9.0299997329711914</v>
      </c>
      <c r="F150" s="89">
        <v>6.3824515342712402</v>
      </c>
      <c r="G150" s="89">
        <v>934699139</v>
      </c>
      <c r="H150" s="89" t="s">
        <v>172</v>
      </c>
    </row>
    <row r="151" spans="1:8" x14ac:dyDescent="0.2">
      <c r="A151" s="90">
        <v>42735</v>
      </c>
      <c r="B151" s="89">
        <v>9.0299997329711914</v>
      </c>
      <c r="C151" s="89">
        <v>9.3500003814697266</v>
      </c>
      <c r="D151" s="89">
        <v>8.6700000762939453</v>
      </c>
      <c r="E151" s="89">
        <v>9.2200002670288086</v>
      </c>
      <c r="F151" s="89">
        <v>6.5167450904846191</v>
      </c>
      <c r="G151" s="89">
        <v>846426343</v>
      </c>
      <c r="H151" s="89" t="s">
        <v>172</v>
      </c>
    </row>
    <row r="152" spans="1:8" x14ac:dyDescent="0.2">
      <c r="A152" s="90">
        <v>42766</v>
      </c>
      <c r="B152" s="89">
        <v>9.2100000381469727</v>
      </c>
      <c r="C152" s="89">
        <v>9.8500003814697266</v>
      </c>
      <c r="D152" s="89">
        <v>9.1000003814697266</v>
      </c>
      <c r="E152" s="89">
        <v>9.4399995803833008</v>
      </c>
      <c r="F152" s="89">
        <v>6.6722407341003418</v>
      </c>
      <c r="G152" s="89">
        <v>886438436</v>
      </c>
      <c r="H152" s="89" t="s">
        <v>172</v>
      </c>
    </row>
    <row r="153" spans="1:8" x14ac:dyDescent="0.2">
      <c r="A153" s="90">
        <v>42794</v>
      </c>
      <c r="B153" s="89">
        <v>9.4399995803833008</v>
      </c>
      <c r="C153" s="89">
        <v>10.760000228881836</v>
      </c>
      <c r="D153" s="89">
        <v>9.2200002670288086</v>
      </c>
      <c r="E153" s="89">
        <v>10.399999618530273</v>
      </c>
      <c r="F153" s="89">
        <v>7.3507742881774902</v>
      </c>
      <c r="G153" s="89">
        <v>1382842399</v>
      </c>
      <c r="H153" s="89" t="s">
        <v>172</v>
      </c>
    </row>
    <row r="154" spans="1:8" x14ac:dyDescent="0.2">
      <c r="A154" s="90">
        <v>42825</v>
      </c>
      <c r="B154" s="89">
        <v>10.5</v>
      </c>
      <c r="C154" s="89">
        <v>11.199999809265137</v>
      </c>
      <c r="D154" s="89">
        <v>9.9899997711181641</v>
      </c>
      <c r="E154" s="89">
        <v>10.039999961853027</v>
      </c>
      <c r="F154" s="89">
        <v>7.0963249206542969</v>
      </c>
      <c r="G154" s="89">
        <v>764831560</v>
      </c>
      <c r="H154" s="89" t="s">
        <v>172</v>
      </c>
    </row>
    <row r="155" spans="1:8" x14ac:dyDescent="0.2">
      <c r="A155" s="90">
        <v>42855</v>
      </c>
      <c r="B155" s="89">
        <v>10.039999961853027</v>
      </c>
      <c r="C155" s="89">
        <v>11.359999656677246</v>
      </c>
      <c r="D155" s="89">
        <v>9.8199996948242188</v>
      </c>
      <c r="E155" s="89">
        <v>11.180000305175781</v>
      </c>
      <c r="F155" s="89">
        <v>7.9020829200744629</v>
      </c>
      <c r="G155" s="89">
        <v>866758979</v>
      </c>
      <c r="H155" s="89" t="s">
        <v>172</v>
      </c>
    </row>
    <row r="156" spans="1:8" x14ac:dyDescent="0.2">
      <c r="A156" s="90">
        <v>42886</v>
      </c>
      <c r="B156" s="89">
        <v>11.260000228881836</v>
      </c>
      <c r="C156" s="89">
        <v>12.100000381469727</v>
      </c>
      <c r="D156" s="89">
        <v>10.920000076293945</v>
      </c>
      <c r="E156" s="89">
        <v>11.600000381469727</v>
      </c>
      <c r="F156" s="89">
        <v>8.1989421844482422</v>
      </c>
      <c r="G156" s="89">
        <v>739358434</v>
      </c>
      <c r="H156" s="89" t="s">
        <v>172</v>
      </c>
    </row>
    <row r="157" spans="1:8" x14ac:dyDescent="0.2">
      <c r="A157" s="90">
        <v>42916</v>
      </c>
      <c r="B157" s="89">
        <v>11.520000457763672</v>
      </c>
      <c r="C157" s="89">
        <v>11.819999694824219</v>
      </c>
      <c r="D157" s="89">
        <v>10.380000114440918</v>
      </c>
      <c r="E157" s="89">
        <v>11.340000152587891</v>
      </c>
      <c r="F157" s="89">
        <v>8.0151710510253906</v>
      </c>
      <c r="G157" s="89">
        <v>824447279</v>
      </c>
      <c r="H157" s="89" t="s">
        <v>172</v>
      </c>
    </row>
    <row r="158" spans="1:8" x14ac:dyDescent="0.2">
      <c r="A158" s="90">
        <v>42947</v>
      </c>
      <c r="B158" s="89">
        <v>11.359999656677246</v>
      </c>
      <c r="C158" s="89">
        <v>13.239999771118164</v>
      </c>
      <c r="D158" s="89">
        <v>11.039999961853027</v>
      </c>
      <c r="E158" s="89">
        <v>11.399999618530273</v>
      </c>
      <c r="F158" s="89">
        <v>8.0575790405273438</v>
      </c>
      <c r="G158" s="89">
        <v>1506721498</v>
      </c>
      <c r="H158" s="89" t="s">
        <v>172</v>
      </c>
    </row>
    <row r="159" spans="1:8" x14ac:dyDescent="0.2">
      <c r="A159" s="90">
        <v>42978</v>
      </c>
      <c r="B159" s="89">
        <v>11.359999656677246</v>
      </c>
      <c r="C159" s="89">
        <v>11.760000228881836</v>
      </c>
      <c r="D159" s="89">
        <v>10.760000228881836</v>
      </c>
      <c r="E159" s="89">
        <v>10.859999656677246</v>
      </c>
      <c r="F159" s="89">
        <v>7.6759047508239746</v>
      </c>
      <c r="G159" s="89">
        <v>968751331</v>
      </c>
      <c r="H159" s="89" t="s">
        <v>172</v>
      </c>
    </row>
    <row r="160" spans="1:8" x14ac:dyDescent="0.2">
      <c r="A160" s="90">
        <v>43008</v>
      </c>
      <c r="B160" s="89">
        <v>10.859999656677246</v>
      </c>
      <c r="C160" s="89">
        <v>11.640000343322754</v>
      </c>
      <c r="D160" s="89">
        <v>10.859999656677246</v>
      </c>
      <c r="E160" s="89">
        <v>11.079999923706055</v>
      </c>
      <c r="F160" s="89">
        <v>7.8314023017883301</v>
      </c>
      <c r="G160" s="89">
        <v>712388464</v>
      </c>
      <c r="H160" s="89" t="s">
        <v>172</v>
      </c>
    </row>
    <row r="161" spans="1:8" x14ac:dyDescent="0.2">
      <c r="A161" s="90">
        <v>43039</v>
      </c>
      <c r="B161" s="89">
        <v>11.119999885559082</v>
      </c>
      <c r="C161" s="89">
        <v>12.279999732971191</v>
      </c>
      <c r="D161" s="89">
        <v>11.039999961853027</v>
      </c>
      <c r="E161" s="89">
        <v>11.319999694824219</v>
      </c>
      <c r="F161" s="89">
        <v>8.0010347366333008</v>
      </c>
      <c r="G161" s="89">
        <v>1029120307</v>
      </c>
      <c r="H161" s="89" t="s">
        <v>172</v>
      </c>
    </row>
    <row r="162" spans="1:8" x14ac:dyDescent="0.2">
      <c r="A162" s="90">
        <v>43069</v>
      </c>
      <c r="B162" s="89">
        <v>11.319999694824219</v>
      </c>
      <c r="C162" s="89">
        <v>11.460000038146973</v>
      </c>
      <c r="D162" s="89">
        <v>10.319999694824219</v>
      </c>
      <c r="E162" s="89">
        <v>10.560000419616699</v>
      </c>
      <c r="F162" s="89">
        <v>7.4638633728027344</v>
      </c>
      <c r="G162" s="89">
        <v>626412722</v>
      </c>
      <c r="H162" s="89" t="s">
        <v>172</v>
      </c>
    </row>
    <row r="163" spans="1:8" x14ac:dyDescent="0.2">
      <c r="A163" s="90">
        <v>43100</v>
      </c>
      <c r="B163" s="89">
        <v>10.560000419616699</v>
      </c>
      <c r="C163" s="89">
        <v>11.939999580383301</v>
      </c>
      <c r="D163" s="89">
        <v>10.560000419616699</v>
      </c>
      <c r="E163" s="89">
        <v>11.720000267028809</v>
      </c>
      <c r="F163" s="89">
        <v>8.2837581634521484</v>
      </c>
      <c r="G163" s="89">
        <v>1025800475</v>
      </c>
      <c r="H163" s="89" t="s">
        <v>172</v>
      </c>
    </row>
    <row r="164" spans="1:8" x14ac:dyDescent="0.2">
      <c r="A164" s="90">
        <v>43131</v>
      </c>
      <c r="B164" s="89">
        <v>11.720000267028809</v>
      </c>
      <c r="C164" s="89">
        <v>11.920000076293945</v>
      </c>
      <c r="D164" s="89">
        <v>9.8100004196166992</v>
      </c>
      <c r="E164" s="89">
        <v>10.140000343322754</v>
      </c>
      <c r="F164" s="89">
        <v>7.1670055389404297</v>
      </c>
      <c r="G164" s="89">
        <v>836649773</v>
      </c>
      <c r="H164" s="89" t="s">
        <v>172</v>
      </c>
    </row>
    <row r="165" spans="1:8" x14ac:dyDescent="0.2">
      <c r="A165" s="90">
        <v>43159</v>
      </c>
      <c r="B165" s="89">
        <v>10.020000457763672</v>
      </c>
      <c r="C165" s="89">
        <v>10.119999885559082</v>
      </c>
      <c r="D165" s="89">
        <v>9.1999998092651367</v>
      </c>
      <c r="E165" s="89">
        <v>9.8999996185302734</v>
      </c>
      <c r="F165" s="89">
        <v>6.9973721504211426</v>
      </c>
      <c r="G165" s="89">
        <v>942624309</v>
      </c>
      <c r="H165" s="89" t="s">
        <v>172</v>
      </c>
    </row>
    <row r="166" spans="1:8" x14ac:dyDescent="0.2">
      <c r="A166" s="90">
        <v>43190</v>
      </c>
      <c r="B166" s="89">
        <v>9.8999996185302734</v>
      </c>
      <c r="C166" s="89">
        <v>11.260000228881836</v>
      </c>
      <c r="D166" s="89">
        <v>9.6599998474121094</v>
      </c>
      <c r="E166" s="89">
        <v>11.180000305175781</v>
      </c>
      <c r="F166" s="89">
        <v>7.9020829200744629</v>
      </c>
      <c r="G166" s="89">
        <v>767852190</v>
      </c>
      <c r="H166" s="89" t="s">
        <v>172</v>
      </c>
    </row>
    <row r="167" spans="1:8" x14ac:dyDescent="0.2">
      <c r="A167" s="90">
        <v>43220</v>
      </c>
      <c r="B167" s="89">
        <v>11.180000305175781</v>
      </c>
      <c r="C167" s="89">
        <v>11.439999580383301</v>
      </c>
      <c r="D167" s="89">
        <v>10.520000457763672</v>
      </c>
      <c r="E167" s="89">
        <v>10.659999847412109</v>
      </c>
      <c r="F167" s="89">
        <v>7.5345444679260254</v>
      </c>
      <c r="G167" s="89">
        <v>565836913</v>
      </c>
      <c r="H167" s="89" t="s">
        <v>172</v>
      </c>
    </row>
    <row r="168" spans="1:8" x14ac:dyDescent="0.2">
      <c r="A168" s="90">
        <v>43251</v>
      </c>
      <c r="B168" s="89">
        <v>10.600000381469727</v>
      </c>
      <c r="C168" s="89">
        <v>10.960000038146973</v>
      </c>
      <c r="D168" s="89">
        <v>9.5799999237060547</v>
      </c>
      <c r="E168" s="89">
        <v>9.8000001907348633</v>
      </c>
      <c r="F168" s="89">
        <v>6.9669656753540039</v>
      </c>
      <c r="G168" s="89">
        <v>526989230</v>
      </c>
      <c r="H168" s="89" t="s">
        <v>172</v>
      </c>
    </row>
    <row r="169" spans="1:8" x14ac:dyDescent="0.2">
      <c r="A169" s="90">
        <v>43281</v>
      </c>
      <c r="B169" s="89">
        <v>9.8000001907348633</v>
      </c>
      <c r="C169" s="89">
        <v>9.9499998092651367</v>
      </c>
      <c r="D169" s="89">
        <v>9.2200002670288086</v>
      </c>
      <c r="E169" s="89">
        <v>9.6700000762939453</v>
      </c>
      <c r="F169" s="89">
        <v>6.8745465278625488</v>
      </c>
      <c r="G169" s="89">
        <v>493046863</v>
      </c>
      <c r="H169" s="89" t="s">
        <v>172</v>
      </c>
    </row>
    <row r="170" spans="1:8" x14ac:dyDescent="0.2">
      <c r="A170" s="90">
        <v>43312</v>
      </c>
      <c r="B170" s="89">
        <v>9.6499996185302734</v>
      </c>
      <c r="C170" s="89">
        <v>9.880000114440918</v>
      </c>
      <c r="D170" s="89">
        <v>8.8299999237060547</v>
      </c>
      <c r="E170" s="89">
        <v>9.130000114440918</v>
      </c>
      <c r="F170" s="89">
        <v>6.4906520843505859</v>
      </c>
      <c r="G170" s="89">
        <v>638562109</v>
      </c>
      <c r="H170" s="89" t="s">
        <v>172</v>
      </c>
    </row>
    <row r="171" spans="1:8" x14ac:dyDescent="0.2">
      <c r="A171" s="90">
        <v>43343</v>
      </c>
      <c r="B171" s="89">
        <v>9.1599998474121094</v>
      </c>
      <c r="C171" s="89">
        <v>9.7700004577636719</v>
      </c>
      <c r="D171" s="89">
        <v>8.9799995422363281</v>
      </c>
      <c r="E171" s="89">
        <v>9.2200002670288086</v>
      </c>
      <c r="F171" s="89">
        <v>6.5546355247497559</v>
      </c>
      <c r="G171" s="89">
        <v>820145952</v>
      </c>
      <c r="H171" s="89" t="s">
        <v>172</v>
      </c>
    </row>
    <row r="172" spans="1:8" x14ac:dyDescent="0.2">
      <c r="A172" s="90">
        <v>43373</v>
      </c>
      <c r="B172" s="89">
        <v>9.2200002670288086</v>
      </c>
      <c r="C172" s="89">
        <v>9.2299995422363281</v>
      </c>
      <c r="D172" s="89">
        <v>8.1000003814697266</v>
      </c>
      <c r="E172" s="89">
        <v>8.1400003433227539</v>
      </c>
      <c r="F172" s="89">
        <v>5.7868471145629883</v>
      </c>
      <c r="G172" s="89">
        <v>655861901</v>
      </c>
      <c r="H172" s="89" t="s">
        <v>172</v>
      </c>
    </row>
    <row r="173" spans="1:8" x14ac:dyDescent="0.2">
      <c r="A173" s="90">
        <v>43404</v>
      </c>
      <c r="B173" s="89">
        <v>8.1999998092651367</v>
      </c>
      <c r="C173" s="89">
        <v>9.0900001525878906</v>
      </c>
      <c r="D173" s="89">
        <v>8.1700000762939453</v>
      </c>
      <c r="E173" s="89">
        <v>9.0699996948242188</v>
      </c>
      <c r="F173" s="89">
        <v>6.4479975700378418</v>
      </c>
      <c r="G173" s="89">
        <v>682981557</v>
      </c>
      <c r="H173" s="89" t="s">
        <v>172</v>
      </c>
    </row>
    <row r="174" spans="1:8" x14ac:dyDescent="0.2">
      <c r="A174" s="90">
        <v>43434</v>
      </c>
      <c r="B174" s="89">
        <v>9.119999885559082</v>
      </c>
      <c r="C174" s="89">
        <v>9.1999998092651367</v>
      </c>
      <c r="D174" s="89">
        <v>8.1000003814697266</v>
      </c>
      <c r="E174" s="89">
        <v>8.3599996566772461</v>
      </c>
      <c r="F174" s="89">
        <v>5.9432473182678223</v>
      </c>
      <c r="G174" s="89">
        <v>501041670</v>
      </c>
      <c r="H174" s="89" t="s">
        <v>172</v>
      </c>
    </row>
    <row r="175" spans="1:8" x14ac:dyDescent="0.2">
      <c r="A175" s="90">
        <v>43465</v>
      </c>
      <c r="B175" s="89">
        <v>8.3599996566772461</v>
      </c>
      <c r="C175" s="89">
        <v>9.130000114440918</v>
      </c>
      <c r="D175" s="89">
        <v>8.0200004577636719</v>
      </c>
      <c r="E175" s="89">
        <v>8.9499998092651367</v>
      </c>
      <c r="F175" s="89">
        <v>6.3626880645751953</v>
      </c>
      <c r="G175" s="89">
        <v>677024359</v>
      </c>
      <c r="H175" s="89" t="s">
        <v>172</v>
      </c>
    </row>
    <row r="176" spans="1:8" x14ac:dyDescent="0.2">
      <c r="A176" s="90">
        <v>43496</v>
      </c>
      <c r="B176" s="89">
        <v>9.0500001907348633</v>
      </c>
      <c r="C176" s="89">
        <v>9.7799997329711914</v>
      </c>
      <c r="D176" s="89">
        <v>8.75</v>
      </c>
      <c r="E176" s="89">
        <v>9.3100004196166992</v>
      </c>
      <c r="F176" s="89">
        <v>6.618617057800293</v>
      </c>
      <c r="G176" s="89">
        <v>667424223</v>
      </c>
      <c r="H176" s="89" t="s">
        <v>172</v>
      </c>
    </row>
    <row r="177" spans="1:8" x14ac:dyDescent="0.2">
      <c r="A177" s="90">
        <v>43524</v>
      </c>
      <c r="B177" s="89">
        <v>9.3299999237060547</v>
      </c>
      <c r="C177" s="89">
        <v>10.699999809265137</v>
      </c>
      <c r="D177" s="89">
        <v>9.119999885559082</v>
      </c>
      <c r="E177" s="89">
        <v>9.9499998092651367</v>
      </c>
      <c r="F177" s="89">
        <v>7.0736017227172852</v>
      </c>
      <c r="G177" s="89">
        <v>1042620702</v>
      </c>
      <c r="H177" s="89" t="s">
        <v>172</v>
      </c>
    </row>
    <row r="178" spans="1:8" x14ac:dyDescent="0.2">
      <c r="A178" s="90">
        <v>43555</v>
      </c>
      <c r="B178" s="89">
        <v>10.100000381469727</v>
      </c>
      <c r="C178" s="89">
        <v>10.5</v>
      </c>
      <c r="D178" s="89">
        <v>9.1499996185302734</v>
      </c>
      <c r="E178" s="89">
        <v>9.3100004196166992</v>
      </c>
      <c r="F178" s="89">
        <v>6.618617057800293</v>
      </c>
      <c r="G178" s="89">
        <v>603728927</v>
      </c>
      <c r="H178" s="89" t="s">
        <v>172</v>
      </c>
    </row>
    <row r="179" spans="1:8" x14ac:dyDescent="0.2">
      <c r="A179" s="90">
        <v>43585</v>
      </c>
      <c r="B179" s="89">
        <v>9.3100004196166992</v>
      </c>
      <c r="C179" s="89">
        <v>9.3299999237060547</v>
      </c>
      <c r="D179" s="89">
        <v>8.130000114440918</v>
      </c>
      <c r="E179" s="89">
        <v>8.2700004577636719</v>
      </c>
      <c r="F179" s="89">
        <v>5.8792662620544434</v>
      </c>
      <c r="G179" s="89">
        <v>510975316</v>
      </c>
      <c r="H179" s="89" t="s">
        <v>172</v>
      </c>
    </row>
    <row r="180" spans="1:8" x14ac:dyDescent="0.2">
      <c r="A180" s="90">
        <v>43616</v>
      </c>
      <c r="B180" s="89">
        <v>8.369999885559082</v>
      </c>
      <c r="C180" s="89">
        <v>8.7600002288818359</v>
      </c>
      <c r="D180" s="89">
        <v>8.2600002288818359</v>
      </c>
      <c r="E180" s="89">
        <v>8.5699996948242188</v>
      </c>
      <c r="F180" s="89">
        <v>6.2037434577941895</v>
      </c>
      <c r="G180" s="89">
        <v>420818726</v>
      </c>
      <c r="H180" s="89" t="s">
        <v>172</v>
      </c>
    </row>
    <row r="181" spans="1:8" x14ac:dyDescent="0.2">
      <c r="A181" s="90">
        <v>43646</v>
      </c>
      <c r="B181" s="89">
        <v>8.5699996948242188</v>
      </c>
      <c r="C181" s="89">
        <v>8.75</v>
      </c>
      <c r="D181" s="89">
        <v>7.5900001525878906</v>
      </c>
      <c r="E181" s="89">
        <v>7.6599998474121094</v>
      </c>
      <c r="F181" s="89">
        <v>5.5450024604797363</v>
      </c>
      <c r="G181" s="89">
        <v>543741178</v>
      </c>
      <c r="H181" s="89" t="s">
        <v>172</v>
      </c>
    </row>
    <row r="182" spans="1:8" x14ac:dyDescent="0.2">
      <c r="A182" s="90">
        <v>43677</v>
      </c>
      <c r="B182" s="89">
        <v>7.7600002288818359</v>
      </c>
      <c r="C182" s="89">
        <v>8.1400003433227539</v>
      </c>
      <c r="D182" s="89">
        <v>6.9600000381469727</v>
      </c>
      <c r="E182" s="89">
        <v>7.809999942779541</v>
      </c>
      <c r="F182" s="89">
        <v>5.6535859107971191</v>
      </c>
      <c r="G182" s="89">
        <v>1049857558</v>
      </c>
      <c r="H182" s="89" t="s">
        <v>172</v>
      </c>
    </row>
    <row r="183" spans="1:8" x14ac:dyDescent="0.2">
      <c r="A183" s="90">
        <v>43708</v>
      </c>
      <c r="B183" s="89">
        <v>7.8000001907348633</v>
      </c>
      <c r="C183" s="89">
        <v>8.5600004196166992</v>
      </c>
      <c r="D183" s="89">
        <v>7.6700000762939453</v>
      </c>
      <c r="E183" s="89">
        <v>8.3199996948242188</v>
      </c>
      <c r="F183" s="89">
        <v>6.0227699279785156</v>
      </c>
      <c r="G183" s="89">
        <v>726383983</v>
      </c>
      <c r="H183" s="89" t="s">
        <v>172</v>
      </c>
    </row>
    <row r="184" spans="1:8" x14ac:dyDescent="0.2">
      <c r="A184" s="90">
        <v>43738</v>
      </c>
      <c r="B184" s="89">
        <v>8.3199996948242188</v>
      </c>
      <c r="C184" s="89">
        <v>8.7600002288818359</v>
      </c>
      <c r="D184" s="89">
        <v>7.7600002288818359</v>
      </c>
      <c r="E184" s="89">
        <v>7.7699999809265137</v>
      </c>
      <c r="F184" s="89">
        <v>5.6246304512023926</v>
      </c>
      <c r="G184" s="89">
        <v>673961716</v>
      </c>
      <c r="H184" s="89" t="s">
        <v>172</v>
      </c>
    </row>
    <row r="185" spans="1:8" x14ac:dyDescent="0.2">
      <c r="A185" s="90">
        <v>43769</v>
      </c>
      <c r="B185" s="89">
        <v>7.7699999809265137</v>
      </c>
      <c r="C185" s="89">
        <v>8.0200004577636719</v>
      </c>
      <c r="D185" s="89">
        <v>6.6500000953674316</v>
      </c>
      <c r="E185" s="89">
        <v>6.6999998092651367</v>
      </c>
      <c r="F185" s="89">
        <v>4.8500676155090332</v>
      </c>
      <c r="G185" s="89">
        <v>652905110</v>
      </c>
      <c r="H185" s="89" t="s">
        <v>172</v>
      </c>
    </row>
    <row r="186" spans="1:8" x14ac:dyDescent="0.2">
      <c r="A186" s="90">
        <v>43799</v>
      </c>
      <c r="B186" s="89">
        <v>6.690000057220459</v>
      </c>
      <c r="C186" s="89">
        <v>7.369999885559082</v>
      </c>
      <c r="D186" s="89">
        <v>6.5199999809265137</v>
      </c>
      <c r="E186" s="89">
        <v>7.3400001525878906</v>
      </c>
      <c r="F186" s="89">
        <v>5.3133578300476074</v>
      </c>
      <c r="G186" s="89">
        <v>548799538</v>
      </c>
      <c r="H186" s="89" t="s">
        <v>172</v>
      </c>
    </row>
    <row r="187" spans="1:8" x14ac:dyDescent="0.2">
      <c r="A187" s="90">
        <v>43830</v>
      </c>
      <c r="B187" s="89">
        <v>7.3400001525878906</v>
      </c>
      <c r="C187" s="89">
        <v>7.369999885559082</v>
      </c>
      <c r="D187" s="89">
        <v>6.5</v>
      </c>
      <c r="E187" s="89">
        <v>6.5399999618530273</v>
      </c>
      <c r="F187" s="89">
        <v>4.7342448234558105</v>
      </c>
      <c r="G187" s="89">
        <v>636072032</v>
      </c>
      <c r="H187" s="89" t="s">
        <v>172</v>
      </c>
    </row>
    <row r="188" spans="1:8" x14ac:dyDescent="0.2">
      <c r="A188" s="90">
        <v>43861</v>
      </c>
      <c r="B188" s="89">
        <v>6.5300002098083496</v>
      </c>
      <c r="C188" s="89">
        <v>6.9200000762939453</v>
      </c>
      <c r="D188" s="89">
        <v>6.1399998664855957</v>
      </c>
      <c r="E188" s="89">
        <v>6.1500000953674316</v>
      </c>
      <c r="F188" s="89">
        <v>4.4519271850585938</v>
      </c>
      <c r="G188" s="89">
        <v>588575926</v>
      </c>
      <c r="H188" s="89" t="s">
        <v>172</v>
      </c>
    </row>
    <row r="189" spans="1:8" x14ac:dyDescent="0.2">
      <c r="A189" s="90">
        <v>43890</v>
      </c>
      <c r="B189" s="89">
        <v>6.2800002098083496</v>
      </c>
      <c r="C189" s="89">
        <v>6.3499999046325684</v>
      </c>
      <c r="D189" s="89">
        <v>3.8399999141693115</v>
      </c>
      <c r="E189" s="89">
        <v>4.4699997901916504</v>
      </c>
      <c r="F189" s="89">
        <v>3.2357912063598633</v>
      </c>
      <c r="G189" s="89">
        <v>1368354180</v>
      </c>
      <c r="H189" s="89" t="s">
        <v>172</v>
      </c>
    </row>
    <row r="190" spans="1:8" x14ac:dyDescent="0.2">
      <c r="A190" s="90">
        <v>43921</v>
      </c>
      <c r="B190" s="89">
        <v>4.5</v>
      </c>
      <c r="C190" s="89">
        <v>5.3600001335144043</v>
      </c>
      <c r="D190" s="89">
        <v>4.4099998474121094</v>
      </c>
      <c r="E190" s="89">
        <v>5.0100002288818359</v>
      </c>
      <c r="F190" s="89">
        <v>3.6266922950744629</v>
      </c>
      <c r="G190" s="89">
        <v>1048312810</v>
      </c>
      <c r="H190" s="89" t="s">
        <v>172</v>
      </c>
    </row>
    <row r="191" spans="1:8" x14ac:dyDescent="0.2">
      <c r="A191" s="90">
        <v>43951</v>
      </c>
      <c r="B191" s="89">
        <v>5.0100002288818359</v>
      </c>
      <c r="C191" s="89">
        <v>5.0900001525878906</v>
      </c>
      <c r="D191" s="89">
        <v>4.320000171661377</v>
      </c>
      <c r="E191" s="89">
        <v>4.4899997711181641</v>
      </c>
      <c r="F191" s="89">
        <v>3.2502689361572266</v>
      </c>
      <c r="G191" s="89">
        <v>982025498</v>
      </c>
      <c r="H191" s="89" t="s">
        <v>172</v>
      </c>
    </row>
    <row r="192" spans="1:8" x14ac:dyDescent="0.2">
      <c r="A192" s="90">
        <v>43982</v>
      </c>
      <c r="B192" s="89">
        <v>4.4600000381469727</v>
      </c>
      <c r="C192" s="89">
        <v>4.7300000190734863</v>
      </c>
      <c r="D192" s="89">
        <v>4.1399998664855957</v>
      </c>
      <c r="E192" s="89">
        <v>4.190000057220459</v>
      </c>
      <c r="F192" s="89">
        <v>3.0331017971038818</v>
      </c>
      <c r="G192" s="89">
        <v>1055672702</v>
      </c>
      <c r="H192" s="89" t="s">
        <v>172</v>
      </c>
    </row>
    <row r="193" spans="1:8" x14ac:dyDescent="0.2">
      <c r="A193" s="90">
        <v>44012</v>
      </c>
      <c r="B193" s="89">
        <v>4.190000057220459</v>
      </c>
      <c r="C193" s="89">
        <v>5.070000171661377</v>
      </c>
      <c r="D193" s="89">
        <v>4.190000057220459</v>
      </c>
      <c r="E193" s="89">
        <v>4.320000171661377</v>
      </c>
      <c r="F193" s="89">
        <v>3.2441568374633789</v>
      </c>
      <c r="G193" s="89">
        <v>1068535666</v>
      </c>
      <c r="H193" s="89" t="s">
        <v>172</v>
      </c>
    </row>
    <row r="194" spans="1:8" x14ac:dyDescent="0.2">
      <c r="A194" s="90">
        <v>44043</v>
      </c>
      <c r="B194" s="89">
        <v>4.2699999809265137</v>
      </c>
      <c r="C194" s="89">
        <v>6.6999998092651367</v>
      </c>
      <c r="D194" s="89">
        <v>4.2699999809265137</v>
      </c>
      <c r="E194" s="89">
        <v>5.4899997711181641</v>
      </c>
      <c r="F194" s="89">
        <v>4.1227817535400391</v>
      </c>
      <c r="G194" s="89">
        <v>1993549977</v>
      </c>
      <c r="H194" s="89" t="s">
        <v>172</v>
      </c>
    </row>
    <row r="195" spans="1:8" x14ac:dyDescent="0.2">
      <c r="A195" s="90">
        <v>44074</v>
      </c>
      <c r="B195" s="89">
        <v>5.3600001335144043</v>
      </c>
      <c r="C195" s="89">
        <v>5.809999942779541</v>
      </c>
      <c r="D195" s="89">
        <v>4.9699997901916504</v>
      </c>
      <c r="E195" s="89">
        <v>5.0500001907348633</v>
      </c>
      <c r="F195" s="89">
        <v>3.7923588752746582</v>
      </c>
      <c r="G195" s="89">
        <v>785818192</v>
      </c>
      <c r="H195" s="89" t="s">
        <v>172</v>
      </c>
    </row>
    <row r="196" spans="1:8" x14ac:dyDescent="0.2">
      <c r="A196" s="90">
        <v>44104</v>
      </c>
      <c r="B196" s="89">
        <v>5.0500001907348633</v>
      </c>
      <c r="C196" s="89">
        <v>6.119999885559082</v>
      </c>
      <c r="D196" s="89">
        <v>4.690000057220459</v>
      </c>
      <c r="E196" s="89">
        <v>4.7600002288818359</v>
      </c>
      <c r="F196" s="89">
        <v>3.5745797157287598</v>
      </c>
      <c r="G196" s="89">
        <v>1133012894</v>
      </c>
      <c r="H196" s="89" t="s">
        <v>172</v>
      </c>
    </row>
    <row r="197" spans="1:8" x14ac:dyDescent="0.2">
      <c r="A197" s="90">
        <v>44135</v>
      </c>
      <c r="B197" s="89">
        <v>4.8000001907348633</v>
      </c>
      <c r="C197" s="89">
        <v>5.5999999046325684</v>
      </c>
      <c r="D197" s="89">
        <v>4.6599998474121094</v>
      </c>
      <c r="E197" s="89">
        <v>4.6599998474121094</v>
      </c>
      <c r="F197" s="89">
        <v>3.4994826316833496</v>
      </c>
      <c r="G197" s="89">
        <v>1295793351</v>
      </c>
      <c r="H197" s="89" t="s">
        <v>172</v>
      </c>
    </row>
    <row r="198" spans="1:8" x14ac:dyDescent="0.2">
      <c r="A198" s="90">
        <v>44165</v>
      </c>
      <c r="B198" s="89">
        <v>4.690000057220459</v>
      </c>
      <c r="C198" s="89">
        <v>4.7300000190734863</v>
      </c>
      <c r="D198" s="89">
        <v>4.25</v>
      </c>
      <c r="E198" s="89">
        <v>4.4800000190734863</v>
      </c>
      <c r="F198" s="89">
        <v>3.3643100261688232</v>
      </c>
      <c r="G198" s="89">
        <v>1085633697</v>
      </c>
      <c r="H198" s="89" t="s">
        <v>172</v>
      </c>
    </row>
    <row r="199" spans="1:8" x14ac:dyDescent="0.2">
      <c r="A199" s="90">
        <v>44196</v>
      </c>
      <c r="B199" s="89">
        <v>4.4800000190734863</v>
      </c>
      <c r="C199" s="89">
        <v>5.2899999618530273</v>
      </c>
      <c r="D199" s="89">
        <v>3.9500000476837158</v>
      </c>
      <c r="E199" s="89">
        <v>4.3600001335144043</v>
      </c>
      <c r="F199" s="89">
        <v>3.2741947174072266</v>
      </c>
      <c r="G199" s="89">
        <v>5640111944</v>
      </c>
      <c r="H199" s="89" t="s">
        <v>172</v>
      </c>
    </row>
    <row r="200" spans="1:8" x14ac:dyDescent="0.2">
      <c r="A200" s="90">
        <v>44227</v>
      </c>
      <c r="B200" s="89">
        <v>4.3600001335144043</v>
      </c>
      <c r="C200" s="89">
        <v>5.5</v>
      </c>
      <c r="D200" s="89">
        <v>4.2800002098083496</v>
      </c>
      <c r="E200" s="89">
        <v>4.9200000762939453</v>
      </c>
      <c r="F200" s="89">
        <v>3.6947336196899414</v>
      </c>
      <c r="G200" s="89">
        <v>2277813079</v>
      </c>
      <c r="H200" s="89" t="s">
        <v>172</v>
      </c>
    </row>
    <row r="201" spans="1:8" x14ac:dyDescent="0.2">
      <c r="A201" s="90">
        <v>44255</v>
      </c>
      <c r="B201" s="89">
        <v>4.940000057220459</v>
      </c>
      <c r="C201" s="89">
        <v>5.3899998664855957</v>
      </c>
      <c r="D201" s="89">
        <v>4.320000171661377</v>
      </c>
      <c r="E201" s="89">
        <v>4.3899998664855957</v>
      </c>
      <c r="F201" s="89">
        <v>3.2967236042022705</v>
      </c>
      <c r="G201" s="89">
        <v>2405511559</v>
      </c>
      <c r="H201" s="89" t="s">
        <v>172</v>
      </c>
    </row>
    <row r="202" spans="1:8" x14ac:dyDescent="0.2">
      <c r="A202" s="90">
        <v>44286</v>
      </c>
      <c r="B202" s="89">
        <v>4.4000000953674316</v>
      </c>
      <c r="C202" s="89">
        <v>4.690000057220459</v>
      </c>
      <c r="D202" s="89">
        <v>4.3499999046325684</v>
      </c>
      <c r="E202" s="89">
        <v>4.4899997711181641</v>
      </c>
      <c r="F202" s="89">
        <v>3.3718194961547852</v>
      </c>
      <c r="G202" s="89">
        <v>964739229</v>
      </c>
      <c r="H202" s="89" t="s">
        <v>172</v>
      </c>
    </row>
    <row r="203" spans="1:8" x14ac:dyDescent="0.2">
      <c r="A203" s="90">
        <v>44316</v>
      </c>
      <c r="B203" s="89">
        <v>4.4699997901916504</v>
      </c>
      <c r="C203" s="89">
        <v>4.5799999237060547</v>
      </c>
      <c r="D203" s="89">
        <v>4.1599998474121094</v>
      </c>
      <c r="E203" s="89">
        <v>4.1700000762939453</v>
      </c>
      <c r="F203" s="89">
        <v>3.131511926651001</v>
      </c>
      <c r="G203" s="89">
        <v>819602642</v>
      </c>
      <c r="H203" s="89" t="s">
        <v>172</v>
      </c>
    </row>
    <row r="204" spans="1:8" x14ac:dyDescent="0.2">
      <c r="A204" s="90">
        <v>44347</v>
      </c>
      <c r="B204" s="89">
        <v>4.1700000762939453</v>
      </c>
      <c r="C204" s="89">
        <v>4.3600001335144043</v>
      </c>
      <c r="D204" s="89">
        <v>4.1100001335144043</v>
      </c>
      <c r="E204" s="89">
        <v>4.2399997711181641</v>
      </c>
      <c r="F204" s="89">
        <v>3.3321743011474609</v>
      </c>
      <c r="G204" s="89">
        <v>1026296419</v>
      </c>
      <c r="H204" s="89" t="s">
        <v>172</v>
      </c>
    </row>
    <row r="205" spans="1:8" x14ac:dyDescent="0.2">
      <c r="A205" s="90">
        <v>44377</v>
      </c>
      <c r="B205" s="89">
        <v>4.2399997711181641</v>
      </c>
      <c r="C205" s="89">
        <v>4.3499999046325684</v>
      </c>
      <c r="D205" s="89">
        <v>4.0900001525878906</v>
      </c>
      <c r="E205" s="89">
        <v>4.1999998092651367</v>
      </c>
      <c r="F205" s="89">
        <v>3.3007385730743408</v>
      </c>
      <c r="G205" s="89">
        <v>1181561391</v>
      </c>
      <c r="H205" s="89" t="s">
        <v>172</v>
      </c>
    </row>
    <row r="206" spans="1:8" x14ac:dyDescent="0.2">
      <c r="A206" s="90">
        <v>44408</v>
      </c>
      <c r="B206" s="89">
        <v>4.1999998092651367</v>
      </c>
      <c r="C206" s="89">
        <v>4.7300000190734863</v>
      </c>
      <c r="D206" s="89">
        <v>4.1500000953674316</v>
      </c>
      <c r="E206" s="89">
        <v>4.1999998092651367</v>
      </c>
      <c r="F206" s="89">
        <v>3.3007385730743408</v>
      </c>
      <c r="G206" s="89">
        <v>1270828707</v>
      </c>
      <c r="H206" s="89" t="s">
        <v>172</v>
      </c>
    </row>
    <row r="207" spans="1:8" x14ac:dyDescent="0.2">
      <c r="A207" s="90">
        <v>44439</v>
      </c>
      <c r="B207" s="89">
        <v>4.2100000381469727</v>
      </c>
      <c r="C207" s="89">
        <v>4.2800002098083496</v>
      </c>
      <c r="D207" s="89">
        <v>3.9200000762939453</v>
      </c>
      <c r="E207" s="89">
        <v>3.9500000476837158</v>
      </c>
      <c r="F207" s="89">
        <v>3.1042664051055908</v>
      </c>
      <c r="G207" s="89">
        <v>816266022</v>
      </c>
      <c r="H207" s="89" t="s">
        <v>172</v>
      </c>
    </row>
    <row r="208" spans="1:8" x14ac:dyDescent="0.2">
      <c r="A208" s="90">
        <v>44469</v>
      </c>
      <c r="B208" s="89">
        <v>3.9500000476837158</v>
      </c>
      <c r="C208" s="89">
        <v>4.119999885559082</v>
      </c>
      <c r="D208" s="89">
        <v>3.9000000953674316</v>
      </c>
      <c r="E208" s="89">
        <v>4.0199999809265137</v>
      </c>
      <c r="F208" s="89">
        <v>3.2702834606170654</v>
      </c>
      <c r="G208" s="89">
        <v>459055588</v>
      </c>
      <c r="H208" s="89" t="s">
        <v>172</v>
      </c>
    </row>
    <row r="209" spans="1:8" x14ac:dyDescent="0.2">
      <c r="A209" s="90">
        <v>44500</v>
      </c>
      <c r="B209" s="89">
        <v>4.0199999809265137</v>
      </c>
      <c r="C209" s="89">
        <v>4.0999999046325684</v>
      </c>
      <c r="D209" s="89">
        <v>3.8900001049041748</v>
      </c>
      <c r="E209" s="89">
        <v>3.9300000667572021</v>
      </c>
      <c r="F209" s="89">
        <v>3.1970682144165039</v>
      </c>
      <c r="G209" s="89">
        <v>421430789</v>
      </c>
      <c r="H209" s="89" t="s">
        <v>172</v>
      </c>
    </row>
    <row r="210" spans="1:8" x14ac:dyDescent="0.2">
      <c r="A210" s="90">
        <v>44530</v>
      </c>
      <c r="B210" s="89">
        <v>3.9200000762939453</v>
      </c>
      <c r="C210" s="89">
        <v>3.940000057220459</v>
      </c>
      <c r="D210" s="89">
        <v>3.8199999332427979</v>
      </c>
      <c r="E210" s="89">
        <v>3.9000000953674316</v>
      </c>
      <c r="F210" s="89">
        <v>3.1726632118225098</v>
      </c>
      <c r="G210" s="89">
        <v>420017037</v>
      </c>
      <c r="H210" s="89" t="s">
        <v>172</v>
      </c>
    </row>
    <row r="211" spans="1:8" x14ac:dyDescent="0.2">
      <c r="A211" s="90">
        <v>44561</v>
      </c>
      <c r="B211" s="89">
        <v>3.9000000953674316</v>
      </c>
      <c r="C211" s="89">
        <v>4.190000057220459</v>
      </c>
      <c r="D211" s="89">
        <v>3.8599998950958252</v>
      </c>
      <c r="E211" s="89">
        <v>4.1100001335144043</v>
      </c>
      <c r="F211" s="89">
        <v>3.343498706817627</v>
      </c>
      <c r="G211" s="89">
        <v>819120715</v>
      </c>
      <c r="H211" s="89" t="s">
        <v>172</v>
      </c>
    </row>
    <row r="212" spans="1:8" x14ac:dyDescent="0.2">
      <c r="A212" s="90">
        <v>44592</v>
      </c>
      <c r="B212" s="89">
        <v>4.1100001335144043</v>
      </c>
      <c r="C212" s="89">
        <v>4.429999828338623</v>
      </c>
      <c r="D212" s="89">
        <v>4.0799999237060547</v>
      </c>
      <c r="E212" s="89">
        <v>4.130000114440918</v>
      </c>
      <c r="F212" s="89">
        <v>3.3597688674926758</v>
      </c>
      <c r="G212" s="89">
        <v>984688534</v>
      </c>
      <c r="H212" s="89" t="s">
        <v>172</v>
      </c>
    </row>
    <row r="213" spans="1:8" x14ac:dyDescent="0.2">
      <c r="A213" s="90">
        <v>44620</v>
      </c>
      <c r="B213" s="89">
        <v>4.130000114440918</v>
      </c>
      <c r="C213" s="89">
        <v>4.2300000190734863</v>
      </c>
      <c r="D213" s="89">
        <v>3.5999999046325684</v>
      </c>
      <c r="E213" s="89">
        <v>3.8900001049041748</v>
      </c>
      <c r="F213" s="89">
        <v>3.1645281314849854</v>
      </c>
      <c r="G213" s="89">
        <v>1170628249</v>
      </c>
      <c r="H213" s="89" t="s">
        <v>172</v>
      </c>
    </row>
    <row r="214" spans="1:8" x14ac:dyDescent="0.2">
      <c r="A214" s="90">
        <v>44651</v>
      </c>
      <c r="B214" s="89">
        <v>3.869999885559082</v>
      </c>
      <c r="C214" s="89">
        <v>3.940000057220459</v>
      </c>
      <c r="D214" s="89">
        <v>3.7100000381469727</v>
      </c>
      <c r="E214" s="89">
        <v>3.7899999618530273</v>
      </c>
      <c r="F214" s="89">
        <v>3.0831778049468994</v>
      </c>
      <c r="G214" s="89">
        <v>468974202</v>
      </c>
      <c r="H214" s="89" t="s">
        <v>172</v>
      </c>
    </row>
    <row r="215" spans="1:8" x14ac:dyDescent="0.2">
      <c r="A215" s="90">
        <v>44681</v>
      </c>
      <c r="B215" s="89">
        <v>3.7899999618530273</v>
      </c>
      <c r="C215" s="89">
        <v>3.809999942779541</v>
      </c>
      <c r="D215" s="89">
        <v>3.630000114440918</v>
      </c>
      <c r="E215" s="89">
        <v>3.7200000286102295</v>
      </c>
      <c r="F215" s="89">
        <v>3.0262322425842285</v>
      </c>
      <c r="G215" s="89">
        <v>429104827</v>
      </c>
      <c r="H215" s="89" t="s">
        <v>172</v>
      </c>
    </row>
    <row r="216" spans="1:8" x14ac:dyDescent="0.2">
      <c r="A216" s="90">
        <v>44712</v>
      </c>
      <c r="B216" s="89">
        <v>3.7200000286102295</v>
      </c>
      <c r="C216" s="89">
        <v>3.75</v>
      </c>
      <c r="D216" s="89">
        <v>3.630000114440918</v>
      </c>
      <c r="E216" s="89">
        <v>3.7100000381469727</v>
      </c>
      <c r="F216" s="89">
        <v>3.1109714508056641</v>
      </c>
      <c r="G216" s="89">
        <v>485275098</v>
      </c>
      <c r="H216" s="89" t="s">
        <v>172</v>
      </c>
    </row>
    <row r="217" spans="1:8" x14ac:dyDescent="0.2">
      <c r="A217" s="90">
        <v>44742</v>
      </c>
      <c r="B217" s="89">
        <v>3.7100000381469727</v>
      </c>
      <c r="C217" s="89">
        <v>3.7899999618530273</v>
      </c>
      <c r="D217" s="89">
        <v>3.6800000667572021</v>
      </c>
      <c r="E217" s="89">
        <v>3.75</v>
      </c>
      <c r="F217" s="89">
        <v>3.1445128917694092</v>
      </c>
      <c r="G217" s="89">
        <v>265920004</v>
      </c>
      <c r="H217" s="89" t="s">
        <v>172</v>
      </c>
    </row>
    <row r="218" spans="1:8" x14ac:dyDescent="0.2">
      <c r="A218" s="90">
        <v>44773</v>
      </c>
      <c r="B218" s="89">
        <v>3.7200000286102295</v>
      </c>
      <c r="C218" s="89">
        <v>3.9500000476837158</v>
      </c>
      <c r="D218" s="89">
        <v>3.6400001049041748</v>
      </c>
      <c r="E218" s="89">
        <v>3.8499999046325684</v>
      </c>
      <c r="F218" s="89">
        <v>3.2283666133880615</v>
      </c>
      <c r="G218" s="89">
        <v>483991135</v>
      </c>
      <c r="H218" s="89" t="s">
        <v>172</v>
      </c>
    </row>
    <row r="219" spans="1:8" x14ac:dyDescent="0.2">
      <c r="A219" s="90">
        <v>44804</v>
      </c>
      <c r="B219" s="89">
        <v>3.6700000762939453</v>
      </c>
      <c r="C219" s="89">
        <v>3.7899999618530273</v>
      </c>
      <c r="D219" s="89">
        <v>3.4300000667572021</v>
      </c>
      <c r="E219" s="89">
        <v>3.5299999713897705</v>
      </c>
      <c r="F219" s="89">
        <v>2.9600346088409424</v>
      </c>
      <c r="G219" s="89">
        <v>505633029</v>
      </c>
      <c r="H219" s="89" t="s">
        <v>172</v>
      </c>
    </row>
    <row r="220" spans="1:8" x14ac:dyDescent="0.2">
      <c r="A220" s="90">
        <v>44834</v>
      </c>
      <c r="B220" s="89">
        <v>3.5199999809265137</v>
      </c>
      <c r="C220" s="89">
        <v>3.5999999046325684</v>
      </c>
      <c r="D220" s="89">
        <v>3.2699999809265137</v>
      </c>
      <c r="E220" s="89">
        <v>3.3399999141693115</v>
      </c>
      <c r="F220" s="89">
        <v>2.9473049640655518</v>
      </c>
      <c r="G220" s="89">
        <v>381419644</v>
      </c>
      <c r="H220" s="89" t="s">
        <v>172</v>
      </c>
    </row>
    <row r="221" spans="1:8" x14ac:dyDescent="0.2">
      <c r="A221" s="90">
        <v>44865</v>
      </c>
      <c r="B221" s="89">
        <v>3.3399999141693115</v>
      </c>
      <c r="C221" s="89">
        <v>4.5199999809265137</v>
      </c>
      <c r="D221" s="89">
        <v>3.3299999237060547</v>
      </c>
      <c r="E221" s="89">
        <v>4.3499999046325684</v>
      </c>
      <c r="F221" s="89">
        <v>3.8385562896728516</v>
      </c>
      <c r="G221" s="89">
        <v>1640518068</v>
      </c>
      <c r="H221" s="89" t="s">
        <v>172</v>
      </c>
    </row>
    <row r="222" spans="1:8" x14ac:dyDescent="0.2">
      <c r="A222" s="90">
        <v>44895</v>
      </c>
      <c r="B222" s="89">
        <v>4.4200000762939453</v>
      </c>
      <c r="C222" s="89">
        <v>5.1100001335144043</v>
      </c>
      <c r="D222" s="89">
        <v>4.380000114440918</v>
      </c>
      <c r="E222" s="89">
        <v>4.8299999237060547</v>
      </c>
      <c r="F222" s="89">
        <v>4.2621207237243652</v>
      </c>
      <c r="G222" s="89">
        <v>1581889732</v>
      </c>
      <c r="H222" s="89" t="s">
        <v>172</v>
      </c>
    </row>
    <row r="223" spans="1:8" x14ac:dyDescent="0.2">
      <c r="A223" s="90">
        <v>44926</v>
      </c>
      <c r="B223" s="89">
        <v>4.8299999237060547</v>
      </c>
      <c r="C223" s="89">
        <v>5.7699999809265137</v>
      </c>
      <c r="D223" s="89">
        <v>4.8000001907348633</v>
      </c>
      <c r="E223" s="89">
        <v>5.5100002288818359</v>
      </c>
      <c r="F223" s="89">
        <v>4.8621711730957031</v>
      </c>
      <c r="G223" s="89">
        <v>950705741</v>
      </c>
      <c r="H223" s="89" t="s">
        <v>172</v>
      </c>
    </row>
    <row r="224" spans="1:8" x14ac:dyDescent="0.2">
      <c r="A224" s="90">
        <v>44957</v>
      </c>
      <c r="B224" s="89">
        <v>5.4899997711181641</v>
      </c>
      <c r="C224" s="89">
        <v>6.2199997901916504</v>
      </c>
      <c r="D224" s="89">
        <v>5.380000114440918</v>
      </c>
      <c r="E224" s="89">
        <v>5.7199997901916504</v>
      </c>
      <c r="F224" s="89">
        <v>5.0474801063537598</v>
      </c>
      <c r="G224" s="89">
        <v>1090701384</v>
      </c>
      <c r="H224" s="89" t="s">
        <v>172</v>
      </c>
    </row>
    <row r="225" spans="1:8" x14ac:dyDescent="0.2">
      <c r="A225" s="90">
        <v>44985</v>
      </c>
      <c r="B225" s="89">
        <v>5.75</v>
      </c>
      <c r="C225" s="89">
        <v>6.5399999618530273</v>
      </c>
      <c r="D225" s="89">
        <v>5.380000114440918</v>
      </c>
      <c r="E225" s="89">
        <v>5.6399998664855957</v>
      </c>
      <c r="F225" s="89">
        <v>4.9768867492675781</v>
      </c>
      <c r="G225" s="89">
        <v>1832883479</v>
      </c>
      <c r="H225" s="89" t="s">
        <v>172</v>
      </c>
    </row>
    <row r="226" spans="1:8" x14ac:dyDescent="0.2">
      <c r="A226" s="90">
        <v>45016</v>
      </c>
      <c r="B226" s="89">
        <v>5.6599998474121094</v>
      </c>
      <c r="C226" s="89">
        <v>6.5199999809265137</v>
      </c>
      <c r="D226" s="89">
        <v>5.6399998664855957</v>
      </c>
      <c r="E226" s="89">
        <v>6</v>
      </c>
      <c r="F226" s="89">
        <v>5.2945599555969238</v>
      </c>
      <c r="G226" s="89">
        <v>896026487</v>
      </c>
      <c r="H226" s="89" t="s">
        <v>172</v>
      </c>
    </row>
    <row r="227" spans="1:8" x14ac:dyDescent="0.2">
      <c r="A227" s="90">
        <v>45046</v>
      </c>
      <c r="B227" s="89">
        <v>6</v>
      </c>
      <c r="C227" s="89">
        <v>6.5799999237060547</v>
      </c>
      <c r="D227" s="89">
        <v>5.619999885559082</v>
      </c>
      <c r="E227" s="89">
        <v>5.7399997711181641</v>
      </c>
      <c r="F227" s="89">
        <v>5.0651283264160156</v>
      </c>
      <c r="G227" s="89">
        <v>745707920</v>
      </c>
      <c r="H227" s="89" t="s">
        <v>172</v>
      </c>
    </row>
    <row r="228" spans="1:8" x14ac:dyDescent="0.2">
      <c r="A228" s="90">
        <v>45077</v>
      </c>
      <c r="B228" s="89">
        <v>5.7399997711181641</v>
      </c>
      <c r="C228" s="89">
        <v>6.0100002288818359</v>
      </c>
      <c r="D228" s="89">
        <v>4.8600001335144043</v>
      </c>
      <c r="E228" s="89">
        <v>5.179999828338623</v>
      </c>
      <c r="F228" s="89">
        <v>4.6632480621337891</v>
      </c>
      <c r="G228" s="89">
        <v>938366058</v>
      </c>
      <c r="H228" s="89" t="s">
        <v>172</v>
      </c>
    </row>
    <row r="229" spans="1:8" x14ac:dyDescent="0.2">
      <c r="A229" s="90">
        <v>45107</v>
      </c>
      <c r="B229" s="89">
        <v>5.1599998474121094</v>
      </c>
      <c r="C229" s="89">
        <v>5.7600002288818359</v>
      </c>
      <c r="D229" s="89">
        <v>5.0999999046325684</v>
      </c>
      <c r="E229" s="89">
        <v>5.5999999046325684</v>
      </c>
      <c r="F229" s="89">
        <v>5.0413494110107422</v>
      </c>
      <c r="G229" s="89">
        <v>812725039</v>
      </c>
      <c r="H229" s="89" t="s">
        <v>172</v>
      </c>
    </row>
    <row r="230" spans="1:8" x14ac:dyDescent="0.2">
      <c r="A230" s="90">
        <v>45138</v>
      </c>
      <c r="B230" s="89">
        <v>5.570000171661377</v>
      </c>
      <c r="C230" s="89">
        <v>5.8299999237060547</v>
      </c>
      <c r="D230" s="89">
        <v>5.4000000953674316</v>
      </c>
      <c r="E230" s="89">
        <v>5.5399999618530273</v>
      </c>
      <c r="F230" s="89">
        <v>4.9873347282409668</v>
      </c>
      <c r="G230" s="89">
        <v>655679867</v>
      </c>
      <c r="H230" s="89" t="s">
        <v>172</v>
      </c>
    </row>
    <row r="231" spans="1:8" x14ac:dyDescent="0.2">
      <c r="A231" s="90">
        <v>45169</v>
      </c>
      <c r="B231" s="89">
        <v>5.5399999618530273</v>
      </c>
      <c r="C231" s="89">
        <v>5.9200000762939453</v>
      </c>
      <c r="D231" s="89">
        <v>5.320000171661377</v>
      </c>
      <c r="E231" s="89">
        <v>5.679999828338623</v>
      </c>
      <c r="F231" s="89">
        <v>5.1133685111999512</v>
      </c>
      <c r="G231" s="89">
        <v>485977399</v>
      </c>
      <c r="H231" s="89" t="s">
        <v>172</v>
      </c>
    </row>
    <row r="232" spans="1:8" x14ac:dyDescent="0.2">
      <c r="A232" s="90">
        <v>45199</v>
      </c>
      <c r="B232" s="89">
        <v>5.679999828338623</v>
      </c>
      <c r="C232" s="89">
        <v>5.75</v>
      </c>
      <c r="D232" s="89">
        <v>4.679999828338623</v>
      </c>
      <c r="E232" s="89">
        <v>4.8600001335144043</v>
      </c>
      <c r="F232" s="89">
        <v>4.5579242706298828</v>
      </c>
      <c r="G232" s="89">
        <v>604069420</v>
      </c>
      <c r="H232" s="89" t="s">
        <v>172</v>
      </c>
    </row>
    <row r="233" spans="1:8" x14ac:dyDescent="0.2">
      <c r="A233" s="90">
        <v>45230</v>
      </c>
      <c r="B233" s="89">
        <v>4.8600001335144043</v>
      </c>
      <c r="C233" s="89">
        <v>5.130000114440918</v>
      </c>
      <c r="D233" s="89">
        <v>4.820000171661377</v>
      </c>
      <c r="E233" s="89">
        <v>5.0500001907348633</v>
      </c>
      <c r="F233" s="89">
        <v>4.736114501953125</v>
      </c>
      <c r="G233" s="89">
        <v>338476561</v>
      </c>
      <c r="H233" s="89" t="s">
        <v>172</v>
      </c>
    </row>
    <row r="234" spans="1:8" x14ac:dyDescent="0.2">
      <c r="A234" s="90">
        <v>45260</v>
      </c>
      <c r="B234" s="89">
        <v>5.0300002098083496</v>
      </c>
      <c r="C234" s="89">
        <v>5.059999942779541</v>
      </c>
      <c r="D234" s="89">
        <v>4.4499998092651367</v>
      </c>
      <c r="E234" s="89">
        <v>4.9000000953674316</v>
      </c>
      <c r="F234" s="89">
        <v>4.5954380035400391</v>
      </c>
      <c r="G234" s="89">
        <v>438428274</v>
      </c>
      <c r="H234" s="89" t="s">
        <v>172</v>
      </c>
    </row>
    <row r="235" spans="1:8" x14ac:dyDescent="0.2">
      <c r="A235" s="90">
        <v>45291</v>
      </c>
      <c r="B235" s="89">
        <v>4.9000000953674316</v>
      </c>
      <c r="C235" s="89">
        <v>5.6599998474121094</v>
      </c>
      <c r="D235" s="89">
        <v>4.679999828338623</v>
      </c>
      <c r="E235" s="89">
        <v>5.3600001335144043</v>
      </c>
      <c r="F235" s="89">
        <v>5.0268464088439941</v>
      </c>
      <c r="G235" s="89">
        <v>929495310</v>
      </c>
      <c r="H235" s="89" t="s">
        <v>172</v>
      </c>
    </row>
    <row r="236" spans="1:8" x14ac:dyDescent="0.2">
      <c r="A236" s="90">
        <v>45322</v>
      </c>
      <c r="B236" s="89">
        <v>5.369999885559082</v>
      </c>
      <c r="C236" s="89">
        <v>5.75</v>
      </c>
      <c r="D236" s="89">
        <v>5.2300000190734863</v>
      </c>
      <c r="E236" s="89">
        <v>5.440000057220459</v>
      </c>
      <c r="F236" s="89">
        <v>5.1018743515014648</v>
      </c>
      <c r="G236" s="89">
        <v>471657381</v>
      </c>
      <c r="H236" s="89" t="s">
        <v>172</v>
      </c>
    </row>
    <row r="237" spans="1:8" x14ac:dyDescent="0.2">
      <c r="A237" s="90">
        <v>45351</v>
      </c>
      <c r="B237" s="89">
        <v>5.4000000953674316</v>
      </c>
      <c r="C237" s="89">
        <v>5.820000171661377</v>
      </c>
      <c r="D237" s="89">
        <v>5.3600001335144043</v>
      </c>
      <c r="E237" s="89">
        <v>5.6500000953674316</v>
      </c>
      <c r="F237" s="89">
        <v>5.2988214492797852</v>
      </c>
      <c r="G237" s="89">
        <v>656209049</v>
      </c>
      <c r="H237" s="89" t="s">
        <v>172</v>
      </c>
    </row>
    <row r="238" spans="1:8" x14ac:dyDescent="0.2">
      <c r="A238" s="90">
        <v>45382</v>
      </c>
      <c r="B238" s="89">
        <v>5.6999998092651367</v>
      </c>
      <c r="C238" s="89">
        <v>6.1599998474121094</v>
      </c>
      <c r="D238" s="89">
        <v>5.570000171661377</v>
      </c>
      <c r="E238" s="89">
        <v>5.9499998092651367</v>
      </c>
      <c r="F238" s="89">
        <v>5.580174446105957</v>
      </c>
      <c r="G238" s="89">
        <v>561239484</v>
      </c>
      <c r="H238" s="89" t="s">
        <v>172</v>
      </c>
    </row>
    <row r="239" spans="1:8" x14ac:dyDescent="0.2">
      <c r="A239" s="90">
        <v>45412</v>
      </c>
      <c r="B239" s="89">
        <v>5.9899997711181641</v>
      </c>
      <c r="C239" s="89">
        <v>6.5</v>
      </c>
      <c r="D239" s="89">
        <v>5.809999942779541</v>
      </c>
      <c r="E239" s="89">
        <v>6.4200000762939453</v>
      </c>
      <c r="F239" s="89">
        <v>6.0209612846374512</v>
      </c>
      <c r="G239" s="89">
        <v>805350620</v>
      </c>
      <c r="H239" s="89" t="s">
        <v>172</v>
      </c>
    </row>
    <row r="240" spans="1:8" x14ac:dyDescent="0.2">
      <c r="A240" s="90">
        <v>45443</v>
      </c>
      <c r="B240" s="89">
        <v>6.4699997901916504</v>
      </c>
      <c r="C240" s="89">
        <v>7.2800002098083496</v>
      </c>
      <c r="D240" s="89">
        <v>6.1399998664855957</v>
      </c>
      <c r="E240" s="89">
        <v>7.1700000762939453</v>
      </c>
      <c r="F240" s="89">
        <v>6.7243447303771973</v>
      </c>
      <c r="G240" s="89">
        <v>941713939</v>
      </c>
      <c r="H240" s="89" t="s">
        <v>172</v>
      </c>
    </row>
    <row r="241" spans="1:8" x14ac:dyDescent="0.2">
      <c r="A241" s="90">
        <v>45473</v>
      </c>
      <c r="B241" s="89">
        <v>7.1599998474121094</v>
      </c>
      <c r="C241" s="89">
        <v>7.7600002288818359</v>
      </c>
      <c r="D241" s="89">
        <v>6.4200000762939453</v>
      </c>
      <c r="E241" s="89">
        <v>6.6100001335144043</v>
      </c>
      <c r="F241" s="89">
        <v>6.3416004180908203</v>
      </c>
      <c r="G241" s="89">
        <v>1132838376</v>
      </c>
      <c r="H241" s="89" t="s">
        <v>172</v>
      </c>
    </row>
    <row r="242" spans="1:8" x14ac:dyDescent="0.2">
      <c r="A242" s="90">
        <v>45504</v>
      </c>
      <c r="B242" s="89">
        <v>6.630000114440918</v>
      </c>
      <c r="C242" s="89">
        <v>6.8400001525878906</v>
      </c>
      <c r="D242" s="89">
        <v>5.880000114440918</v>
      </c>
      <c r="E242" s="89">
        <v>6.6599998474121094</v>
      </c>
      <c r="F242" s="89">
        <v>6.3895697593688965</v>
      </c>
      <c r="G242" s="89">
        <v>936911787</v>
      </c>
      <c r="H242" s="89" t="s">
        <v>172</v>
      </c>
    </row>
    <row r="243" spans="1:8" x14ac:dyDescent="0.2">
      <c r="A243" s="90">
        <v>45535</v>
      </c>
      <c r="B243" s="89">
        <v>6.5999999046325684</v>
      </c>
      <c r="C243" s="89">
        <v>7.0799999237060547</v>
      </c>
      <c r="D243" s="89">
        <v>6</v>
      </c>
      <c r="E243" s="89">
        <v>6.6700000762939453</v>
      </c>
      <c r="F243" s="89">
        <v>6.3991637229919434</v>
      </c>
      <c r="G243" s="89">
        <v>893487439</v>
      </c>
      <c r="H243" s="89" t="s">
        <v>172</v>
      </c>
    </row>
    <row r="244" spans="1:8" x14ac:dyDescent="0.2">
      <c r="A244" s="90">
        <v>45565</v>
      </c>
      <c r="B244" s="89">
        <v>6.7300000190734863</v>
      </c>
      <c r="C244" s="89">
        <v>7.8000001907348633</v>
      </c>
      <c r="D244" s="89">
        <v>6.5399999618530273</v>
      </c>
      <c r="E244" s="89">
        <v>6.7600002288818359</v>
      </c>
      <c r="F244" s="89">
        <v>6.7600002288818359</v>
      </c>
      <c r="G244" s="89">
        <v>1143490275</v>
      </c>
      <c r="H244" s="89" t="s">
        <v>172</v>
      </c>
    </row>
    <row r="245" spans="1:8" x14ac:dyDescent="0.2">
      <c r="A245" s="90">
        <v>45596</v>
      </c>
      <c r="B245" s="89">
        <v>6.7800002098083496</v>
      </c>
      <c r="C245" s="89">
        <v>6.880000114440918</v>
      </c>
      <c r="D245" s="89">
        <v>6.2199997901916504</v>
      </c>
      <c r="E245" s="89">
        <v>6.4800000190734863</v>
      </c>
      <c r="F245" s="89">
        <v>6.4800000190734863</v>
      </c>
      <c r="G245" s="89">
        <v>936389310</v>
      </c>
      <c r="H245" s="89" t="s">
        <v>172</v>
      </c>
    </row>
    <row r="246" spans="1:8" x14ac:dyDescent="0.2">
      <c r="A246" s="90">
        <v>45626</v>
      </c>
      <c r="B246" s="89">
        <v>6.4800000190734863</v>
      </c>
      <c r="C246" s="89">
        <v>7.4600000381469727</v>
      </c>
      <c r="D246" s="89">
        <v>6.369999885559082</v>
      </c>
      <c r="E246" s="89">
        <v>7.380000114440918</v>
      </c>
      <c r="F246" s="89">
        <v>7.380000114440918</v>
      </c>
      <c r="G246" s="89">
        <v>832494598</v>
      </c>
      <c r="H246" s="89" t="s">
        <v>172</v>
      </c>
    </row>
    <row r="247" spans="1:8" x14ac:dyDescent="0.2">
      <c r="A247" s="90">
        <v>45657</v>
      </c>
      <c r="B247" s="89">
        <v>7.3899998664855957</v>
      </c>
      <c r="C247" s="89">
        <v>7.3899998664855957</v>
      </c>
      <c r="D247" s="89">
        <v>6.8899998664855957</v>
      </c>
      <c r="E247" s="89">
        <v>7.0999999046325684</v>
      </c>
      <c r="F247" s="89">
        <v>7.0999999046325684</v>
      </c>
      <c r="G247" s="89">
        <v>495602024</v>
      </c>
      <c r="H247" s="89" t="s">
        <v>172</v>
      </c>
    </row>
  </sheetData>
  <phoneticPr fontId="5" type="noConversion"/>
  <hyperlinks>
    <hyperlink ref="A2" r:id="rId1" xr:uid="{3ABC8B59-9FCD-4451-AD30-73573053504D}"/>
    <hyperlink ref="A3" r:id="rId2" xr:uid="{98520982-1D38-4FC1-A2FF-8B162DC2E64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G47"/>
  <sheetViews>
    <sheetView workbookViewId="0">
      <selection activeCell="B17" sqref="B17"/>
    </sheetView>
  </sheetViews>
  <sheetFormatPr baseColWidth="10" defaultColWidth="8.83203125" defaultRowHeight="15" x14ac:dyDescent="0.2"/>
  <cols>
    <col min="1" max="1" width="19.5" style="1" customWidth="1"/>
    <col min="2" max="6" width="9.1640625" style="3" customWidth="1"/>
    <col min="7" max="7" width="24.1640625" style="1" bestFit="1" customWidth="1"/>
    <col min="8" max="256" width="8.83203125" style="1"/>
    <col min="257" max="257" width="23.5" style="1" bestFit="1" customWidth="1"/>
    <col min="258" max="262" width="9.1640625" style="1" customWidth="1"/>
    <col min="263" max="263" width="24.1640625" style="1" bestFit="1" customWidth="1"/>
    <col min="264" max="512" width="8.83203125" style="1"/>
    <col min="513" max="513" width="23.5" style="1" bestFit="1" customWidth="1"/>
    <col min="514" max="518" width="9.1640625" style="1" customWidth="1"/>
    <col min="519" max="519" width="24.1640625" style="1" bestFit="1" customWidth="1"/>
    <col min="520" max="768" width="8.83203125" style="1"/>
    <col min="769" max="769" width="23.5" style="1" bestFit="1" customWidth="1"/>
    <col min="770" max="774" width="9.1640625" style="1" customWidth="1"/>
    <col min="775" max="775" width="24.1640625" style="1" bestFit="1" customWidth="1"/>
    <col min="776" max="1024" width="8.83203125" style="1"/>
    <col min="1025" max="1025" width="23.5" style="1" bestFit="1" customWidth="1"/>
    <col min="1026" max="1030" width="9.1640625" style="1" customWidth="1"/>
    <col min="1031" max="1031" width="24.1640625" style="1" bestFit="1" customWidth="1"/>
    <col min="1032" max="1280" width="8.83203125" style="1"/>
    <col min="1281" max="1281" width="23.5" style="1" bestFit="1" customWidth="1"/>
    <col min="1282" max="1286" width="9.1640625" style="1" customWidth="1"/>
    <col min="1287" max="1287" width="24.1640625" style="1" bestFit="1" customWidth="1"/>
    <col min="1288" max="1536" width="8.83203125" style="1"/>
    <col min="1537" max="1537" width="23.5" style="1" bestFit="1" customWidth="1"/>
    <col min="1538" max="1542" width="9.1640625" style="1" customWidth="1"/>
    <col min="1543" max="1543" width="24.1640625" style="1" bestFit="1" customWidth="1"/>
    <col min="1544" max="1792" width="8.83203125" style="1"/>
    <col min="1793" max="1793" width="23.5" style="1" bestFit="1" customWidth="1"/>
    <col min="1794" max="1798" width="9.1640625" style="1" customWidth="1"/>
    <col min="1799" max="1799" width="24.1640625" style="1" bestFit="1" customWidth="1"/>
    <col min="1800" max="2048" width="8.83203125" style="1"/>
    <col min="2049" max="2049" width="23.5" style="1" bestFit="1" customWidth="1"/>
    <col min="2050" max="2054" width="9.1640625" style="1" customWidth="1"/>
    <col min="2055" max="2055" width="24.1640625" style="1" bestFit="1" customWidth="1"/>
    <col min="2056" max="2304" width="8.83203125" style="1"/>
    <col min="2305" max="2305" width="23.5" style="1" bestFit="1" customWidth="1"/>
    <col min="2306" max="2310" width="9.1640625" style="1" customWidth="1"/>
    <col min="2311" max="2311" width="24.1640625" style="1" bestFit="1" customWidth="1"/>
    <col min="2312" max="2560" width="8.83203125" style="1"/>
    <col min="2561" max="2561" width="23.5" style="1" bestFit="1" customWidth="1"/>
    <col min="2562" max="2566" width="9.1640625" style="1" customWidth="1"/>
    <col min="2567" max="2567" width="24.1640625" style="1" bestFit="1" customWidth="1"/>
    <col min="2568" max="2816" width="8.83203125" style="1"/>
    <col min="2817" max="2817" width="23.5" style="1" bestFit="1" customWidth="1"/>
    <col min="2818" max="2822" width="9.1640625" style="1" customWidth="1"/>
    <col min="2823" max="2823" width="24.1640625" style="1" bestFit="1" customWidth="1"/>
    <col min="2824" max="3072" width="8.83203125" style="1"/>
    <col min="3073" max="3073" width="23.5" style="1" bestFit="1" customWidth="1"/>
    <col min="3074" max="3078" width="9.1640625" style="1" customWidth="1"/>
    <col min="3079" max="3079" width="24.1640625" style="1" bestFit="1" customWidth="1"/>
    <col min="3080" max="3328" width="8.83203125" style="1"/>
    <col min="3329" max="3329" width="23.5" style="1" bestFit="1" customWidth="1"/>
    <col min="3330" max="3334" width="9.1640625" style="1" customWidth="1"/>
    <col min="3335" max="3335" width="24.1640625" style="1" bestFit="1" customWidth="1"/>
    <col min="3336" max="3584" width="8.83203125" style="1"/>
    <col min="3585" max="3585" width="23.5" style="1" bestFit="1" customWidth="1"/>
    <col min="3586" max="3590" width="9.1640625" style="1" customWidth="1"/>
    <col min="3591" max="3591" width="24.1640625" style="1" bestFit="1" customWidth="1"/>
    <col min="3592" max="3840" width="8.83203125" style="1"/>
    <col min="3841" max="3841" width="23.5" style="1" bestFit="1" customWidth="1"/>
    <col min="3842" max="3846" width="9.1640625" style="1" customWidth="1"/>
    <col min="3847" max="3847" width="24.1640625" style="1" bestFit="1" customWidth="1"/>
    <col min="3848" max="4096" width="8.83203125" style="1"/>
    <col min="4097" max="4097" width="23.5" style="1" bestFit="1" customWidth="1"/>
    <col min="4098" max="4102" width="9.1640625" style="1" customWidth="1"/>
    <col min="4103" max="4103" width="24.1640625" style="1" bestFit="1" customWidth="1"/>
    <col min="4104" max="4352" width="8.83203125" style="1"/>
    <col min="4353" max="4353" width="23.5" style="1" bestFit="1" customWidth="1"/>
    <col min="4354" max="4358" width="9.1640625" style="1" customWidth="1"/>
    <col min="4359" max="4359" width="24.1640625" style="1" bestFit="1" customWidth="1"/>
    <col min="4360" max="4608" width="8.83203125" style="1"/>
    <col min="4609" max="4609" width="23.5" style="1" bestFit="1" customWidth="1"/>
    <col min="4610" max="4614" width="9.1640625" style="1" customWidth="1"/>
    <col min="4615" max="4615" width="24.1640625" style="1" bestFit="1" customWidth="1"/>
    <col min="4616" max="4864" width="8.83203125" style="1"/>
    <col min="4865" max="4865" width="23.5" style="1" bestFit="1" customWidth="1"/>
    <col min="4866" max="4870" width="9.1640625" style="1" customWidth="1"/>
    <col min="4871" max="4871" width="24.1640625" style="1" bestFit="1" customWidth="1"/>
    <col min="4872" max="5120" width="8.83203125" style="1"/>
    <col min="5121" max="5121" width="23.5" style="1" bestFit="1" customWidth="1"/>
    <col min="5122" max="5126" width="9.1640625" style="1" customWidth="1"/>
    <col min="5127" max="5127" width="24.1640625" style="1" bestFit="1" customWidth="1"/>
    <col min="5128" max="5376" width="8.83203125" style="1"/>
    <col min="5377" max="5377" width="23.5" style="1" bestFit="1" customWidth="1"/>
    <col min="5378" max="5382" width="9.1640625" style="1" customWidth="1"/>
    <col min="5383" max="5383" width="24.1640625" style="1" bestFit="1" customWidth="1"/>
    <col min="5384" max="5632" width="8.83203125" style="1"/>
    <col min="5633" max="5633" width="23.5" style="1" bestFit="1" customWidth="1"/>
    <col min="5634" max="5638" width="9.1640625" style="1" customWidth="1"/>
    <col min="5639" max="5639" width="24.1640625" style="1" bestFit="1" customWidth="1"/>
    <col min="5640" max="5888" width="8.83203125" style="1"/>
    <col min="5889" max="5889" width="23.5" style="1" bestFit="1" customWidth="1"/>
    <col min="5890" max="5894" width="9.1640625" style="1" customWidth="1"/>
    <col min="5895" max="5895" width="24.1640625" style="1" bestFit="1" customWidth="1"/>
    <col min="5896" max="6144" width="8.83203125" style="1"/>
    <col min="6145" max="6145" width="23.5" style="1" bestFit="1" customWidth="1"/>
    <col min="6146" max="6150" width="9.1640625" style="1" customWidth="1"/>
    <col min="6151" max="6151" width="24.1640625" style="1" bestFit="1" customWidth="1"/>
    <col min="6152" max="6400" width="8.83203125" style="1"/>
    <col min="6401" max="6401" width="23.5" style="1" bestFit="1" customWidth="1"/>
    <col min="6402" max="6406" width="9.1640625" style="1" customWidth="1"/>
    <col min="6407" max="6407" width="24.1640625" style="1" bestFit="1" customWidth="1"/>
    <col min="6408" max="6656" width="8.83203125" style="1"/>
    <col min="6657" max="6657" width="23.5" style="1" bestFit="1" customWidth="1"/>
    <col min="6658" max="6662" width="9.1640625" style="1" customWidth="1"/>
    <col min="6663" max="6663" width="24.1640625" style="1" bestFit="1" customWidth="1"/>
    <col min="6664" max="6912" width="8.83203125" style="1"/>
    <col min="6913" max="6913" width="23.5" style="1" bestFit="1" customWidth="1"/>
    <col min="6914" max="6918" width="9.1640625" style="1" customWidth="1"/>
    <col min="6919" max="6919" width="24.1640625" style="1" bestFit="1" customWidth="1"/>
    <col min="6920" max="7168" width="8.83203125" style="1"/>
    <col min="7169" max="7169" width="23.5" style="1" bestFit="1" customWidth="1"/>
    <col min="7170" max="7174" width="9.1640625" style="1" customWidth="1"/>
    <col min="7175" max="7175" width="24.1640625" style="1" bestFit="1" customWidth="1"/>
    <col min="7176" max="7424" width="8.83203125" style="1"/>
    <col min="7425" max="7425" width="23.5" style="1" bestFit="1" customWidth="1"/>
    <col min="7426" max="7430" width="9.1640625" style="1" customWidth="1"/>
    <col min="7431" max="7431" width="24.1640625" style="1" bestFit="1" customWidth="1"/>
    <col min="7432" max="7680" width="8.83203125" style="1"/>
    <col min="7681" max="7681" width="23.5" style="1" bestFit="1" customWidth="1"/>
    <col min="7682" max="7686" width="9.1640625" style="1" customWidth="1"/>
    <col min="7687" max="7687" width="24.1640625" style="1" bestFit="1" customWidth="1"/>
    <col min="7688" max="7936" width="8.83203125" style="1"/>
    <col min="7937" max="7937" width="23.5" style="1" bestFit="1" customWidth="1"/>
    <col min="7938" max="7942" width="9.1640625" style="1" customWidth="1"/>
    <col min="7943" max="7943" width="24.1640625" style="1" bestFit="1" customWidth="1"/>
    <col min="7944" max="8192" width="8.83203125" style="1"/>
    <col min="8193" max="8193" width="23.5" style="1" bestFit="1" customWidth="1"/>
    <col min="8194" max="8198" width="9.1640625" style="1" customWidth="1"/>
    <col min="8199" max="8199" width="24.1640625" style="1" bestFit="1" customWidth="1"/>
    <col min="8200" max="8448" width="8.83203125" style="1"/>
    <col min="8449" max="8449" width="23.5" style="1" bestFit="1" customWidth="1"/>
    <col min="8450" max="8454" width="9.1640625" style="1" customWidth="1"/>
    <col min="8455" max="8455" width="24.1640625" style="1" bestFit="1" customWidth="1"/>
    <col min="8456" max="8704" width="8.83203125" style="1"/>
    <col min="8705" max="8705" width="23.5" style="1" bestFit="1" customWidth="1"/>
    <col min="8706" max="8710" width="9.1640625" style="1" customWidth="1"/>
    <col min="8711" max="8711" width="24.1640625" style="1" bestFit="1" customWidth="1"/>
    <col min="8712" max="8960" width="8.83203125" style="1"/>
    <col min="8961" max="8961" width="23.5" style="1" bestFit="1" customWidth="1"/>
    <col min="8962" max="8966" width="9.1640625" style="1" customWidth="1"/>
    <col min="8967" max="8967" width="24.1640625" style="1" bestFit="1" customWidth="1"/>
    <col min="8968" max="9216" width="8.83203125" style="1"/>
    <col min="9217" max="9217" width="23.5" style="1" bestFit="1" customWidth="1"/>
    <col min="9218" max="9222" width="9.1640625" style="1" customWidth="1"/>
    <col min="9223" max="9223" width="24.1640625" style="1" bestFit="1" customWidth="1"/>
    <col min="9224" max="9472" width="8.83203125" style="1"/>
    <col min="9473" max="9473" width="23.5" style="1" bestFit="1" customWidth="1"/>
    <col min="9474" max="9478" width="9.1640625" style="1" customWidth="1"/>
    <col min="9479" max="9479" width="24.1640625" style="1" bestFit="1" customWidth="1"/>
    <col min="9480" max="9728" width="8.83203125" style="1"/>
    <col min="9729" max="9729" width="23.5" style="1" bestFit="1" customWidth="1"/>
    <col min="9730" max="9734" width="9.1640625" style="1" customWidth="1"/>
    <col min="9735" max="9735" width="24.1640625" style="1" bestFit="1" customWidth="1"/>
    <col min="9736" max="9984" width="8.83203125" style="1"/>
    <col min="9985" max="9985" width="23.5" style="1" bestFit="1" customWidth="1"/>
    <col min="9986" max="9990" width="9.1640625" style="1" customWidth="1"/>
    <col min="9991" max="9991" width="24.1640625" style="1" bestFit="1" customWidth="1"/>
    <col min="9992" max="10240" width="8.83203125" style="1"/>
    <col min="10241" max="10241" width="23.5" style="1" bestFit="1" customWidth="1"/>
    <col min="10242" max="10246" width="9.1640625" style="1" customWidth="1"/>
    <col min="10247" max="10247" width="24.1640625" style="1" bestFit="1" customWidth="1"/>
    <col min="10248" max="10496" width="8.83203125" style="1"/>
    <col min="10497" max="10497" width="23.5" style="1" bestFit="1" customWidth="1"/>
    <col min="10498" max="10502" width="9.1640625" style="1" customWidth="1"/>
    <col min="10503" max="10503" width="24.1640625" style="1" bestFit="1" customWidth="1"/>
    <col min="10504" max="10752" width="8.83203125" style="1"/>
    <col min="10753" max="10753" width="23.5" style="1" bestFit="1" customWidth="1"/>
    <col min="10754" max="10758" width="9.1640625" style="1" customWidth="1"/>
    <col min="10759" max="10759" width="24.1640625" style="1" bestFit="1" customWidth="1"/>
    <col min="10760" max="11008" width="8.83203125" style="1"/>
    <col min="11009" max="11009" width="23.5" style="1" bestFit="1" customWidth="1"/>
    <col min="11010" max="11014" width="9.1640625" style="1" customWidth="1"/>
    <col min="11015" max="11015" width="24.1640625" style="1" bestFit="1" customWidth="1"/>
    <col min="11016" max="11264" width="8.83203125" style="1"/>
    <col min="11265" max="11265" width="23.5" style="1" bestFit="1" customWidth="1"/>
    <col min="11266" max="11270" width="9.1640625" style="1" customWidth="1"/>
    <col min="11271" max="11271" width="24.1640625" style="1" bestFit="1" customWidth="1"/>
    <col min="11272" max="11520" width="8.83203125" style="1"/>
    <col min="11521" max="11521" width="23.5" style="1" bestFit="1" customWidth="1"/>
    <col min="11522" max="11526" width="9.1640625" style="1" customWidth="1"/>
    <col min="11527" max="11527" width="24.1640625" style="1" bestFit="1" customWidth="1"/>
    <col min="11528" max="11776" width="8.83203125" style="1"/>
    <col min="11777" max="11777" width="23.5" style="1" bestFit="1" customWidth="1"/>
    <col min="11778" max="11782" width="9.1640625" style="1" customWidth="1"/>
    <col min="11783" max="11783" width="24.1640625" style="1" bestFit="1" customWidth="1"/>
    <col min="11784" max="12032" width="8.83203125" style="1"/>
    <col min="12033" max="12033" width="23.5" style="1" bestFit="1" customWidth="1"/>
    <col min="12034" max="12038" width="9.1640625" style="1" customWidth="1"/>
    <col min="12039" max="12039" width="24.1640625" style="1" bestFit="1" customWidth="1"/>
    <col min="12040" max="12288" width="8.83203125" style="1"/>
    <col min="12289" max="12289" width="23.5" style="1" bestFit="1" customWidth="1"/>
    <col min="12290" max="12294" width="9.1640625" style="1" customWidth="1"/>
    <col min="12295" max="12295" width="24.1640625" style="1" bestFit="1" customWidth="1"/>
    <col min="12296" max="12544" width="8.83203125" style="1"/>
    <col min="12545" max="12545" width="23.5" style="1" bestFit="1" customWidth="1"/>
    <col min="12546" max="12550" width="9.1640625" style="1" customWidth="1"/>
    <col min="12551" max="12551" width="24.1640625" style="1" bestFit="1" customWidth="1"/>
    <col min="12552" max="12800" width="8.83203125" style="1"/>
    <col min="12801" max="12801" width="23.5" style="1" bestFit="1" customWidth="1"/>
    <col min="12802" max="12806" width="9.1640625" style="1" customWidth="1"/>
    <col min="12807" max="12807" width="24.1640625" style="1" bestFit="1" customWidth="1"/>
    <col min="12808" max="13056" width="8.83203125" style="1"/>
    <col min="13057" max="13057" width="23.5" style="1" bestFit="1" customWidth="1"/>
    <col min="13058" max="13062" width="9.1640625" style="1" customWidth="1"/>
    <col min="13063" max="13063" width="24.1640625" style="1" bestFit="1" customWidth="1"/>
    <col min="13064" max="13312" width="8.83203125" style="1"/>
    <col min="13313" max="13313" width="23.5" style="1" bestFit="1" customWidth="1"/>
    <col min="13314" max="13318" width="9.1640625" style="1" customWidth="1"/>
    <col min="13319" max="13319" width="24.1640625" style="1" bestFit="1" customWidth="1"/>
    <col min="13320" max="13568" width="8.83203125" style="1"/>
    <col min="13569" max="13569" width="23.5" style="1" bestFit="1" customWidth="1"/>
    <col min="13570" max="13574" width="9.1640625" style="1" customWidth="1"/>
    <col min="13575" max="13575" width="24.1640625" style="1" bestFit="1" customWidth="1"/>
    <col min="13576" max="13824" width="8.83203125" style="1"/>
    <col min="13825" max="13825" width="23.5" style="1" bestFit="1" customWidth="1"/>
    <col min="13826" max="13830" width="9.1640625" style="1" customWidth="1"/>
    <col min="13831" max="13831" width="24.1640625" style="1" bestFit="1" customWidth="1"/>
    <col min="13832" max="14080" width="8.83203125" style="1"/>
    <col min="14081" max="14081" width="23.5" style="1" bestFit="1" customWidth="1"/>
    <col min="14082" max="14086" width="9.1640625" style="1" customWidth="1"/>
    <col min="14087" max="14087" width="24.1640625" style="1" bestFit="1" customWidth="1"/>
    <col min="14088" max="14336" width="8.83203125" style="1"/>
    <col min="14337" max="14337" width="23.5" style="1" bestFit="1" customWidth="1"/>
    <col min="14338" max="14342" width="9.1640625" style="1" customWidth="1"/>
    <col min="14343" max="14343" width="24.1640625" style="1" bestFit="1" customWidth="1"/>
    <col min="14344" max="14592" width="8.83203125" style="1"/>
    <col min="14593" max="14593" width="23.5" style="1" bestFit="1" customWidth="1"/>
    <col min="14594" max="14598" width="9.1640625" style="1" customWidth="1"/>
    <col min="14599" max="14599" width="24.1640625" style="1" bestFit="1" customWidth="1"/>
    <col min="14600" max="14848" width="8.83203125" style="1"/>
    <col min="14849" max="14849" width="23.5" style="1" bestFit="1" customWidth="1"/>
    <col min="14850" max="14854" width="9.1640625" style="1" customWidth="1"/>
    <col min="14855" max="14855" width="24.1640625" style="1" bestFit="1" customWidth="1"/>
    <col min="14856" max="15104" width="8.83203125" style="1"/>
    <col min="15105" max="15105" width="23.5" style="1" bestFit="1" customWidth="1"/>
    <col min="15106" max="15110" width="9.1640625" style="1" customWidth="1"/>
    <col min="15111" max="15111" width="24.1640625" style="1" bestFit="1" customWidth="1"/>
    <col min="15112" max="15360" width="8.83203125" style="1"/>
    <col min="15361" max="15361" width="23.5" style="1" bestFit="1" customWidth="1"/>
    <col min="15362" max="15366" width="9.1640625" style="1" customWidth="1"/>
    <col min="15367" max="15367" width="24.1640625" style="1" bestFit="1" customWidth="1"/>
    <col min="15368" max="15616" width="8.83203125" style="1"/>
    <col min="15617" max="15617" width="23.5" style="1" bestFit="1" customWidth="1"/>
    <col min="15618" max="15622" width="9.1640625" style="1" customWidth="1"/>
    <col min="15623" max="15623" width="24.1640625" style="1" bestFit="1" customWidth="1"/>
    <col min="15624" max="15872" width="8.83203125" style="1"/>
    <col min="15873" max="15873" width="23.5" style="1" bestFit="1" customWidth="1"/>
    <col min="15874" max="15878" width="9.1640625" style="1" customWidth="1"/>
    <col min="15879" max="15879" width="24.1640625" style="1" bestFit="1" customWidth="1"/>
    <col min="15880" max="16128" width="8.83203125" style="1"/>
    <col min="16129" max="16129" width="23.5" style="1" bestFit="1" customWidth="1"/>
    <col min="16130" max="16134" width="9.1640625" style="1" customWidth="1"/>
    <col min="16135" max="16135" width="24.1640625" style="1" bestFit="1" customWidth="1"/>
    <col min="16136" max="16384" width="8.83203125" style="1"/>
  </cols>
  <sheetData>
    <row r="1" spans="1:7" ht="56.25" customHeight="1" x14ac:dyDescent="0.2">
      <c r="A1" s="108" t="s">
        <v>28</v>
      </c>
      <c r="B1" s="108"/>
      <c r="C1" s="108"/>
      <c r="D1" s="108"/>
      <c r="E1" s="108"/>
      <c r="F1" s="108"/>
      <c r="G1" s="108"/>
    </row>
    <row r="2" spans="1:7" x14ac:dyDescent="0.2">
      <c r="A2" s="27" t="s">
        <v>7</v>
      </c>
      <c r="C2" s="95" t="s">
        <v>12</v>
      </c>
      <c r="D2" s="96"/>
      <c r="E2" s="96"/>
      <c r="F2" s="95" t="s">
        <v>13</v>
      </c>
      <c r="G2" s="80"/>
    </row>
    <row r="3" spans="1:7" x14ac:dyDescent="0.2">
      <c r="A3" s="80" t="s">
        <v>8</v>
      </c>
      <c r="C3" s="97">
        <f>'2stocks'!C3</f>
        <v>1.9290532490182733E-3</v>
      </c>
      <c r="D3" s="79" t="str" cm="1">
        <f t="array" aca="1" ref="D3" ca="1">GETFORMULA(C3)</f>
        <v>&lt;--  ='2stocks'!C3</v>
      </c>
      <c r="E3" s="96"/>
      <c r="F3" s="97">
        <f>'2stocks'!F3</f>
        <v>-9.4285224745487104E-4</v>
      </c>
      <c r="G3" s="79" t="str" cm="1">
        <f t="array" aca="1" ref="G3" ca="1">GETFORMULA(F3)</f>
        <v>&lt;--  ='2stocks'!F3</v>
      </c>
    </row>
    <row r="4" spans="1:7" x14ac:dyDescent="0.2">
      <c r="A4" s="80" t="s">
        <v>32</v>
      </c>
      <c r="C4" s="97">
        <f>'2stocks'!C4</f>
        <v>4.9786583520865228E-2</v>
      </c>
      <c r="D4" s="79" t="str" cm="1">
        <f t="array" aca="1" ref="D4" ca="1">GETFORMULA(C4)</f>
        <v>&lt;--  ='2stocks'!C4</v>
      </c>
      <c r="E4" s="96"/>
      <c r="F4" s="97">
        <f>'2stocks'!F4</f>
        <v>8.455667907032216E-2</v>
      </c>
      <c r="G4" s="79" t="str" cm="1">
        <f t="array" aca="1" ref="G4" ca="1">GETFORMULA(F4)</f>
        <v>&lt;--  ='2stocks'!F4</v>
      </c>
    </row>
    <row r="5" spans="1:7" x14ac:dyDescent="0.2">
      <c r="A5" s="80" t="s">
        <v>9</v>
      </c>
      <c r="C5" s="97">
        <f>'2stocks'!C6</f>
        <v>2.6921656351022514E-3</v>
      </c>
      <c r="D5" s="79" t="str" cm="1">
        <f t="array" aca="1" ref="D5" ca="1">GETFORMULA(C5)</f>
        <v>&lt;--  ='2stocks'!C6</v>
      </c>
      <c r="E5" s="96"/>
      <c r="F5" s="96"/>
      <c r="G5" s="96"/>
    </row>
    <row r="6" spans="1:7" x14ac:dyDescent="0.2">
      <c r="A6" s="80" t="s">
        <v>10</v>
      </c>
      <c r="C6" s="97">
        <f>'2stocks'!C9</f>
        <v>0.63950144988873225</v>
      </c>
      <c r="D6" s="79" t="str" cm="1">
        <f t="array" aca="1" ref="D6" ca="1">GETFORMULA(C6)</f>
        <v>&lt;--  ='2stocks'!C9</v>
      </c>
      <c r="E6" s="96"/>
      <c r="F6" s="96"/>
      <c r="G6" s="96"/>
    </row>
    <row r="7" spans="1:7" x14ac:dyDescent="0.2">
      <c r="A7" s="80"/>
      <c r="C7" s="96"/>
      <c r="D7" s="98"/>
      <c r="E7" s="96"/>
      <c r="F7" s="96"/>
      <c r="G7" s="96"/>
    </row>
    <row r="8" spans="1:7" x14ac:dyDescent="0.2">
      <c r="A8" s="27" t="s">
        <v>24</v>
      </c>
      <c r="C8" s="96"/>
      <c r="D8" s="96"/>
      <c r="E8" s="96"/>
      <c r="F8" s="96"/>
      <c r="G8" s="96"/>
    </row>
    <row r="9" spans="1:7" x14ac:dyDescent="0.2">
      <c r="A9" s="80" t="s">
        <v>29</v>
      </c>
      <c r="C9" s="99">
        <v>0.5</v>
      </c>
      <c r="D9" s="96"/>
      <c r="E9" s="96"/>
      <c r="F9" s="96"/>
      <c r="G9" s="96"/>
    </row>
    <row r="10" spans="1:7" x14ac:dyDescent="0.2">
      <c r="A10" s="80" t="s">
        <v>30</v>
      </c>
      <c r="C10" s="99">
        <f>1-C9</f>
        <v>0.5</v>
      </c>
      <c r="D10" s="79" t="str" cm="1">
        <f t="array" aca="1" ref="D10" ca="1">GETFORMULA(C10)</f>
        <v>&lt;--  =1-C9</v>
      </c>
      <c r="E10" s="96"/>
      <c r="F10" s="96"/>
      <c r="G10" s="96"/>
    </row>
    <row r="11" spans="1:7" x14ac:dyDescent="0.2">
      <c r="A11" s="80"/>
      <c r="C11" s="96"/>
      <c r="D11" s="79"/>
      <c r="E11" s="96"/>
      <c r="F11" s="96"/>
      <c r="G11" s="96"/>
    </row>
    <row r="12" spans="1:7" x14ac:dyDescent="0.2">
      <c r="A12" s="80" t="s">
        <v>25</v>
      </c>
      <c r="C12" s="97">
        <f>C9*C3+C10*F3</f>
        <v>4.9310050078170105E-4</v>
      </c>
      <c r="D12" s="79" t="str" cm="1">
        <f t="array" aca="1" ref="D12" ca="1">GETFORMULA(C12)</f>
        <v>&lt;--  =C9*C3+C10*F3</v>
      </c>
      <c r="E12" s="96"/>
      <c r="F12" s="96"/>
      <c r="G12" s="96"/>
    </row>
    <row r="13" spans="1:7" x14ac:dyDescent="0.2">
      <c r="A13" s="80" t="s">
        <v>26</v>
      </c>
      <c r="C13" s="97">
        <f>SQRT(C9^2*C4^2+C10^2*F4^2+2*C9*C10*C5)</f>
        <v>6.126350288770234E-2</v>
      </c>
      <c r="D13" s="79" t="str" cm="1">
        <f t="array" aca="1" ref="D13" ca="1">GETFORMULA(C13)</f>
        <v>&lt;--  =SQRT(C9^2*C4^2+C10^2*F4^2+2*C9*C10*C5)</v>
      </c>
      <c r="E13" s="96"/>
      <c r="F13" s="96"/>
      <c r="G13" s="96"/>
    </row>
    <row r="14" spans="1:7" x14ac:dyDescent="0.2">
      <c r="A14" s="80"/>
      <c r="B14" s="96"/>
      <c r="C14" s="96"/>
      <c r="D14" s="96"/>
      <c r="E14" s="96"/>
      <c r="F14" s="96"/>
    </row>
    <row r="15" spans="1:7" x14ac:dyDescent="0.2">
      <c r="A15" s="27" t="s">
        <v>146</v>
      </c>
      <c r="B15" s="96"/>
      <c r="C15" s="96"/>
      <c r="D15" s="96"/>
      <c r="E15" s="96"/>
      <c r="F15" s="96"/>
    </row>
    <row r="16" spans="1:7" x14ac:dyDescent="0.2">
      <c r="A16" s="100" t="s">
        <v>29</v>
      </c>
      <c r="B16" s="96" t="s">
        <v>31</v>
      </c>
      <c r="C16" s="96" t="s">
        <v>27</v>
      </c>
      <c r="D16" s="96"/>
      <c r="E16" s="96"/>
      <c r="F16" s="96"/>
    </row>
    <row r="17" spans="1:6" x14ac:dyDescent="0.2">
      <c r="A17" s="80">
        <v>-1</v>
      </c>
      <c r="B17" s="96">
        <f t="shared" ref="B17:B47" si="0">SQRT(A17^2*$C$4^2+(1-A17)^2*$F$4^2+2*A17*(1-A17)*$C$5)</f>
        <v>0.14251094435122136</v>
      </c>
      <c r="C17" s="96">
        <f t="shared" ref="C17:C47" si="1">A17*$C$3+(1-A17)*$F$3</f>
        <v>-3.8147577439280153E-3</v>
      </c>
      <c r="D17" s="79"/>
      <c r="E17" s="96"/>
      <c r="F17" s="96"/>
    </row>
    <row r="18" spans="1:6" x14ac:dyDescent="0.2">
      <c r="A18" s="80">
        <f>A17+0.1</f>
        <v>-0.9</v>
      </c>
      <c r="B18" s="96">
        <f t="shared" si="0"/>
        <v>0.13642374103168567</v>
      </c>
      <c r="C18" s="96">
        <f t="shared" si="1"/>
        <v>-3.5275671942807006E-3</v>
      </c>
      <c r="D18" s="79"/>
      <c r="E18" s="96"/>
      <c r="F18" s="96"/>
    </row>
    <row r="19" spans="1:6" x14ac:dyDescent="0.2">
      <c r="A19" s="80">
        <f t="shared" ref="A19:A47" si="2">A18+0.1</f>
        <v>-0.8</v>
      </c>
      <c r="B19" s="96">
        <f t="shared" si="0"/>
        <v>0.13037787030919587</v>
      </c>
      <c r="C19" s="96">
        <f t="shared" si="1"/>
        <v>-3.2403766446333863E-3</v>
      </c>
      <c r="D19" s="79"/>
      <c r="E19" s="96"/>
      <c r="F19" s="96"/>
    </row>
    <row r="20" spans="1:6" x14ac:dyDescent="0.2">
      <c r="A20" s="80">
        <f t="shared" si="2"/>
        <v>-0.70000000000000007</v>
      </c>
      <c r="B20" s="96">
        <f t="shared" si="0"/>
        <v>0.12437935965311972</v>
      </c>
      <c r="C20" s="96">
        <f t="shared" si="1"/>
        <v>-2.953186094986072E-3</v>
      </c>
      <c r="D20" s="79"/>
      <c r="E20" s="96"/>
      <c r="F20" s="96"/>
    </row>
    <row r="21" spans="1:6" x14ac:dyDescent="0.2">
      <c r="A21" s="80">
        <f t="shared" si="2"/>
        <v>-0.60000000000000009</v>
      </c>
      <c r="B21" s="96">
        <f t="shared" si="0"/>
        <v>0.11843540535311325</v>
      </c>
      <c r="C21" s="96">
        <f t="shared" si="1"/>
        <v>-2.6659955453387577E-3</v>
      </c>
      <c r="D21" s="79"/>
      <c r="E21" s="96"/>
      <c r="F21" s="96"/>
    </row>
    <row r="22" spans="1:6" x14ac:dyDescent="0.2">
      <c r="A22" s="80">
        <f t="shared" si="2"/>
        <v>-0.50000000000000011</v>
      </c>
      <c r="B22" s="96">
        <f t="shared" si="0"/>
        <v>0.11255465102193657</v>
      </c>
      <c r="C22" s="96">
        <f t="shared" si="1"/>
        <v>-2.3788049956914433E-3</v>
      </c>
      <c r="D22" s="79"/>
      <c r="E22" s="96"/>
      <c r="F22" s="96"/>
    </row>
    <row r="23" spans="1:6" x14ac:dyDescent="0.2">
      <c r="A23" s="80">
        <f t="shared" si="2"/>
        <v>-0.40000000000000013</v>
      </c>
      <c r="B23" s="96">
        <f t="shared" si="0"/>
        <v>0.10674754228674847</v>
      </c>
      <c r="C23" s="96">
        <f t="shared" si="1"/>
        <v>-2.091614446044129E-3</v>
      </c>
      <c r="D23" s="79"/>
      <c r="E23" s="96"/>
      <c r="F23" s="96"/>
    </row>
    <row r="24" spans="1:6" x14ac:dyDescent="0.2">
      <c r="A24" s="80">
        <f t="shared" si="2"/>
        <v>-0.30000000000000016</v>
      </c>
      <c r="B24" s="96">
        <f t="shared" si="0"/>
        <v>0.10102677958803753</v>
      </c>
      <c r="C24" s="96">
        <f t="shared" si="1"/>
        <v>-1.8044238963968147E-3</v>
      </c>
      <c r="D24" s="79"/>
      <c r="E24" s="96"/>
      <c r="F24" s="96"/>
    </row>
    <row r="25" spans="1:6" x14ac:dyDescent="0.2">
      <c r="A25" s="80">
        <f t="shared" si="2"/>
        <v>-0.20000000000000015</v>
      </c>
      <c r="B25" s="96">
        <f t="shared" si="0"/>
        <v>9.5407896401064327E-2</v>
      </c>
      <c r="C25" s="96">
        <f t="shared" si="1"/>
        <v>-1.5172333467495004E-3</v>
      </c>
      <c r="D25" s="96"/>
      <c r="E25" s="96"/>
      <c r="F25" s="96"/>
    </row>
    <row r="26" spans="1:6" x14ac:dyDescent="0.2">
      <c r="A26" s="80">
        <f t="shared" si="2"/>
        <v>-0.10000000000000014</v>
      </c>
      <c r="B26" s="96">
        <f t="shared" si="0"/>
        <v>8.9909995492715222E-2</v>
      </c>
      <c r="C26" s="96">
        <f t="shared" si="1"/>
        <v>-1.2300427971021859E-3</v>
      </c>
      <c r="D26" s="96"/>
      <c r="E26" s="96"/>
      <c r="F26" s="96"/>
    </row>
    <row r="27" spans="1:6" x14ac:dyDescent="0.2">
      <c r="A27" s="80">
        <v>0</v>
      </c>
      <c r="B27" s="96">
        <f t="shared" si="0"/>
        <v>8.455667907032216E-2</v>
      </c>
      <c r="C27" s="96">
        <f t="shared" si="1"/>
        <v>-9.4285224745487104E-4</v>
      </c>
      <c r="D27" s="96"/>
      <c r="E27" s="96"/>
      <c r="F27" s="96"/>
    </row>
    <row r="28" spans="1:6" x14ac:dyDescent="0.2">
      <c r="A28" s="80">
        <f>A27+0.1</f>
        <v>0.1</v>
      </c>
      <c r="B28" s="96">
        <f t="shared" si="0"/>
        <v>7.937720550246391E-2</v>
      </c>
      <c r="C28" s="96">
        <f t="shared" si="1"/>
        <v>-6.5566169780755662E-4</v>
      </c>
      <c r="D28" s="96"/>
      <c r="E28" s="96"/>
      <c r="F28" s="96"/>
    </row>
    <row r="29" spans="1:6" x14ac:dyDescent="0.2">
      <c r="A29" s="80">
        <f t="shared" si="2"/>
        <v>0.2</v>
      </c>
      <c r="B29" s="96">
        <f t="shared" si="0"/>
        <v>7.4407886836254516E-2</v>
      </c>
      <c r="C29" s="96">
        <f t="shared" si="1"/>
        <v>-3.684711481602422E-4</v>
      </c>
      <c r="D29" s="96"/>
      <c r="E29" s="96"/>
      <c r="F29" s="96"/>
    </row>
    <row r="30" spans="1:6" x14ac:dyDescent="0.2">
      <c r="A30" s="80">
        <f t="shared" si="2"/>
        <v>0.30000000000000004</v>
      </c>
      <c r="B30" s="96">
        <f t="shared" si="0"/>
        <v>6.9693691146120729E-2</v>
      </c>
      <c r="C30" s="96">
        <f t="shared" si="1"/>
        <v>-8.1280598512927676E-5</v>
      </c>
      <c r="D30" s="96"/>
      <c r="E30" s="96"/>
      <c r="F30" s="96"/>
    </row>
    <row r="31" spans="1:6" x14ac:dyDescent="0.2">
      <c r="A31" s="80">
        <f t="shared" si="2"/>
        <v>0.4</v>
      </c>
      <c r="B31" s="96">
        <f t="shared" si="0"/>
        <v>6.5289904577832097E-2</v>
      </c>
      <c r="C31" s="96">
        <f t="shared" si="1"/>
        <v>2.0590995113438674E-4</v>
      </c>
      <c r="D31" s="96"/>
      <c r="E31" s="96"/>
      <c r="F31" s="96"/>
    </row>
    <row r="32" spans="1:6" x14ac:dyDescent="0.2">
      <c r="A32" s="80">
        <f t="shared" si="2"/>
        <v>0.5</v>
      </c>
      <c r="B32" s="96">
        <f t="shared" si="0"/>
        <v>6.126350288770234E-2</v>
      </c>
      <c r="C32" s="96">
        <f t="shared" si="1"/>
        <v>4.9310050078170105E-4</v>
      </c>
      <c r="D32" s="96"/>
      <c r="E32" s="96"/>
      <c r="F32" s="96"/>
    </row>
    <row r="33" spans="1:6" x14ac:dyDescent="0.2">
      <c r="A33" s="80">
        <f t="shared" si="2"/>
        <v>0.6</v>
      </c>
      <c r="B33" s="96">
        <f t="shared" si="0"/>
        <v>5.7693552711183822E-2</v>
      </c>
      <c r="C33" s="96">
        <f t="shared" si="1"/>
        <v>7.8029105042901547E-4</v>
      </c>
      <c r="D33" s="96"/>
      <c r="E33" s="96"/>
      <c r="F33" s="96"/>
    </row>
    <row r="34" spans="1:6" x14ac:dyDescent="0.2">
      <c r="A34" s="80">
        <f t="shared" si="2"/>
        <v>0.7</v>
      </c>
      <c r="B34" s="96">
        <f t="shared" si="0"/>
        <v>5.4669546869187791E-2</v>
      </c>
      <c r="C34" s="96">
        <f t="shared" si="1"/>
        <v>1.0674816000763299E-3</v>
      </c>
      <c r="D34" s="96"/>
      <c r="E34" s="96"/>
      <c r="F34" s="96"/>
    </row>
    <row r="35" spans="1:6" x14ac:dyDescent="0.2">
      <c r="A35" s="80">
        <f t="shared" si="2"/>
        <v>0.79999999999999993</v>
      </c>
      <c r="B35" s="96">
        <f t="shared" si="0"/>
        <v>5.2286296267798849E-2</v>
      </c>
      <c r="C35" s="96">
        <f t="shared" si="1"/>
        <v>1.3546721497236442E-3</v>
      </c>
      <c r="D35" s="96"/>
      <c r="E35" s="96"/>
      <c r="F35" s="96"/>
    </row>
    <row r="36" spans="1:6" x14ac:dyDescent="0.2">
      <c r="A36" s="80">
        <f t="shared" si="2"/>
        <v>0.89999999999999991</v>
      </c>
      <c r="B36" s="96">
        <f t="shared" si="0"/>
        <v>5.0634358809046771E-2</v>
      </c>
      <c r="C36" s="96">
        <f t="shared" si="1"/>
        <v>1.6418626993709587E-3</v>
      </c>
      <c r="D36" s="96"/>
      <c r="E36" s="96"/>
      <c r="F36" s="96"/>
    </row>
    <row r="37" spans="1:6" x14ac:dyDescent="0.2">
      <c r="A37" s="80">
        <f t="shared" si="2"/>
        <v>0.99999999999999989</v>
      </c>
      <c r="B37" s="96">
        <f t="shared" si="0"/>
        <v>4.9786583520865228E-2</v>
      </c>
      <c r="C37" s="96">
        <f t="shared" si="1"/>
        <v>1.929053249018273E-3</v>
      </c>
      <c r="D37" s="96"/>
      <c r="E37" s="96"/>
      <c r="F37" s="96"/>
    </row>
    <row r="38" spans="1:6" x14ac:dyDescent="0.2">
      <c r="A38" s="80">
        <f t="shared" si="2"/>
        <v>1.0999999999999999</v>
      </c>
      <c r="B38" s="96">
        <f t="shared" si="0"/>
        <v>4.9784069715466478E-2</v>
      </c>
      <c r="C38" s="96">
        <f t="shared" si="1"/>
        <v>2.2162437986655873E-3</v>
      </c>
      <c r="D38" s="96"/>
      <c r="E38" s="96"/>
      <c r="F38" s="96"/>
    </row>
    <row r="39" spans="1:6" x14ac:dyDescent="0.2">
      <c r="A39" s="80">
        <f t="shared" si="2"/>
        <v>1.2</v>
      </c>
      <c r="B39" s="96">
        <f t="shared" si="0"/>
        <v>5.0626943303603719E-2</v>
      </c>
      <c r="C39" s="96">
        <f t="shared" si="1"/>
        <v>2.5034343483129021E-3</v>
      </c>
      <c r="D39" s="96"/>
      <c r="E39" s="96"/>
      <c r="F39" s="96"/>
    </row>
    <row r="40" spans="1:6" x14ac:dyDescent="0.2">
      <c r="A40" s="80">
        <f t="shared" si="2"/>
        <v>1.3</v>
      </c>
      <c r="B40" s="96">
        <f t="shared" si="0"/>
        <v>5.2274327075302718E-2</v>
      </c>
      <c r="C40" s="96">
        <f t="shared" si="1"/>
        <v>2.7906248979602164E-3</v>
      </c>
      <c r="D40" s="96"/>
      <c r="E40" s="96"/>
      <c r="F40" s="96"/>
    </row>
    <row r="41" spans="1:6" x14ac:dyDescent="0.2">
      <c r="A41" s="80">
        <f t="shared" si="2"/>
        <v>1.4000000000000001</v>
      </c>
      <c r="B41" s="96">
        <f t="shared" si="0"/>
        <v>5.4653519979619675E-2</v>
      </c>
      <c r="C41" s="96">
        <f t="shared" si="1"/>
        <v>3.0778154476075311E-3</v>
      </c>
      <c r="D41" s="96"/>
      <c r="E41" s="96"/>
      <c r="F41" s="96"/>
    </row>
    <row r="42" spans="1:6" x14ac:dyDescent="0.2">
      <c r="A42" s="80">
        <f t="shared" si="2"/>
        <v>1.5000000000000002</v>
      </c>
      <c r="B42" s="96">
        <f t="shared" si="0"/>
        <v>5.7674026330985333E-2</v>
      </c>
      <c r="C42" s="96">
        <f t="shared" si="1"/>
        <v>3.3650059972548463E-3</v>
      </c>
      <c r="D42" s="96"/>
      <c r="E42" s="96"/>
      <c r="F42" s="96"/>
    </row>
    <row r="43" spans="1:6" x14ac:dyDescent="0.2">
      <c r="A43" s="80">
        <f t="shared" si="2"/>
        <v>1.6000000000000003</v>
      </c>
      <c r="B43" s="96">
        <f t="shared" si="0"/>
        <v>6.1241027688709086E-2</v>
      </c>
      <c r="C43" s="96">
        <f t="shared" si="1"/>
        <v>3.6521965469021606E-3</v>
      </c>
      <c r="D43" s="96"/>
      <c r="E43" s="96"/>
      <c r="F43" s="96"/>
    </row>
    <row r="44" spans="1:6" x14ac:dyDescent="0.2">
      <c r="A44" s="80">
        <f t="shared" si="2"/>
        <v>1.7000000000000004</v>
      </c>
      <c r="B44" s="96">
        <f t="shared" si="0"/>
        <v>6.5264980836500786E-2</v>
      </c>
      <c r="C44" s="96">
        <f t="shared" si="1"/>
        <v>3.9393870965494749E-3</v>
      </c>
      <c r="D44" s="96"/>
      <c r="E44" s="96"/>
      <c r="F44" s="96"/>
    </row>
    <row r="45" spans="1:6" x14ac:dyDescent="0.2">
      <c r="A45" s="80">
        <f t="shared" si="2"/>
        <v>1.8000000000000005</v>
      </c>
      <c r="B45" s="96">
        <f t="shared" si="0"/>
        <v>6.966675008126863E-2</v>
      </c>
      <c r="C45" s="96">
        <f t="shared" si="1"/>
        <v>4.2265776461967901E-3</v>
      </c>
      <c r="D45" s="96"/>
      <c r="E45" s="96"/>
      <c r="F45" s="96"/>
    </row>
    <row r="46" spans="1:6" x14ac:dyDescent="0.2">
      <c r="A46" s="80">
        <f t="shared" si="2"/>
        <v>1.9000000000000006</v>
      </c>
      <c r="B46" s="96">
        <f t="shared" si="0"/>
        <v>7.4379288126874457E-2</v>
      </c>
      <c r="C46" s="96">
        <f t="shared" si="1"/>
        <v>4.5137681958441044E-3</v>
      </c>
      <c r="D46" s="96"/>
      <c r="E46" s="96"/>
      <c r="F46" s="96"/>
    </row>
    <row r="47" spans="1:6" x14ac:dyDescent="0.2">
      <c r="A47" s="80">
        <f t="shared" si="2"/>
        <v>2.0000000000000004</v>
      </c>
      <c r="B47" s="96">
        <f t="shared" si="0"/>
        <v>7.9347243365556278E-2</v>
      </c>
      <c r="C47" s="96">
        <f t="shared" si="1"/>
        <v>4.8009587454914187E-3</v>
      </c>
      <c r="D47" s="96"/>
      <c r="E47" s="96"/>
      <c r="F47" s="96"/>
    </row>
  </sheetData>
  <mergeCells count="1">
    <mergeCell ref="A1:G1"/>
  </mergeCells>
  <phoneticPr fontId="5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I52"/>
  <sheetViews>
    <sheetView workbookViewId="0">
      <selection activeCell="M16" sqref="M16"/>
    </sheetView>
  </sheetViews>
  <sheetFormatPr baseColWidth="10" defaultColWidth="8.83203125" defaultRowHeight="15" x14ac:dyDescent="0.2"/>
  <cols>
    <col min="1" max="6" width="8.5" style="1" customWidth="1"/>
    <col min="7" max="8" width="19.83203125" style="1" customWidth="1"/>
    <col min="9" max="9" width="14.1640625" style="1" customWidth="1"/>
    <col min="10" max="16384" width="8.83203125" style="1"/>
  </cols>
  <sheetData>
    <row r="1" spans="1:9" ht="17" x14ac:dyDescent="0.2">
      <c r="A1" s="8" t="s">
        <v>33</v>
      </c>
    </row>
    <row r="2" spans="1:9" s="80" customFormat="1" x14ac:dyDescent="0.2"/>
    <row r="3" spans="1:9" s="80" customFormat="1" x14ac:dyDescent="0.2">
      <c r="A3" s="18" t="s">
        <v>34</v>
      </c>
      <c r="C3" s="18" t="s">
        <v>35</v>
      </c>
      <c r="G3" s="18" t="s">
        <v>36</v>
      </c>
    </row>
    <row r="4" spans="1:9" s="80" customFormat="1" x14ac:dyDescent="0.2"/>
    <row r="5" spans="1:9" s="80" customFormat="1" x14ac:dyDescent="0.2">
      <c r="A5" s="101" t="s">
        <v>37</v>
      </c>
      <c r="C5" s="101" t="s">
        <v>38</v>
      </c>
      <c r="D5" s="101" t="s">
        <v>39</v>
      </c>
      <c r="E5" s="101" t="s">
        <v>40</v>
      </c>
      <c r="G5" s="101" t="s">
        <v>41</v>
      </c>
      <c r="H5" s="101" t="s">
        <v>42</v>
      </c>
    </row>
    <row r="6" spans="1:9" s="80" customFormat="1" x14ac:dyDescent="0.2">
      <c r="A6" s="101" t="s">
        <v>43</v>
      </c>
      <c r="G6" s="101" t="s">
        <v>44</v>
      </c>
      <c r="H6" s="101" t="s">
        <v>45</v>
      </c>
    </row>
    <row r="7" spans="1:9" s="80" customFormat="1" x14ac:dyDescent="0.2">
      <c r="G7" s="101" t="s">
        <v>46</v>
      </c>
      <c r="H7" s="101" t="s">
        <v>47</v>
      </c>
    </row>
    <row r="8" spans="1:9" s="80" customFormat="1" x14ac:dyDescent="0.2"/>
    <row r="9" spans="1:9" s="80" customFormat="1" x14ac:dyDescent="0.2">
      <c r="A9" s="18" t="s">
        <v>48</v>
      </c>
      <c r="D9" s="18" t="s">
        <v>49</v>
      </c>
      <c r="G9" s="18" t="s">
        <v>129</v>
      </c>
    </row>
    <row r="10" spans="1:9" s="80" customFormat="1" x14ac:dyDescent="0.2">
      <c r="A10" s="101" t="s">
        <v>37</v>
      </c>
      <c r="B10" s="101" t="s">
        <v>43</v>
      </c>
      <c r="D10" s="101" t="s">
        <v>38</v>
      </c>
      <c r="G10" s="101" t="s">
        <v>41</v>
      </c>
      <c r="H10" s="101" t="s">
        <v>44</v>
      </c>
      <c r="I10" s="101" t="s">
        <v>46</v>
      </c>
    </row>
    <row r="11" spans="1:9" s="80" customFormat="1" x14ac:dyDescent="0.2">
      <c r="D11" s="101" t="s">
        <v>39</v>
      </c>
      <c r="G11" s="101" t="s">
        <v>42</v>
      </c>
      <c r="H11" s="101" t="s">
        <v>45</v>
      </c>
      <c r="I11" s="101" t="s">
        <v>47</v>
      </c>
    </row>
    <row r="12" spans="1:9" s="80" customFormat="1" x14ac:dyDescent="0.2">
      <c r="D12" s="101" t="s">
        <v>40</v>
      </c>
    </row>
    <row r="13" spans="1:9" s="80" customFormat="1" x14ac:dyDescent="0.2"/>
    <row r="14" spans="1:9" s="80" customFormat="1" x14ac:dyDescent="0.2">
      <c r="A14" s="18" t="s">
        <v>130</v>
      </c>
      <c r="G14" s="18" t="s">
        <v>131</v>
      </c>
    </row>
    <row r="15" spans="1:9" s="80" customFormat="1" x14ac:dyDescent="0.2">
      <c r="A15" s="101" t="s">
        <v>50</v>
      </c>
      <c r="B15" s="101" t="s">
        <v>51</v>
      </c>
      <c r="C15" s="101" t="s">
        <v>52</v>
      </c>
      <c r="G15" s="101" t="s">
        <v>53</v>
      </c>
      <c r="H15" s="101" t="s">
        <v>54</v>
      </c>
    </row>
    <row r="16" spans="1:9" s="80" customFormat="1" x14ac:dyDescent="0.2">
      <c r="A16" s="101" t="s">
        <v>55</v>
      </c>
      <c r="B16" s="101" t="s">
        <v>56</v>
      </c>
      <c r="C16" s="101" t="s">
        <v>57</v>
      </c>
    </row>
    <row r="17" spans="1:9" s="80" customFormat="1" x14ac:dyDescent="0.2"/>
    <row r="18" spans="1:9" s="80" customFormat="1" x14ac:dyDescent="0.2">
      <c r="A18" s="18" t="s">
        <v>132</v>
      </c>
    </row>
    <row r="19" spans="1:9" s="80" customFormat="1" x14ac:dyDescent="0.2">
      <c r="A19" s="18" t="s">
        <v>122</v>
      </c>
      <c r="I19" s="9"/>
    </row>
    <row r="20" spans="1:9" s="80" customFormat="1" x14ac:dyDescent="0.2">
      <c r="A20" s="80">
        <v>1</v>
      </c>
      <c r="B20" s="80">
        <v>4</v>
      </c>
      <c r="C20" s="80">
        <v>1</v>
      </c>
      <c r="D20" s="80">
        <v>0</v>
      </c>
    </row>
    <row r="21" spans="1:9" s="80" customFormat="1" x14ac:dyDescent="0.2">
      <c r="A21" s="80">
        <v>3</v>
      </c>
      <c r="B21" s="80">
        <v>6</v>
      </c>
      <c r="C21" s="80">
        <v>2</v>
      </c>
      <c r="D21" s="80">
        <v>5</v>
      </c>
    </row>
    <row r="22" spans="1:9" s="80" customFormat="1" x14ac:dyDescent="0.2">
      <c r="A22" s="80">
        <v>4</v>
      </c>
      <c r="B22" s="80">
        <v>2</v>
      </c>
      <c r="C22" s="80">
        <v>1</v>
      </c>
      <c r="D22" s="80">
        <v>8</v>
      </c>
    </row>
    <row r="23" spans="1:9" s="80" customFormat="1" x14ac:dyDescent="0.2">
      <c r="A23" s="18" t="s">
        <v>123</v>
      </c>
    </row>
    <row r="24" spans="1:9" s="80" customFormat="1" x14ac:dyDescent="0.2">
      <c r="A24" s="80">
        <v>1</v>
      </c>
      <c r="B24" s="80">
        <v>5</v>
      </c>
    </row>
    <row r="25" spans="1:9" s="80" customFormat="1" x14ac:dyDescent="0.2">
      <c r="A25" s="80">
        <v>5</v>
      </c>
      <c r="B25" s="80">
        <v>0</v>
      </c>
    </row>
    <row r="26" spans="1:9" s="80" customFormat="1" x14ac:dyDescent="0.2">
      <c r="A26" s="80">
        <v>7</v>
      </c>
      <c r="B26" s="80">
        <v>2</v>
      </c>
    </row>
    <row r="27" spans="1:9" s="80" customFormat="1" x14ac:dyDescent="0.2">
      <c r="A27" s="80">
        <v>4</v>
      </c>
      <c r="B27" s="80">
        <v>5</v>
      </c>
    </row>
    <row r="28" spans="1:9" s="80" customFormat="1" x14ac:dyDescent="0.2">
      <c r="A28" s="18" t="s">
        <v>124</v>
      </c>
    </row>
    <row r="29" spans="1:9" s="80" customFormat="1" x14ac:dyDescent="0.2">
      <c r="A29" s="80">
        <v>1</v>
      </c>
      <c r="B29" s="80">
        <v>3</v>
      </c>
      <c r="C29" s="80">
        <v>6</v>
      </c>
      <c r="D29" s="80">
        <v>5</v>
      </c>
    </row>
    <row r="30" spans="1:9" s="80" customFormat="1" x14ac:dyDescent="0.2">
      <c r="A30" s="80">
        <v>2</v>
      </c>
      <c r="B30" s="80">
        <v>1</v>
      </c>
      <c r="C30" s="80">
        <v>3</v>
      </c>
      <c r="D30" s="80">
        <v>3</v>
      </c>
    </row>
    <row r="31" spans="1:9" s="80" customFormat="1" x14ac:dyDescent="0.2">
      <c r="A31" s="80">
        <v>10</v>
      </c>
      <c r="B31" s="80">
        <v>4</v>
      </c>
      <c r="C31" s="80">
        <v>4</v>
      </c>
      <c r="D31" s="80">
        <v>1</v>
      </c>
    </row>
    <row r="32" spans="1:9" s="80" customFormat="1" x14ac:dyDescent="0.2">
      <c r="A32" s="80">
        <v>4</v>
      </c>
      <c r="B32" s="80">
        <v>2</v>
      </c>
      <c r="C32" s="80">
        <v>1</v>
      </c>
      <c r="D32" s="80">
        <v>7</v>
      </c>
    </row>
    <row r="33" spans="1:5" s="80" customFormat="1" x14ac:dyDescent="0.2">
      <c r="A33" s="10" t="s">
        <v>125</v>
      </c>
    </row>
    <row r="34" spans="1:5" s="80" customFormat="1" x14ac:dyDescent="0.2">
      <c r="A34" s="80" cm="1">
        <f t="array" ref="A34:B36">MMULT(A20:D22,A24:B27)</f>
        <v>28</v>
      </c>
      <c r="B34" s="80">
        <v>7</v>
      </c>
      <c r="C34" s="55" t="str" cm="1">
        <f t="array" aca="1" ref="C34" ca="1">GETFORMULA(B34)</f>
        <v>&lt;--  =MMULT(A20:D22,A24:B27)</v>
      </c>
    </row>
    <row r="35" spans="1:5" s="80" customFormat="1" x14ac:dyDescent="0.2">
      <c r="A35" s="80">
        <v>67</v>
      </c>
      <c r="B35" s="80">
        <v>44</v>
      </c>
    </row>
    <row r="36" spans="1:5" s="80" customFormat="1" x14ac:dyDescent="0.2">
      <c r="A36" s="80">
        <v>53</v>
      </c>
      <c r="B36" s="80">
        <v>62</v>
      </c>
    </row>
    <row r="37" spans="1:5" s="80" customFormat="1" x14ac:dyDescent="0.2">
      <c r="A37" s="10" t="s">
        <v>126</v>
      </c>
    </row>
    <row r="38" spans="1:5" s="80" customFormat="1" x14ac:dyDescent="0.2">
      <c r="A38" s="80" cm="1">
        <f t="array" ref="A38:C41">TRANSPOSE(A20:D22)</f>
        <v>1</v>
      </c>
      <c r="B38" s="80">
        <v>3</v>
      </c>
      <c r="C38" s="80">
        <v>4</v>
      </c>
      <c r="D38" s="55" t="str" cm="1">
        <f t="array" aca="1" ref="D38" ca="1">GETFORMULA(C38)</f>
        <v>&lt;--  =TRANSPOSE(A20:D22)</v>
      </c>
    </row>
    <row r="39" spans="1:5" s="80" customFormat="1" x14ac:dyDescent="0.2">
      <c r="A39" s="80">
        <v>4</v>
      </c>
      <c r="B39" s="80">
        <v>6</v>
      </c>
      <c r="C39" s="80">
        <v>2</v>
      </c>
    </row>
    <row r="40" spans="1:5" s="80" customFormat="1" x14ac:dyDescent="0.2">
      <c r="A40" s="80">
        <v>1</v>
      </c>
      <c r="B40" s="80">
        <v>2</v>
      </c>
      <c r="C40" s="80">
        <v>1</v>
      </c>
    </row>
    <row r="41" spans="1:5" s="80" customFormat="1" x14ac:dyDescent="0.2">
      <c r="A41" s="80">
        <v>0</v>
      </c>
      <c r="B41" s="80">
        <v>5</v>
      </c>
      <c r="C41" s="80">
        <v>8</v>
      </c>
    </row>
    <row r="42" spans="1:5" s="80" customFormat="1" x14ac:dyDescent="0.2">
      <c r="A42" s="10" t="s">
        <v>127</v>
      </c>
    </row>
    <row r="43" spans="1:5" s="80" customFormat="1" x14ac:dyDescent="0.2">
      <c r="A43" s="102" cm="1">
        <f t="array" ref="A43:D46">MINVERSE(A29:D32)</f>
        <v>-0.17451523545706371</v>
      </c>
      <c r="B43" s="102">
        <v>0.26315789473684209</v>
      </c>
      <c r="C43" s="102">
        <v>6.3711911357340723E-2</v>
      </c>
      <c r="D43" s="102">
        <v>2.7700831024931151E-3</v>
      </c>
      <c r="E43" s="55" t="str" cm="1">
        <f t="array" aca="1" ref="E43" ca="1">GETFORMULA(D43)</f>
        <v>&lt;--  =MINVERSE(A29:D32)</v>
      </c>
    </row>
    <row r="44" spans="1:5" s="80" customFormat="1" x14ac:dyDescent="0.2">
      <c r="A44" s="102">
        <v>0.44875346260387811</v>
      </c>
      <c r="B44" s="102">
        <v>-1.1052631578947367</v>
      </c>
      <c r="C44" s="102">
        <v>0.12188365650969531</v>
      </c>
      <c r="D44" s="102">
        <v>0.13573407202216053</v>
      </c>
    </row>
    <row r="45" spans="1:5" s="80" customFormat="1" x14ac:dyDescent="0.2">
      <c r="A45" s="102">
        <v>-5.5401662049861461E-3</v>
      </c>
      <c r="B45" s="102">
        <v>0.42105263157894735</v>
      </c>
      <c r="C45" s="102">
        <v>-1.385041551246538E-2</v>
      </c>
      <c r="D45" s="102">
        <v>-0.17451523545706368</v>
      </c>
    </row>
    <row r="46" spans="1:5" s="80" customFormat="1" x14ac:dyDescent="0.2">
      <c r="A46" s="102">
        <v>-2.770083102493074E-2</v>
      </c>
      <c r="B46" s="102">
        <v>0.10526315789473681</v>
      </c>
      <c r="C46" s="102">
        <v>-6.9252077562326875E-2</v>
      </c>
      <c r="D46" s="102">
        <v>0.12742382271468145</v>
      </c>
    </row>
    <row r="47" spans="1:5" s="80" customFormat="1" x14ac:dyDescent="0.2">
      <c r="A47" s="10" t="s">
        <v>128</v>
      </c>
    </row>
    <row r="48" spans="1:5" s="80" customFormat="1" x14ac:dyDescent="0.2">
      <c r="A48" s="103" cm="1">
        <f t="array" ref="A48:D51">MMULT(A29:D32,A43:D46)</f>
        <v>1.0000000000000002</v>
      </c>
      <c r="B48" s="103">
        <v>0</v>
      </c>
      <c r="C48" s="103">
        <v>0</v>
      </c>
      <c r="D48" s="103">
        <v>-1.1102230246251565E-16</v>
      </c>
      <c r="E48" s="55" t="str" cm="1">
        <f t="array" aca="1" ref="E48" ca="1">GETFORMULA(D48)</f>
        <v>&lt;--  =MMULT(A29:D32,A43:D46)</v>
      </c>
    </row>
    <row r="49" spans="1:4" s="80" customFormat="1" x14ac:dyDescent="0.2">
      <c r="A49" s="103">
        <v>1.3877787807814457E-17</v>
      </c>
      <c r="B49" s="103">
        <v>0.99999999999999989</v>
      </c>
      <c r="C49" s="103">
        <v>-2.7755575615628914E-17</v>
      </c>
      <c r="D49" s="103">
        <v>1.1102230246251565E-16</v>
      </c>
    </row>
    <row r="50" spans="1:4" s="80" customFormat="1" x14ac:dyDescent="0.2">
      <c r="A50" s="103">
        <v>-1.0408340855860843E-17</v>
      </c>
      <c r="B50" s="103">
        <v>8.3266726846886741E-17</v>
      </c>
      <c r="C50" s="103">
        <v>1</v>
      </c>
      <c r="D50" s="103">
        <v>0</v>
      </c>
    </row>
    <row r="51" spans="1:4" s="80" customFormat="1" x14ac:dyDescent="0.2">
      <c r="A51" s="103">
        <v>2.7755575615628914E-17</v>
      </c>
      <c r="B51" s="103">
        <v>-1.1102230246251565E-16</v>
      </c>
      <c r="C51" s="103">
        <v>0</v>
      </c>
      <c r="D51" s="103">
        <v>1</v>
      </c>
    </row>
    <row r="52" spans="1:4" s="80" customFormat="1" x14ac:dyDescent="0.2"/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G58"/>
  <sheetViews>
    <sheetView zoomScale="88" workbookViewId="0">
      <selection activeCell="E13" sqref="E13"/>
    </sheetView>
  </sheetViews>
  <sheetFormatPr baseColWidth="10" defaultColWidth="8.83203125" defaultRowHeight="15" x14ac:dyDescent="0.2"/>
  <cols>
    <col min="1" max="1" width="17.33203125" style="1" customWidth="1"/>
    <col min="2" max="2" width="15.5" style="1" customWidth="1"/>
    <col min="3" max="4" width="8.83203125" style="1"/>
    <col min="5" max="5" width="9.33203125" style="1" customWidth="1"/>
    <col min="6" max="16384" width="8.83203125" style="1"/>
  </cols>
  <sheetData>
    <row r="1" spans="1:6" ht="19" x14ac:dyDescent="0.25">
      <c r="A1" s="63" t="s">
        <v>133</v>
      </c>
    </row>
    <row r="3" spans="1:6" x14ac:dyDescent="0.2">
      <c r="A3" s="10" t="s">
        <v>58</v>
      </c>
    </row>
    <row r="4" spans="1:6" x14ac:dyDescent="0.2">
      <c r="A4" s="29" t="s">
        <v>59</v>
      </c>
      <c r="B4" s="28"/>
      <c r="C4" s="28" t="s">
        <v>60</v>
      </c>
      <c r="D4" s="28" t="s">
        <v>61</v>
      </c>
      <c r="E4" s="30"/>
    </row>
    <row r="5" spans="1:6" x14ac:dyDescent="0.2">
      <c r="A5" s="31"/>
      <c r="B5" s="1" t="s">
        <v>62</v>
      </c>
      <c r="C5" s="36">
        <v>0.01</v>
      </c>
      <c r="D5" s="36">
        <v>4.2999999999999997E-2</v>
      </c>
      <c r="E5" s="32"/>
      <c r="F5" s="9" t="s">
        <v>63</v>
      </c>
    </row>
    <row r="6" spans="1:6" x14ac:dyDescent="0.2">
      <c r="A6" s="31"/>
      <c r="B6" s="1" t="s">
        <v>64</v>
      </c>
      <c r="C6" s="36">
        <v>2.1000000000000001E-2</v>
      </c>
      <c r="D6" s="36">
        <v>0.10100000000000001</v>
      </c>
      <c r="E6" s="32"/>
      <c r="F6" s="9" t="s">
        <v>65</v>
      </c>
    </row>
    <row r="7" spans="1:6" x14ac:dyDescent="0.2">
      <c r="A7" s="31"/>
      <c r="B7" s="1" t="s">
        <v>66</v>
      </c>
      <c r="C7" s="36">
        <v>0.09</v>
      </c>
      <c r="D7" s="36">
        <v>0.20799999999999999</v>
      </c>
      <c r="E7" s="32"/>
      <c r="F7" s="9" t="s">
        <v>67</v>
      </c>
    </row>
    <row r="8" spans="1:6" x14ac:dyDescent="0.2">
      <c r="A8" s="31"/>
      <c r="B8" s="1" t="s">
        <v>68</v>
      </c>
      <c r="C8" s="36">
        <v>8.0000000000000002E-3</v>
      </c>
      <c r="E8" s="32"/>
    </row>
    <row r="9" spans="1:6" x14ac:dyDescent="0.2">
      <c r="A9" s="31"/>
      <c r="E9" s="32"/>
    </row>
    <row r="10" spans="1:6" x14ac:dyDescent="0.2">
      <c r="A10" s="33" t="s">
        <v>102</v>
      </c>
      <c r="C10" s="1" t="s">
        <v>62</v>
      </c>
      <c r="D10" s="1" t="s">
        <v>64</v>
      </c>
      <c r="E10" s="32" t="s">
        <v>66</v>
      </c>
    </row>
    <row r="11" spans="1:6" x14ac:dyDescent="0.2">
      <c r="A11" s="31"/>
      <c r="B11" s="1" t="s">
        <v>62</v>
      </c>
      <c r="C11" s="37">
        <v>1.8489999999999997E-3</v>
      </c>
      <c r="D11" s="37">
        <v>2.73609E-3</v>
      </c>
      <c r="E11" s="38">
        <v>-8.0495999999999986E-4</v>
      </c>
    </row>
    <row r="12" spans="1:6" x14ac:dyDescent="0.2">
      <c r="A12" s="31"/>
      <c r="B12" s="1" t="s">
        <v>64</v>
      </c>
      <c r="C12" s="37">
        <v>2.73609E-3</v>
      </c>
      <c r="D12" s="37">
        <v>1.0201000000000002E-2</v>
      </c>
      <c r="E12" s="38">
        <v>4.8318400000000004E-3</v>
      </c>
    </row>
    <row r="13" spans="1:6" x14ac:dyDescent="0.2">
      <c r="A13" s="34"/>
      <c r="B13" s="35" t="s">
        <v>66</v>
      </c>
      <c r="C13" s="58">
        <v>-8.0495999999999986E-4</v>
      </c>
      <c r="D13" s="58">
        <v>4.8318400000000004E-3</v>
      </c>
      <c r="E13" s="59">
        <v>4.3263999999999997E-2</v>
      </c>
    </row>
    <row r="15" spans="1:6" x14ac:dyDescent="0.2">
      <c r="A15" s="10" t="s">
        <v>103</v>
      </c>
    </row>
    <row r="16" spans="1:6" x14ac:dyDescent="0.2">
      <c r="A16" s="60" t="s">
        <v>135</v>
      </c>
      <c r="B16" s="11"/>
      <c r="C16" s="42">
        <v>0.05</v>
      </c>
      <c r="D16" s="45"/>
    </row>
    <row r="17" spans="1:7" x14ac:dyDescent="0.2">
      <c r="A17" s="61" t="s">
        <v>138</v>
      </c>
      <c r="B17" s="15"/>
      <c r="C17" s="62">
        <f>C8</f>
        <v>8.0000000000000002E-3</v>
      </c>
      <c r="D17" s="79" t="str" cm="1">
        <f t="array" aca="1" ref="D17" ca="1">GETFORMULA(C17)</f>
        <v>&lt;--  =C8</v>
      </c>
      <c r="E17" s="55" t="s">
        <v>136</v>
      </c>
    </row>
    <row r="18" spans="1:7" x14ac:dyDescent="0.2">
      <c r="D18" s="79"/>
      <c r="E18" s="55" t="s">
        <v>137</v>
      </c>
    </row>
    <row r="19" spans="1:7" x14ac:dyDescent="0.2">
      <c r="A19" s="10" t="s">
        <v>104</v>
      </c>
      <c r="D19" s="79"/>
    </row>
    <row r="20" spans="1:7" x14ac:dyDescent="0.2">
      <c r="A20" s="10" t="s">
        <v>134</v>
      </c>
      <c r="D20" s="79"/>
    </row>
    <row r="21" spans="1:7" x14ac:dyDescent="0.2">
      <c r="A21" s="18" t="s">
        <v>59</v>
      </c>
      <c r="C21" s="18" t="s">
        <v>105</v>
      </c>
      <c r="D21" s="79"/>
    </row>
    <row r="22" spans="1:7" x14ac:dyDescent="0.2">
      <c r="B22" s="1" t="s">
        <v>62</v>
      </c>
      <c r="C22" s="44">
        <f>C5-$C$16</f>
        <v>-0.04</v>
      </c>
      <c r="D22" s="79" t="str" cm="1">
        <f t="array" aca="1" ref="D22" ca="1">GETFORMULA(C22)</f>
        <v>&lt;--  =C5-$C$16</v>
      </c>
    </row>
    <row r="23" spans="1:7" x14ac:dyDescent="0.2">
      <c r="B23" s="1" t="s">
        <v>64</v>
      </c>
      <c r="C23" s="44">
        <f t="shared" ref="C23:C24" si="0">C6-$C$16</f>
        <v>-2.9000000000000001E-2</v>
      </c>
      <c r="D23" s="79" t="str" cm="1">
        <f t="array" aca="1" ref="D23" ca="1">GETFORMULA(C23)</f>
        <v>&lt;--  =C6-$C$16</v>
      </c>
    </row>
    <row r="24" spans="1:7" x14ac:dyDescent="0.2">
      <c r="B24" s="1" t="s">
        <v>66</v>
      </c>
      <c r="C24" s="44">
        <f t="shared" si="0"/>
        <v>3.9999999999999994E-2</v>
      </c>
      <c r="D24" s="79" t="str" cm="1">
        <f t="array" aca="1" ref="D24" ca="1">GETFORMULA(C24)</f>
        <v>&lt;--  =C7-$C$16</v>
      </c>
    </row>
    <row r="26" spans="1:7" ht="18" x14ac:dyDescent="0.25">
      <c r="A26" s="18" t="s">
        <v>106</v>
      </c>
      <c r="E26" s="18"/>
      <c r="F26" s="18" t="s">
        <v>107</v>
      </c>
    </row>
    <row r="27" spans="1:7" x14ac:dyDescent="0.2">
      <c r="A27" s="3" cm="1">
        <f t="array" ref="A27:A29">MMULT(MINVERSE($C$11:$E$13),C22:C24)</f>
        <v>-29.249724451902129</v>
      </c>
      <c r="B27" s="79" t="str" cm="1">
        <f t="array" aca="1" ref="B27" ca="1">GETFORMULA(A27)</f>
        <v>&lt;--  =MMULT(MINVERSE($C$11:$E$13),C22:C24)</v>
      </c>
      <c r="E27" s="3"/>
      <c r="F27" s="19">
        <f>A27/SUM($A$27:$A$29)</f>
        <v>1.2013984742211252</v>
      </c>
      <c r="G27" s="79" t="str" cm="1">
        <f t="array" aca="1" ref="G27" ca="1">GETFORMULA(F27)</f>
        <v>&lt;--  =A27/SUM($A$27:$A$29)</v>
      </c>
    </row>
    <row r="28" spans="1:7" x14ac:dyDescent="0.2">
      <c r="A28" s="3">
        <v>5.0916318081418979</v>
      </c>
      <c r="B28" s="79"/>
      <c r="E28" s="3"/>
      <c r="F28" s="19">
        <f>A28/SUM($A$27:$A$29)</f>
        <v>-0.20913286535933936</v>
      </c>
      <c r="G28" s="79" t="str" cm="1">
        <f t="array" aca="1" ref="G28" ca="1">GETFORMULA(F28)</f>
        <v>&lt;--  =A28/SUM($A$27:$A$29)</v>
      </c>
    </row>
    <row r="29" spans="1:7" x14ac:dyDescent="0.2">
      <c r="A29" s="3">
        <v>-0.18830455877069818</v>
      </c>
      <c r="B29" s="79"/>
      <c r="E29" s="3"/>
      <c r="F29" s="19">
        <f>A29/SUM($A$27:$A$29)</f>
        <v>7.7343911382141989E-3</v>
      </c>
      <c r="G29" s="79" t="str" cm="1">
        <f t="array" aca="1" ref="G29" ca="1">GETFORMULA(F29)</f>
        <v>&lt;--  =A29/SUM($A$27:$A$29)</v>
      </c>
    </row>
    <row r="30" spans="1:7" x14ac:dyDescent="0.2">
      <c r="A30" s="3"/>
      <c r="D30" s="18" t="s">
        <v>60</v>
      </c>
      <c r="F30" s="19" cm="1">
        <f t="array" ref="F30">MMULT(TRANSPOSE(F27:F29),$C$5:$C$7)</f>
        <v>8.3182897721044043E-3</v>
      </c>
      <c r="G30" s="79" t="str" cm="1">
        <f t="array" aca="1" ref="G30" ca="1">GETFORMULA(F30)</f>
        <v>&lt;--  =MMULT(TRANSPOSE(F27:F29),$C$5:$C$7)</v>
      </c>
    </row>
    <row r="31" spans="1:7" x14ac:dyDescent="0.2">
      <c r="A31" s="3"/>
      <c r="D31" s="18" t="s">
        <v>73</v>
      </c>
      <c r="F31" s="19" cm="1">
        <f t="array" ref="F31">MMULT(TRANSPOSE(F27:F29),MMULT($C$11:$E$13,F27:F29))</f>
        <v>1.7120278569825757E-3</v>
      </c>
      <c r="G31" s="79" t="str" cm="1">
        <f t="array" aca="1" ref="G31" ca="1">GETFORMULA(F31)</f>
        <v>&lt;--  =MMULT(TRANSPOSE(F27:F29),MMULT($C$11:$E$13,F27:F29))</v>
      </c>
    </row>
    <row r="32" spans="1:7" x14ac:dyDescent="0.2">
      <c r="A32" s="3"/>
      <c r="E32" s="3"/>
    </row>
    <row r="33" spans="1:7" x14ac:dyDescent="0.2">
      <c r="A33" s="10" t="s">
        <v>139</v>
      </c>
    </row>
    <row r="34" spans="1:7" x14ac:dyDescent="0.2">
      <c r="A34" s="18" t="s">
        <v>59</v>
      </c>
      <c r="C34" s="18" t="s">
        <v>105</v>
      </c>
    </row>
    <row r="35" spans="1:7" x14ac:dyDescent="0.2">
      <c r="B35" s="1" t="s">
        <v>62</v>
      </c>
      <c r="C35" s="44">
        <f>C5-$C$17</f>
        <v>2E-3</v>
      </c>
      <c r="D35" s="79" t="str" cm="1">
        <f t="array" aca="1" ref="D35" ca="1">GETFORMULA(C35)</f>
        <v>&lt;--  =C5-$C$17</v>
      </c>
    </row>
    <row r="36" spans="1:7" x14ac:dyDescent="0.2">
      <c r="B36" s="1" t="s">
        <v>64</v>
      </c>
      <c r="C36" s="44">
        <f t="shared" ref="C36:C37" si="1">C6-$C$17</f>
        <v>1.3000000000000001E-2</v>
      </c>
      <c r="D36" s="79" t="str" cm="1">
        <f t="array" aca="1" ref="D36" ca="1">GETFORMULA(C36)</f>
        <v>&lt;--  =C6-$C$17</v>
      </c>
    </row>
    <row r="37" spans="1:7" x14ac:dyDescent="0.2">
      <c r="B37" s="1" t="s">
        <v>66</v>
      </c>
      <c r="C37" s="44">
        <f t="shared" si="1"/>
        <v>8.199999999999999E-2</v>
      </c>
      <c r="D37" s="79" t="str" cm="1">
        <f t="array" aca="1" ref="D37" ca="1">GETFORMULA(C37)</f>
        <v>&lt;--  =C7-$C$17</v>
      </c>
    </row>
    <row r="39" spans="1:7" ht="18" x14ac:dyDescent="0.25">
      <c r="A39" s="18" t="s">
        <v>106</v>
      </c>
      <c r="E39" s="18"/>
      <c r="F39" s="18" t="s">
        <v>107</v>
      </c>
    </row>
    <row r="40" spans="1:7" x14ac:dyDescent="0.2">
      <c r="A40" s="3" cm="1">
        <f t="array" ref="A40:A42">MMULT(MINVERSE($C$11:$E$13),C35:C37)</f>
        <v>2.3842013595014562</v>
      </c>
      <c r="B40" s="79" t="str" cm="1">
        <f t="array" aca="1" ref="B40" ca="1">GETFORMULA(A40)</f>
        <v>&lt;--  =MMULT(MINVERSE($C$11:$E$13),C35:C37)</v>
      </c>
      <c r="E40" s="3"/>
      <c r="F40" s="19">
        <f>A40/SUM($A$40:$A$42)</f>
        <v>0.58758115815478762</v>
      </c>
      <c r="G40" s="79" t="str" cm="1">
        <f t="array" aca="1" ref="G40" ca="1">GETFORMULA(F40)</f>
        <v>&lt;--  =A40/SUM($A$40:$A$42)</v>
      </c>
    </row>
    <row r="41" spans="1:7" x14ac:dyDescent="0.2">
      <c r="A41" s="3">
        <v>-0.29972054447537033</v>
      </c>
      <c r="B41" s="79"/>
      <c r="E41" s="3"/>
      <c r="F41" s="19">
        <f>A41/SUM($A$40:$A$42)</f>
        <v>-7.3865466078941761E-2</v>
      </c>
      <c r="G41" s="79" t="str" cm="1">
        <f t="array" aca="1" ref="G41" ca="1">GETFORMULA(F41)</f>
        <v>&lt;--  =A41/SUM($A$40:$A$42)</v>
      </c>
    </row>
    <row r="42" spans="1:7" x14ac:dyDescent="0.2">
      <c r="A42" s="3">
        <v>1.9731737343278972</v>
      </c>
      <c r="B42" s="79"/>
      <c r="E42" s="3"/>
      <c r="F42" s="19">
        <f>A42/SUM($A$40:$A$42)</f>
        <v>0.48628430792415417</v>
      </c>
      <c r="G42" s="79" t="str" cm="1">
        <f t="array" aca="1" ref="G42" ca="1">GETFORMULA(F42)</f>
        <v>&lt;--  =A42/SUM($A$40:$A$42)</v>
      </c>
    </row>
    <row r="43" spans="1:7" x14ac:dyDescent="0.2">
      <c r="D43" s="18" t="s">
        <v>60</v>
      </c>
      <c r="F43" s="19" cm="1">
        <f t="array" ref="F43">MMULT(TRANSPOSE(F40:F42),$C$5:$C$7)</f>
        <v>4.8090224507063975E-2</v>
      </c>
      <c r="G43" s="79" t="str" cm="1">
        <f t="array" aca="1" ref="G43" ca="1">GETFORMULA(F43)</f>
        <v>&lt;--  =MMULT(TRANSPOSE(F40:F42),$C$5:$C$7)</v>
      </c>
    </row>
    <row r="44" spans="1:7" x14ac:dyDescent="0.2">
      <c r="D44" s="18" t="s">
        <v>73</v>
      </c>
      <c r="F44" s="19" cm="1">
        <f t="array" ref="F44">MMULT(TRANSPOSE(F40:F42),MMULT($C$11:$E$13,F40:F42))</f>
        <v>9.8801472672055603E-3</v>
      </c>
      <c r="G44" s="79" t="str" cm="1">
        <f t="array" aca="1" ref="G44" ca="1">GETFORMULA(F44)</f>
        <v>&lt;--  =MMULT(TRANSPOSE(F40:F42),MMULT($C$11:$E$13,F40:F42))</v>
      </c>
    </row>
    <row r="45" spans="1:7" x14ac:dyDescent="0.2">
      <c r="D45" s="18" t="s">
        <v>74</v>
      </c>
      <c r="F45" s="19" cm="1">
        <f t="array" ref="F45">MMULT(TRANSPOSE(F27:F29),MMULT($C$11:$E$13,F40:F42))</f>
        <v>7.8441811207183461E-5</v>
      </c>
      <c r="G45" s="79" t="str" cm="1">
        <f t="array" aca="1" ref="G45" ca="1">GETFORMULA(F45)</f>
        <v>&lt;--  =MMULT(TRANSPOSE(F27:F29),MMULT($C$11:$E$13,F40:F42))</v>
      </c>
    </row>
    <row r="47" spans="1:7" x14ac:dyDescent="0.2">
      <c r="A47" s="10" t="s">
        <v>140</v>
      </c>
    </row>
    <row r="48" spans="1:7" x14ac:dyDescent="0.2">
      <c r="B48" s="18" t="s">
        <v>108</v>
      </c>
    </row>
    <row r="49" spans="1:3" x14ac:dyDescent="0.2">
      <c r="A49" s="18" t="s">
        <v>62</v>
      </c>
      <c r="B49" s="19" cm="1">
        <f t="array" ref="B49:B51">MMULT(MINVERSE(C11:E13),UnitColVector(3))/SUM(MMULT(MINVERSE(C11:E13),UnitColVector(3)))</f>
        <v>1.1137117368934641</v>
      </c>
      <c r="C49" s="79" t="str" cm="1">
        <f t="array" aca="1" ref="C49" ca="1">GETFORMULA(B49)</f>
        <v>&lt;--  =MMULT(MINVERSE(C11:E13),UnitColVector(3))/SUM(MMULT(MINVERSE(C11:E13),UnitColVector(3)))</v>
      </c>
    </row>
    <row r="50" spans="1:3" x14ac:dyDescent="0.2">
      <c r="A50" s="18" t="s">
        <v>64</v>
      </c>
      <c r="B50" s="19">
        <v>-0.1898092708643053</v>
      </c>
      <c r="C50" s="79"/>
    </row>
    <row r="51" spans="1:3" x14ac:dyDescent="0.2">
      <c r="A51" s="18" t="s">
        <v>66</v>
      </c>
      <c r="B51" s="19">
        <v>7.6097533970841277E-2</v>
      </c>
      <c r="C51" s="79"/>
    </row>
    <row r="52" spans="1:3" x14ac:dyDescent="0.2">
      <c r="A52" s="18" t="s">
        <v>60</v>
      </c>
      <c r="B52" s="19" cm="1">
        <f t="array" ref="B52">MMULT(TRANSPOSE(B49:B51),C5:C7)</f>
        <v>1.3999900738159946E-2</v>
      </c>
      <c r="C52" s="79" t="str" cm="1">
        <f t="array" aca="1" ref="C52" ca="1">GETFORMULA(B52)</f>
        <v>&lt;--  =MMULT(TRANSPOSE(B49:B51),C5:C7)</v>
      </c>
    </row>
    <row r="53" spans="1:3" x14ac:dyDescent="0.2">
      <c r="A53" s="18" t="s">
        <v>73</v>
      </c>
      <c r="B53" s="19" cm="1">
        <f t="array" ref="B53">MMULT(MMULT(TRANSPOSE(B49:B51),C11:E13),B49:B51)</f>
        <v>1.4786622826517294E-3</v>
      </c>
      <c r="C53" s="79" t="str" cm="1">
        <f t="array" aca="1" ref="C53" ca="1">GETFORMULA(B53)</f>
        <v>&lt;--  =MMULT(MMULT(TRANSPOSE(B49:B51),C11:E13),B49:B51)</v>
      </c>
    </row>
    <row r="55" spans="1:3" x14ac:dyDescent="0.2">
      <c r="A55" s="18" t="s">
        <v>185</v>
      </c>
    </row>
    <row r="56" spans="1:3" x14ac:dyDescent="0.2">
      <c r="A56" s="1" cm="1">
        <f t="array" ref="A56:A58">UnitColVector(3)</f>
        <v>1</v>
      </c>
      <c r="B56" s="79" t="str" cm="1">
        <f t="array" aca="1" ref="B56" ca="1">GETFORMULA(A56)</f>
        <v>&lt;--  =UnitColVector(3)</v>
      </c>
    </row>
    <row r="57" spans="1:3" x14ac:dyDescent="0.2">
      <c r="A57" s="1">
        <v>1</v>
      </c>
    </row>
    <row r="58" spans="1:3" x14ac:dyDescent="0.2">
      <c r="A58" s="1">
        <v>1</v>
      </c>
    </row>
  </sheetData>
  <phoneticPr fontId="5" type="noConversion"/>
  <pageMargins left="0.7" right="0.7" top="0.75" bottom="0.75" header="0.3" footer="0.3"/>
  <pageSetup paperSize="9" orientation="portrait" r:id="rId1"/>
  <ignoredErrors>
    <ignoredError sqref="B52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X39"/>
  <sheetViews>
    <sheetView zoomScale="111" workbookViewId="0">
      <selection activeCell="F33" sqref="F33"/>
    </sheetView>
  </sheetViews>
  <sheetFormatPr baseColWidth="10" defaultColWidth="8.83203125" defaultRowHeight="15" x14ac:dyDescent="0.2"/>
  <cols>
    <col min="1" max="1" width="8.83203125" style="1"/>
    <col min="2" max="2" width="18.6640625" style="1" customWidth="1"/>
    <col min="3" max="16384" width="8.83203125" style="1"/>
  </cols>
  <sheetData>
    <row r="1" spans="1:24" ht="19" x14ac:dyDescent="0.25">
      <c r="A1" s="63" t="s">
        <v>159</v>
      </c>
      <c r="K1" s="14" t="s">
        <v>147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2"/>
    </row>
    <row r="2" spans="1:24" x14ac:dyDescent="0.2">
      <c r="A2" s="10"/>
      <c r="K2" s="17" t="s">
        <v>148</v>
      </c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13"/>
    </row>
    <row r="3" spans="1:24" x14ac:dyDescent="0.2">
      <c r="A3" s="10" t="s">
        <v>58</v>
      </c>
      <c r="K3" s="17" t="s">
        <v>149</v>
      </c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13"/>
    </row>
    <row r="4" spans="1:24" x14ac:dyDescent="0.2">
      <c r="A4" s="29" t="s">
        <v>59</v>
      </c>
      <c r="B4" s="28"/>
      <c r="C4" s="28" t="s">
        <v>60</v>
      </c>
      <c r="D4" s="28" t="s">
        <v>61</v>
      </c>
      <c r="E4" s="30"/>
      <c r="K4" s="17" t="s">
        <v>150</v>
      </c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13"/>
    </row>
    <row r="5" spans="1:24" x14ac:dyDescent="0.2">
      <c r="A5" s="31"/>
      <c r="B5" s="1" t="s">
        <v>62</v>
      </c>
      <c r="C5" s="36">
        <v>0.01</v>
      </c>
      <c r="D5" s="36">
        <v>4.2999999999999997E-2</v>
      </c>
      <c r="E5" s="32"/>
      <c r="F5" s="9" t="s">
        <v>63</v>
      </c>
      <c r="K5" s="17" t="s">
        <v>92</v>
      </c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13"/>
    </row>
    <row r="6" spans="1:24" x14ac:dyDescent="0.2">
      <c r="A6" s="31"/>
      <c r="B6" s="1" t="s">
        <v>64</v>
      </c>
      <c r="C6" s="36">
        <v>2.1000000000000001E-2</v>
      </c>
      <c r="D6" s="36">
        <v>0.10100000000000001</v>
      </c>
      <c r="E6" s="32"/>
      <c r="F6" s="9" t="s">
        <v>65</v>
      </c>
      <c r="K6" s="17" t="s">
        <v>151</v>
      </c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13"/>
    </row>
    <row r="7" spans="1:24" x14ac:dyDescent="0.2">
      <c r="A7" s="31"/>
      <c r="B7" s="1" t="s">
        <v>66</v>
      </c>
      <c r="C7" s="36">
        <v>0.09</v>
      </c>
      <c r="D7" s="36">
        <v>0.20799999999999999</v>
      </c>
      <c r="E7" s="32"/>
      <c r="F7" s="9" t="s">
        <v>67</v>
      </c>
      <c r="K7" s="17" t="s">
        <v>69</v>
      </c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13"/>
    </row>
    <row r="8" spans="1:24" x14ac:dyDescent="0.2">
      <c r="A8" s="31"/>
      <c r="B8" s="1" t="s">
        <v>68</v>
      </c>
      <c r="C8" s="36">
        <v>8.0000000000000002E-3</v>
      </c>
      <c r="E8" s="32"/>
      <c r="K8" s="17" t="s">
        <v>152</v>
      </c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13"/>
    </row>
    <row r="9" spans="1:24" x14ac:dyDescent="0.2">
      <c r="A9" s="31"/>
      <c r="E9" s="32"/>
      <c r="K9" s="17" t="s">
        <v>153</v>
      </c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13"/>
    </row>
    <row r="10" spans="1:24" x14ac:dyDescent="0.2">
      <c r="A10" s="33" t="s">
        <v>102</v>
      </c>
      <c r="C10" s="1" t="s">
        <v>62</v>
      </c>
      <c r="D10" s="1" t="s">
        <v>64</v>
      </c>
      <c r="E10" s="32" t="s">
        <v>66</v>
      </c>
      <c r="K10" s="17" t="s">
        <v>154</v>
      </c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13"/>
    </row>
    <row r="11" spans="1:24" x14ac:dyDescent="0.2">
      <c r="A11" s="31"/>
      <c r="B11" s="1" t="s">
        <v>62</v>
      </c>
      <c r="C11" s="37">
        <v>1.8489999999999997E-3</v>
      </c>
      <c r="D11" s="37">
        <v>2.73609E-3</v>
      </c>
      <c r="E11" s="38">
        <v>-8.0495999999999986E-4</v>
      </c>
      <c r="K11" s="17" t="s">
        <v>155</v>
      </c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13"/>
    </row>
    <row r="12" spans="1:24" x14ac:dyDescent="0.2">
      <c r="A12" s="31"/>
      <c r="B12" s="1" t="s">
        <v>64</v>
      </c>
      <c r="C12" s="37">
        <v>2.73609E-3</v>
      </c>
      <c r="D12" s="37">
        <v>1.0201000000000002E-2</v>
      </c>
      <c r="E12" s="38">
        <v>4.8318400000000004E-3</v>
      </c>
      <c r="K12" s="17" t="s">
        <v>157</v>
      </c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13"/>
    </row>
    <row r="13" spans="1:24" x14ac:dyDescent="0.2">
      <c r="A13" s="34"/>
      <c r="B13" s="35" t="s">
        <v>66</v>
      </c>
      <c r="C13" s="58">
        <v>-8.0495999999999986E-4</v>
      </c>
      <c r="D13" s="58">
        <v>4.8318400000000004E-3</v>
      </c>
      <c r="E13" s="59">
        <v>4.3263999999999997E-2</v>
      </c>
      <c r="K13" s="17" t="s">
        <v>156</v>
      </c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13"/>
    </row>
    <row r="14" spans="1:24" x14ac:dyDescent="0.2">
      <c r="K14" s="43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6"/>
    </row>
    <row r="16" spans="1:24" x14ac:dyDescent="0.2">
      <c r="K16" s="18" t="s">
        <v>189</v>
      </c>
      <c r="T16" s="18" t="s">
        <v>190</v>
      </c>
    </row>
    <row r="17" spans="1:4" x14ac:dyDescent="0.2">
      <c r="A17" s="18" t="s">
        <v>75</v>
      </c>
    </row>
    <row r="18" spans="1:4" x14ac:dyDescent="0.2">
      <c r="A18" s="18" t="s">
        <v>76</v>
      </c>
      <c r="C18" s="20" t="s">
        <v>77</v>
      </c>
    </row>
    <row r="19" spans="1:4" x14ac:dyDescent="0.2">
      <c r="B19" s="1" t="s">
        <v>62</v>
      </c>
      <c r="C19" s="23">
        <v>0.58758059642804961</v>
      </c>
      <c r="D19" s="21"/>
    </row>
    <row r="20" spans="1:4" x14ac:dyDescent="0.2">
      <c r="B20" s="1" t="s">
        <v>64</v>
      </c>
      <c r="C20" s="23">
        <v>-7.3865372359033635E-2</v>
      </c>
      <c r="D20" s="21"/>
    </row>
    <row r="21" spans="1:4" x14ac:dyDescent="0.2">
      <c r="B21" s="1" t="s">
        <v>66</v>
      </c>
      <c r="C21" s="24">
        <f>1-C19-C20</f>
        <v>0.48628477593098401</v>
      </c>
      <c r="D21" s="55" t="str" cm="1">
        <f t="array" aca="1" ref="D21" ca="1">GETFORMULA(C21)</f>
        <v>&lt;--  =1-C19-C20</v>
      </c>
    </row>
    <row r="22" spans="1:4" x14ac:dyDescent="0.2">
      <c r="D22" s="41"/>
    </row>
    <row r="23" spans="1:4" x14ac:dyDescent="0.2">
      <c r="B23" s="22" t="s">
        <v>60</v>
      </c>
      <c r="C23" s="19" cm="1">
        <f t="array" ref="C23">MMULT(TRANSPOSE(C19:C21),$C$5:$C$7)</f>
        <v>4.809026297852935E-2</v>
      </c>
      <c r="D23" s="55" t="str" cm="1">
        <f t="array" aca="1" ref="D23" ca="1">GETFORMULA(C23)</f>
        <v>&lt;--  =MMULT(TRANSPOSE(C19:C21),$C$5:$C$7)</v>
      </c>
    </row>
    <row r="24" spans="1:4" x14ac:dyDescent="0.2">
      <c r="B24" s="22" t="s">
        <v>73</v>
      </c>
      <c r="C24" s="19" cm="1">
        <f t="array" ref="C24">MMULT(TRANSPOSE(C19:C21),MMULT($C$11:$E$13,C19:C21))</f>
        <v>9.8801662296315786E-3</v>
      </c>
      <c r="D24" s="55" t="str" cm="1">
        <f t="array" aca="1" ref="D24" ca="1">GETFORMULA(C24)</f>
        <v>&lt;--  =MMULT(TRANSPOSE(C19:C21),MMULT($C$11:$E$13,C19:C21))</v>
      </c>
    </row>
    <row r="25" spans="1:4" x14ac:dyDescent="0.2">
      <c r="B25" s="22" t="s">
        <v>78</v>
      </c>
      <c r="C25" s="19">
        <f>(C23-$C$8)/SQRT(C24)</f>
        <v>0.40332652014922626</v>
      </c>
      <c r="D25" s="55" t="str" cm="1">
        <f t="array" aca="1" ref="D25" ca="1">GETFORMULA(C25)</f>
        <v>&lt;--  =(C23-$C$8)/SQRT(C24)</v>
      </c>
    </row>
    <row r="29" spans="1:4" x14ac:dyDescent="0.2">
      <c r="A29" s="18" t="s">
        <v>94</v>
      </c>
    </row>
    <row r="30" spans="1:4" x14ac:dyDescent="0.2">
      <c r="A30" s="18"/>
      <c r="C30" s="20" t="s">
        <v>95</v>
      </c>
    </row>
    <row r="31" spans="1:4" x14ac:dyDescent="0.2">
      <c r="B31" s="1" t="s">
        <v>62</v>
      </c>
      <c r="C31" s="23">
        <v>1.1137072592980899</v>
      </c>
      <c r="D31" s="21"/>
    </row>
    <row r="32" spans="1:4" x14ac:dyDescent="0.2">
      <c r="B32" s="1" t="s">
        <v>64</v>
      </c>
      <c r="C32" s="23">
        <v>-0.18980432102506392</v>
      </c>
      <c r="D32" s="21"/>
    </row>
    <row r="33" spans="1:4" x14ac:dyDescent="0.2">
      <c r="B33" s="1" t="s">
        <v>66</v>
      </c>
      <c r="C33" s="24">
        <f>1-C31-C32</f>
        <v>7.609706172697403E-2</v>
      </c>
      <c r="D33" s="55" t="str" cm="1">
        <f t="array" aca="1" ref="D33" ca="1">GETFORMULA(C33)</f>
        <v>&lt;--  =1-C31-C32</v>
      </c>
    </row>
    <row r="34" spans="1:4" x14ac:dyDescent="0.2">
      <c r="D34" s="41"/>
    </row>
    <row r="35" spans="1:4" x14ac:dyDescent="0.2">
      <c r="B35" s="22" t="s">
        <v>60</v>
      </c>
      <c r="C35" s="19" cm="1">
        <f t="array" ref="C35">MMULT(TRANSPOSE(C31:C33),$C$5:$C$7)</f>
        <v>1.3999917406882218E-2</v>
      </c>
      <c r="D35" s="55" t="str" cm="1">
        <f t="array" aca="1" ref="D35" ca="1">GETFORMULA(C35)</f>
        <v>&lt;--  =MMULT(TRANSPOSE(C31:C33),$C$5:$C$7)</v>
      </c>
    </row>
    <row r="36" spans="1:4" x14ac:dyDescent="0.2">
      <c r="B36" s="22" t="s">
        <v>73</v>
      </c>
      <c r="C36" s="19" cm="1">
        <f t="array" ref="C36">MMULT(TRANSPOSE(C31:C33),MMULT($C$11:$E$13,C31:C33))</f>
        <v>1.4786622828011063E-3</v>
      </c>
      <c r="D36" s="55" t="str" cm="1">
        <f t="array" aca="1" ref="D36" ca="1">GETFORMULA(C36)</f>
        <v>&lt;--  =MMULT(TRANSPOSE(C31:C33),MMULT($C$11:$E$13,C31:C33))</v>
      </c>
    </row>
    <row r="37" spans="1:4" x14ac:dyDescent="0.2">
      <c r="B37" s="22" t="s">
        <v>78</v>
      </c>
      <c r="C37" s="19">
        <f>(C35-$C$8)/SQRT(C36)</f>
        <v>0.15603095781103521</v>
      </c>
      <c r="D37" s="55" t="str" cm="1">
        <f t="array" aca="1" ref="D37" ca="1">GETFORMULA(C37)</f>
        <v>&lt;--  =(C35-$C$8)/SQRT(C36)</v>
      </c>
    </row>
    <row r="39" spans="1:4" x14ac:dyDescent="0.2">
      <c r="A39" s="9"/>
    </row>
  </sheetData>
  <phoneticPr fontId="5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H122"/>
  <sheetViews>
    <sheetView topLeftCell="D1" zoomScale="75" zoomScaleNormal="100" workbookViewId="0">
      <selection activeCell="K38" sqref="K38"/>
    </sheetView>
  </sheetViews>
  <sheetFormatPr baseColWidth="10" defaultColWidth="8.83203125" defaultRowHeight="15" x14ac:dyDescent="0.2"/>
  <cols>
    <col min="1" max="1" width="12.33203125" style="45" customWidth="1"/>
    <col min="2" max="9" width="8.83203125" style="45"/>
    <col min="10" max="10" width="24.5" style="45" customWidth="1"/>
    <col min="11" max="11" width="11" style="45" customWidth="1"/>
    <col min="12" max="12" width="10" style="45" customWidth="1"/>
    <col min="13" max="21" width="9.1640625" style="45" customWidth="1"/>
    <col min="22" max="23" width="8.83203125" style="45"/>
    <col min="24" max="24" width="21.5" style="45" customWidth="1"/>
    <col min="25" max="25" width="10.1640625" style="45" customWidth="1"/>
    <col min="26" max="31" width="9.1640625" style="45" customWidth="1"/>
    <col min="32" max="34" width="10.5" style="45" bestFit="1" customWidth="1"/>
    <col min="35" max="16384" width="8.83203125" style="45"/>
  </cols>
  <sheetData>
    <row r="1" spans="1:32" ht="21.5" customHeight="1" x14ac:dyDescent="0.2">
      <c r="A1" s="39" t="s">
        <v>175</v>
      </c>
      <c r="B1" s="52"/>
      <c r="C1" s="52"/>
      <c r="D1" s="52"/>
      <c r="E1" s="52"/>
      <c r="F1" s="52"/>
      <c r="G1" s="52"/>
      <c r="J1" s="18" t="s">
        <v>99</v>
      </c>
      <c r="X1" s="27" t="s">
        <v>121</v>
      </c>
    </row>
    <row r="2" spans="1:32" x14ac:dyDescent="0.2">
      <c r="A2" s="18" t="s">
        <v>0</v>
      </c>
      <c r="B2" s="18" t="str">
        <f>'7stocks_data'!K2</f>
        <v>AAPL</v>
      </c>
      <c r="C2" s="18" t="str">
        <f>'7stocks_data'!L2</f>
        <v>BAC</v>
      </c>
      <c r="D2" s="18" t="str">
        <f>'7stocks_data'!M2</f>
        <v>CAT</v>
      </c>
      <c r="E2" s="18" t="str">
        <f>'7stocks_data'!N2</f>
        <v>GE</v>
      </c>
      <c r="F2" s="18" t="str">
        <f>'7stocks_data'!O2</f>
        <v>KO</v>
      </c>
      <c r="G2" s="18" t="str">
        <f>'7stocks_data'!P2</f>
        <v>MRK</v>
      </c>
      <c r="H2" s="18" t="str">
        <f>'7stocks_data'!Q2</f>
        <v>PG</v>
      </c>
      <c r="J2" s="18" t="s">
        <v>100</v>
      </c>
      <c r="K2" s="51">
        <f>TB4WK!B20/12/100</f>
        <v>3.5916666666666662E-3</v>
      </c>
      <c r="L2" s="55" t="str" cm="1">
        <f t="array" aca="1" ref="L2" ca="1">GETFORMULA(K2)</f>
        <v>&lt;--  =TB4WK!B20/12/100</v>
      </c>
      <c r="Y2" s="18"/>
    </row>
    <row r="3" spans="1:32" x14ac:dyDescent="0.2">
      <c r="A3" s="45">
        <f>'7stocks_data'!J4</f>
        <v>201501</v>
      </c>
      <c r="B3" s="47">
        <f>'7stocks_data'!K4</f>
        <v>5.9611489344856848E-2</v>
      </c>
      <c r="C3" s="47">
        <f>'7stocks_data'!L4</f>
        <v>-0.16332187185923652</v>
      </c>
      <c r="D3" s="47">
        <f>'7stocks_data'!M4</f>
        <v>-0.13501490597832549</v>
      </c>
      <c r="E3" s="47">
        <f>'7stocks_data'!N4</f>
        <v>-4.6787231235747587E-2</v>
      </c>
      <c r="F3" s="47">
        <f>'7stocks_data'!O4</f>
        <v>-2.5184120240672361E-2</v>
      </c>
      <c r="G3" s="47">
        <f>'7stocks_data'!P4</f>
        <v>6.7170916014347354E-2</v>
      </c>
      <c r="H3" s="47">
        <f>'7stocks_data'!Q4</f>
        <v>-7.758511422811365E-2</v>
      </c>
      <c r="K3" s="80" t="s">
        <v>180</v>
      </c>
      <c r="X3" s="18"/>
    </row>
    <row r="4" spans="1:32" x14ac:dyDescent="0.2">
      <c r="A4" s="45">
        <f>'7stocks_data'!J5</f>
        <v>201502</v>
      </c>
      <c r="B4" s="47">
        <f>'7stocks_data'!K5</f>
        <v>9.2077232267224737E-2</v>
      </c>
      <c r="C4" s="47">
        <f>'7stocks_data'!L5</f>
        <v>4.264240527682777E-2</v>
      </c>
      <c r="D4" s="47">
        <f>'7stocks_data'!M5</f>
        <v>4.4149377756753136E-2</v>
      </c>
      <c r="E4" s="47">
        <f>'7stocks_data'!N5</f>
        <v>8.425187609274562E-2</v>
      </c>
      <c r="F4" s="47">
        <f>'7stocks_data'!O5</f>
        <v>5.0442294505345965E-2</v>
      </c>
      <c r="G4" s="47">
        <f>'7stocks_data'!P5</f>
        <v>-2.9290199614538895E-2</v>
      </c>
      <c r="H4" s="47">
        <f>'7stocks_data'!Q5</f>
        <v>1.7003222150506807E-2</v>
      </c>
      <c r="I4" s="47"/>
      <c r="J4" s="10" t="s">
        <v>181</v>
      </c>
    </row>
    <row r="5" spans="1:32" x14ac:dyDescent="0.2">
      <c r="A5" s="45">
        <f>'7stocks_data'!J6</f>
        <v>201503</v>
      </c>
      <c r="B5" s="47">
        <f>'7stocks_data'!K6</f>
        <v>-2.7935444988488989E-2</v>
      </c>
      <c r="C5" s="47">
        <f>'7stocks_data'!L6</f>
        <v>-2.6924889477858937E-2</v>
      </c>
      <c r="D5" s="47">
        <f>'7stocks_data'!M6</f>
        <v>-3.5233453143219989E-2</v>
      </c>
      <c r="E5" s="47">
        <f>'7stocks_data'!N6</f>
        <v>-3.7314376045799104E-2</v>
      </c>
      <c r="F5" s="47">
        <f>'7stocks_data'!O6</f>
        <v>-6.5616622294082466E-2</v>
      </c>
      <c r="G5" s="47">
        <f>'7stocks_data'!P6</f>
        <v>-1.827313340592783E-2</v>
      </c>
      <c r="H5" s="47">
        <f>'7stocks_data'!Q6</f>
        <v>-3.8192123757575698E-2</v>
      </c>
      <c r="I5" s="47"/>
      <c r="X5" s="18"/>
    </row>
    <row r="6" spans="1:32" x14ac:dyDescent="0.2">
      <c r="A6" s="45">
        <f>'7stocks_data'!J7</f>
        <v>201504</v>
      </c>
      <c r="B6" s="47">
        <f>'7stocks_data'!K7</f>
        <v>5.769751517799274E-3</v>
      </c>
      <c r="C6" s="47">
        <f>'7stocks_data'!L7</f>
        <v>3.7608295575395065E-2</v>
      </c>
      <c r="D6" s="47">
        <f>'7stocks_data'!M7</f>
        <v>8.2126586323347489E-2</v>
      </c>
      <c r="E6" s="47">
        <f>'7stocks_data'!N7</f>
        <v>8.7548643835047374E-2</v>
      </c>
      <c r="F6" s="47">
        <f>'7stocks_data'!O7</f>
        <v>8.5098859939036382E-3</v>
      </c>
      <c r="G6" s="47">
        <f>'7stocks_data'!P7</f>
        <v>4.3606347744889064E-2</v>
      </c>
      <c r="H6" s="47">
        <f>'7stocks_data'!Q7</f>
        <v>-3.0104341989738256E-2</v>
      </c>
      <c r="I6" s="47"/>
      <c r="K6" s="18" t="str">
        <f>B2</f>
        <v>AAPL</v>
      </c>
      <c r="L6" s="18" t="str">
        <f t="shared" ref="L6:Q6" si="0">C2</f>
        <v>BAC</v>
      </c>
      <c r="M6" s="18" t="str">
        <f t="shared" si="0"/>
        <v>CAT</v>
      </c>
      <c r="N6" s="18" t="str">
        <f t="shared" si="0"/>
        <v>GE</v>
      </c>
      <c r="O6" s="18" t="str">
        <f t="shared" si="0"/>
        <v>KO</v>
      </c>
      <c r="P6" s="18" t="str">
        <f t="shared" si="0"/>
        <v>MRK</v>
      </c>
      <c r="Q6" s="18" t="str">
        <f t="shared" si="0"/>
        <v>PG</v>
      </c>
      <c r="Y6" s="18" t="str">
        <f>B2</f>
        <v>AAPL</v>
      </c>
      <c r="Z6" s="18" t="str">
        <f t="shared" ref="Z6:AE6" si="1">C2</f>
        <v>BAC</v>
      </c>
      <c r="AA6" s="18" t="str">
        <f t="shared" si="1"/>
        <v>CAT</v>
      </c>
      <c r="AB6" s="18" t="str">
        <f t="shared" si="1"/>
        <v>GE</v>
      </c>
      <c r="AC6" s="18" t="str">
        <f t="shared" si="1"/>
        <v>KO</v>
      </c>
      <c r="AD6" s="18" t="str">
        <f t="shared" si="1"/>
        <v>MRK</v>
      </c>
      <c r="AE6" s="18" t="str">
        <f t="shared" si="1"/>
        <v>PG</v>
      </c>
    </row>
    <row r="7" spans="1:32" x14ac:dyDescent="0.2">
      <c r="A7" s="45">
        <f>'7stocks_data'!J8</f>
        <v>201505</v>
      </c>
      <c r="B7" s="47">
        <f>'7stocks_data'!K8</f>
        <v>4.0172726807709835E-2</v>
      </c>
      <c r="C7" s="47">
        <f>'7stocks_data'!L8</f>
        <v>3.5156385424032405E-2</v>
      </c>
      <c r="D7" s="47">
        <f>'7stocks_data'!M8</f>
        <v>-9.8658144501797915E-3</v>
      </c>
      <c r="E7" s="47">
        <f>'7stocks_data'!N8</f>
        <v>6.9917907401259981E-3</v>
      </c>
      <c r="F7" s="47">
        <f>'7stocks_data'!O8</f>
        <v>9.8139281611245421E-3</v>
      </c>
      <c r="G7" s="47">
        <f>'7stocks_data'!P8</f>
        <v>2.2084968400822011E-2</v>
      </c>
      <c r="H7" s="47">
        <f>'7stocks_data'!Q8</f>
        <v>-6.1749909839195804E-3</v>
      </c>
      <c r="I7" s="47"/>
      <c r="J7" s="18" t="s">
        <v>101</v>
      </c>
      <c r="K7" s="47">
        <f>AVERAGE(B3:B122)</f>
        <v>1.9343047988072605E-2</v>
      </c>
      <c r="L7" s="47">
        <f t="shared" ref="L7:Q7" si="2">AVERAGE(C3:C122)</f>
        <v>9.2049056551872163E-3</v>
      </c>
      <c r="M7" s="47">
        <f t="shared" si="2"/>
        <v>1.3698591892815628E-2</v>
      </c>
      <c r="N7" s="47">
        <f t="shared" si="2"/>
        <v>3.9984083240762226E-3</v>
      </c>
      <c r="O7" s="47">
        <f t="shared" si="2"/>
        <v>5.8866204070249176E-3</v>
      </c>
      <c r="P7" s="47">
        <f t="shared" si="2"/>
        <v>7.5999799528565703E-3</v>
      </c>
      <c r="Q7" s="47">
        <f t="shared" si="2"/>
        <v>7.4263496504378352E-3</v>
      </c>
      <c r="R7" s="55" t="str" cm="1">
        <f t="array" aca="1" ref="R7" ca="1">GETFORMULA(Q7)</f>
        <v>&lt;--  =AVERAGE(H3:H122)</v>
      </c>
      <c r="S7" s="18"/>
      <c r="T7" s="18"/>
      <c r="U7" s="18"/>
      <c r="X7" s="18" t="s">
        <v>101</v>
      </c>
      <c r="Y7" s="47">
        <f>AVERAGE(B3:B122)</f>
        <v>1.9343047988072605E-2</v>
      </c>
      <c r="Z7" s="47">
        <f t="shared" ref="Z7:AE7" si="3">AVERAGE(C3:C122)</f>
        <v>9.2049056551872163E-3</v>
      </c>
      <c r="AA7" s="47">
        <f t="shared" si="3"/>
        <v>1.3698591892815628E-2</v>
      </c>
      <c r="AB7" s="47">
        <f t="shared" si="3"/>
        <v>3.9984083240762226E-3</v>
      </c>
      <c r="AC7" s="47">
        <f t="shared" si="3"/>
        <v>5.8866204070249176E-3</v>
      </c>
      <c r="AD7" s="47">
        <f t="shared" si="3"/>
        <v>7.5999799528565703E-3</v>
      </c>
      <c r="AE7" s="47">
        <f t="shared" si="3"/>
        <v>7.4263496504378352E-3</v>
      </c>
      <c r="AF7" s="55"/>
    </row>
    <row r="8" spans="1:32" x14ac:dyDescent="0.2">
      <c r="A8" s="45">
        <f>'7stocks_data'!J9</f>
        <v>201506</v>
      </c>
      <c r="B8" s="47">
        <f>'7stocks_data'!K9</f>
        <v>-3.3769578860533417E-2</v>
      </c>
      <c r="C8" s="47">
        <f>'7stocks_data'!L9</f>
        <v>3.1028372715392556E-2</v>
      </c>
      <c r="D8" s="47">
        <f>'7stocks_data'!M9</f>
        <v>-5.876956589326977E-3</v>
      </c>
      <c r="E8" s="47">
        <f>'7stocks_data'!N9</f>
        <v>-2.6004445373550809E-2</v>
      </c>
      <c r="F8" s="47">
        <f>'7stocks_data'!O9</f>
        <v>-4.3154589685448289E-2</v>
      </c>
      <c r="G8" s="47">
        <f>'7stocks_data'!P9</f>
        <v>-6.724648720358406E-2</v>
      </c>
      <c r="H8" s="47">
        <f>'7stocks_data'!Q9</f>
        <v>-1.9154729808242622E-3</v>
      </c>
      <c r="I8" s="47"/>
      <c r="Q8" s="54"/>
      <c r="R8" s="54"/>
      <c r="S8" s="54"/>
      <c r="T8" s="54"/>
      <c r="U8" s="51"/>
      <c r="AE8" s="54"/>
    </row>
    <row r="9" spans="1:32" x14ac:dyDescent="0.2">
      <c r="A9" s="45">
        <f>'7stocks_data'!J10</f>
        <v>201507</v>
      </c>
      <c r="B9" s="47">
        <f>'7stocks_data'!K10</f>
        <v>-3.3480985317759102E-2</v>
      </c>
      <c r="C9" s="47">
        <f>'7stocks_data'!L10</f>
        <v>5.2288774293241261E-2</v>
      </c>
      <c r="D9" s="47">
        <f>'7stocks_data'!M10</f>
        <v>-7.5778394251888995E-2</v>
      </c>
      <c r="E9" s="47">
        <f>'7stocks_data'!N10</f>
        <v>-9.3776028309043545E-3</v>
      </c>
      <c r="F9" s="47">
        <f>'7stocks_data'!O10</f>
        <v>5.4295899097605987E-2</v>
      </c>
      <c r="G9" s="47">
        <f>'7stocks_data'!P10</f>
        <v>4.2614268167497041E-2</v>
      </c>
      <c r="H9" s="47">
        <f>'7stocks_data'!Q10</f>
        <v>-1.9879232971336168E-2</v>
      </c>
      <c r="I9" s="47"/>
      <c r="J9" s="27" t="s">
        <v>143</v>
      </c>
      <c r="Q9" s="51"/>
      <c r="R9" s="51"/>
      <c r="S9" s="51"/>
      <c r="T9" s="51"/>
      <c r="U9" s="51"/>
      <c r="X9" s="27" t="s">
        <v>144</v>
      </c>
      <c r="AE9" s="51"/>
    </row>
    <row r="10" spans="1:32" x14ac:dyDescent="0.2">
      <c r="A10" s="45">
        <f>'7stocks_data'!J11</f>
        <v>201508</v>
      </c>
      <c r="B10" s="47">
        <f>'7stocks_data'!K11</f>
        <v>-7.3005182996079027E-2</v>
      </c>
      <c r="C10" s="47">
        <f>'7stocks_data'!L11</f>
        <v>-9.0066684149740575E-2</v>
      </c>
      <c r="D10" s="47">
        <f>'7stocks_data'!M11</f>
        <v>-1.905528283506238E-2</v>
      </c>
      <c r="E10" s="47">
        <f>'7stocks_data'!N11</f>
        <v>-5.0285376635528296E-2</v>
      </c>
      <c r="F10" s="47">
        <f>'7stocks_data'!O11</f>
        <v>-4.3787965140264444E-2</v>
      </c>
      <c r="G10" s="47">
        <f>'7stocks_data'!P11</f>
        <v>-9.0656642735805357E-2</v>
      </c>
      <c r="H10" s="47">
        <f>'7stocks_data'!Q11</f>
        <v>-7.372564111326417E-2</v>
      </c>
      <c r="I10" s="47"/>
      <c r="K10" s="18" t="str">
        <f>B2</f>
        <v>AAPL</v>
      </c>
      <c r="L10" s="18" t="str">
        <f t="shared" ref="L10:Q10" si="4">C2</f>
        <v>BAC</v>
      </c>
      <c r="M10" s="18" t="str">
        <f t="shared" si="4"/>
        <v>CAT</v>
      </c>
      <c r="N10" s="18" t="str">
        <f t="shared" si="4"/>
        <v>GE</v>
      </c>
      <c r="O10" s="18" t="str">
        <f t="shared" si="4"/>
        <v>KO</v>
      </c>
      <c r="P10" s="18" t="str">
        <f t="shared" si="4"/>
        <v>MRK</v>
      </c>
      <c r="Q10" s="18" t="str">
        <f t="shared" si="4"/>
        <v>PG</v>
      </c>
      <c r="R10" s="51"/>
      <c r="S10" s="51"/>
      <c r="T10" s="51"/>
      <c r="U10" s="51"/>
      <c r="Y10" s="18" t="str">
        <f>B2</f>
        <v>AAPL</v>
      </c>
      <c r="Z10" s="18" t="str">
        <f t="shared" ref="Z10:AE10" si="5">C2</f>
        <v>BAC</v>
      </c>
      <c r="AA10" s="18" t="str">
        <f t="shared" si="5"/>
        <v>CAT</v>
      </c>
      <c r="AB10" s="18" t="str">
        <f t="shared" si="5"/>
        <v>GE</v>
      </c>
      <c r="AC10" s="18" t="str">
        <f t="shared" si="5"/>
        <v>KO</v>
      </c>
      <c r="AD10" s="18" t="str">
        <f t="shared" si="5"/>
        <v>MRK</v>
      </c>
      <c r="AE10" s="18" t="str">
        <f t="shared" si="5"/>
        <v>PG</v>
      </c>
      <c r="AF10" s="51"/>
    </row>
    <row r="11" spans="1:32" x14ac:dyDescent="0.2">
      <c r="A11" s="45">
        <f>'7stocks_data'!J12</f>
        <v>201509</v>
      </c>
      <c r="B11" s="47">
        <f>'7stocks_data'!K12</f>
        <v>-1.7541636363545735E-2</v>
      </c>
      <c r="C11" s="47">
        <f>'7stocks_data'!L12</f>
        <v>-4.7627855552086783E-2</v>
      </c>
      <c r="D11" s="47">
        <f>'7stocks_data'!M12</f>
        <v>-0.15659606148169555</v>
      </c>
      <c r="E11" s="47">
        <f>'7stocks_data'!N12</f>
        <v>1.5987666654299886E-2</v>
      </c>
      <c r="F11" s="47">
        <f>'7stocks_data'!O12</f>
        <v>2.0141598118704005E-2</v>
      </c>
      <c r="G11" s="47">
        <f>'7stocks_data'!P12</f>
        <v>-8.6454415800600093E-2</v>
      </c>
      <c r="H11" s="47">
        <f>'7stocks_data'!Q12</f>
        <v>1.7811848625926937E-2</v>
      </c>
      <c r="I11" s="47"/>
      <c r="J11" s="18" t="str" cm="1">
        <f t="array" ref="J11:J17">TRANSPOSE(K10:Q10)</f>
        <v>AAPL</v>
      </c>
      <c r="K11" s="40" cm="1">
        <f t="array" ref="K11:Q17">varcov(B3:H122)</f>
        <v>6.1473534243012343E-3</v>
      </c>
      <c r="L11" s="92">
        <v>2.4274128125769804E-3</v>
      </c>
      <c r="M11" s="92">
        <v>1.8201882800301591E-3</v>
      </c>
      <c r="N11" s="92">
        <v>2.4116881243139944E-3</v>
      </c>
      <c r="O11" s="92">
        <v>1.061225629367219E-3</v>
      </c>
      <c r="P11" s="92">
        <v>5.1368898191090858E-4</v>
      </c>
      <c r="Q11" s="92">
        <v>1.0208798300046166E-3</v>
      </c>
      <c r="R11" s="55" t="str" cm="1">
        <f t="array" aca="1" ref="R11" ca="1">GETFORMULA(Q11)</f>
        <v>&lt;--  =varcov(B3:H122)</v>
      </c>
      <c r="S11" s="51"/>
      <c r="T11" s="51"/>
      <c r="U11" s="51"/>
      <c r="X11" s="18" t="str" cm="1">
        <f t="array" ref="X11:X17">TRANSPOSE(Y10:AE10)</f>
        <v>AAPL</v>
      </c>
      <c r="Y11" s="40" cm="1">
        <f t="array" ref="Y11:AE17">varcovconst(B3:H122,Z19)</f>
        <v>6.1473534243012308E-3</v>
      </c>
      <c r="Z11" s="92">
        <v>1.3685713007174757E-3</v>
      </c>
      <c r="AA11" s="92">
        <v>1.3258083748865206E-3</v>
      </c>
      <c r="AB11" s="92">
        <v>1.5797693827994191E-3</v>
      </c>
      <c r="AC11" s="92">
        <v>7.4406414902387485E-4</v>
      </c>
      <c r="AD11" s="92">
        <v>8.8505003997270512E-4</v>
      </c>
      <c r="AE11" s="92">
        <v>7.2239364250481269E-4</v>
      </c>
      <c r="AF11" s="55" t="str" cm="1">
        <f t="array" aca="1" ref="AF11" ca="1">GETFORMULA(AE11)</f>
        <v>&lt;--  =varcovconst(B3:H122,Z19)</v>
      </c>
    </row>
    <row r="12" spans="1:32" x14ac:dyDescent="0.2">
      <c r="A12" s="45">
        <f>'7stocks_data'!J13</f>
        <v>201510</v>
      </c>
      <c r="B12" s="47">
        <f>'7stocks_data'!K13</f>
        <v>8.0112545896992876E-2</v>
      </c>
      <c r="C12" s="47">
        <f>'7stocks_data'!L13</f>
        <v>7.7413580104768065E-2</v>
      </c>
      <c r="D12" s="47">
        <f>'7stocks_data'!M13</f>
        <v>0.1104119426051809</v>
      </c>
      <c r="E12" s="47">
        <f>'7stocks_data'!N13</f>
        <v>0.14580526552688375</v>
      </c>
      <c r="F12" s="47">
        <f>'7stocks_data'!O13</f>
        <v>6.2719862561449569E-2</v>
      </c>
      <c r="G12" s="47">
        <f>'7stocks_data'!P13</f>
        <v>0.1099566692785261</v>
      </c>
      <c r="H12" s="47">
        <f>'7stocks_data'!Q13</f>
        <v>5.9888136602207008E-2</v>
      </c>
      <c r="I12" s="47"/>
      <c r="J12" s="18" t="str">
        <v>BAC</v>
      </c>
      <c r="K12" s="47">
        <v>2.4274128125769804E-3</v>
      </c>
      <c r="L12" s="40">
        <v>7.6170478410407406E-3</v>
      </c>
      <c r="M12" s="47">
        <v>4.2872516109454788E-3</v>
      </c>
      <c r="N12" s="47">
        <v>4.4405139148576576E-3</v>
      </c>
      <c r="O12" s="47">
        <v>1.4468436814729234E-3</v>
      </c>
      <c r="P12" s="92">
        <v>1.1081233751090941E-3</v>
      </c>
      <c r="Q12" s="92">
        <v>7.5209604257123327E-4</v>
      </c>
      <c r="R12" s="51"/>
      <c r="S12" s="51"/>
      <c r="T12" s="51"/>
      <c r="U12" s="51"/>
      <c r="X12" s="18" t="str">
        <v>BAC</v>
      </c>
      <c r="Y12" s="47">
        <v>1.3685713007174759E-3</v>
      </c>
      <c r="Z12" s="40">
        <v>7.6170478410407388E-3</v>
      </c>
      <c r="AA12" s="47">
        <v>1.4758085039878917E-3</v>
      </c>
      <c r="AB12" s="47">
        <v>1.7585023097132263E-3</v>
      </c>
      <c r="AC12" s="47">
        <v>8.2824653957698621E-4</v>
      </c>
      <c r="AD12" s="92">
        <v>9.8518337958028034E-4</v>
      </c>
      <c r="AE12" s="92">
        <v>8.0412426186902237E-4</v>
      </c>
      <c r="AF12" s="51"/>
    </row>
    <row r="13" spans="1:32" x14ac:dyDescent="0.2">
      <c r="A13" s="45">
        <f>'7stocks_data'!J14</f>
        <v>201511</v>
      </c>
      <c r="B13" s="47">
        <f>'7stocks_data'!K14</f>
        <v>-1.0092587750175687E-2</v>
      </c>
      <c r="C13" s="47">
        <f>'7stocks_data'!L14</f>
        <v>3.800538302457919E-2</v>
      </c>
      <c r="D13" s="47">
        <f>'7stocks_data'!M14</f>
        <v>6.4446576959299165E-3</v>
      </c>
      <c r="E13" s="47">
        <f>'7stocks_data'!N14</f>
        <v>3.4662377017262415E-2</v>
      </c>
      <c r="F13" s="47">
        <f>'7stocks_data'!O14</f>
        <v>6.3552875756070475E-3</v>
      </c>
      <c r="G13" s="47">
        <f>'7stocks_data'!P14</f>
        <v>-3.0651580343367596E-2</v>
      </c>
      <c r="H13" s="47">
        <f>'7stocks_data'!Q14</f>
        <v>-1.1420685919218911E-2</v>
      </c>
      <c r="I13" s="47"/>
      <c r="J13" s="18" t="str">
        <v>CAT</v>
      </c>
      <c r="K13" s="47">
        <v>1.8201882800301591E-3</v>
      </c>
      <c r="L13" s="47">
        <v>4.2872516109454788E-3</v>
      </c>
      <c r="M13" s="40">
        <v>7.1484740082234707E-3</v>
      </c>
      <c r="N13" s="47">
        <v>3.6122646478803414E-3</v>
      </c>
      <c r="O13" s="47">
        <v>1.0473157389703175E-3</v>
      </c>
      <c r="P13" s="92">
        <v>1.3335152453741229E-3</v>
      </c>
      <c r="Q13" s="92">
        <v>8.1617367701144171E-4</v>
      </c>
      <c r="R13" s="51"/>
      <c r="S13" s="51"/>
      <c r="T13" s="51"/>
      <c r="U13" s="51"/>
      <c r="X13" s="18" t="str">
        <v>CAT</v>
      </c>
      <c r="Y13" s="47">
        <v>1.3258083748865208E-3</v>
      </c>
      <c r="Z13" s="47">
        <v>1.4758085039878917E-3</v>
      </c>
      <c r="AA13" s="40">
        <v>7.1484740082234741E-3</v>
      </c>
      <c r="AB13" s="47">
        <v>1.7035554437337872E-3</v>
      </c>
      <c r="AC13" s="47">
        <v>8.023668171810045E-4</v>
      </c>
      <c r="AD13" s="92">
        <v>9.5439994595954397E-4</v>
      </c>
      <c r="AE13" s="92">
        <v>7.7899827380311065E-4</v>
      </c>
      <c r="AF13" s="51"/>
    </row>
    <row r="14" spans="1:32" x14ac:dyDescent="0.2">
      <c r="A14" s="45">
        <f>'7stocks_data'!J15</f>
        <v>201512</v>
      </c>
      <c r="B14" s="47">
        <f>'7stocks_data'!K15</f>
        <v>-0.1125187263392932</v>
      </c>
      <c r="C14" s="47">
        <f>'7stocks_data'!L15</f>
        <v>-3.5029717557910532E-2</v>
      </c>
      <c r="D14" s="47">
        <f>'7stocks_data'!M15</f>
        <v>-6.6734156468842329E-2</v>
      </c>
      <c r="E14" s="47">
        <f>'7stocks_data'!N15</f>
        <v>3.961863874857921E-2</v>
      </c>
      <c r="F14" s="47">
        <f>'7stocks_data'!O15</f>
        <v>1.5585682037517746E-2</v>
      </c>
      <c r="G14" s="47">
        <f>'7stocks_data'!P15</f>
        <v>-3.5907155462911685E-3</v>
      </c>
      <c r="H14" s="47">
        <f>'7stocks_data'!Q15</f>
        <v>5.9271458470996893E-2</v>
      </c>
      <c r="I14" s="47"/>
      <c r="J14" s="18" t="str">
        <v>GE</v>
      </c>
      <c r="K14" s="47">
        <v>2.4116881243139944E-3</v>
      </c>
      <c r="L14" s="47">
        <v>4.4405139148576576E-3</v>
      </c>
      <c r="M14" s="47">
        <v>3.6122646478803414E-3</v>
      </c>
      <c r="N14" s="40">
        <v>1.014937295196322E-2</v>
      </c>
      <c r="O14" s="47">
        <v>1.337914455735126E-3</v>
      </c>
      <c r="P14" s="92">
        <v>6.2610317042279787E-4</v>
      </c>
      <c r="Q14" s="92">
        <v>6.0999235798543758E-4</v>
      </c>
      <c r="R14" s="51"/>
      <c r="S14" s="51"/>
      <c r="T14" s="51"/>
      <c r="U14" s="51"/>
      <c r="X14" s="18" t="str">
        <v>GE</v>
      </c>
      <c r="Y14" s="47">
        <v>1.5797693827994191E-3</v>
      </c>
      <c r="Z14" s="47">
        <v>1.7585023097132261E-3</v>
      </c>
      <c r="AA14" s="47">
        <v>1.703555443733787E-3</v>
      </c>
      <c r="AB14" s="40">
        <v>1.0149372951963229E-2</v>
      </c>
      <c r="AC14" s="47">
        <v>9.5606164176271927E-4</v>
      </c>
      <c r="AD14" s="92">
        <v>1.1372169931430386E-3</v>
      </c>
      <c r="AE14" s="92">
        <v>9.2821681135713625E-4</v>
      </c>
      <c r="AF14" s="51"/>
    </row>
    <row r="15" spans="1:32" x14ac:dyDescent="0.2">
      <c r="A15" s="45">
        <f>'7stocks_data'!J16</f>
        <v>201601</v>
      </c>
      <c r="B15" s="47">
        <f>'7stocks_data'!K16</f>
        <v>-7.8223903799394104E-2</v>
      </c>
      <c r="C15" s="47">
        <f>'7stocks_data'!L16</f>
        <v>-0.17134384951068199</v>
      </c>
      <c r="D15" s="47">
        <f>'7stocks_data'!M16</f>
        <v>-8.7921693366758674E-2</v>
      </c>
      <c r="E15" s="47">
        <f>'7stocks_data'!N16</f>
        <v>-6.0624020713227214E-2</v>
      </c>
      <c r="F15" s="47">
        <f>'7stocks_data'!O16</f>
        <v>-9.3168873686195965E-4</v>
      </c>
      <c r="G15" s="47">
        <f>'7stocks_data'!P16</f>
        <v>-3.2951192191080218E-2</v>
      </c>
      <c r="H15" s="47">
        <f>'7stocks_data'!Q16</f>
        <v>2.830759571585002E-2</v>
      </c>
      <c r="I15" s="47"/>
      <c r="J15" s="18" t="str">
        <v>KO</v>
      </c>
      <c r="K15" s="47">
        <v>1.061225629367219E-3</v>
      </c>
      <c r="L15" s="47">
        <v>1.4468436814729234E-3</v>
      </c>
      <c r="M15" s="47">
        <v>1.0473157389703175E-3</v>
      </c>
      <c r="N15" s="47">
        <v>1.337914455735126E-3</v>
      </c>
      <c r="O15" s="40">
        <v>2.251503287878532E-3</v>
      </c>
      <c r="P15" s="92">
        <v>1.0933412742141942E-3</v>
      </c>
      <c r="Q15" s="92">
        <v>1.2896413362355078E-3</v>
      </c>
      <c r="R15" s="53"/>
      <c r="S15" s="51"/>
      <c r="T15" s="51"/>
      <c r="U15" s="51"/>
      <c r="X15" s="18" t="str">
        <v>KO</v>
      </c>
      <c r="Y15" s="47">
        <v>7.4406414902387485E-4</v>
      </c>
      <c r="Z15" s="47">
        <v>8.282465395769861E-4</v>
      </c>
      <c r="AA15" s="47">
        <v>8.0236681718100439E-4</v>
      </c>
      <c r="AB15" s="47">
        <v>9.5606164176271927E-4</v>
      </c>
      <c r="AC15" s="40">
        <v>2.2515032878785324E-3</v>
      </c>
      <c r="AD15" s="92">
        <v>5.3562399896561405E-4</v>
      </c>
      <c r="AE15" s="92">
        <v>4.3718586989465239E-4</v>
      </c>
      <c r="AF15" s="53"/>
    </row>
    <row r="16" spans="1:32" x14ac:dyDescent="0.2">
      <c r="A16" s="45">
        <f>'7stocks_data'!J17</f>
        <v>201602</v>
      </c>
      <c r="B16" s="47">
        <f>'7stocks_data'!K17</f>
        <v>-6.6996139549144974E-3</v>
      </c>
      <c r="C16" s="47">
        <f>'7stocks_data'!L17</f>
        <v>-0.12168039745000547</v>
      </c>
      <c r="D16" s="47">
        <f>'7stocks_data'!M17</f>
        <v>9.6531228570785624E-2</v>
      </c>
      <c r="E16" s="47">
        <f>'7stocks_data'!N17</f>
        <v>1.3736013661592192E-3</v>
      </c>
      <c r="F16" s="47">
        <f>'7stocks_data'!O17</f>
        <v>4.8809749869841374E-3</v>
      </c>
      <c r="G16" s="47">
        <f>'7stocks_data'!P17</f>
        <v>-9.1200553970149732E-3</v>
      </c>
      <c r="H16" s="47">
        <f>'7stocks_data'!Q17</f>
        <v>-8.6081281067414313E-3</v>
      </c>
      <c r="I16" s="47"/>
      <c r="J16" s="18" t="str">
        <v>MRK</v>
      </c>
      <c r="K16" s="47">
        <v>5.1368898191090858E-4</v>
      </c>
      <c r="L16" s="47">
        <v>1.1081233751090941E-3</v>
      </c>
      <c r="M16" s="47">
        <v>1.3335152453741229E-3</v>
      </c>
      <c r="N16" s="47">
        <v>6.2610317042279787E-4</v>
      </c>
      <c r="O16" s="47">
        <v>1.0933412742141942E-3</v>
      </c>
      <c r="P16" s="40">
        <v>3.1855723885955275E-3</v>
      </c>
      <c r="Q16" s="92">
        <v>1.0162287890845478E-3</v>
      </c>
      <c r="S16" s="53"/>
      <c r="T16" s="51"/>
      <c r="U16" s="51"/>
      <c r="X16" s="18" t="str">
        <v>MRK</v>
      </c>
      <c r="Y16" s="47">
        <v>8.8505003997270512E-4</v>
      </c>
      <c r="Z16" s="47">
        <v>9.8518337958028012E-4</v>
      </c>
      <c r="AA16" s="47">
        <v>9.5439994595954386E-4</v>
      </c>
      <c r="AB16" s="47">
        <v>1.1372169931430386E-3</v>
      </c>
      <c r="AC16" s="47">
        <v>5.3562399896561405E-4</v>
      </c>
      <c r="AD16" s="40">
        <v>3.1855723885955288E-3</v>
      </c>
      <c r="AE16" s="92">
        <v>5.2002421045735468E-4</v>
      </c>
    </row>
    <row r="17" spans="1:34" x14ac:dyDescent="0.2">
      <c r="A17" s="45">
        <f>'7stocks_data'!J18</f>
        <v>201603</v>
      </c>
      <c r="B17" s="47">
        <f>'7stocks_data'!K18</f>
        <v>0.12515757800478472</v>
      </c>
      <c r="C17" s="47">
        <f>'7stocks_data'!L18</f>
        <v>7.6842713992453474E-2</v>
      </c>
      <c r="D17" s="47">
        <f>'7stocks_data'!M18</f>
        <v>0.12272724903020302</v>
      </c>
      <c r="E17" s="47">
        <f>'7stocks_data'!N18</f>
        <v>9.5013690282501298E-2</v>
      </c>
      <c r="F17" s="47">
        <f>'7stocks_data'!O18</f>
        <v>7.2865031951662274E-2</v>
      </c>
      <c r="G17" s="47">
        <f>'7stocks_data'!P18</f>
        <v>5.2378313229218938E-2</v>
      </c>
      <c r="H17" s="47">
        <f>'7stocks_data'!Q18</f>
        <v>2.4847121757947361E-2</v>
      </c>
      <c r="I17" s="47"/>
      <c r="J17" s="18" t="str">
        <v>PG</v>
      </c>
      <c r="K17" s="92">
        <v>1.0208798300046166E-3</v>
      </c>
      <c r="L17" s="92">
        <v>7.5209604257123327E-4</v>
      </c>
      <c r="M17" s="92">
        <v>8.1617367701144171E-4</v>
      </c>
      <c r="N17" s="92">
        <v>6.0999235798543758E-4</v>
      </c>
      <c r="O17" s="92">
        <v>1.2896413362355078E-3</v>
      </c>
      <c r="P17" s="92">
        <v>1.0162287890845478E-3</v>
      </c>
      <c r="Q17" s="40">
        <v>2.1222652201369498E-3</v>
      </c>
      <c r="S17" s="51"/>
      <c r="T17" s="53"/>
      <c r="U17" s="51"/>
      <c r="X17" s="18" t="str">
        <v>PG</v>
      </c>
      <c r="Y17" s="92">
        <v>7.223936425048128E-4</v>
      </c>
      <c r="Z17" s="92">
        <v>8.0412426186902226E-4</v>
      </c>
      <c r="AA17" s="92">
        <v>7.7899827380311065E-4</v>
      </c>
      <c r="AB17" s="92">
        <v>9.2821681135713636E-4</v>
      </c>
      <c r="AC17" s="92">
        <v>4.3718586989465244E-4</v>
      </c>
      <c r="AD17" s="92">
        <v>5.2002421045735468E-4</v>
      </c>
      <c r="AE17" s="40">
        <v>2.1222652201369494E-3</v>
      </c>
    </row>
    <row r="18" spans="1:34" x14ac:dyDescent="0.2">
      <c r="A18" s="45">
        <f>'7stocks_data'!J19</f>
        <v>201604</v>
      </c>
      <c r="B18" s="47">
        <f>'7stocks_data'!K19</f>
        <v>-0.15073137348251478</v>
      </c>
      <c r="C18" s="47">
        <f>'7stocks_data'!L19</f>
        <v>7.7905887320652456E-2</v>
      </c>
      <c r="D18" s="47">
        <f>'7stocks_data'!M19</f>
        <v>1.529917833845936E-2</v>
      </c>
      <c r="E18" s="47">
        <f>'7stocks_data'!N19</f>
        <v>-3.3261987772130817E-2</v>
      </c>
      <c r="F18" s="47">
        <f>'7stocks_data'!O19</f>
        <v>-2.7107351527032097E-2</v>
      </c>
      <c r="G18" s="47">
        <f>'7stocks_data'!P19</f>
        <v>4.453772349046875E-2</v>
      </c>
      <c r="H18" s="47">
        <f>'7stocks_data'!Q19</f>
        <v>-2.6967213991690907E-2</v>
      </c>
      <c r="I18" s="47"/>
      <c r="O18" s="51"/>
      <c r="P18" s="51"/>
      <c r="Q18" s="51"/>
      <c r="R18" s="51"/>
      <c r="S18" s="51"/>
      <c r="T18" s="51"/>
      <c r="U18" s="51"/>
    </row>
    <row r="19" spans="1:34" x14ac:dyDescent="0.2">
      <c r="A19" s="45">
        <f>'7stocks_data'!J20</f>
        <v>201605</v>
      </c>
      <c r="B19" s="47">
        <f>'7stocks_data'!K20</f>
        <v>6.3244551105423069E-2</v>
      </c>
      <c r="C19" s="47">
        <f>'7stocks_data'!L20</f>
        <v>1.5673326561636249E-2</v>
      </c>
      <c r="D19" s="47">
        <f>'7stocks_data'!M20</f>
        <v>-5.9684711747270511E-2</v>
      </c>
      <c r="E19" s="47">
        <f>'7stocks_data'!N20</f>
        <v>-1.7055176781704744E-2</v>
      </c>
      <c r="F19" s="47">
        <f>'7stocks_data'!O20</f>
        <v>-4.4743035759315574E-3</v>
      </c>
      <c r="G19" s="47">
        <f>'7stocks_data'!P20</f>
        <v>2.556408350699577E-2</v>
      </c>
      <c r="H19" s="47">
        <f>'7stocks_data'!Q20</f>
        <v>1.9576097852723538E-2</v>
      </c>
      <c r="I19" s="47"/>
      <c r="J19" s="10" t="s">
        <v>109</v>
      </c>
      <c r="L19" s="10">
        <v>28</v>
      </c>
      <c r="M19" s="51" t="s">
        <v>110</v>
      </c>
      <c r="N19" s="51"/>
      <c r="O19" s="51"/>
      <c r="P19" s="51"/>
      <c r="Q19" s="51"/>
      <c r="R19" s="51"/>
      <c r="U19" s="41"/>
      <c r="X19" s="18" t="s">
        <v>145</v>
      </c>
      <c r="Z19" s="55">
        <v>0.2</v>
      </c>
      <c r="AH19" s="51"/>
    </row>
    <row r="20" spans="1:34" x14ac:dyDescent="0.2">
      <c r="A20" s="45">
        <f>'7stocks_data'!J21</f>
        <v>201606</v>
      </c>
      <c r="B20" s="47">
        <f>'7stocks_data'!K21</f>
        <v>-3.7526375254210348E-2</v>
      </c>
      <c r="C20" s="47">
        <f>'7stocks_data'!L21</f>
        <v>-0.10844540293191496</v>
      </c>
      <c r="D20" s="47">
        <f>'7stocks_data'!M21</f>
        <v>4.4505535739363132E-2</v>
      </c>
      <c r="E20" s="47">
        <f>'7stocks_data'!N21</f>
        <v>4.051749232835878E-2</v>
      </c>
      <c r="F20" s="47">
        <f>'7stocks_data'!O21</f>
        <v>1.6234967463728257E-2</v>
      </c>
      <c r="G20" s="47">
        <f>'7stocks_data'!P21</f>
        <v>2.3712626714200321E-2</v>
      </c>
      <c r="H20" s="47">
        <f>'7stocks_data'!Q21</f>
        <v>4.3818299294197727E-2</v>
      </c>
      <c r="I20" s="47"/>
      <c r="X20" s="10" t="s">
        <v>109</v>
      </c>
      <c r="Z20" s="10">
        <v>8</v>
      </c>
      <c r="AA20" s="80" t="s">
        <v>184</v>
      </c>
    </row>
    <row r="21" spans="1:34" x14ac:dyDescent="0.2">
      <c r="A21" s="45">
        <f>'7stocks_data'!J22</f>
        <v>201607</v>
      </c>
      <c r="B21" s="47">
        <f>'7stocks_data'!K22</f>
        <v>8.623513816179551E-2</v>
      </c>
      <c r="C21" s="47">
        <f>'7stocks_data'!L22</f>
        <v>9.1339214944173519E-2</v>
      </c>
      <c r="D21" s="47">
        <f>'7stocks_data'!M22</f>
        <v>8.7714727971090062E-2</v>
      </c>
      <c r="E21" s="47">
        <f>'7stocks_data'!N22</f>
        <v>-3.3116902698709376E-3</v>
      </c>
      <c r="F21" s="47">
        <f>'7stocks_data'!O22</f>
        <v>-3.0584766483878673E-2</v>
      </c>
      <c r="G21" s="47">
        <f>'7stocks_data'!P22</f>
        <v>2.61917789178625E-2</v>
      </c>
      <c r="H21" s="47">
        <f>'7stocks_data'!Q22</f>
        <v>1.0807226483919692E-2</v>
      </c>
      <c r="I21" s="47"/>
      <c r="J21" s="18" t="s">
        <v>119</v>
      </c>
      <c r="K21" s="55"/>
      <c r="L21" s="51"/>
      <c r="M21" s="51"/>
      <c r="N21" s="51"/>
      <c r="O21" s="51"/>
      <c r="P21" s="51"/>
      <c r="Q21" s="51"/>
      <c r="R21" s="51"/>
      <c r="S21" s="51"/>
      <c r="T21" s="51"/>
      <c r="U21" s="51"/>
      <c r="Y21" s="55"/>
      <c r="Z21" s="51"/>
      <c r="AA21" s="51"/>
      <c r="AB21" s="51"/>
      <c r="AC21" s="51"/>
      <c r="AD21" s="51"/>
      <c r="AE21" s="51"/>
      <c r="AF21" s="51"/>
      <c r="AG21" s="51"/>
      <c r="AH21" s="51"/>
    </row>
    <row r="22" spans="1:34" x14ac:dyDescent="0.2">
      <c r="A22" s="45">
        <f>'7stocks_data'!J23</f>
        <v>201608</v>
      </c>
      <c r="B22" s="47">
        <f>'7stocks_data'!K23</f>
        <v>1.7973878776992358E-2</v>
      </c>
      <c r="C22" s="47">
        <f>'7stocks_data'!L23</f>
        <v>0.10784191079531978</v>
      </c>
      <c r="D22" s="47">
        <f>'7stocks_data'!M23</f>
        <v>-2.4857131430489608E-4</v>
      </c>
      <c r="E22" s="47">
        <f>'7stocks_data'!N23</f>
        <v>3.2061180255853034E-3</v>
      </c>
      <c r="F22" s="47">
        <f>'7stocks_data'!O23</f>
        <v>-4.5942617288381865E-3</v>
      </c>
      <c r="G22" s="47">
        <f>'7stocks_data'!P23</f>
        <v>6.8038097684396906E-2</v>
      </c>
      <c r="H22" s="47">
        <f>'7stocks_data'!Q23</f>
        <v>2.7702334297312833E-2</v>
      </c>
      <c r="I22" s="47"/>
      <c r="J22" s="18" t="s">
        <v>186</v>
      </c>
      <c r="K22" s="45" cm="1">
        <f t="array" ref="K22:Q22">UnitRowVector(7)</f>
        <v>1</v>
      </c>
      <c r="L22" s="45">
        <v>1</v>
      </c>
      <c r="M22" s="45">
        <v>1</v>
      </c>
      <c r="N22" s="45">
        <v>1</v>
      </c>
      <c r="O22" s="45">
        <v>1</v>
      </c>
      <c r="P22" s="45">
        <v>1</v>
      </c>
      <c r="Q22" s="45">
        <v>1</v>
      </c>
      <c r="S22" s="51"/>
      <c r="T22" s="51"/>
      <c r="U22" s="51"/>
      <c r="X22" s="18" t="s">
        <v>119</v>
      </c>
      <c r="AG22" s="51"/>
    </row>
    <row r="23" spans="1:34" x14ac:dyDescent="0.2">
      <c r="A23" s="45">
        <f>'7stocks_data'!J24</f>
        <v>201609</v>
      </c>
      <c r="B23" s="47">
        <f>'7stocks_data'!K24</f>
        <v>6.8850854499366329E-2</v>
      </c>
      <c r="C23" s="47">
        <f>'7stocks_data'!L24</f>
        <v>-2.6186795866382541E-2</v>
      </c>
      <c r="D23" s="47">
        <f>'7stocks_data'!M24</f>
        <v>7.9939443819599859E-2</v>
      </c>
      <c r="E23" s="47">
        <f>'7stocks_data'!N24</f>
        <v>-5.3249706970730691E-2</v>
      </c>
      <c r="F23" s="47">
        <f>'7stocks_data'!O24</f>
        <v>-2.5890550942572838E-2</v>
      </c>
      <c r="G23" s="47">
        <f>'7stocks_data'!P24</f>
        <v>-6.0705466730944053E-3</v>
      </c>
      <c r="H23" s="47">
        <f>'7stocks_data'!Q24</f>
        <v>2.7562810921209019E-2</v>
      </c>
      <c r="I23" s="47"/>
      <c r="K23" s="51"/>
      <c r="O23" s="51"/>
      <c r="P23" s="51"/>
      <c r="Q23" s="51"/>
      <c r="R23" s="51"/>
      <c r="Y23" s="51"/>
      <c r="AC23" s="51"/>
      <c r="AD23" s="51"/>
      <c r="AE23" s="51"/>
      <c r="AF23" s="51"/>
    </row>
    <row r="24" spans="1:34" x14ac:dyDescent="0.2">
      <c r="A24" s="45">
        <f>'7stocks_data'!J25</f>
        <v>201610</v>
      </c>
      <c r="B24" s="47">
        <f>'7stocks_data'!K25</f>
        <v>4.3249292188314607E-3</v>
      </c>
      <c r="C24" s="47">
        <f>'7stocks_data'!L25</f>
        <v>5.288967576595436E-2</v>
      </c>
      <c r="D24" s="47">
        <f>'7stocks_data'!M25</f>
        <v>-6.1681074660920196E-2</v>
      </c>
      <c r="E24" s="47">
        <f>'7stocks_data'!N25</f>
        <v>-9.9373456057151397E-3</v>
      </c>
      <c r="F24" s="47">
        <f>'7stocks_data'!O25</f>
        <v>1.0025088915409293E-2</v>
      </c>
      <c r="G24" s="47">
        <f>'7stocks_data'!P25</f>
        <v>-5.3639120129532786E-2</v>
      </c>
      <c r="H24" s="47">
        <f>'7stocks_data'!Q25</f>
        <v>-3.3421363469874427E-2</v>
      </c>
      <c r="I24" s="47"/>
      <c r="J24" s="18"/>
      <c r="K24" s="18" t="str">
        <f>B2</f>
        <v>AAPL</v>
      </c>
      <c r="L24" s="18" t="str">
        <f t="shared" ref="L24:Q24" si="6">C2</f>
        <v>BAC</v>
      </c>
      <c r="M24" s="18" t="str">
        <f t="shared" si="6"/>
        <v>CAT</v>
      </c>
      <c r="N24" s="18" t="str">
        <f t="shared" si="6"/>
        <v>GE</v>
      </c>
      <c r="O24" s="18" t="str">
        <f t="shared" si="6"/>
        <v>KO</v>
      </c>
      <c r="P24" s="18" t="str">
        <f t="shared" si="6"/>
        <v>MRK</v>
      </c>
      <c r="Q24" s="18" t="str">
        <f t="shared" si="6"/>
        <v>PG</v>
      </c>
      <c r="R24" s="51"/>
      <c r="X24" s="18"/>
      <c r="Y24" s="18" t="str">
        <f>B2</f>
        <v>AAPL</v>
      </c>
      <c r="Z24" s="18" t="str">
        <f t="shared" ref="Z24:AE24" si="7">C2</f>
        <v>BAC</v>
      </c>
      <c r="AA24" s="18" t="str">
        <f t="shared" si="7"/>
        <v>CAT</v>
      </c>
      <c r="AB24" s="18" t="str">
        <f t="shared" si="7"/>
        <v>GE</v>
      </c>
      <c r="AC24" s="18" t="str">
        <f t="shared" si="7"/>
        <v>KO</v>
      </c>
      <c r="AD24" s="18" t="str">
        <f t="shared" si="7"/>
        <v>MRK</v>
      </c>
      <c r="AE24" s="18" t="str">
        <f t="shared" si="7"/>
        <v>PG</v>
      </c>
      <c r="AF24" s="51"/>
      <c r="AH24" s="18"/>
    </row>
    <row r="25" spans="1:34" x14ac:dyDescent="0.2">
      <c r="A25" s="45">
        <f>'7stocks_data'!J26</f>
        <v>201611</v>
      </c>
      <c r="B25" s="47">
        <f>'7stocks_data'!K26</f>
        <v>-2.695873675523042E-2</v>
      </c>
      <c r="C25" s="47">
        <f>'7stocks_data'!L26</f>
        <v>0.24686008661963643</v>
      </c>
      <c r="D25" s="47">
        <f>'7stocks_data'!M26</f>
        <v>0.144175585359094</v>
      </c>
      <c r="E25" s="47">
        <f>'7stocks_data'!N26</f>
        <v>5.5477328414108178E-2</v>
      </c>
      <c r="F25" s="47">
        <f>'7stocks_data'!O26</f>
        <v>-4.9557012564922502E-2</v>
      </c>
      <c r="G25" s="47">
        <f>'7stocks_data'!P26</f>
        <v>4.1203673780362909E-2</v>
      </c>
      <c r="H25" s="47">
        <f>'7stocks_data'!Q26</f>
        <v>-4.3602317495291337E-2</v>
      </c>
      <c r="I25" s="47"/>
      <c r="J25" s="10" t="s">
        <v>142</v>
      </c>
      <c r="K25" s="57" cm="1">
        <f t="array" ref="K25:Q25">MMULT(UnitRowVector(7),MINVERSE(K11:Q17))/SUM(MMULT(UnitRowVector(7),MINVERSE(K11:Q17)))</f>
        <v>8.7323767255167911E-2</v>
      </c>
      <c r="L25" s="57">
        <v>2.5247806754351266E-3</v>
      </c>
      <c r="M25" s="57">
        <v>4.2521607466031903E-2</v>
      </c>
      <c r="N25" s="57">
        <v>3.8747085377574597E-2</v>
      </c>
      <c r="O25" s="57">
        <v>0.25063746060823577</v>
      </c>
      <c r="P25" s="57">
        <v>0.21662493857819159</v>
      </c>
      <c r="Q25" s="57">
        <v>0.3616203600393631</v>
      </c>
      <c r="R25" s="47"/>
      <c r="S25" s="18"/>
      <c r="T25" s="18"/>
      <c r="X25" s="10" t="s">
        <v>142</v>
      </c>
      <c r="Y25" s="57" cm="1">
        <f t="array" ref="Y25:AE25">MMULT(UnitRowVector(7),MINVERSE(Y11:AE17))/SUM(MMULT(UnitRowVector(7),MINVERSE(Y11:AE17)))</f>
        <v>5.3648488104260733E-2</v>
      </c>
      <c r="Z25" s="57">
        <v>2.7881737738240764E-2</v>
      </c>
      <c r="AA25" s="57">
        <v>3.4759056100933508E-2</v>
      </c>
      <c r="AB25" s="57">
        <v>3.3595035800765439E-3</v>
      </c>
      <c r="AC25" s="57">
        <v>0.32846712987167637</v>
      </c>
      <c r="AD25" s="57">
        <v>0.19479504271885423</v>
      </c>
      <c r="AE25" s="57">
        <v>0.35708904188595786</v>
      </c>
      <c r="AG25" s="18"/>
      <c r="AH25" s="47"/>
    </row>
    <row r="26" spans="1:34" x14ac:dyDescent="0.2">
      <c r="A26" s="45">
        <f>'7stocks_data'!J27</f>
        <v>201612</v>
      </c>
      <c r="B26" s="47">
        <f>'7stocks_data'!K27</f>
        <v>5.1961908362050134E-2</v>
      </c>
      <c r="C26" s="47">
        <f>'7stocks_data'!L27</f>
        <v>4.9060462331500569E-2</v>
      </c>
      <c r="D26" s="47">
        <f>'7stocks_data'!M27</f>
        <v>-2.9954632978081396E-2</v>
      </c>
      <c r="E26" s="47">
        <f>'7stocks_data'!N27</f>
        <v>2.6941674336204806E-2</v>
      </c>
      <c r="F26" s="47">
        <f>'7stocks_data'!O27</f>
        <v>3.5556351447274918E-2</v>
      </c>
      <c r="G26" s="47">
        <f>'7stocks_data'!P27</f>
        <v>-3.8652314456780801E-2</v>
      </c>
      <c r="H26" s="47">
        <f>'7stocks_data'!Q27</f>
        <v>1.9455550333002832E-2</v>
      </c>
      <c r="I26" s="47"/>
      <c r="K26" s="55" t="str" cm="1">
        <f t="array" aca="1" ref="K26" ca="1">GETFORMULA(K25)</f>
        <v>&lt;--  =MMULT(UnitRowVector(7),MINVERSE(K11:Q17))/SUM(MMULT(UnitRowVector(7),MINVERSE(K11:Q17)))</v>
      </c>
      <c r="S26" s="47"/>
      <c r="T26" s="47"/>
      <c r="U26" s="18"/>
      <c r="Y26" s="55" t="str" cm="1">
        <f t="array" aca="1" ref="Y26" ca="1">GETFORMULA(Y25)</f>
        <v>&lt;--  =MMULT(UnitRowVector(7),MINVERSE(Y11:AE17))/SUM(MMULT(UnitRowVector(7),MINVERSE(Y11:AE17)))</v>
      </c>
      <c r="AG26" s="47"/>
    </row>
    <row r="27" spans="1:34" x14ac:dyDescent="0.2">
      <c r="A27" s="45">
        <f>'7stocks_data'!J28</f>
        <v>201701</v>
      </c>
      <c r="B27" s="47">
        <f>'7stocks_data'!K28</f>
        <v>4.6641574165313872E-2</v>
      </c>
      <c r="C27" s="47">
        <f>'7stocks_data'!L28</f>
        <v>2.4140750496815161E-2</v>
      </c>
      <c r="D27" s="47">
        <f>'7stocks_data'!M28</f>
        <v>3.1000662329560412E-2</v>
      </c>
      <c r="E27" s="47">
        <f>'7stocks_data'!N28</f>
        <v>-5.4512251163415161E-2</v>
      </c>
      <c r="F27" s="47">
        <f>'7stocks_data'!O28</f>
        <v>2.6498513497712158E-3</v>
      </c>
      <c r="G27" s="47">
        <f>'7stocks_data'!P28</f>
        <v>5.9285779810754863E-2</v>
      </c>
      <c r="H27" s="47">
        <f>'7stocks_data'!Q28</f>
        <v>4.1012245800317822E-2</v>
      </c>
      <c r="I27" s="47"/>
      <c r="K27" s="18"/>
      <c r="L27" s="18"/>
      <c r="M27" s="18"/>
      <c r="N27" s="18"/>
      <c r="O27" s="18"/>
      <c r="P27" s="18"/>
      <c r="Q27" s="18"/>
      <c r="R27" s="18"/>
      <c r="U27" s="47"/>
      <c r="Y27" s="18"/>
      <c r="Z27" s="18"/>
      <c r="AA27" s="18"/>
      <c r="AB27" s="18"/>
      <c r="AC27" s="18"/>
      <c r="AD27" s="18"/>
      <c r="AE27" s="18"/>
      <c r="AF27" s="18"/>
    </row>
    <row r="28" spans="1:34" x14ac:dyDescent="0.2">
      <c r="A28" s="45">
        <f>'7stocks_data'!J29</f>
        <v>201702</v>
      </c>
      <c r="B28" s="47">
        <f>'7stocks_data'!K29</f>
        <v>0.12122949197667585</v>
      </c>
      <c r="C28" s="47">
        <f>'7stocks_data'!L29</f>
        <v>8.6274603633447633E-2</v>
      </c>
      <c r="D28" s="47">
        <f>'7stocks_data'!M29</f>
        <v>1.8662605854392875E-2</v>
      </c>
      <c r="E28" s="47">
        <f>'7stocks_data'!N29</f>
        <v>3.6969693577336574E-3</v>
      </c>
      <c r="F28" s="47">
        <f>'7stocks_data'!O29</f>
        <v>9.3379821721101142E-3</v>
      </c>
      <c r="G28" s="47">
        <f>'7stocks_data'!P29</f>
        <v>6.0709723887944975E-2</v>
      </c>
      <c r="H28" s="47">
        <f>'7stocks_data'!Q29</f>
        <v>4.6741090638501001E-2</v>
      </c>
      <c r="I28" s="47"/>
      <c r="J28" s="18" t="s">
        <v>120</v>
      </c>
      <c r="K28" s="47"/>
      <c r="L28" s="47"/>
      <c r="M28" s="47"/>
      <c r="N28" s="47"/>
      <c r="O28" s="47"/>
      <c r="P28" s="47"/>
      <c r="Q28" s="47"/>
      <c r="R28" s="47"/>
      <c r="X28" s="18" t="s">
        <v>120</v>
      </c>
      <c r="Y28" s="47"/>
      <c r="Z28" s="47"/>
      <c r="AA28" s="47"/>
      <c r="AB28" s="47"/>
      <c r="AC28" s="47"/>
      <c r="AD28" s="47"/>
      <c r="AE28" s="47"/>
      <c r="AF28" s="47"/>
    </row>
    <row r="29" spans="1:34" x14ac:dyDescent="0.2">
      <c r="A29" s="45">
        <f>'7stocks_data'!J30</f>
        <v>201703</v>
      </c>
      <c r="B29" s="47">
        <f>'7stocks_data'!K30</f>
        <v>5.1867203301793938E-2</v>
      </c>
      <c r="C29" s="47">
        <f>'7stocks_data'!L30</f>
        <v>-4.5170130206024318E-2</v>
      </c>
      <c r="D29" s="47">
        <f>'7stocks_data'!M30</f>
        <v>-4.1184282159823851E-2</v>
      </c>
      <c r="E29" s="47">
        <f>'7stocks_data'!N30</f>
        <v>7.60870655274713E-3</v>
      </c>
      <c r="F29" s="47">
        <f>'7stocks_data'!O30</f>
        <v>1.1374320822694359E-2</v>
      </c>
      <c r="G29" s="47">
        <f>'7stocks_data'!P30</f>
        <v>-3.6012996638335071E-2</v>
      </c>
      <c r="H29" s="47">
        <f>'7stocks_data'!Q30</f>
        <v>-1.3486478437474645E-2</v>
      </c>
      <c r="I29" s="47"/>
      <c r="J29" s="55"/>
      <c r="K29" s="18" t="str">
        <f>B2</f>
        <v>AAPL</v>
      </c>
      <c r="L29" s="18" t="str">
        <f t="shared" ref="L29:Q29" si="8">C2</f>
        <v>BAC</v>
      </c>
      <c r="M29" s="18" t="str">
        <f t="shared" si="8"/>
        <v>CAT</v>
      </c>
      <c r="N29" s="18" t="str">
        <f t="shared" si="8"/>
        <v>GE</v>
      </c>
      <c r="O29" s="18" t="str">
        <f t="shared" si="8"/>
        <v>KO</v>
      </c>
      <c r="P29" s="18" t="str">
        <f t="shared" si="8"/>
        <v>MRK</v>
      </c>
      <c r="Q29" s="18" t="str">
        <f t="shared" si="8"/>
        <v>PG</v>
      </c>
      <c r="X29" s="55"/>
      <c r="Y29" s="18" t="str">
        <f>B2</f>
        <v>AAPL</v>
      </c>
      <c r="Z29" s="18" t="str">
        <f t="shared" ref="Z29:AE29" si="9">C2</f>
        <v>BAC</v>
      </c>
      <c r="AA29" s="18" t="str">
        <f t="shared" si="9"/>
        <v>CAT</v>
      </c>
      <c r="AB29" s="18" t="str">
        <f t="shared" si="9"/>
        <v>GE</v>
      </c>
      <c r="AC29" s="18" t="str">
        <f t="shared" si="9"/>
        <v>KO</v>
      </c>
      <c r="AD29" s="18" t="str">
        <f t="shared" si="9"/>
        <v>MRK</v>
      </c>
      <c r="AE29" s="18" t="str">
        <f t="shared" si="9"/>
        <v>PG</v>
      </c>
    </row>
    <row r="30" spans="1:34" x14ac:dyDescent="0.2">
      <c r="A30" s="45">
        <f>'7stocks_data'!J31</f>
        <v>201704</v>
      </c>
      <c r="B30" s="47">
        <f>'7stocks_data'!K31</f>
        <v>-7.008015720942608E-5</v>
      </c>
      <c r="C30" s="47">
        <f>'7stocks_data'!L31</f>
        <v>-7.6107747348320796E-3</v>
      </c>
      <c r="D30" s="47">
        <f>'7stocks_data'!M31</f>
        <v>9.7503218079772649E-2</v>
      </c>
      <c r="E30" s="47">
        <f>'7stocks_data'!N31</f>
        <v>-2.7557328018547374E-2</v>
      </c>
      <c r="F30" s="47">
        <f>'7stocks_data'!O31</f>
        <v>2.537916949799425E-2</v>
      </c>
      <c r="G30" s="47">
        <f>'7stocks_data'!P31</f>
        <v>-1.2036602425821443E-2</v>
      </c>
      <c r="H30" s="47">
        <f>'7stocks_data'!Q31</f>
        <v>-2.8447698962700028E-2</v>
      </c>
      <c r="I30" s="47"/>
      <c r="J30" s="10" t="s">
        <v>113</v>
      </c>
      <c r="K30" s="57" cm="1">
        <f t="array" ref="K30:Q30">MMULT($K$7:$Q$7-$K$2,MINVERSE(K11:Q17))/SUM(MMULT($K$7:$Q$7-$K$2,MINVERSE(K11:Q17)))</f>
        <v>0.82441708570086647</v>
      </c>
      <c r="L30" s="57">
        <v>-0.10642055916214593</v>
      </c>
      <c r="M30" s="57">
        <v>0.41193378252897339</v>
      </c>
      <c r="N30" s="57">
        <v>-0.27664576052312329</v>
      </c>
      <c r="O30" s="57">
        <v>-0.22168745105748786</v>
      </c>
      <c r="P30" s="57">
        <v>0.20323329929012557</v>
      </c>
      <c r="Q30" s="57">
        <v>0.1651696032227917</v>
      </c>
      <c r="U30" s="47"/>
      <c r="X30" s="10" t="s">
        <v>113</v>
      </c>
      <c r="Y30" s="57" cm="1">
        <f t="array" ref="Y30:AE30">MMULT($K$7:$Q$7-$K$2,MINVERSE(Y11:AE17))/SUM(MMULT($K$7:$Q$7-$K$2,MINVERSE(Y11:AE17)))</f>
        <v>0.60271690613116014</v>
      </c>
      <c r="Z30" s="57">
        <v>3.8829314957093027E-2</v>
      </c>
      <c r="AA30" s="57">
        <v>0.24986289169741971</v>
      </c>
      <c r="AB30" s="57">
        <v>-0.15853525575842975</v>
      </c>
      <c r="AC30" s="57">
        <v>-3.6546080815595842E-2</v>
      </c>
      <c r="AD30" s="57">
        <v>9.8179229562645451E-2</v>
      </c>
      <c r="AE30" s="57">
        <v>0.2054929942257073</v>
      </c>
      <c r="AH30" s="47"/>
    </row>
    <row r="31" spans="1:34" x14ac:dyDescent="0.2">
      <c r="A31" s="45">
        <f>'7stocks_data'!J32</f>
        <v>201705</v>
      </c>
      <c r="B31" s="47">
        <f>'7stocks_data'!K32</f>
        <v>6.1488374487385741E-2</v>
      </c>
      <c r="C31" s="47">
        <f>'7stocks_data'!L32</f>
        <v>-4.0661327677236021E-2</v>
      </c>
      <c r="D31" s="47">
        <f>'7stocks_data'!M32</f>
        <v>3.8800491575393732E-2</v>
      </c>
      <c r="E31" s="47">
        <f>'7stocks_data'!N32</f>
        <v>-5.7138286860245614E-2</v>
      </c>
      <c r="F31" s="47">
        <f>'7stocks_data'!O32</f>
        <v>5.2370174183406261E-2</v>
      </c>
      <c r="G31" s="47">
        <f>'7stocks_data'!P32</f>
        <v>4.36353782926363E-2</v>
      </c>
      <c r="H31" s="47">
        <f>'7stocks_data'!Q32</f>
        <v>1.6293158834452093E-2</v>
      </c>
      <c r="I31" s="47"/>
      <c r="J31" s="55"/>
      <c r="K31" s="55" t="str" cm="1">
        <f t="array" aca="1" ref="K31" ca="1">GETFORMULA(K30)</f>
        <v>&lt;--  =MMULT($K$7:$Q$7-$K$2,MINVERSE(K11:Q17))/SUM(MMULT($K$7:$Q$7-$K$2,MINVERSE(K11:Q17)))</v>
      </c>
      <c r="L31" s="40"/>
      <c r="R31" s="47"/>
      <c r="S31" s="47"/>
      <c r="T31" s="47"/>
      <c r="X31" s="55"/>
      <c r="Y31" s="55" t="str" cm="1">
        <f t="array" aca="1" ref="Y31" ca="1">GETFORMULA(Y30)</f>
        <v>&lt;--  =MMULT($K$7:$Q$7-$K$2,MINVERSE(Y11:AE17))/SUM(MMULT($K$7:$Q$7-$K$2,MINVERSE(Y11:AE17)))</v>
      </c>
      <c r="Z31" s="40"/>
      <c r="AF31" s="47"/>
      <c r="AG31" s="47"/>
    </row>
    <row r="32" spans="1:34" x14ac:dyDescent="0.2">
      <c r="A32" s="45">
        <f>'7stocks_data'!J33</f>
        <v>201706</v>
      </c>
      <c r="B32" s="47">
        <f>'7stocks_data'!K33</f>
        <v>-5.4796035029003667E-2</v>
      </c>
      <c r="C32" s="47">
        <f>'7stocks_data'!L33</f>
        <v>8.260053406092259E-2</v>
      </c>
      <c r="D32" s="47">
        <f>'7stocks_data'!M33</f>
        <v>1.9071382390268711E-2</v>
      </c>
      <c r="E32" s="47">
        <f>'7stocks_data'!N33</f>
        <v>-1.3605710684716032E-2</v>
      </c>
      <c r="F32" s="47">
        <f>'7stocks_data'!O33</f>
        <v>-1.372934565130572E-2</v>
      </c>
      <c r="G32" s="47">
        <f>'7stocks_data'!P33</f>
        <v>-1.5789798648130675E-2</v>
      </c>
      <c r="H32" s="47">
        <f>'7stocks_data'!Q33</f>
        <v>-1.0728375619882796E-2</v>
      </c>
      <c r="I32" s="47"/>
      <c r="J32" s="18" t="s">
        <v>111</v>
      </c>
      <c r="K32" s="47" cm="1">
        <f t="array" ref="K32:Q32">K7:Q7-$K$2</f>
        <v>1.5751381321405938E-2</v>
      </c>
      <c r="L32" s="47">
        <v>5.6132389885205497E-3</v>
      </c>
      <c r="M32" s="47">
        <v>1.0106925226148962E-2</v>
      </c>
      <c r="N32" s="47">
        <v>4.0674165740955644E-4</v>
      </c>
      <c r="O32" s="47">
        <v>2.2949537403582515E-3</v>
      </c>
      <c r="P32" s="47">
        <v>4.0083132861899046E-3</v>
      </c>
      <c r="Q32" s="47">
        <v>3.834682983771169E-3</v>
      </c>
      <c r="R32" s="55" t="str" cm="1">
        <f t="array" aca="1" ref="R32" ca="1">GETFORMULA(Q32)</f>
        <v>&lt;--  =K7:Q7-$K$2</v>
      </c>
    </row>
    <row r="33" spans="1:27" x14ac:dyDescent="0.2">
      <c r="A33" s="45">
        <f>'7stocks_data'!J34</f>
        <v>201707</v>
      </c>
      <c r="B33" s="47">
        <f>'7stocks_data'!K34</f>
        <v>3.2179856660584157E-2</v>
      </c>
      <c r="C33" s="47">
        <f>'7stocks_data'!L34</f>
        <v>-5.7871730827819511E-3</v>
      </c>
      <c r="D33" s="47">
        <f>'7stocks_data'!M34</f>
        <v>5.8641264730976222E-2</v>
      </c>
      <c r="E33" s="47">
        <f>'7stocks_data'!N34</f>
        <v>-4.4823481670812723E-2</v>
      </c>
      <c r="F33" s="47">
        <f>'7stocks_data'!O34</f>
        <v>3.0029413742128537E-2</v>
      </c>
      <c r="G33" s="47">
        <f>'7stocks_data'!P34</f>
        <v>4.0440520731919276E-3</v>
      </c>
      <c r="H33" s="47">
        <f>'7stocks_data'!Q34</f>
        <v>4.1248868594813012E-2</v>
      </c>
      <c r="I33" s="47"/>
      <c r="AA33" s="47"/>
    </row>
    <row r="34" spans="1:27" x14ac:dyDescent="0.2">
      <c r="A34" s="45">
        <f>'7stocks_data'!J35</f>
        <v>201708</v>
      </c>
      <c r="B34" s="47">
        <f>'7stocks_data'!K35</f>
        <v>9.7734012178057689E-2</v>
      </c>
      <c r="C34" s="47">
        <f>'7stocks_data'!L35</f>
        <v>-9.5815251978047071E-3</v>
      </c>
      <c r="D34" s="47">
        <f>'7stocks_data'!M35</f>
        <v>3.778575121524274E-2</v>
      </c>
      <c r="E34" s="47">
        <f>'7stocks_data'!N35</f>
        <v>-4.2271456335086749E-2</v>
      </c>
      <c r="F34" s="47">
        <f>'7stocks_data'!O35</f>
        <v>-6.3466739799707631E-3</v>
      </c>
      <c r="G34" s="47">
        <f>'7stocks_data'!P35</f>
        <v>-3.1325928416240284E-4</v>
      </c>
      <c r="H34" s="47">
        <f>'7stocks_data'!Q35</f>
        <v>2.3654175061147503E-2</v>
      </c>
      <c r="I34" s="47"/>
      <c r="J34" s="18" t="s">
        <v>182</v>
      </c>
      <c r="X34" s="18" t="s">
        <v>112</v>
      </c>
    </row>
    <row r="35" spans="1:27" x14ac:dyDescent="0.2">
      <c r="A35" s="45">
        <f>'7stocks_data'!J36</f>
        <v>201709</v>
      </c>
      <c r="B35" s="47">
        <f>'7stocks_data'!K36</f>
        <v>-5.8215468643955222E-2</v>
      </c>
      <c r="C35" s="47">
        <f>'7stocks_data'!L36</f>
        <v>6.4026246597183076E-2</v>
      </c>
      <c r="D35" s="47">
        <f>'7stocks_data'!M36</f>
        <v>5.9637682487126219E-2</v>
      </c>
      <c r="E35" s="47">
        <f>'7stocks_data'!N36</f>
        <v>-1.5185848736512606E-2</v>
      </c>
      <c r="F35" s="47">
        <f>'7stocks_data'!O36</f>
        <v>-1.192555301407486E-2</v>
      </c>
      <c r="G35" s="47">
        <f>'7stocks_data'!P36</f>
        <v>2.6586029933455095E-3</v>
      </c>
      <c r="H35" s="47">
        <f>'7stocks_data'!Q36</f>
        <v>-1.4079278457359861E-2</v>
      </c>
      <c r="I35" s="47"/>
      <c r="K35" s="18" t="s">
        <v>93</v>
      </c>
      <c r="L35" s="18" t="s">
        <v>113</v>
      </c>
      <c r="Y35" s="18" t="s">
        <v>93</v>
      </c>
      <c r="Z35" s="18" t="s">
        <v>113</v>
      </c>
    </row>
    <row r="36" spans="1:27" x14ac:dyDescent="0.2">
      <c r="A36" s="45">
        <f>'7stocks_data'!J37</f>
        <v>201710</v>
      </c>
      <c r="B36" s="47">
        <f>'7stocks_data'!K37</f>
        <v>9.240380379785551E-2</v>
      </c>
      <c r="C36" s="47">
        <f>'7stocks_data'!L37</f>
        <v>7.7793788493501936E-2</v>
      </c>
      <c r="D36" s="47">
        <f>'7stocks_data'!M37</f>
        <v>8.51921910113322E-2</v>
      </c>
      <c r="E36" s="47">
        <f>'7stocks_data'!N37</f>
        <v>-0.17188327511256443</v>
      </c>
      <c r="F36" s="47">
        <f>'7stocks_data'!O37</f>
        <v>2.9247087008162542E-2</v>
      </c>
      <c r="G36" s="47">
        <f>'7stocks_data'!P37</f>
        <v>-0.14317668267062886</v>
      </c>
      <c r="H36" s="47">
        <f>'7stocks_data'!Q37</f>
        <v>-5.2346414902757613E-2</v>
      </c>
      <c r="I36" s="47"/>
      <c r="J36" s="18" t="s">
        <v>27</v>
      </c>
      <c r="K36" s="93" cm="1">
        <f t="array" ref="K36">MMULT(K25:Q25,TRANSPOSE(K7:Q7))</f>
        <v>8.2570330196783913E-3</v>
      </c>
      <c r="L36" s="93" cm="1">
        <f t="array" ref="L36">MMULT(K30:Q30,TRANSPOSE(K7:Q7))</f>
        <v>2.0970104458209259E-2</v>
      </c>
      <c r="M36" s="55"/>
      <c r="X36" s="18" t="s">
        <v>27</v>
      </c>
      <c r="Y36" s="93" cm="1">
        <f t="array" ref="Y36">MMULT(Y25:AE25,TRANSPOSE(Y7:AE7))</f>
        <v>7.8498246471605596E-3</v>
      </c>
      <c r="Z36" s="93" cm="1">
        <f t="array" ref="Z36">MMULT(Y30:AE30,TRANSPOSE(Y7:AE7))</f>
        <v>1.6861773412763605E-2</v>
      </c>
      <c r="AA36" s="55"/>
    </row>
    <row r="37" spans="1:27" x14ac:dyDescent="0.2">
      <c r="A37" s="45">
        <f>'7stocks_data'!J38</f>
        <v>201711</v>
      </c>
      <c r="B37" s="47">
        <f>'7stocks_data'!K38</f>
        <v>1.6486786025572076E-2</v>
      </c>
      <c r="C37" s="47">
        <f>'7stocks_data'!L38</f>
        <v>2.8079574983826204E-2</v>
      </c>
      <c r="D37" s="47">
        <f>'7stocks_data'!M38</f>
        <v>4.4587110894865029E-2</v>
      </c>
      <c r="E37" s="47">
        <f>'7stocks_data'!N38</f>
        <v>-9.7346176599976394E-2</v>
      </c>
      <c r="F37" s="47">
        <f>'7stocks_data'!O38</f>
        <v>-4.577516305038349E-3</v>
      </c>
      <c r="G37" s="47">
        <f>'7stocks_data'!P38</f>
        <v>3.262172356438219E-3</v>
      </c>
      <c r="H37" s="47">
        <f>'7stocks_data'!Q38</f>
        <v>4.8870694461448247E-2</v>
      </c>
      <c r="I37" s="47"/>
      <c r="J37" s="18" t="s">
        <v>73</v>
      </c>
      <c r="K37" s="93" cm="1">
        <f t="array" ref="K37">MMULT(MMULT(K25:Q25,K11:Q17),TRANSPOSE(K25:Q25))</f>
        <v>1.4602136345489435E-3</v>
      </c>
      <c r="L37" s="93" cm="1">
        <f t="array" ref="L37">MMULT(MMULT(K30:Q30,K11:Q17),TRANSPOSE(K30:Q30))</f>
        <v>5.4392795528242976E-3</v>
      </c>
      <c r="M37" s="55"/>
      <c r="X37" s="18" t="s">
        <v>73</v>
      </c>
      <c r="Y37" s="93" cm="1">
        <f t="array" ref="Y37">MMULT(MMULT(Y25:AE25,Y11:AE17),TRANSPOSE(Y25:AE25))</f>
        <v>1.0941082811996179E-3</v>
      </c>
      <c r="Z37" s="93" cm="1">
        <f t="array" ref="Z37">MMULT(MMULT(Y30:AE30,Y11:AE17),TRANSPOSE(Y30:AE30))</f>
        <v>3.4096747349011119E-3</v>
      </c>
      <c r="AA37" s="55"/>
    </row>
    <row r="38" spans="1:27" x14ac:dyDescent="0.2">
      <c r="A38" s="45">
        <f>'7stocks_data'!J39</f>
        <v>201712</v>
      </c>
      <c r="B38" s="47">
        <f>'7stocks_data'!K39</f>
        <v>-1.1775127299449644E-2</v>
      </c>
      <c r="C38" s="47">
        <f>'7stocks_data'!L39</f>
        <v>5.1062565470600896E-2</v>
      </c>
      <c r="D38" s="47">
        <f>'7stocks_data'!M39</f>
        <v>0.11011024116123642</v>
      </c>
      <c r="E38" s="47">
        <f>'7stocks_data'!N39</f>
        <v>-4.7014633297322618E-2</v>
      </c>
      <c r="F38" s="47">
        <f>'7stocks_data'!O39</f>
        <v>1.0565630966876013E-2</v>
      </c>
      <c r="G38" s="47">
        <f>'7stocks_data'!P39</f>
        <v>1.7931270879149447E-2</v>
      </c>
      <c r="H38" s="47">
        <f>'7stocks_data'!Q39</f>
        <v>2.0784849067106738E-2</v>
      </c>
      <c r="I38" s="47"/>
      <c r="J38" s="18" t="s">
        <v>114</v>
      </c>
      <c r="K38" s="93">
        <f>(K36-$K$2)/SQRT(K37)</f>
        <v>0.12208928580800354</v>
      </c>
      <c r="L38" s="93">
        <f>(L36-$K$2)/SQRT(L37)</f>
        <v>0.23563513284611906</v>
      </c>
      <c r="M38" s="55"/>
      <c r="X38" s="18" t="s">
        <v>114</v>
      </c>
      <c r="Y38" s="93">
        <f>(Y36-$K$2)/SQRT(Y37)</f>
        <v>0.12873351198614849</v>
      </c>
      <c r="Z38" s="93">
        <f>(Z36-$K$2)/SQRT(Z37)</f>
        <v>0.22725735128577684</v>
      </c>
      <c r="AA38" s="55"/>
    </row>
    <row r="39" spans="1:27" x14ac:dyDescent="0.2">
      <c r="A39" s="45">
        <f>'7stocks_data'!J40</f>
        <v>201801</v>
      </c>
      <c r="B39" s="47">
        <f>'7stocks_data'!K40</f>
        <v>-1.0693436645751691E-2</v>
      </c>
      <c r="C39" s="47">
        <f>'7stocks_data'!L40</f>
        <v>8.0667997754951898E-2</v>
      </c>
      <c r="D39" s="47">
        <f>'7stocks_data'!M40</f>
        <v>3.2466242011579653E-2</v>
      </c>
      <c r="E39" s="47">
        <f>'7stocks_data'!N40</f>
        <v>-6.9301214012428045E-2</v>
      </c>
      <c r="F39" s="47">
        <f>'7stocks_data'!O40</f>
        <v>3.659326105462677E-2</v>
      </c>
      <c r="G39" s="47">
        <f>'7stocks_data'!P40</f>
        <v>6.0074506399636095E-2</v>
      </c>
      <c r="H39" s="47">
        <f>'7stocks_data'!Q40</f>
        <v>-6.2190192854916074E-2</v>
      </c>
      <c r="I39" s="47"/>
      <c r="J39" s="18" t="s">
        <v>9</v>
      </c>
      <c r="K39" s="93" cm="1">
        <f t="array" ref="K39">MMULT(MMULT(K25:Q25,K11:Q17),TRANSPOSE(K30:Q30))</f>
        <v>1.4602136345489437E-3</v>
      </c>
      <c r="L39" s="94"/>
      <c r="X39" s="18" t="s">
        <v>9</v>
      </c>
      <c r="Y39" s="93" cm="1">
        <f t="array" ref="Y39">MMULT(MMULT(Y25:AE25,Y11:AE17),TRANSPOSE(Y30:AE30))</f>
        <v>1.0941082811996177E-3</v>
      </c>
      <c r="Z39" s="94"/>
    </row>
    <row r="40" spans="1:27" x14ac:dyDescent="0.2">
      <c r="A40" s="45">
        <f>'7stocks_data'!J41</f>
        <v>201802</v>
      </c>
      <c r="B40" s="47">
        <f>'7stocks_data'!K41</f>
        <v>6.1892361094606989E-2</v>
      </c>
      <c r="C40" s="47">
        <f>'7stocks_data'!L41</f>
        <v>3.1200850679340563E-3</v>
      </c>
      <c r="D40" s="47">
        <f>'7stocks_data'!M41</f>
        <v>-4.6733745250258807E-2</v>
      </c>
      <c r="E40" s="47">
        <f>'7stocks_data'!N41</f>
        <v>-0.13627412911379863</v>
      </c>
      <c r="F40" s="47">
        <f>'7stocks_data'!O41</f>
        <v>-9.6319370069431393E-2</v>
      </c>
      <c r="G40" s="47">
        <f>'7stocks_data'!P41</f>
        <v>-8.8716212086114077E-2</v>
      </c>
      <c r="H40" s="47">
        <f>'7stocks_data'!Q41</f>
        <v>-8.7345036168900103E-2</v>
      </c>
      <c r="I40" s="47"/>
    </row>
    <row r="41" spans="1:27" x14ac:dyDescent="0.2">
      <c r="A41" s="45">
        <f>'7stocks_data'!J42</f>
        <v>201803</v>
      </c>
      <c r="B41" s="47">
        <f>'7stocks_data'!K42</f>
        <v>-5.5734999179460801E-2</v>
      </c>
      <c r="C41" s="47">
        <f>'7stocks_data'!L42</f>
        <v>-6.7992053405853015E-2</v>
      </c>
      <c r="D41" s="47">
        <f>'7stocks_data'!M42</f>
        <v>-4.8020865871570124E-2</v>
      </c>
      <c r="E41" s="47">
        <f>'7stocks_data'!N42</f>
        <v>-3.7434613733103493E-2</v>
      </c>
      <c r="F41" s="47">
        <f>'7stocks_data'!O42</f>
        <v>4.8472477435678712E-3</v>
      </c>
      <c r="G41" s="47">
        <f>'7stocks_data'!P42</f>
        <v>4.6003200468713078E-3</v>
      </c>
      <c r="H41" s="47">
        <f>'7stocks_data'!Q42</f>
        <v>9.6323005764841676E-3</v>
      </c>
      <c r="I41" s="47"/>
      <c r="J41" s="10" t="s">
        <v>115</v>
      </c>
      <c r="X41" s="10" t="s">
        <v>115</v>
      </c>
    </row>
    <row r="42" spans="1:27" x14ac:dyDescent="0.2">
      <c r="A42" s="45">
        <f>'7stocks_data'!J43</f>
        <v>201804</v>
      </c>
      <c r="B42" s="47">
        <f>'7stocks_data'!K43</f>
        <v>-1.5133823308716224E-2</v>
      </c>
      <c r="C42" s="47">
        <f>'7stocks_data'!L43</f>
        <v>1.4086503732455981E-3</v>
      </c>
      <c r="D42" s="47">
        <f>'7stocks_data'!M43</f>
        <v>-2.0704042950790109E-2</v>
      </c>
      <c r="E42" s="47">
        <f>'7stocks_data'!N43</f>
        <v>4.2837431559537134E-2</v>
      </c>
      <c r="F42" s="47">
        <f>'7stocks_data'!O43</f>
        <v>3.7099521724918635E-3</v>
      </c>
      <c r="G42" s="47">
        <f>'7stocks_data'!P43</f>
        <v>8.6388387727349455E-2</v>
      </c>
      <c r="H42" s="47">
        <f>'7stocks_data'!Q43</f>
        <v>-9.1608504797120738E-2</v>
      </c>
      <c r="I42" s="47"/>
      <c r="J42" s="45" t="s">
        <v>116</v>
      </c>
      <c r="K42" s="45" t="s">
        <v>117</v>
      </c>
      <c r="L42" s="45" t="s">
        <v>118</v>
      </c>
      <c r="M42" s="45" t="s">
        <v>27</v>
      </c>
      <c r="X42" s="45" t="s">
        <v>116</v>
      </c>
      <c r="Y42" s="45" t="s">
        <v>117</v>
      </c>
      <c r="Z42" s="45" t="s">
        <v>118</v>
      </c>
      <c r="AA42" s="45" t="s">
        <v>27</v>
      </c>
    </row>
    <row r="43" spans="1:27" x14ac:dyDescent="0.2">
      <c r="A43" s="45">
        <f>'7stocks_data'!J44</f>
        <v>201805</v>
      </c>
      <c r="B43" s="47">
        <f>'7stocks_data'!K44</f>
        <v>0.12289311637968155</v>
      </c>
      <c r="C43" s="47">
        <f>'7stocks_data'!L44</f>
        <v>-2.9852965419600488E-2</v>
      </c>
      <c r="D43" s="47">
        <f>'7stocks_data'!M44</f>
        <v>5.5999964997481347E-2</v>
      </c>
      <c r="E43" s="47">
        <f>'7stocks_data'!N44</f>
        <v>7.1067881340292093E-4</v>
      </c>
      <c r="F43" s="47">
        <f>'7stocks_data'!O44</f>
        <v>-4.8714487187960778E-3</v>
      </c>
      <c r="G43" s="47">
        <f>'7stocks_data'!P44</f>
        <v>1.114872968799324E-2</v>
      </c>
      <c r="H43" s="47">
        <f>'7stocks_data'!Q44</f>
        <v>2.0619447652355311E-2</v>
      </c>
      <c r="I43" s="47"/>
      <c r="J43" s="45">
        <v>-1</v>
      </c>
      <c r="K43" s="45">
        <f>1-J43</f>
        <v>2</v>
      </c>
      <c r="L43" s="47">
        <f t="shared" ref="L43:L58" si="10">SQRT(J43^2*$K$37+K43^2*$L$37+2*J43*K43*$K$39)</f>
        <v>0.13181986689285632</v>
      </c>
      <c r="M43" s="47">
        <f t="shared" ref="M43:M58" si="11">J43*$K$36+K43*$L$36</f>
        <v>3.3683175896740122E-2</v>
      </c>
      <c r="X43" s="45">
        <v>-1</v>
      </c>
      <c r="Y43" s="45">
        <f>1-X43</f>
        <v>2</v>
      </c>
      <c r="Z43" s="47">
        <f t="shared" ref="Z43:Z58" si="12">SQRT(X43^2*$Y$37+Y43^2*$Z$37+2*X43*Y43*$Y$39)</f>
        <v>0.1017662718979407</v>
      </c>
      <c r="AA43" s="47">
        <f t="shared" ref="AA43:AA58" si="13">X43*$Y$36+Y43*$Z$36</f>
        <v>2.587372217836665E-2</v>
      </c>
    </row>
    <row r="44" spans="1:27" x14ac:dyDescent="0.2">
      <c r="A44" s="45">
        <f>'7stocks_data'!J45</f>
        <v>201806</v>
      </c>
      <c r="B44" s="47">
        <f>'7stocks_data'!K45</f>
        <v>-5.6142158032929648E-3</v>
      </c>
      <c r="C44" s="47">
        <f>'7stocks_data'!L45</f>
        <v>-2.5629444872393648E-2</v>
      </c>
      <c r="D44" s="47">
        <f>'7stocks_data'!M45</f>
        <v>-0.11306254415656831</v>
      </c>
      <c r="E44" s="47">
        <f>'7stocks_data'!N45</f>
        <v>-3.395041718006786E-2</v>
      </c>
      <c r="F44" s="47">
        <f>'7stocks_data'!O45</f>
        <v>1.9802412399198676E-2</v>
      </c>
      <c r="G44" s="47">
        <f>'7stocks_data'!P45</f>
        <v>1.9463215074491332E-2</v>
      </c>
      <c r="H44" s="47">
        <f>'7stocks_data'!Q45</f>
        <v>6.4692191586027514E-2</v>
      </c>
      <c r="I44" s="47"/>
      <c r="J44" s="45">
        <v>-0.8</v>
      </c>
      <c r="K44" s="45">
        <f t="shared" ref="K44:K58" si="14">1-J44</f>
        <v>1.8</v>
      </c>
      <c r="L44" s="47">
        <f t="shared" si="10"/>
        <v>0.11980144911377778</v>
      </c>
      <c r="M44" s="47">
        <f t="shared" si="11"/>
        <v>3.1140561609033952E-2</v>
      </c>
      <c r="X44" s="45">
        <v>-0.8</v>
      </c>
      <c r="Y44" s="45">
        <f t="shared" ref="Y44:Y58" si="15">1-X44</f>
        <v>1.8</v>
      </c>
      <c r="Z44" s="47">
        <f t="shared" si="12"/>
        <v>9.2717547374768589E-2</v>
      </c>
      <c r="AA44" s="47">
        <f t="shared" si="13"/>
        <v>2.4071332425246041E-2</v>
      </c>
    </row>
    <row r="45" spans="1:27" x14ac:dyDescent="0.2">
      <c r="A45" s="45">
        <f>'7stocks_data'!J46</f>
        <v>201807</v>
      </c>
      <c r="B45" s="47">
        <f>'7stocks_data'!K46</f>
        <v>2.7599116595949075E-2</v>
      </c>
      <c r="C45" s="47">
        <f>'7stocks_data'!L46</f>
        <v>9.1141348516515522E-2</v>
      </c>
      <c r="D45" s="47">
        <f>'7stocks_data'!M46</f>
        <v>5.81978994876758E-2</v>
      </c>
      <c r="E45" s="47">
        <f>'7stocks_data'!N46</f>
        <v>1.030497517549914E-2</v>
      </c>
      <c r="F45" s="47">
        <f>'7stocks_data'!O46</f>
        <v>7.0107994751448799E-2</v>
      </c>
      <c r="G45" s="47">
        <f>'7stocks_data'!P46</f>
        <v>8.943787233146111E-2</v>
      </c>
      <c r="H45" s="47">
        <f>'7stocks_data'!Q46</f>
        <v>3.5488987097662301E-2</v>
      </c>
      <c r="I45" s="47"/>
      <c r="J45" s="45">
        <v>-0.6</v>
      </c>
      <c r="K45" s="45">
        <f t="shared" si="14"/>
        <v>1.6</v>
      </c>
      <c r="L45" s="47">
        <f t="shared" si="10"/>
        <v>0.10791951809257606</v>
      </c>
      <c r="M45" s="47">
        <f t="shared" si="11"/>
        <v>2.8597947321327782E-2</v>
      </c>
      <c r="X45" s="45">
        <v>-0.6</v>
      </c>
      <c r="Y45" s="45">
        <f t="shared" si="15"/>
        <v>1.6</v>
      </c>
      <c r="Z45" s="47">
        <f t="shared" si="12"/>
        <v>8.3797126458342502E-2</v>
      </c>
      <c r="AA45" s="47">
        <f t="shared" si="13"/>
        <v>2.2268942672125432E-2</v>
      </c>
    </row>
    <row r="46" spans="1:27" x14ac:dyDescent="0.2">
      <c r="A46" s="45">
        <f>'7stocks_data'!J47</f>
        <v>201808</v>
      </c>
      <c r="B46" s="47">
        <f>'7stocks_data'!K47</f>
        <v>0.17917255982769981</v>
      </c>
      <c r="C46" s="47">
        <f>'7stocks_data'!L47</f>
        <v>1.6179805168602091E-3</v>
      </c>
      <c r="D46" s="47">
        <f>'7stocks_data'!M47</f>
        <v>-2.8916434915419818E-2</v>
      </c>
      <c r="E46" s="47">
        <f>'7stocks_data'!N47</f>
        <v>-5.1950117544957923E-2</v>
      </c>
      <c r="F46" s="47">
        <f>'7stocks_data'!O47</f>
        <v>-4.5183173600145635E-2</v>
      </c>
      <c r="G46" s="47">
        <f>'7stocks_data'!P47</f>
        <v>4.0463713719828306E-2</v>
      </c>
      <c r="H46" s="47">
        <f>'7stocks_data'!Q47</f>
        <v>3.4306010798489335E-2</v>
      </c>
      <c r="I46" s="47"/>
      <c r="J46" s="45">
        <v>-0.4</v>
      </c>
      <c r="K46" s="45">
        <f t="shared" si="14"/>
        <v>1.4</v>
      </c>
      <c r="L46" s="47">
        <f t="shared" si="10"/>
        <v>9.6224647748737624E-2</v>
      </c>
      <c r="M46" s="47">
        <f t="shared" si="11"/>
        <v>2.6055333033621602E-2</v>
      </c>
      <c r="X46" s="45">
        <v>-0.4</v>
      </c>
      <c r="Y46" s="45">
        <f t="shared" si="15"/>
        <v>1.4</v>
      </c>
      <c r="Z46" s="47">
        <f t="shared" si="12"/>
        <v>7.5050773017035249E-2</v>
      </c>
      <c r="AA46" s="47">
        <f t="shared" si="13"/>
        <v>2.0466552919004823E-2</v>
      </c>
    </row>
    <row r="47" spans="1:27" x14ac:dyDescent="0.2">
      <c r="A47" s="45">
        <f>'7stocks_data'!J48</f>
        <v>201809</v>
      </c>
      <c r="B47" s="47">
        <f>'7stocks_data'!K48</f>
        <v>-4.8368819177648714E-3</v>
      </c>
      <c r="C47" s="47">
        <f>'7stocks_data'!L48</f>
        <v>-4.8693296258332609E-2</v>
      </c>
      <c r="D47" s="47">
        <f>'7stocks_data'!M48</f>
        <v>9.3704862032126898E-2</v>
      </c>
      <c r="E47" s="47">
        <f>'7stocks_data'!N48</f>
        <v>-0.13640578381686413</v>
      </c>
      <c r="F47" s="47">
        <f>'7stocks_data'!O48</f>
        <v>3.5702328861984545E-2</v>
      </c>
      <c r="G47" s="47">
        <f>'7stocks_data'!P48</f>
        <v>3.3687474493722849E-2</v>
      </c>
      <c r="H47" s="47">
        <f>'7stocks_data'!Q48</f>
        <v>3.3700933575646305E-3</v>
      </c>
      <c r="I47" s="47"/>
      <c r="J47" s="45">
        <v>-0.2</v>
      </c>
      <c r="K47" s="45">
        <f t="shared" si="14"/>
        <v>1.2</v>
      </c>
      <c r="L47" s="47">
        <f t="shared" si="10"/>
        <v>8.4794271957871384E-2</v>
      </c>
      <c r="M47" s="47">
        <f t="shared" si="11"/>
        <v>2.3512718745915432E-2</v>
      </c>
      <c r="X47" s="45">
        <v>-0.2</v>
      </c>
      <c r="Y47" s="45">
        <f t="shared" si="15"/>
        <v>1.2</v>
      </c>
      <c r="Z47" s="47">
        <f t="shared" si="12"/>
        <v>6.6547156021349016E-2</v>
      </c>
      <c r="AA47" s="47">
        <f t="shared" si="13"/>
        <v>1.8664163165884214E-2</v>
      </c>
    </row>
    <row r="48" spans="1:27" x14ac:dyDescent="0.2">
      <c r="A48" s="45">
        <f>'7stocks_data'!J49</f>
        <v>201810</v>
      </c>
      <c r="B48" s="47">
        <f>'7stocks_data'!K49</f>
        <v>-3.0951684840125442E-2</v>
      </c>
      <c r="C48" s="47">
        <f>'7stocks_data'!L49</f>
        <v>-6.4025056029437213E-2</v>
      </c>
      <c r="D48" s="47">
        <f>'7stocks_data'!M49</f>
        <v>-0.22866752001753651</v>
      </c>
      <c r="E48" s="47">
        <f>'7stocks_data'!N49</f>
        <v>-0.10189569642581661</v>
      </c>
      <c r="F48" s="47">
        <f>'7stocks_data'!O49</f>
        <v>4.4404798622040269E-2</v>
      </c>
      <c r="G48" s="47">
        <f>'7stocks_data'!P49</f>
        <v>4.3746534254736062E-2</v>
      </c>
      <c r="H48" s="47">
        <f>'7stocks_data'!Q49</f>
        <v>6.3426234529573564E-2</v>
      </c>
      <c r="I48" s="47"/>
      <c r="J48" s="45">
        <v>0</v>
      </c>
      <c r="K48" s="45">
        <f t="shared" si="14"/>
        <v>1</v>
      </c>
      <c r="L48" s="47">
        <f t="shared" si="10"/>
        <v>7.3751471529890825E-2</v>
      </c>
      <c r="M48" s="47">
        <f t="shared" si="11"/>
        <v>2.0970104458209259E-2</v>
      </c>
      <c r="X48" s="45">
        <v>0</v>
      </c>
      <c r="Y48" s="45">
        <f t="shared" si="15"/>
        <v>1</v>
      </c>
      <c r="Z48" s="47">
        <f t="shared" si="12"/>
        <v>5.8392420183625816E-2</v>
      </c>
      <c r="AA48" s="47">
        <f t="shared" si="13"/>
        <v>1.6861773412763605E-2</v>
      </c>
    </row>
    <row r="49" spans="1:27" x14ac:dyDescent="0.2">
      <c r="A49" s="45">
        <f>'7stocks_data'!J50</f>
        <v>201811</v>
      </c>
      <c r="B49" s="47">
        <f>'7stocks_data'!K50</f>
        <v>-0.20339559933160578</v>
      </c>
      <c r="C49" s="47">
        <f>'7stocks_data'!L50</f>
        <v>3.2202951066671009E-2</v>
      </c>
      <c r="D49" s="47">
        <f>'7stocks_data'!M50</f>
        <v>0.11814677893926993</v>
      </c>
      <c r="E49" s="47">
        <f>'7stocks_data'!N50</f>
        <v>-0.29763252643397275</v>
      </c>
      <c r="F49" s="47">
        <f>'7stocks_data'!O50</f>
        <v>5.1293149284393998E-2</v>
      </c>
      <c r="G49" s="47">
        <f>'7stocks_data'!P50</f>
        <v>7.4961730055028597E-2</v>
      </c>
      <c r="H49" s="47">
        <f>'7stocks_data'!Q50</f>
        <v>7.2468512775741151E-2</v>
      </c>
      <c r="I49" s="47"/>
      <c r="J49" s="45">
        <v>0.2</v>
      </c>
      <c r="K49" s="45">
        <f t="shared" si="14"/>
        <v>0.8</v>
      </c>
      <c r="L49" s="47">
        <f t="shared" si="10"/>
        <v>6.3299414075054211E-2</v>
      </c>
      <c r="M49" s="47">
        <f t="shared" si="11"/>
        <v>1.8427490170503085E-2</v>
      </c>
      <c r="X49" s="45">
        <v>0.2</v>
      </c>
      <c r="Y49" s="45">
        <f t="shared" si="15"/>
        <v>0.8</v>
      </c>
      <c r="Z49" s="47">
        <f t="shared" si="12"/>
        <v>5.0755007748680074E-2</v>
      </c>
      <c r="AA49" s="47">
        <f t="shared" si="13"/>
        <v>1.5059383659642996E-2</v>
      </c>
    </row>
    <row r="50" spans="1:27" x14ac:dyDescent="0.2">
      <c r="A50" s="45">
        <f>'7stocks_data'!J51</f>
        <v>201812</v>
      </c>
      <c r="B50" s="47">
        <f>'7stocks_data'!K51</f>
        <v>-0.1206053777151975</v>
      </c>
      <c r="C50" s="47">
        <f>'7stocks_data'!L51</f>
        <v>-0.14201782644978894</v>
      </c>
      <c r="D50" s="47">
        <f>'7stocks_data'!M51</f>
        <v>-6.5487340738591734E-2</v>
      </c>
      <c r="E50" s="47">
        <f>'7stocks_data'!N51</f>
        <v>9.2900646320914996E-3</v>
      </c>
      <c r="F50" s="47">
        <f>'7stocks_data'!O51</f>
        <v>-5.4547880032300905E-2</v>
      </c>
      <c r="G50" s="47">
        <f>'7stocks_data'!P51</f>
        <v>-3.7629251730525733E-2</v>
      </c>
      <c r="H50" s="47">
        <f>'7stocks_data'!Q51</f>
        <v>-2.7786884982820018E-2</v>
      </c>
      <c r="I50" s="47"/>
      <c r="J50" s="45">
        <v>0.4</v>
      </c>
      <c r="K50" s="45">
        <f t="shared" si="14"/>
        <v>0.6</v>
      </c>
      <c r="L50" s="47">
        <f t="shared" si="10"/>
        <v>5.3783616140308667E-2</v>
      </c>
      <c r="M50" s="47">
        <f t="shared" si="11"/>
        <v>1.5884875882796912E-2</v>
      </c>
      <c r="X50" s="45">
        <v>0.4</v>
      </c>
      <c r="Y50" s="45">
        <f t="shared" si="15"/>
        <v>0.6</v>
      </c>
      <c r="Z50" s="47">
        <f t="shared" si="12"/>
        <v>4.3905719496805377E-2</v>
      </c>
      <c r="AA50" s="47">
        <f t="shared" si="13"/>
        <v>1.3256993906522387E-2</v>
      </c>
    </row>
    <row r="51" spans="1:27" x14ac:dyDescent="0.2">
      <c r="A51" s="45">
        <f>'7stocks_data'!J52</f>
        <v>201901</v>
      </c>
      <c r="B51" s="47">
        <f>'7stocks_data'!K52</f>
        <v>5.3686501289894752E-2</v>
      </c>
      <c r="C51" s="47">
        <f>'7stocks_data'!L52</f>
        <v>0.15005286527481468</v>
      </c>
      <c r="D51" s="47">
        <f>'7stocks_data'!M52</f>
        <v>4.6813525333970096E-2</v>
      </c>
      <c r="E51" s="47">
        <f>'7stocks_data'!N52</f>
        <v>0.29564016301586721</v>
      </c>
      <c r="F51" s="47">
        <f>'7stocks_data'!O52</f>
        <v>1.6338804924149342E-2</v>
      </c>
      <c r="G51" s="47">
        <f>'7stocks_data'!P52</f>
        <v>-1.926871043969677E-2</v>
      </c>
      <c r="H51" s="47">
        <f>'7stocks_data'!Q52</f>
        <v>4.8313543751645503E-2</v>
      </c>
      <c r="I51" s="47"/>
      <c r="J51" s="45">
        <v>0.6</v>
      </c>
      <c r="K51" s="45">
        <f t="shared" si="14"/>
        <v>0.4</v>
      </c>
      <c r="L51" s="47">
        <f t="shared" si="10"/>
        <v>4.5791529582150894E-2</v>
      </c>
      <c r="M51" s="47">
        <f t="shared" si="11"/>
        <v>1.3342261595090738E-2</v>
      </c>
      <c r="X51" s="45">
        <v>0.6</v>
      </c>
      <c r="Y51" s="45">
        <f t="shared" si="15"/>
        <v>0.4</v>
      </c>
      <c r="Z51" s="47">
        <f t="shared" si="12"/>
        <v>3.8270078570494949E-2</v>
      </c>
      <c r="AA51" s="47">
        <f t="shared" si="13"/>
        <v>1.1454604153401778E-2</v>
      </c>
    </row>
    <row r="52" spans="1:27" x14ac:dyDescent="0.2">
      <c r="A52" s="45">
        <f>'7stocks_data'!J53</f>
        <v>201902</v>
      </c>
      <c r="B52" s="47">
        <f>'7stocks_data'!K53</f>
        <v>3.9523619346557376E-2</v>
      </c>
      <c r="C52" s="47">
        <f>'7stocks_data'!L53</f>
        <v>2.1199750228045842E-2</v>
      </c>
      <c r="D52" s="47">
        <f>'7stocks_data'!M53</f>
        <v>3.7320698718339658E-2</v>
      </c>
      <c r="E52" s="47">
        <f>'7stocks_data'!N53</f>
        <v>6.160582754019301E-2</v>
      </c>
      <c r="F52" s="47">
        <f>'7stocks_data'!O53</f>
        <v>-5.9716060431001909E-2</v>
      </c>
      <c r="G52" s="47">
        <f>'7stocks_data'!P53</f>
        <v>8.8163607258257046E-2</v>
      </c>
      <c r="H52" s="47">
        <f>'7stocks_data'!Q53</f>
        <v>2.9209919267426915E-2</v>
      </c>
      <c r="I52" s="47"/>
      <c r="J52" s="45">
        <v>0.8</v>
      </c>
      <c r="K52" s="45">
        <f t="shared" si="14"/>
        <v>0.19999999999999996</v>
      </c>
      <c r="L52" s="47">
        <f t="shared" si="10"/>
        <v>4.0241474516721651E-2</v>
      </c>
      <c r="M52" s="47">
        <f t="shared" si="11"/>
        <v>1.0799647307384565E-2</v>
      </c>
      <c r="X52" s="45">
        <v>0.8</v>
      </c>
      <c r="Y52" s="45">
        <f t="shared" si="15"/>
        <v>0.19999999999999996</v>
      </c>
      <c r="Z52" s="47">
        <f t="shared" si="12"/>
        <v>3.4448961368199152E-2</v>
      </c>
      <c r="AA52" s="47">
        <f t="shared" si="13"/>
        <v>9.6522144002811686E-3</v>
      </c>
    </row>
    <row r="53" spans="1:27" x14ac:dyDescent="0.2">
      <c r="A53" s="45">
        <f>'7stocks_data'!J54</f>
        <v>201903</v>
      </c>
      <c r="B53" s="47">
        <f>'7stocks_data'!K54</f>
        <v>9.6882194732429858E-2</v>
      </c>
      <c r="C53" s="47">
        <f>'7stocks_data'!L54</f>
        <v>-4.7504841611355778E-2</v>
      </c>
      <c r="D53" s="47">
        <f>'7stocks_data'!M54</f>
        <v>-1.3561876531635994E-2</v>
      </c>
      <c r="E53" s="47">
        <f>'7stocks_data'!N54</f>
        <v>-3.9259103762741498E-2</v>
      </c>
      <c r="F53" s="47">
        <f>'7stocks_data'!O54</f>
        <v>3.297500744750019E-2</v>
      </c>
      <c r="G53" s="47">
        <f>'7stocks_data'!P54</f>
        <v>2.2863909985262526E-2</v>
      </c>
      <c r="H53" s="47">
        <f>'7stocks_data'!Q54</f>
        <v>5.4307664849011977E-2</v>
      </c>
      <c r="I53" s="47"/>
      <c r="J53" s="45">
        <v>1</v>
      </c>
      <c r="K53" s="45">
        <f t="shared" si="14"/>
        <v>0</v>
      </c>
      <c r="L53" s="47">
        <f t="shared" si="10"/>
        <v>3.8212741782669084E-2</v>
      </c>
      <c r="M53" s="47">
        <f t="shared" si="11"/>
        <v>8.2570330196783913E-3</v>
      </c>
      <c r="X53" s="45">
        <v>1</v>
      </c>
      <c r="Y53" s="45">
        <f t="shared" si="15"/>
        <v>0</v>
      </c>
      <c r="Z53" s="47">
        <f t="shared" si="12"/>
        <v>3.3077307647382939E-2</v>
      </c>
      <c r="AA53" s="47">
        <f t="shared" si="13"/>
        <v>7.8498246471605596E-3</v>
      </c>
    </row>
    <row r="54" spans="1:27" x14ac:dyDescent="0.2">
      <c r="A54" s="45">
        <f>'7stocks_data'!J55</f>
        <v>201904</v>
      </c>
      <c r="B54" s="47">
        <f>'7stocks_data'!K55</f>
        <v>5.4900682167111615E-2</v>
      </c>
      <c r="C54" s="47">
        <f>'7stocks_data'!L55</f>
        <v>0.10289280271154831</v>
      </c>
      <c r="D54" s="47">
        <f>'7stocks_data'!M55</f>
        <v>2.859324614761009E-2</v>
      </c>
      <c r="E54" s="47">
        <f>'7stocks_data'!N55</f>
        <v>1.8916292486380368E-2</v>
      </c>
      <c r="F54" s="47">
        <f>'7stocks_data'!O55</f>
        <v>5.4571363004050986E-2</v>
      </c>
      <c r="G54" s="47">
        <f>'7stocks_data'!P55</f>
        <v>-4.8353278653550089E-2</v>
      </c>
      <c r="H54" s="47">
        <f>'7stocks_data'!Q55</f>
        <v>2.3085637981782554E-2</v>
      </c>
      <c r="I54" s="47"/>
      <c r="J54" s="45">
        <v>1.2</v>
      </c>
      <c r="K54" s="45">
        <f t="shared" si="14"/>
        <v>-0.19999999999999996</v>
      </c>
      <c r="L54" s="47">
        <f t="shared" si="10"/>
        <v>4.0241474516721644E-2</v>
      </c>
      <c r="M54" s="47">
        <f t="shared" si="11"/>
        <v>5.7144187319722187E-3</v>
      </c>
      <c r="X54" s="45">
        <v>1.2</v>
      </c>
      <c r="Y54" s="45">
        <f t="shared" si="15"/>
        <v>-0.19999999999999996</v>
      </c>
      <c r="Z54" s="47">
        <f t="shared" si="12"/>
        <v>3.4448961368199152E-2</v>
      </c>
      <c r="AA54" s="47">
        <f t="shared" si="13"/>
        <v>6.0474348940399505E-3</v>
      </c>
    </row>
    <row r="55" spans="1:27" x14ac:dyDescent="0.2">
      <c r="A55" s="45">
        <f>'7stocks_data'!J56</f>
        <v>201905</v>
      </c>
      <c r="B55" s="47">
        <f>'7stocks_data'!K56</f>
        <v>-0.13647562385664228</v>
      </c>
      <c r="C55" s="47">
        <f>'7stocks_data'!L56</f>
        <v>-0.13943491624704107</v>
      </c>
      <c r="D55" s="47">
        <f>'7stocks_data'!M56</f>
        <v>-0.14554060427610485</v>
      </c>
      <c r="E55" s="47">
        <f>'7stocks_data'!N56</f>
        <v>-7.4486098704162382E-2</v>
      </c>
      <c r="F55" s="47">
        <f>'7stocks_data'!O56</f>
        <v>1.4257376268091864E-3</v>
      </c>
      <c r="G55" s="47">
        <f>'7stocks_data'!P56</f>
        <v>6.3323894273444618E-3</v>
      </c>
      <c r="H55" s="47">
        <f>'7stocks_data'!Q56</f>
        <v>-2.7067534585960399E-2</v>
      </c>
      <c r="I55" s="47"/>
      <c r="J55" s="45">
        <v>1.4</v>
      </c>
      <c r="K55" s="45">
        <f t="shared" si="14"/>
        <v>-0.39999999999999991</v>
      </c>
      <c r="L55" s="47">
        <f t="shared" si="10"/>
        <v>4.5791529582150881E-2</v>
      </c>
      <c r="M55" s="47">
        <f t="shared" si="11"/>
        <v>3.1718044442660444E-3</v>
      </c>
      <c r="X55" s="45">
        <v>1.4</v>
      </c>
      <c r="Y55" s="45">
        <f t="shared" si="15"/>
        <v>-0.39999999999999991</v>
      </c>
      <c r="Z55" s="47">
        <f t="shared" si="12"/>
        <v>3.8270078570494949E-2</v>
      </c>
      <c r="AA55" s="47">
        <f t="shared" si="13"/>
        <v>4.2450451409193415E-3</v>
      </c>
    </row>
    <row r="56" spans="1:27" x14ac:dyDescent="0.2">
      <c r="A56" s="45">
        <f>'7stocks_data'!J57</f>
        <v>201906</v>
      </c>
      <c r="B56" s="47">
        <f>'7stocks_data'!K57</f>
        <v>0.12652047752206397</v>
      </c>
      <c r="C56" s="47">
        <f>'7stocks_data'!L57</f>
        <v>8.6384510491210528E-2</v>
      </c>
      <c r="D56" s="47">
        <f>'7stocks_data'!M57</f>
        <v>0.1288777016415541</v>
      </c>
      <c r="E56" s="47">
        <f>'7stocks_data'!N57</f>
        <v>0.10641930851762348</v>
      </c>
      <c r="F56" s="47">
        <f>'7stocks_data'!O57</f>
        <v>3.5785999019176007E-2</v>
      </c>
      <c r="G56" s="47">
        <f>'7stocks_data'!P57</f>
        <v>5.6926780098034577E-2</v>
      </c>
      <c r="H56" s="47">
        <f>'7stocks_data'!Q57</f>
        <v>6.3438346032679185E-2</v>
      </c>
      <c r="I56" s="47"/>
      <c r="J56" s="45">
        <v>1.6</v>
      </c>
      <c r="K56" s="45">
        <f t="shared" si="14"/>
        <v>-0.60000000000000009</v>
      </c>
      <c r="L56" s="47">
        <f t="shared" si="10"/>
        <v>5.3783616140308674E-2</v>
      </c>
      <c r="M56" s="47">
        <f t="shared" si="11"/>
        <v>6.2919015655987093E-4</v>
      </c>
      <c r="X56" s="45">
        <v>1.6</v>
      </c>
      <c r="Y56" s="45">
        <f t="shared" si="15"/>
        <v>-0.60000000000000009</v>
      </c>
      <c r="Z56" s="47">
        <f t="shared" si="12"/>
        <v>4.3905719496805391E-2</v>
      </c>
      <c r="AA56" s="47">
        <f t="shared" si="13"/>
        <v>2.4426553877987325E-3</v>
      </c>
    </row>
    <row r="57" spans="1:27" x14ac:dyDescent="0.2">
      <c r="A57" s="45">
        <f>'7stocks_data'!J58</f>
        <v>201907</v>
      </c>
      <c r="B57" s="47">
        <f>'7stocks_data'!K58</f>
        <v>7.3617141517212992E-2</v>
      </c>
      <c r="C57" s="47">
        <f>'7stocks_data'!L58</f>
        <v>6.1704168024292926E-2</v>
      </c>
      <c r="D57" s="47">
        <f>'7stocks_data'!M58</f>
        <v>-3.4485998432516957E-2</v>
      </c>
      <c r="E57" s="47">
        <f>'7stocks_data'!N58</f>
        <v>-3.8113453086352105E-3</v>
      </c>
      <c r="F57" s="47">
        <f>'7stocks_data'!O58</f>
        <v>4.0806566962149467E-2</v>
      </c>
      <c r="G57" s="47">
        <f>'7stocks_data'!P58</f>
        <v>-3.6528027931368224E-3</v>
      </c>
      <c r="H57" s="47">
        <f>'7stocks_data'!Q58</f>
        <v>7.3730274460165404E-2</v>
      </c>
      <c r="I57" s="47"/>
      <c r="J57" s="45">
        <v>1.8</v>
      </c>
      <c r="K57" s="45">
        <f t="shared" si="14"/>
        <v>-0.8</v>
      </c>
      <c r="L57" s="47">
        <f t="shared" si="10"/>
        <v>6.3299414075054197E-2</v>
      </c>
      <c r="M57" s="47">
        <f t="shared" si="11"/>
        <v>-1.9134241311463043E-3</v>
      </c>
      <c r="X57" s="45">
        <v>1.8</v>
      </c>
      <c r="Y57" s="45">
        <f t="shared" si="15"/>
        <v>-0.8</v>
      </c>
      <c r="Z57" s="47">
        <f t="shared" si="12"/>
        <v>5.0755007748680081E-2</v>
      </c>
      <c r="AA57" s="47">
        <f t="shared" si="13"/>
        <v>6.4026563467812353E-4</v>
      </c>
    </row>
    <row r="58" spans="1:27" x14ac:dyDescent="0.2">
      <c r="A58" s="45">
        <f>'7stocks_data'!J59</f>
        <v>201908</v>
      </c>
      <c r="B58" s="47">
        <f>'7stocks_data'!K59</f>
        <v>-2.0390405553586347E-2</v>
      </c>
      <c r="C58" s="47">
        <f>'7stocks_data'!L59</f>
        <v>-0.10906125473454745</v>
      </c>
      <c r="D58" s="47">
        <f>'7stocks_data'!M59</f>
        <v>-9.351026409137303E-2</v>
      </c>
      <c r="E58" s="47">
        <f>'7stocks_data'!N59</f>
        <v>-0.23638882308006007</v>
      </c>
      <c r="F58" s="47">
        <f>'7stocks_data'!O59</f>
        <v>4.4774090301187168E-2</v>
      </c>
      <c r="G58" s="47">
        <f>'7stocks_data'!P59</f>
        <v>4.1077561160879357E-2</v>
      </c>
      <c r="H58" s="47">
        <f>'7stocks_data'!Q59</f>
        <v>2.4838097181033855E-2</v>
      </c>
      <c r="I58" s="47"/>
      <c r="J58" s="45">
        <v>2</v>
      </c>
      <c r="K58" s="45">
        <f t="shared" si="14"/>
        <v>-1</v>
      </c>
      <c r="L58" s="47">
        <f t="shared" si="10"/>
        <v>7.3751471529890825E-2</v>
      </c>
      <c r="M58" s="47">
        <f t="shared" si="11"/>
        <v>-4.456038418852476E-3</v>
      </c>
      <c r="X58" s="45">
        <v>2</v>
      </c>
      <c r="Y58" s="45">
        <f t="shared" si="15"/>
        <v>-1</v>
      </c>
      <c r="Z58" s="47">
        <f t="shared" si="12"/>
        <v>5.8392420183625823E-2</v>
      </c>
      <c r="AA58" s="47">
        <f t="shared" si="13"/>
        <v>-1.1621241184424855E-3</v>
      </c>
    </row>
    <row r="59" spans="1:27" x14ac:dyDescent="0.2">
      <c r="A59" s="45">
        <f>'7stocks_data'!J60</f>
        <v>201909</v>
      </c>
      <c r="B59" s="47">
        <f>'7stocks_data'!K60</f>
        <v>7.4214786652305978E-2</v>
      </c>
      <c r="C59" s="47">
        <f>'7stocks_data'!L60</f>
        <v>5.8591140840903694E-2</v>
      </c>
      <c r="D59" s="47">
        <f>'7stocks_data'!M60</f>
        <v>5.9615558587622693E-2</v>
      </c>
      <c r="E59" s="47">
        <f>'7stocks_data'!N60</f>
        <v>8.0322286151709249E-2</v>
      </c>
      <c r="F59" s="47">
        <f>'7stocks_data'!O60</f>
        <v>-1.0961213587491013E-2</v>
      </c>
      <c r="G59" s="47">
        <f>'7stocks_data'!P60</f>
        <v>-2.6840537615310765E-2</v>
      </c>
      <c r="H59" s="47">
        <f>'7stocks_data'!Q60</f>
        <v>3.3934662138530559E-2</v>
      </c>
      <c r="I59" s="47"/>
    </row>
    <row r="60" spans="1:27" x14ac:dyDescent="0.2">
      <c r="A60" s="45">
        <f>'7stocks_data'!J61</f>
        <v>201910</v>
      </c>
      <c r="B60" s="47">
        <f>'7stocks_data'!K61</f>
        <v>0.10497650834127971</v>
      </c>
      <c r="C60" s="47">
        <f>'7stocks_data'!L61</f>
        <v>7.608783441249059E-2</v>
      </c>
      <c r="D60" s="47">
        <f>'7stocks_data'!M61</f>
        <v>8.7064119581400312E-2</v>
      </c>
      <c r="E60" s="47">
        <f>'7stocks_data'!N61</f>
        <v>0.11112813716939988</v>
      </c>
      <c r="F60" s="47">
        <f>'7stocks_data'!O61</f>
        <v>7.1010895874059335E-3</v>
      </c>
      <c r="G60" s="47">
        <f>'7stocks_data'!P61</f>
        <v>3.5659056301603438E-2</v>
      </c>
      <c r="H60" s="47">
        <f>'7stocks_data'!Q61</f>
        <v>1.0447339614324299E-3</v>
      </c>
      <c r="I60" s="47"/>
    </row>
    <row r="61" spans="1:27" x14ac:dyDescent="0.2">
      <c r="A61" s="45">
        <f>'7stocks_data'!J62</f>
        <v>201911</v>
      </c>
      <c r="B61" s="47">
        <f>'7stocks_data'!K62</f>
        <v>7.1696036319885526E-2</v>
      </c>
      <c r="C61" s="47">
        <f>'7stocks_data'!L62</f>
        <v>6.3498668485351031E-2</v>
      </c>
      <c r="D61" s="47">
        <f>'7stocks_data'!M62</f>
        <v>5.6896123637136441E-2</v>
      </c>
      <c r="E61" s="47">
        <f>'7stocks_data'!N62</f>
        <v>0.12156123703199609</v>
      </c>
      <c r="F61" s="47">
        <f>'7stocks_data'!O62</f>
        <v>-1.9104639773615779E-2</v>
      </c>
      <c r="G61" s="47">
        <f>'7stocks_data'!P62</f>
        <v>5.9824401658845972E-3</v>
      </c>
      <c r="H61" s="47">
        <f>'7stocks_data'!Q62</f>
        <v>-1.3505551525134833E-2</v>
      </c>
      <c r="I61" s="47"/>
      <c r="J61" s="18"/>
      <c r="K61" s="47"/>
      <c r="L61" s="47"/>
    </row>
    <row r="62" spans="1:27" x14ac:dyDescent="0.2">
      <c r="A62" s="45">
        <f>'7stocks_data'!J63</f>
        <v>201912</v>
      </c>
      <c r="B62" s="47">
        <f>'7stocks_data'!K63</f>
        <v>9.7201663949735784E-2</v>
      </c>
      <c r="C62" s="47">
        <f>'7stocks_data'!L63</f>
        <v>5.5456245760508761E-2</v>
      </c>
      <c r="D62" s="47">
        <f>'7stocks_data'!M63</f>
        <v>2.0177777729286108E-2</v>
      </c>
      <c r="E62" s="47">
        <f>'7stocks_data'!N63</f>
        <v>-9.8084972558234087E-3</v>
      </c>
      <c r="F62" s="47">
        <f>'7stocks_data'!O63</f>
        <v>4.330753302374906E-2</v>
      </c>
      <c r="G62" s="47">
        <f>'7stocks_data'!P63</f>
        <v>4.2334772556534866E-2</v>
      </c>
      <c r="H62" s="47">
        <f>'7stocks_data'!Q63</f>
        <v>2.3000588027966142E-2</v>
      </c>
      <c r="I62" s="47"/>
      <c r="J62" s="18"/>
      <c r="K62" s="47"/>
      <c r="L62" s="47"/>
    </row>
    <row r="63" spans="1:27" x14ac:dyDescent="0.2">
      <c r="A63" s="45">
        <f>'7stocks_data'!J64</f>
        <v>202001</v>
      </c>
      <c r="B63" s="47">
        <f>'7stocks_data'!K64</f>
        <v>5.2601805759182149E-2</v>
      </c>
      <c r="C63" s="47">
        <f>'7stocks_data'!L64</f>
        <v>-6.4826689163280021E-2</v>
      </c>
      <c r="D63" s="47">
        <f>'7stocks_data'!M64</f>
        <v>-0.11718199625623958</v>
      </c>
      <c r="E63" s="47">
        <f>'7stocks_data'!N64</f>
        <v>0.11029099403178814</v>
      </c>
      <c r="F63" s="47">
        <f>'7stocks_data'!O64</f>
        <v>5.3639598598522957E-2</v>
      </c>
      <c r="G63" s="47">
        <f>'7stocks_data'!P64</f>
        <v>-5.5661748785866355E-2</v>
      </c>
      <c r="H63" s="47">
        <f>'7stocks_data'!Q64</f>
        <v>-2.2443561118033802E-3</v>
      </c>
      <c r="I63" s="47"/>
      <c r="J63" s="18"/>
      <c r="K63" s="47"/>
      <c r="L63" s="47"/>
    </row>
    <row r="64" spans="1:27" x14ac:dyDescent="0.2">
      <c r="A64" s="45">
        <f>'7stocks_data'!J65</f>
        <v>202002</v>
      </c>
      <c r="B64" s="47">
        <f>'7stocks_data'!K65</f>
        <v>-0.12420057021903354</v>
      </c>
      <c r="C64" s="47">
        <f>'7stocks_data'!L65</f>
        <v>-0.14143874574017798</v>
      </c>
      <c r="D64" s="47">
        <f>'7stocks_data'!M65</f>
        <v>-4.866069491554624E-2</v>
      </c>
      <c r="E64" s="47">
        <f>'7stocks_data'!N65</f>
        <v>-0.13479440360714237</v>
      </c>
      <c r="F64" s="47">
        <f>'7stocks_data'!O65</f>
        <v>-8.7821479393530841E-2</v>
      </c>
      <c r="G64" s="47">
        <f>'7stocks_data'!P65</f>
        <v>-0.10973932515223014</v>
      </c>
      <c r="H64" s="47">
        <f>'7stocks_data'!Q65</f>
        <v>-8.9924303594887858E-2</v>
      </c>
      <c r="J64" s="18"/>
      <c r="K64" s="47"/>
      <c r="L64" s="47"/>
    </row>
    <row r="65" spans="1:29" x14ac:dyDescent="0.2">
      <c r="A65" s="45">
        <f>'7stocks_data'!J66</f>
        <v>202003</v>
      </c>
      <c r="B65" s="47">
        <f>'7stocks_data'!K66</f>
        <v>-6.9944153705845433E-2</v>
      </c>
      <c r="C65" s="47">
        <f>'7stocks_data'!L66</f>
        <v>-0.29448887021018694</v>
      </c>
      <c r="D65" s="47">
        <f>'7stocks_data'!M66</f>
        <v>-6.8279913450598084E-2</v>
      </c>
      <c r="E65" s="47">
        <f>'7stocks_data'!N66</f>
        <v>-0.31501273737119179</v>
      </c>
      <c r="F65" s="47">
        <f>'7stocks_data'!O66</f>
        <v>-0.18963942818348642</v>
      </c>
      <c r="G65" s="47">
        <f>'7stocks_data'!P66</f>
        <v>4.9506938901021915E-3</v>
      </c>
      <c r="H65" s="47">
        <f>'7stocks_data'!Q66</f>
        <v>-2.8940926853753917E-2</v>
      </c>
      <c r="J65" s="18"/>
      <c r="K65" s="47"/>
      <c r="L65" s="47"/>
      <c r="M65" s="80" t="s">
        <v>183</v>
      </c>
    </row>
    <row r="66" spans="1:29" x14ac:dyDescent="0.2">
      <c r="A66" s="45">
        <f>'7stocks_data'!J67</f>
        <v>202004</v>
      </c>
      <c r="B66" s="47">
        <f>'7stocks_data'!K67</f>
        <v>0.1444243354379508</v>
      </c>
      <c r="C66" s="47">
        <f>'7stocks_data'!L67</f>
        <v>0.13108001508745651</v>
      </c>
      <c r="D66" s="47">
        <f>'7stocks_data'!M67</f>
        <v>2.9255973060053177E-3</v>
      </c>
      <c r="E66" s="47">
        <f>'7stocks_data'!N67</f>
        <v>-0.153998352971009</v>
      </c>
      <c r="F66" s="47">
        <f>'7stocks_data'!O67</f>
        <v>4.5123715616675476E-2</v>
      </c>
      <c r="G66" s="47">
        <f>'7stocks_data'!P67</f>
        <v>3.8944092551075844E-2</v>
      </c>
      <c r="H66" s="47">
        <f>'7stocks_data'!Q67</f>
        <v>6.9101954568422733E-2</v>
      </c>
      <c r="J66" s="18"/>
      <c r="K66" s="47"/>
      <c r="L66" s="47"/>
    </row>
    <row r="67" spans="1:29" x14ac:dyDescent="0.2">
      <c r="A67" s="45">
        <f>'7stocks_data'!J68</f>
        <v>202005</v>
      </c>
      <c r="B67" s="47">
        <f>'7stocks_data'!K68</f>
        <v>7.8963271490628109E-2</v>
      </c>
      <c r="C67" s="47">
        <f>'7stocks_data'!L68</f>
        <v>2.9064727594878396E-3</v>
      </c>
      <c r="D67" s="47">
        <f>'7stocks_data'!M68</f>
        <v>4.0852756778044987E-2</v>
      </c>
      <c r="E67" s="47">
        <f>'7stocks_data'!N68</f>
        <v>-3.4408659131618148E-2</v>
      </c>
      <c r="F67" s="47">
        <f>'7stocks_data'!O68</f>
        <v>1.7068633263677954E-2</v>
      </c>
      <c r="G67" s="47">
        <f>'7stocks_data'!P68</f>
        <v>1.7244148098671978E-2</v>
      </c>
      <c r="H67" s="47">
        <f>'7stocks_data'!Q68</f>
        <v>-1.0035014495356572E-2</v>
      </c>
      <c r="J67" s="18"/>
      <c r="K67" s="47"/>
      <c r="L67" s="47"/>
    </row>
    <row r="68" spans="1:29" x14ac:dyDescent="0.2">
      <c r="A68" s="45">
        <f>'7stocks_data'!J69</f>
        <v>202006</v>
      </c>
      <c r="B68" s="47">
        <f>'7stocks_data'!K69</f>
        <v>0.14018999238350693</v>
      </c>
      <c r="C68" s="47">
        <f>'7stocks_data'!L69</f>
        <v>-1.5458807884477486E-2</v>
      </c>
      <c r="D68" s="47">
        <f>'7stocks_data'!M69</f>
        <v>5.1667881583083032E-2</v>
      </c>
      <c r="E68" s="47">
        <f>'7stocks_data'!N69</f>
        <v>3.8810809904223892E-2</v>
      </c>
      <c r="F68" s="47">
        <f>'7stocks_data'!O69</f>
        <v>-4.378988546665024E-2</v>
      </c>
      <c r="G68" s="47">
        <f>'7stocks_data'!P69</f>
        <v>-4.2904710600155174E-2</v>
      </c>
      <c r="H68" s="47">
        <f>'7stocks_data'!Q69</f>
        <v>3.1001413892643024E-2</v>
      </c>
      <c r="J68" s="18"/>
      <c r="K68" s="47"/>
      <c r="L68" s="47"/>
    </row>
    <row r="69" spans="1:29" x14ac:dyDescent="0.2">
      <c r="A69" s="45">
        <f>'7stocks_data'!J70</f>
        <v>202007</v>
      </c>
      <c r="B69" s="47">
        <f>'7stocks_data'!K70</f>
        <v>0.15283374897145774</v>
      </c>
      <c r="C69" s="47">
        <f>'7stocks_data'!L70</f>
        <v>5.3431708521954432E-2</v>
      </c>
      <c r="D69" s="47">
        <f>'7stocks_data'!M70</f>
        <v>4.9204075034912927E-2</v>
      </c>
      <c r="E69" s="47">
        <f>'7stocks_data'!N70</f>
        <v>-0.11646802640315326</v>
      </c>
      <c r="F69" s="47">
        <f>'7stocks_data'!O70</f>
        <v>6.475898123826633E-2</v>
      </c>
      <c r="G69" s="47">
        <f>'7stocks_data'!P70</f>
        <v>4.4857795673228118E-2</v>
      </c>
      <c r="H69" s="47">
        <f>'7stocks_data'!Q70</f>
        <v>9.2211135957297033E-2</v>
      </c>
    </row>
    <row r="70" spans="1:29" x14ac:dyDescent="0.2">
      <c r="A70" s="45">
        <f>'7stocks_data'!J71</f>
        <v>202008</v>
      </c>
      <c r="B70" s="47">
        <f>'7stocks_data'!K71</f>
        <v>0.1942336258892538</v>
      </c>
      <c r="C70" s="47">
        <f>'7stocks_data'!L71</f>
        <v>3.3981821608844373E-2</v>
      </c>
      <c r="D70" s="47">
        <f>'7stocks_data'!M71</f>
        <v>7.6022459072749654E-2</v>
      </c>
      <c r="E70" s="47">
        <f>'7stocks_data'!N71</f>
        <v>4.3520123929502122E-2</v>
      </c>
      <c r="F70" s="47">
        <f>'7stocks_data'!O71</f>
        <v>4.733746761767603E-2</v>
      </c>
      <c r="G70" s="47">
        <f>'7stocks_data'!P71</f>
        <v>6.0800456136907363E-2</v>
      </c>
      <c r="H70" s="47">
        <f>'7stocks_data'!Q71</f>
        <v>5.9819738305231594E-2</v>
      </c>
    </row>
    <row r="71" spans="1:29" x14ac:dyDescent="0.2">
      <c r="A71" s="45">
        <f>'7stocks_data'!J72</f>
        <v>202009</v>
      </c>
      <c r="B71" s="47">
        <f>'7stocks_data'!K72</f>
        <v>-0.106369973714451</v>
      </c>
      <c r="C71" s="47">
        <f>'7stocks_data'!L72</f>
        <v>-6.6249362855674537E-2</v>
      </c>
      <c r="D71" s="47">
        <f>'7stocks_data'!M72</f>
        <v>4.6944728885806919E-2</v>
      </c>
      <c r="E71" s="47">
        <f>'7stocks_data'!N72</f>
        <v>-1.7502297026494841E-2</v>
      </c>
      <c r="F71" s="47">
        <f>'7stocks_data'!O72</f>
        <v>-3.2355733748878324E-3</v>
      </c>
      <c r="G71" s="47">
        <f>'7stocks_data'!P72</f>
        <v>-2.758463661840814E-2</v>
      </c>
      <c r="H71" s="47">
        <f>'7stocks_data'!Q72</f>
        <v>4.760047722003594E-3</v>
      </c>
    </row>
    <row r="72" spans="1:29" x14ac:dyDescent="0.2">
      <c r="A72" s="45">
        <f>'7stocks_data'!J73</f>
        <v>202010</v>
      </c>
      <c r="B72" s="47">
        <f>'7stocks_data'!K73</f>
        <v>-6.188850055407262E-2</v>
      </c>
      <c r="C72" s="47">
        <f>'7stocks_data'!L73</f>
        <v>-9.379848054202505E-3</v>
      </c>
      <c r="D72" s="47">
        <f>'7stocks_data'!M73</f>
        <v>5.1612179312574551E-2</v>
      </c>
      <c r="E72" s="47">
        <f>'7stocks_data'!N73</f>
        <v>0.17645391874929045</v>
      </c>
      <c r="F72" s="47">
        <f>'7stocks_data'!O73</f>
        <v>-1.883038273877637E-2</v>
      </c>
      <c r="G72" s="47">
        <f>'7stocks_data'!P73</f>
        <v>-9.070710669617213E-2</v>
      </c>
      <c r="H72" s="47">
        <f>'7stocks_data'!Q73</f>
        <v>-1.3691426711240001E-2</v>
      </c>
    </row>
    <row r="73" spans="1:29" x14ac:dyDescent="0.2">
      <c r="A73" s="45">
        <f>'7stocks_data'!J74</f>
        <v>202011</v>
      </c>
      <c r="B73" s="47">
        <f>'7stocks_data'!K74</f>
        <v>8.9480996051311837E-2</v>
      </c>
      <c r="C73" s="47">
        <f>'7stocks_data'!L74</f>
        <v>0.17242723197187734</v>
      </c>
      <c r="D73" s="47">
        <f>'7stocks_data'!M74</f>
        <v>0.10622115611166022</v>
      </c>
      <c r="E73" s="47">
        <f>'7stocks_data'!N74</f>
        <v>0.31624628570990249</v>
      </c>
      <c r="F73" s="47">
        <f>'7stocks_data'!O74</f>
        <v>7.1071550138735867E-2</v>
      </c>
      <c r="G73" s="47">
        <f>'7stocks_data'!P74</f>
        <v>6.6605823784129353E-2</v>
      </c>
      <c r="H73" s="47">
        <f>'7stocks_data'!Q74</f>
        <v>1.8364724588782039E-2</v>
      </c>
    </row>
    <row r="74" spans="1:29" x14ac:dyDescent="0.2">
      <c r="A74" s="45">
        <f>'7stocks_data'!J75</f>
        <v>202012</v>
      </c>
      <c r="B74" s="47">
        <f>'7stocks_data'!K75</f>
        <v>0.11019587123196095</v>
      </c>
      <c r="C74" s="47">
        <f>'7stocks_data'!L75</f>
        <v>7.3575393277964793E-2</v>
      </c>
      <c r="D74" s="47">
        <f>'7stocks_data'!M75</f>
        <v>4.7420548430433508E-2</v>
      </c>
      <c r="E74" s="47">
        <f>'7stocks_data'!N75</f>
        <v>5.9120832275887991E-2</v>
      </c>
      <c r="F74" s="47">
        <f>'7stocks_data'!O75</f>
        <v>6.8708313981680369E-2</v>
      </c>
      <c r="G74" s="47">
        <f>'7stocks_data'!P75</f>
        <v>1.7387164521313288E-2</v>
      </c>
      <c r="H74" s="47">
        <f>'7stocks_data'!Q75</f>
        <v>1.9424550623079373E-3</v>
      </c>
      <c r="O74" s="47"/>
      <c r="P74" s="47"/>
      <c r="Q74" s="47"/>
      <c r="R74" s="47"/>
      <c r="S74" s="47"/>
      <c r="T74" s="47"/>
      <c r="AC74" s="47"/>
    </row>
    <row r="75" spans="1:29" x14ac:dyDescent="0.2">
      <c r="A75" s="45">
        <f>'7stocks_data'!J76</f>
        <v>202101</v>
      </c>
      <c r="B75" s="47">
        <f>'7stocks_data'!K76</f>
        <v>-5.5167982985205814E-3</v>
      </c>
      <c r="C75" s="47">
        <f>'7stocks_data'!L76</f>
        <v>-1.5802424403286129E-2</v>
      </c>
      <c r="D75" s="47">
        <f>'7stocks_data'!M76</f>
        <v>4.4947570611762024E-3</v>
      </c>
      <c r="E75" s="47">
        <f>'7stocks_data'!N76</f>
        <v>-1.0253589568248003E-2</v>
      </c>
      <c r="F75" s="47">
        <f>'7stocks_data'!O76</f>
        <v>-0.13009854406543006</v>
      </c>
      <c r="G75" s="47">
        <f>'7stocks_data'!P76</f>
        <v>-5.1697161548320339E-2</v>
      </c>
      <c r="H75" s="47">
        <f>'7stocks_data'!Q76</f>
        <v>-8.181120312254847E-2</v>
      </c>
      <c r="M75" s="47"/>
    </row>
    <row r="76" spans="1:29" x14ac:dyDescent="0.2">
      <c r="A76" s="45">
        <f>'7stocks_data'!J77</f>
        <v>202102</v>
      </c>
      <c r="B76" s="47">
        <f>'7stocks_data'!K77</f>
        <v>-8.4561877796513987E-2</v>
      </c>
      <c r="C76" s="47">
        <f>'7stocks_data'!L77</f>
        <v>0.15756590747009602</v>
      </c>
      <c r="D76" s="47">
        <f>'7stocks_data'!M77</f>
        <v>0.17141772414164722</v>
      </c>
      <c r="E76" s="47">
        <f>'7stocks_data'!N77</f>
        <v>0.16055078154336175</v>
      </c>
      <c r="F76" s="47">
        <f>'7stocks_data'!O77</f>
        <v>1.7294894015039995E-2</v>
      </c>
      <c r="G76" s="47">
        <f>'7stocks_data'!P77</f>
        <v>-5.9474139721602405E-2</v>
      </c>
      <c r="H76" s="47">
        <f>'7stocks_data'!Q77</f>
        <v>-3.1171857381793538E-2</v>
      </c>
      <c r="M76" s="47"/>
      <c r="O76" s="47"/>
      <c r="U76" s="47"/>
      <c r="AC76" s="47"/>
    </row>
    <row r="77" spans="1:29" x14ac:dyDescent="0.2">
      <c r="A77" s="45">
        <f>'7stocks_data'!J78</f>
        <v>202103</v>
      </c>
      <c r="B77" s="47">
        <f>'7stocks_data'!K78</f>
        <v>8.8060840165438137E-3</v>
      </c>
      <c r="C77" s="47">
        <f>'7stocks_data'!L78</f>
        <v>0.10855335915404508</v>
      </c>
      <c r="D77" s="47">
        <f>'7stocks_data'!M78</f>
        <v>7.145410548830225E-2</v>
      </c>
      <c r="E77" s="47">
        <f>'7stocks_data'!N78</f>
        <v>4.5975959816164362E-2</v>
      </c>
      <c r="F77" s="47">
        <f>'7stocks_data'!O78</f>
        <v>7.3189046252930656E-2</v>
      </c>
      <c r="G77" s="47">
        <f>'7stocks_data'!P78</f>
        <v>5.9733557623970472E-2</v>
      </c>
      <c r="H77" s="47">
        <f>'7stocks_data'!Q78</f>
        <v>9.1970937875656869E-2</v>
      </c>
      <c r="M77" s="47"/>
      <c r="O77" s="47"/>
    </row>
    <row r="78" spans="1:29" x14ac:dyDescent="0.2">
      <c r="A78" s="45">
        <f>'7stocks_data'!J79</f>
        <v>202104</v>
      </c>
      <c r="B78" s="47">
        <f>'7stocks_data'!K79</f>
        <v>7.3453009333637659E-2</v>
      </c>
      <c r="C78" s="47">
        <f>'7stocks_data'!L79</f>
        <v>5.1415743938450567E-2</v>
      </c>
      <c r="D78" s="47">
        <f>'7stocks_data'!M79</f>
        <v>-1.6348872064625992E-2</v>
      </c>
      <c r="E78" s="47">
        <f>'7stocks_data'!N79</f>
        <v>-2.4547666262311344E-5</v>
      </c>
      <c r="F78" s="47">
        <f>'7stocks_data'!O79</f>
        <v>3.2097365189023314E-2</v>
      </c>
      <c r="G78" s="47">
        <f>'7stocks_data'!P79</f>
        <v>-2.5426441894115744E-2</v>
      </c>
      <c r="H78" s="47">
        <f>'7stocks_data'!Q79</f>
        <v>-1.4952791521228824E-2</v>
      </c>
      <c r="M78" s="47"/>
      <c r="O78" s="47"/>
    </row>
    <row r="79" spans="1:29" x14ac:dyDescent="0.2">
      <c r="A79" s="45">
        <f>'7stocks_data'!J80</f>
        <v>202105</v>
      </c>
      <c r="B79" s="47">
        <f>'7stocks_data'!K80</f>
        <v>-5.3513954558334999E-2</v>
      </c>
      <c r="C79" s="47">
        <f>'7stocks_data'!L80</f>
        <v>4.4870061536521316E-2</v>
      </c>
      <c r="D79" s="47">
        <f>'7stocks_data'!M80</f>
        <v>5.9810858706182649E-2</v>
      </c>
      <c r="E79" s="47">
        <f>'7stocks_data'!N80</f>
        <v>6.9196033703588664E-2</v>
      </c>
      <c r="F79" s="47">
        <f>'7stocks_data'!O80</f>
        <v>2.3978497711753314E-2</v>
      </c>
      <c r="G79" s="47">
        <f>'7stocks_data'!P80</f>
        <v>1.8485495656801933E-2</v>
      </c>
      <c r="H79" s="47">
        <f>'7stocks_data'!Q80</f>
        <v>1.7038633388179632E-2</v>
      </c>
      <c r="M79" s="47"/>
      <c r="O79" s="47"/>
    </row>
    <row r="80" spans="1:29" x14ac:dyDescent="0.2">
      <c r="A80" s="45">
        <f>'7stocks_data'!J81</f>
        <v>202106</v>
      </c>
      <c r="B80" s="47">
        <f>'7stocks_data'!K81</f>
        <v>9.6197227962114065E-2</v>
      </c>
      <c r="C80" s="47">
        <f>'7stocks_data'!L81</f>
        <v>-2.7746344585788691E-2</v>
      </c>
      <c r="D80" s="47">
        <f>'7stocks_data'!M81</f>
        <v>-0.1023321658569033</v>
      </c>
      <c r="E80" s="47">
        <f>'7stocks_data'!N81</f>
        <v>-4.3611651944228821E-2</v>
      </c>
      <c r="F80" s="47">
        <f>'7stocks_data'!O81</f>
        <v>-2.1573000510629974E-2</v>
      </c>
      <c r="G80" s="47">
        <f>'7stocks_data'!P81</f>
        <v>7.1354695353778599E-2</v>
      </c>
      <c r="H80" s="47">
        <f>'7stocks_data'!Q81</f>
        <v>5.9293213620012963E-4</v>
      </c>
      <c r="M80" s="47"/>
      <c r="O80" s="47"/>
    </row>
    <row r="81" spans="1:15" x14ac:dyDescent="0.2">
      <c r="A81" s="45">
        <f>'7stocks_data'!J82</f>
        <v>202107</v>
      </c>
      <c r="B81" s="47">
        <f>'7stocks_data'!K82</f>
        <v>6.2958340392211737E-2</v>
      </c>
      <c r="C81" s="47">
        <f>'7stocks_data'!L82</f>
        <v>-6.7950292269478865E-2</v>
      </c>
      <c r="D81" s="47">
        <f>'7stocks_data'!M82</f>
        <v>-5.1286233806735998E-2</v>
      </c>
      <c r="E81" s="47">
        <f>'7stocks_data'!N82</f>
        <v>-3.7865639368509819E-2</v>
      </c>
      <c r="F81" s="47">
        <f>'7stocks_data'!O82</f>
        <v>6.0065006042150225E-2</v>
      </c>
      <c r="G81" s="47">
        <f>'7stocks_data'!P82</f>
        <v>-3.0813603874996491E-3</v>
      </c>
      <c r="H81" s="47">
        <f>'7stocks_data'!Q82</f>
        <v>5.268922093020921E-2</v>
      </c>
      <c r="M81" s="47"/>
      <c r="O81" s="47"/>
    </row>
    <row r="82" spans="1:15" x14ac:dyDescent="0.2">
      <c r="A82" s="45">
        <f>'7stocks_data'!J83</f>
        <v>202108</v>
      </c>
      <c r="B82" s="47">
        <f>'7stocks_data'!K83</f>
        <v>4.0114039905430866E-2</v>
      </c>
      <c r="C82" s="47">
        <f>'7stocks_data'!L83</f>
        <v>8.4684377809650394E-2</v>
      </c>
      <c r="D82" s="47">
        <f>'7stocks_data'!M83</f>
        <v>2.5083673681686822E-2</v>
      </c>
      <c r="E82" s="47">
        <f>'7stocks_data'!N83</f>
        <v>1.7319850179232679E-2</v>
      </c>
      <c r="F82" s="47">
        <f>'7stocks_data'!O83</f>
        <v>-1.27051733103188E-2</v>
      </c>
      <c r="G82" s="47">
        <f>'7stocks_data'!P83</f>
        <v>-7.5739838971912088E-3</v>
      </c>
      <c r="H82" s="47">
        <f>'7stocks_data'!Q83</f>
        <v>7.394214423484295E-3</v>
      </c>
      <c r="M82" s="47"/>
      <c r="O82" s="47"/>
    </row>
    <row r="83" spans="1:15" x14ac:dyDescent="0.2">
      <c r="A83" s="45">
        <f>'7stocks_data'!J84</f>
        <v>202109</v>
      </c>
      <c r="B83" s="47">
        <f>'7stocks_data'!K84</f>
        <v>-6.8964367424851458E-2</v>
      </c>
      <c r="C83" s="47">
        <f>'7stocks_data'!L84</f>
        <v>1.662747933649103E-2</v>
      </c>
      <c r="D83" s="47">
        <f>'7stocks_data'!M84</f>
        <v>-9.3902785108198092E-2</v>
      </c>
      <c r="E83" s="47">
        <f>'7stocks_data'!N84</f>
        <v>-2.2836964660020741E-2</v>
      </c>
      <c r="F83" s="47">
        <f>'7stocks_data'!O84</f>
        <v>-7.0630600911049668E-2</v>
      </c>
      <c r="G83" s="47">
        <f>'7stocks_data'!P84</f>
        <v>-1.5588027463059385E-2</v>
      </c>
      <c r="H83" s="47">
        <f>'7stocks_data'!Q84</f>
        <v>-1.8356932181531616E-2</v>
      </c>
      <c r="M83" s="47"/>
      <c r="O83" s="47"/>
    </row>
    <row r="84" spans="1:15" x14ac:dyDescent="0.2">
      <c r="A84" s="45">
        <f>'7stocks_data'!J85</f>
        <v>202110</v>
      </c>
      <c r="B84" s="47">
        <f>'7stocks_data'!K85</f>
        <v>5.7001317616662703E-2</v>
      </c>
      <c r="C84" s="47">
        <f>'7stocks_data'!L85</f>
        <v>0.12339137942779936</v>
      </c>
      <c r="D84" s="47">
        <f>'7stocks_data'!M85</f>
        <v>6.0829952991834454E-2</v>
      </c>
      <c r="E84" s="47">
        <f>'7stocks_data'!N85</f>
        <v>1.8478724104385297E-2</v>
      </c>
      <c r="F84" s="47">
        <f>'7stocks_data'!O85</f>
        <v>7.9214173440001798E-2</v>
      </c>
      <c r="G84" s="47">
        <f>'7stocks_data'!P85</f>
        <v>0.16787294496378252</v>
      </c>
      <c r="H84" s="47">
        <f>'7stocks_data'!Q85</f>
        <v>2.2561817727717249E-2</v>
      </c>
      <c r="M84" s="47"/>
      <c r="O84" s="47"/>
    </row>
    <row r="85" spans="1:15" x14ac:dyDescent="0.2">
      <c r="A85" s="45">
        <f>'7stocks_data'!J86</f>
        <v>202111</v>
      </c>
      <c r="B85" s="47">
        <f>'7stocks_data'!K86</f>
        <v>9.8460834784103057E-2</v>
      </c>
      <c r="C85" s="47">
        <f>'7stocks_data'!L86</f>
        <v>-7.1792232694589342E-2</v>
      </c>
      <c r="D85" s="47">
        <f>'7stocks_data'!M86</f>
        <v>-4.8160765346869576E-2</v>
      </c>
      <c r="E85" s="47">
        <f>'7stocks_data'!N86</f>
        <v>-9.8950251516251822E-2</v>
      </c>
      <c r="F85" s="47">
        <f>'7stocks_data'!O86</f>
        <v>-7.2076460015374225E-2</v>
      </c>
      <c r="G85" s="47">
        <f>'7stocks_data'!P86</f>
        <v>-0.16161730903108512</v>
      </c>
      <c r="H85" s="47">
        <f>'7stocks_data'!Q86</f>
        <v>1.7238285188941844E-2</v>
      </c>
      <c r="M85" s="55"/>
      <c r="O85" s="47"/>
    </row>
    <row r="86" spans="1:15" x14ac:dyDescent="0.2">
      <c r="A86" s="45">
        <f>'7stocks_data'!J87</f>
        <v>202112</v>
      </c>
      <c r="B86" s="47">
        <f>'7stocks_data'!K87</f>
        <v>7.306121310528127E-2</v>
      </c>
      <c r="C86" s="47">
        <f>'7stocks_data'!L87</f>
        <v>4.4970073002277328E-4</v>
      </c>
      <c r="D86" s="47">
        <f>'7stocks_data'!M87</f>
        <v>6.6960010191809846E-2</v>
      </c>
      <c r="E86" s="47">
        <f>'7stocks_data'!N87</f>
        <v>-5.4891001405482842E-3</v>
      </c>
      <c r="F86" s="47">
        <f>'7stocks_data'!O87</f>
        <v>0.12895485563399825</v>
      </c>
      <c r="G86" s="47">
        <f>'7stocks_data'!P87</f>
        <v>2.2831712423230378E-2</v>
      </c>
      <c r="H86" s="47">
        <f>'7stocks_data'!Q87</f>
        <v>0.1234691674445134</v>
      </c>
    </row>
    <row r="87" spans="1:15" x14ac:dyDescent="0.2">
      <c r="A87" s="45">
        <f>'7stocks_data'!J88</f>
        <v>202201</v>
      </c>
      <c r="B87" s="47">
        <f>'7stocks_data'!K88</f>
        <v>-1.5836858747151981E-2</v>
      </c>
      <c r="C87" s="47">
        <f>'7stocks_data'!L88</f>
        <v>4.1217489400143678E-2</v>
      </c>
      <c r="D87" s="47">
        <f>'7stocks_data'!M88</f>
        <v>-2.537487962748923E-2</v>
      </c>
      <c r="E87" s="47">
        <f>'7stocks_data'!N88</f>
        <v>9.8091858391769577E-4</v>
      </c>
      <c r="F87" s="47">
        <f>'7stocks_data'!O88</f>
        <v>2.9947310141218372E-2</v>
      </c>
      <c r="G87" s="47">
        <f>'7stocks_data'!P88</f>
        <v>7.0680941660698215E-2</v>
      </c>
      <c r="H87" s="47">
        <f>'7stocks_data'!Q88</f>
        <v>-1.9319676601700784E-2</v>
      </c>
    </row>
    <row r="88" spans="1:15" x14ac:dyDescent="0.2">
      <c r="A88" s="45">
        <f>'7stocks_data'!J89</f>
        <v>202202</v>
      </c>
      <c r="B88" s="47">
        <f>'7stocks_data'!K89</f>
        <v>-5.6855511199185728E-2</v>
      </c>
      <c r="C88" s="47">
        <f>'7stocks_data'!L89</f>
        <v>-4.2955592745364819E-2</v>
      </c>
      <c r="D88" s="47">
        <f>'7stocks_data'!M89</f>
        <v>-6.7041152879597804E-2</v>
      </c>
      <c r="E88" s="47">
        <f>'7stocks_data'!N89</f>
        <v>1.0842852101850622E-2</v>
      </c>
      <c r="F88" s="47">
        <f>'7stocks_data'!O89</f>
        <v>1.9960214830093529E-2</v>
      </c>
      <c r="G88" s="47">
        <f>'7stocks_data'!P89</f>
        <v>-6.2021613590303636E-2</v>
      </c>
      <c r="H88" s="47">
        <f>'7stocks_data'!Q89</f>
        <v>-2.3446993169044774E-2</v>
      </c>
    </row>
    <row r="89" spans="1:15" x14ac:dyDescent="0.2">
      <c r="A89" s="45">
        <f>'7stocks_data'!J90</f>
        <v>202203</v>
      </c>
      <c r="B89" s="47">
        <f>'7stocks_data'!K90</f>
        <v>5.7155535555100397E-2</v>
      </c>
      <c r="C89" s="47">
        <f>'7stocks_data'!L90</f>
        <v>-6.9801032973930713E-2</v>
      </c>
      <c r="D89" s="47">
        <f>'7stocks_data'!M90</f>
        <v>0.17215886448711062</v>
      </c>
      <c r="E89" s="47">
        <f>'7stocks_data'!N90</f>
        <v>-4.2891895348513814E-2</v>
      </c>
      <c r="F89" s="47">
        <f>'7stocks_data'!O90</f>
        <v>-3.8636164388754658E-3</v>
      </c>
      <c r="G89" s="47">
        <f>'7stocks_data'!P90</f>
        <v>6.8992929402390546E-2</v>
      </c>
      <c r="H89" s="47">
        <f>'7stocks_data'!Q90</f>
        <v>-2.0020751983551528E-2</v>
      </c>
    </row>
    <row r="90" spans="1:15" x14ac:dyDescent="0.2">
      <c r="A90" s="45">
        <f>'7stocks_data'!J91</f>
        <v>202204</v>
      </c>
      <c r="B90" s="47">
        <f>'7stocks_data'!K91</f>
        <v>-0.10217728318488033</v>
      </c>
      <c r="C90" s="47">
        <f>'7stocks_data'!L91</f>
        <v>-0.1394559323290035</v>
      </c>
      <c r="D90" s="47">
        <f>'7stocks_data'!M91</f>
        <v>-5.6688766771920161E-2</v>
      </c>
      <c r="E90" s="47">
        <f>'7stocks_data'!N91</f>
        <v>-0.20397122738959397</v>
      </c>
      <c r="F90" s="47">
        <f>'7stocks_data'!O91</f>
        <v>4.8860566190574606E-2</v>
      </c>
      <c r="G90" s="47">
        <f>'7stocks_data'!P91</f>
        <v>8.6674274048880048E-2</v>
      </c>
      <c r="H90" s="47">
        <f>'7stocks_data'!Q91</f>
        <v>4.9475570382683132E-2</v>
      </c>
    </row>
    <row r="91" spans="1:15" x14ac:dyDescent="0.2">
      <c r="A91" s="45">
        <f>'7stocks_data'!J92</f>
        <v>202205</v>
      </c>
      <c r="B91" s="47">
        <f>'7stocks_data'!K92</f>
        <v>-5.7505698668839207E-2</v>
      </c>
      <c r="C91" s="47">
        <f>'7stocks_data'!L92</f>
        <v>4.1718415937369989E-2</v>
      </c>
      <c r="D91" s="47">
        <f>'7stocks_data'!M92</f>
        <v>2.9692432561986785E-2</v>
      </c>
      <c r="E91" s="47">
        <f>'7stocks_data'!N92</f>
        <v>4.8949997607664782E-2</v>
      </c>
      <c r="F91" s="47">
        <f>'7stocks_data'!O92</f>
        <v>-1.9220888121932959E-2</v>
      </c>
      <c r="G91" s="47">
        <f>'7stocks_data'!P92</f>
        <v>3.6967258714395858E-2</v>
      </c>
      <c r="H91" s="47">
        <f>'7stocks_data'!Q92</f>
        <v>-7.6609656461248302E-2</v>
      </c>
    </row>
    <row r="92" spans="1:15" x14ac:dyDescent="0.2">
      <c r="A92" s="45">
        <f>'7stocks_data'!J93</f>
        <v>202206</v>
      </c>
      <c r="B92" s="47">
        <f>'7stocks_data'!K93</f>
        <v>-8.3468538963704209E-2</v>
      </c>
      <c r="C92" s="47">
        <f>'7stocks_data'!L93</f>
        <v>-0.17813675302607532</v>
      </c>
      <c r="D92" s="47">
        <f>'7stocks_data'!M93</f>
        <v>-0.18853953033032581</v>
      </c>
      <c r="E92" s="47">
        <f>'7stocks_data'!N93</f>
        <v>-0.20670647192072253</v>
      </c>
      <c r="F92" s="47">
        <f>'7stocks_data'!O93</f>
        <v>-7.4431558043150103E-3</v>
      </c>
      <c r="G92" s="47">
        <f>'7stocks_data'!P93</f>
        <v>-9.3888210474576943E-3</v>
      </c>
      <c r="H92" s="47">
        <f>'7stocks_data'!Q93</f>
        <v>-2.8047297054421379E-2</v>
      </c>
    </row>
    <row r="93" spans="1:15" x14ac:dyDescent="0.2">
      <c r="A93" s="45">
        <f>'7stocks_data'!J94</f>
        <v>202207</v>
      </c>
      <c r="B93" s="47">
        <f>'7stocks_data'!K94</f>
        <v>0.17280439401767803</v>
      </c>
      <c r="C93" s="47">
        <f>'7stocks_data'!L94</f>
        <v>8.8327697958868592E-2</v>
      </c>
      <c r="D93" s="47">
        <f>'7stocks_data'!M94</f>
        <v>0.10348474450722464</v>
      </c>
      <c r="E93" s="47">
        <f>'7stocks_data'!N94</f>
        <v>0.15032804794814641</v>
      </c>
      <c r="F93" s="47">
        <f>'7stocks_data'!O94</f>
        <v>2.7029586576324569E-2</v>
      </c>
      <c r="G93" s="47">
        <f>'7stocks_data'!P94</f>
        <v>-1.2125774059102652E-2</v>
      </c>
      <c r="H93" s="47">
        <f>'7stocks_data'!Q94</f>
        <v>-3.452750530344801E-2</v>
      </c>
    </row>
    <row r="94" spans="1:15" x14ac:dyDescent="0.2">
      <c r="A94" s="45">
        <f>'7stocks_data'!J95</f>
        <v>202208</v>
      </c>
      <c r="B94" s="47">
        <f>'7stocks_data'!K95</f>
        <v>-3.3093271806286337E-2</v>
      </c>
      <c r="C94" s="47">
        <f>'7stocks_data'!L95</f>
        <v>-5.9328543013831567E-3</v>
      </c>
      <c r="D94" s="47">
        <f>'7stocks_data'!M95</f>
        <v>-6.3801014999640443E-2</v>
      </c>
      <c r="E94" s="47">
        <f>'7stocks_data'!N95</f>
        <v>-6.3796105853291627E-3</v>
      </c>
      <c r="F94" s="47">
        <f>'7stocks_data'!O95</f>
        <v>-3.9089881230530164E-2</v>
      </c>
      <c r="G94" s="47">
        <f>'7stocks_data'!P95</f>
        <v>-4.5571496681260051E-2</v>
      </c>
      <c r="H94" s="47">
        <f>'7stocks_data'!Q95</f>
        <v>-5.3674274990187182E-4</v>
      </c>
    </row>
    <row r="95" spans="1:15" x14ac:dyDescent="0.2">
      <c r="A95" s="45">
        <f>'7stocks_data'!J96</f>
        <v>202209</v>
      </c>
      <c r="B95" s="47">
        <f>'7stocks_data'!K96</f>
        <v>-0.12755630491737543</v>
      </c>
      <c r="C95" s="47">
        <f>'7stocks_data'!L96</f>
        <v>-0.10698176674395285</v>
      </c>
      <c r="D95" s="47">
        <f>'7stocks_data'!M96</f>
        <v>-0.118432873551996</v>
      </c>
      <c r="E95" s="47">
        <f>'7stocks_data'!N96</f>
        <v>-0.17078700410321421</v>
      </c>
      <c r="F95" s="47">
        <f>'7stocks_data'!O96</f>
        <v>-9.6737116687657373E-2</v>
      </c>
      <c r="G95" s="47">
        <f>'7stocks_data'!P96</f>
        <v>8.8640301360260812E-3</v>
      </c>
      <c r="H95" s="47">
        <f>'7stocks_data'!Q96</f>
        <v>-8.8554513075127336E-2</v>
      </c>
    </row>
    <row r="96" spans="1:15" x14ac:dyDescent="0.2">
      <c r="A96" s="45">
        <f>'7stocks_data'!J97</f>
        <v>202210</v>
      </c>
      <c r="B96" s="47">
        <f>'7stocks_data'!K97</f>
        <v>0.10395569314931237</v>
      </c>
      <c r="C96" s="47">
        <f>'7stocks_data'!L97</f>
        <v>0.18335461508613368</v>
      </c>
      <c r="D96" s="47">
        <f>'7stocks_data'!M97</f>
        <v>0.27705155648609098</v>
      </c>
      <c r="E96" s="47">
        <f>'7stocks_data'!N97</f>
        <v>0.22982846950633648</v>
      </c>
      <c r="F96" s="47">
        <f>'7stocks_data'!O97</f>
        <v>7.3396879296025425E-2</v>
      </c>
      <c r="G96" s="47">
        <f>'7stocks_data'!P97</f>
        <v>0.16938641396012638</v>
      </c>
      <c r="H96" s="47">
        <f>'7stocks_data'!Q97</f>
        <v>6.456312199929877E-2</v>
      </c>
    </row>
    <row r="97" spans="1:8" x14ac:dyDescent="0.2">
      <c r="A97" s="45">
        <f>'7stocks_data'!J98</f>
        <v>202211</v>
      </c>
      <c r="B97" s="47">
        <f>'7stocks_data'!K98</f>
        <v>-3.5242433859530922E-2</v>
      </c>
      <c r="C97" s="47">
        <f>'7stocks_data'!L98</f>
        <v>4.9001678275917483E-2</v>
      </c>
      <c r="D97" s="47">
        <f>'7stocks_data'!M98</f>
        <v>9.4830770710135473E-2</v>
      </c>
      <c r="E97" s="47">
        <f>'7stocks_data'!N98</f>
        <v>9.9728531887000524E-2</v>
      </c>
      <c r="F97" s="47">
        <f>'7stocks_data'!O98</f>
        <v>6.0929458806738605E-2</v>
      </c>
      <c r="G97" s="47">
        <f>'7stocks_data'!P98</f>
        <v>8.4471977362996886E-2</v>
      </c>
      <c r="H97" s="47">
        <f>'7stocks_data'!Q98</f>
        <v>0.10926421834246437</v>
      </c>
    </row>
    <row r="98" spans="1:8" x14ac:dyDescent="0.2">
      <c r="A98" s="45">
        <f>'7stocks_data'!J99</f>
        <v>202212</v>
      </c>
      <c r="B98" s="47">
        <f>'7stocks_data'!K99</f>
        <v>-0.12876180233135848</v>
      </c>
      <c r="C98" s="47">
        <f>'7stocks_data'!L99</f>
        <v>-0.13349369299006217</v>
      </c>
      <c r="D98" s="47">
        <f>'7stocks_data'!M99</f>
        <v>1.3236428742569882E-2</v>
      </c>
      <c r="E98" s="47">
        <f>'7stocks_data'!N99</f>
        <v>-2.5684824440316376E-2</v>
      </c>
      <c r="F98" s="47">
        <f>'7stocks_data'!O99</f>
        <v>7.067027512435574E-3</v>
      </c>
      <c r="G98" s="47">
        <f>'7stocks_data'!P99</f>
        <v>7.5089141871077063E-3</v>
      </c>
      <c r="H98" s="47">
        <f>'7stocks_data'!Q99</f>
        <v>1.5961898441887348E-2</v>
      </c>
    </row>
    <row r="99" spans="1:8" x14ac:dyDescent="0.2">
      <c r="A99" s="45">
        <f>'7stocks_data'!J100</f>
        <v>202301</v>
      </c>
      <c r="B99" s="47">
        <f>'7stocks_data'!K100</f>
        <v>0.10482947524543844</v>
      </c>
      <c r="C99" s="47">
        <f>'7stocks_data'!L100</f>
        <v>7.4661206218870957E-2</v>
      </c>
      <c r="D99" s="47">
        <f>'7stocks_data'!M100</f>
        <v>5.1775338512039012E-2</v>
      </c>
      <c r="E99" s="47">
        <f>'7stocks_data'!N100</f>
        <v>0.20830187753742771</v>
      </c>
      <c r="F99" s="47">
        <f>'7stocks_data'!O100</f>
        <v>-3.6664654423565174E-2</v>
      </c>
      <c r="G99" s="47">
        <f>'7stocks_data'!P100</f>
        <v>-2.5822690648831078E-2</v>
      </c>
      <c r="H99" s="47">
        <f>'7stocks_data'!Q100</f>
        <v>-6.2481929528501533E-2</v>
      </c>
    </row>
    <row r="100" spans="1:8" x14ac:dyDescent="0.2">
      <c r="A100" s="45">
        <f>'7stocks_data'!J101</f>
        <v>202302</v>
      </c>
      <c r="B100" s="47">
        <f>'7stocks_data'!K101</f>
        <v>2.1392524122190937E-2</v>
      </c>
      <c r="C100" s="47">
        <f>'7stocks_data'!L101</f>
        <v>-3.3823585907702243E-2</v>
      </c>
      <c r="D100" s="47">
        <f>'7stocks_data'!M101</f>
        <v>-4.7059327292569446E-2</v>
      </c>
      <c r="E100" s="47">
        <f>'7stocks_data'!N101</f>
        <v>5.1224621715264242E-2</v>
      </c>
      <c r="F100" s="47">
        <f>'7stocks_data'!O101</f>
        <v>-2.996175064521241E-2</v>
      </c>
      <c r="G100" s="47">
        <f>'7stocks_data'!P101</f>
        <v>-1.0952644068497989E-2</v>
      </c>
      <c r="H100" s="47">
        <f>'7stocks_data'!Q101</f>
        <v>-2.8184066643150398E-2</v>
      </c>
    </row>
    <row r="101" spans="1:8" x14ac:dyDescent="0.2">
      <c r="A101" s="45">
        <f>'7stocks_data'!J102</f>
        <v>202303</v>
      </c>
      <c r="B101" s="47">
        <f>'7stocks_data'!K102</f>
        <v>0.11364705016809599</v>
      </c>
      <c r="C101" s="47">
        <f>'7stocks_data'!L102</f>
        <v>-0.18173882302067393</v>
      </c>
      <c r="D101" s="47">
        <f>'7stocks_data'!M102</f>
        <v>-4.5739271355502174E-2</v>
      </c>
      <c r="E101" s="47">
        <f>'7stocks_data'!N102</f>
        <v>0.12093961844109043</v>
      </c>
      <c r="F101" s="47">
        <f>'7stocks_data'!O102</f>
        <v>4.1473802725738501E-2</v>
      </c>
      <c r="G101" s="47">
        <f>'7stocks_data'!P102</f>
        <v>1.4109402711639755E-3</v>
      </c>
      <c r="H101" s="47">
        <f>'7stocks_data'!Q102</f>
        <v>7.7803432464964503E-2</v>
      </c>
    </row>
    <row r="102" spans="1:8" x14ac:dyDescent="0.2">
      <c r="A102" s="45">
        <f>'7stocks_data'!J103</f>
        <v>202304</v>
      </c>
      <c r="B102" s="47">
        <f>'7stocks_data'!K103</f>
        <v>2.8575132514034936E-2</v>
      </c>
      <c r="C102" s="47">
        <f>'7stocks_data'!L103</f>
        <v>2.9962882660830165E-2</v>
      </c>
      <c r="D102" s="47">
        <f>'7stocks_data'!M103</f>
        <v>-4.486494518317144E-2</v>
      </c>
      <c r="E102" s="47">
        <f>'7stocks_data'!N103</f>
        <v>3.5570387253278948E-2</v>
      </c>
      <c r="F102" s="47">
        <f>'7stocks_data'!O103</f>
        <v>4.1247199336285484E-2</v>
      </c>
      <c r="G102" s="47">
        <f>'7stocks_data'!P103</f>
        <v>8.8827517307413062E-2</v>
      </c>
      <c r="H102" s="47">
        <f>'7stocks_data'!Q103</f>
        <v>5.0425511740270573E-2</v>
      </c>
    </row>
    <row r="103" spans="1:8" x14ac:dyDescent="0.2">
      <c r="A103" s="45">
        <f>'7stocks_data'!J104</f>
        <v>202305</v>
      </c>
      <c r="B103" s="47">
        <f>'7stocks_data'!K104</f>
        <v>4.3646912407973908E-2</v>
      </c>
      <c r="C103" s="47">
        <f>'7stocks_data'!L104</f>
        <v>-5.2228411330320343E-2</v>
      </c>
      <c r="D103" s="47">
        <f>'7stocks_data'!M104</f>
        <v>-5.608275361463929E-2</v>
      </c>
      <c r="E103" s="47">
        <f>'7stocks_data'!N104</f>
        <v>2.5537358097655529E-2</v>
      </c>
      <c r="F103" s="47">
        <f>'7stocks_data'!O104</f>
        <v>-7.2562329735200326E-2</v>
      </c>
      <c r="G103" s="47">
        <f>'7stocks_data'!P104</f>
        <v>-4.4810016990373666E-2</v>
      </c>
      <c r="H103" s="47">
        <f>'7stocks_data'!Q104</f>
        <v>-8.6705564013425468E-2</v>
      </c>
    </row>
    <row r="104" spans="1:8" x14ac:dyDescent="0.2">
      <c r="A104" s="45">
        <f>'7stocks_data'!J105</f>
        <v>202306</v>
      </c>
      <c r="B104" s="47">
        <f>'7stocks_data'!K105</f>
        <v>9.1524545824651513E-2</v>
      </c>
      <c r="C104" s="47">
        <f>'7stocks_data'!L105</f>
        <v>3.1872370430625289E-2</v>
      </c>
      <c r="D104" s="47">
        <f>'7stocks_data'!M105</f>
        <v>0.17887299036402649</v>
      </c>
      <c r="E104" s="47">
        <f>'7stocks_data'!N105</f>
        <v>7.8761340169126559E-2</v>
      </c>
      <c r="F104" s="47">
        <f>'7stocks_data'!O105</f>
        <v>9.3428454518431538E-3</v>
      </c>
      <c r="G104" s="47">
        <f>'7stocks_data'!P105</f>
        <v>4.4116912005262569E-2</v>
      </c>
      <c r="H104" s="47">
        <f>'7stocks_data'!Q105</f>
        <v>6.282629663128865E-2</v>
      </c>
    </row>
    <row r="105" spans="1:8" x14ac:dyDescent="0.2">
      <c r="A105" s="45">
        <f>'7stocks_data'!J106</f>
        <v>202307</v>
      </c>
      <c r="B105" s="47">
        <f>'7stocks_data'!K106</f>
        <v>1.2704348534180274E-2</v>
      </c>
      <c r="C105" s="47">
        <f>'7stocks_data'!L106</f>
        <v>0.1171353138228149</v>
      </c>
      <c r="D105" s="47">
        <f>'7stocks_data'!M106</f>
        <v>7.4836420189648103E-2</v>
      </c>
      <c r="E105" s="47">
        <f>'7stocks_data'!N106</f>
        <v>3.9185893650021536E-2</v>
      </c>
      <c r="F105" s="47">
        <f>'7stocks_data'!O106</f>
        <v>3.5587207887157295E-2</v>
      </c>
      <c r="G105" s="47">
        <f>'7stocks_data'!P106</f>
        <v>-7.210613172073764E-2</v>
      </c>
      <c r="H105" s="47">
        <f>'7stocks_data'!Q106</f>
        <v>2.9608932073870269E-2</v>
      </c>
    </row>
    <row r="106" spans="1:8" x14ac:dyDescent="0.2">
      <c r="A106" s="45">
        <f>'7stocks_data'!J107</f>
        <v>202308</v>
      </c>
      <c r="B106" s="47">
        <f>'7stocks_data'!K107</f>
        <v>-4.4657563666819312E-2</v>
      </c>
      <c r="C106" s="47">
        <f>'7stocks_data'!L107</f>
        <v>-0.10988467768160404</v>
      </c>
      <c r="D106" s="47">
        <f>'7stocks_data'!M107</f>
        <v>6.3385954214636206E-2</v>
      </c>
      <c r="E106" s="47">
        <f>'7stocks_data'!N107</f>
        <v>2.6630776847274594E-3</v>
      </c>
      <c r="F106" s="47">
        <f>'7stocks_data'!O107</f>
        <v>-3.4497441741709961E-2</v>
      </c>
      <c r="G106" s="47">
        <f>'7stocks_data'!P107</f>
        <v>2.1611941035071157E-2</v>
      </c>
      <c r="H106" s="47">
        <f>'7stocks_data'!Q107</f>
        <v>-6.3385403576155745E-3</v>
      </c>
    </row>
    <row r="107" spans="1:8" x14ac:dyDescent="0.2">
      <c r="A107" s="45">
        <f>'7stocks_data'!J108</f>
        <v>202309</v>
      </c>
      <c r="B107" s="47">
        <f>'7stocks_data'!K108</f>
        <v>-9.1509913394911171E-2</v>
      </c>
      <c r="C107" s="47">
        <f>'7stocks_data'!L108</f>
        <v>-3.7739698605772878E-2</v>
      </c>
      <c r="D107" s="47">
        <f>'7stocks_data'!M108</f>
        <v>-2.9345417896403637E-2</v>
      </c>
      <c r="E107" s="47">
        <f>'7stocks_data'!N108</f>
        <v>-3.4757547638268653E-2</v>
      </c>
      <c r="F107" s="47">
        <f>'7stocks_data'!O108</f>
        <v>-6.6512839557322193E-2</v>
      </c>
      <c r="G107" s="47">
        <f>'7stocks_data'!P108</f>
        <v>-5.6920964567855302E-2</v>
      </c>
      <c r="H107" s="47">
        <f>'7stocks_data'!Q108</f>
        <v>-5.6510700083331596E-2</v>
      </c>
    </row>
    <row r="108" spans="1:8" x14ac:dyDescent="0.2">
      <c r="A108" s="45">
        <f>'7stocks_data'!J109</f>
        <v>202310</v>
      </c>
      <c r="B108" s="47">
        <f>'7stocks_data'!K109</f>
        <v>-2.5732482999716731E-3</v>
      </c>
      <c r="C108" s="47">
        <f>'7stocks_data'!L109</f>
        <v>-3.872411731239038E-2</v>
      </c>
      <c r="D108" s="47">
        <f>'7stocks_data'!M109</f>
        <v>-0.18871557072344974</v>
      </c>
      <c r="E108" s="47">
        <f>'7stocks_data'!N109</f>
        <v>-1.6800876702188369E-2</v>
      </c>
      <c r="F108" s="47">
        <f>'7stocks_data'!O109</f>
        <v>1.697169149246788E-2</v>
      </c>
      <c r="G108" s="47">
        <f>'7stocks_data'!P109</f>
        <v>4.3627932532218812E-3</v>
      </c>
      <c r="H108" s="47">
        <f>'7stocks_data'!Q109</f>
        <v>2.8187862126544252E-2</v>
      </c>
    </row>
    <row r="109" spans="1:8" x14ac:dyDescent="0.2">
      <c r="A109" s="45">
        <f>'7stocks_data'!J110</f>
        <v>202311</v>
      </c>
      <c r="B109" s="47">
        <f>'7stocks_data'!K110</f>
        <v>0.10644327158511403</v>
      </c>
      <c r="C109" s="47">
        <f>'7stocks_data'!L110</f>
        <v>0.14631012566319579</v>
      </c>
      <c r="D109" s="47">
        <f>'7stocks_data'!M110</f>
        <v>0.10873447409972865</v>
      </c>
      <c r="E109" s="47">
        <f>'7stocks_data'!N110</f>
        <v>0.11443283144633253</v>
      </c>
      <c r="F109" s="47">
        <f>'7stocks_data'!O110</f>
        <v>3.3936906609272503E-2</v>
      </c>
      <c r="G109" s="47">
        <f>'7stocks_data'!P110</f>
        <v>-2.1443902484536087E-3</v>
      </c>
      <c r="H109" s="47">
        <f>'7stocks_data'!Q110</f>
        <v>2.9287514250350172E-2</v>
      </c>
    </row>
    <row r="110" spans="1:8" x14ac:dyDescent="0.2">
      <c r="A110" s="45">
        <f>'7stocks_data'!J111</f>
        <v>202312</v>
      </c>
      <c r="B110" s="47">
        <f>'7stocks_data'!K111</f>
        <v>1.4807623330502461E-2</v>
      </c>
      <c r="C110" s="47">
        <f>'7stocks_data'!L111</f>
        <v>0.10715803659155221</v>
      </c>
      <c r="D110" s="47">
        <f>'7stocks_data'!M111</f>
        <v>0.16490717691448964</v>
      </c>
      <c r="E110" s="47">
        <f>'7stocks_data'!N111</f>
        <v>4.6755061564541886E-2</v>
      </c>
      <c r="F110" s="47">
        <f>'7stocks_data'!O111</f>
        <v>1.6280773494736493E-2</v>
      </c>
      <c r="G110" s="47">
        <f>'7stocks_data'!P111</f>
        <v>6.1863575932521626E-2</v>
      </c>
      <c r="H110" s="47">
        <f>'7stocks_data'!Q111</f>
        <v>-4.653235824619268E-2</v>
      </c>
    </row>
    <row r="111" spans="1:8" x14ac:dyDescent="0.2">
      <c r="A111" s="45">
        <f>'7stocks_data'!J112</f>
        <v>202401</v>
      </c>
      <c r="B111" s="47">
        <f>'7stocks_data'!K112</f>
        <v>-4.3144687698089594E-2</v>
      </c>
      <c r="C111" s="47">
        <f>'7stocks_data'!L112</f>
        <v>1.004746504810187E-2</v>
      </c>
      <c r="D111" s="47">
        <f>'7stocks_data'!M112</f>
        <v>1.5571323949239291E-2</v>
      </c>
      <c r="E111" s="47">
        <f>'7stocks_data'!N112</f>
        <v>3.7471025633742383E-2</v>
      </c>
      <c r="F111" s="47">
        <f>'7stocks_data'!O112</f>
        <v>9.4579995306914386E-3</v>
      </c>
      <c r="G111" s="47">
        <f>'7stocks_data'!P112</f>
        <v>0.10965431969080089</v>
      </c>
      <c r="H111" s="47">
        <f>'7stocks_data'!Q112</f>
        <v>6.9838669265974374E-2</v>
      </c>
    </row>
    <row r="112" spans="1:8" x14ac:dyDescent="0.2">
      <c r="A112" s="45">
        <f>'7stocks_data'!J113</f>
        <v>202402</v>
      </c>
      <c r="B112" s="47">
        <f>'7stocks_data'!K113</f>
        <v>-1.9992382589438855E-2</v>
      </c>
      <c r="C112" s="47">
        <f>'7stocks_data'!L113</f>
        <v>1.4884412335040495E-2</v>
      </c>
      <c r="D112" s="47">
        <f>'7stocks_data'!M113</f>
        <v>0.11082809667703102</v>
      </c>
      <c r="E112" s="47">
        <f>'7stocks_data'!N113</f>
        <v>0.16956624795681302</v>
      </c>
      <c r="F112" s="47">
        <f>'7stocks_data'!O113</f>
        <v>8.8695601263743505E-3</v>
      </c>
      <c r="G112" s="47">
        <f>'7stocks_data'!P113</f>
        <v>5.1396778532960784E-2</v>
      </c>
      <c r="H112" s="47">
        <f>'7stocks_data'!Q113</f>
        <v>1.768529566510357E-2</v>
      </c>
    </row>
    <row r="113" spans="1:8" x14ac:dyDescent="0.2">
      <c r="A113" s="45">
        <f>'7stocks_data'!J114</f>
        <v>202403</v>
      </c>
      <c r="B113" s="47">
        <f>'7stocks_data'!K114</f>
        <v>-5.1373052157305581E-2</v>
      </c>
      <c r="C113" s="47">
        <f>'7stocks_data'!L114</f>
        <v>0.1009592356244934</v>
      </c>
      <c r="D113" s="47">
        <f>'7stocks_data'!M114</f>
        <v>9.2786176394495198E-2</v>
      </c>
      <c r="E113" s="47">
        <f>'7stocks_data'!N114</f>
        <v>0.11226487564341421</v>
      </c>
      <c r="F113" s="47">
        <f>'7stocks_data'!O114</f>
        <v>1.914250057334984E-2</v>
      </c>
      <c r="G113" s="47">
        <f>'7stocks_data'!P114</f>
        <v>3.7055596914776126E-2</v>
      </c>
      <c r="H113" s="47">
        <f>'7stocks_data'!Q114</f>
        <v>2.0611511753072367E-2</v>
      </c>
    </row>
    <row r="114" spans="1:8" x14ac:dyDescent="0.2">
      <c r="A114" s="45">
        <f>'7stocks_data'!J115</f>
        <v>202404</v>
      </c>
      <c r="B114" s="47">
        <f>'7stocks_data'!K115</f>
        <v>-6.7288915179298551E-3</v>
      </c>
      <c r="C114" s="47">
        <f>'7stocks_data'!L115</f>
        <v>-2.4290541395751066E-2</v>
      </c>
      <c r="D114" s="47">
        <f>'7stocks_data'!M115</f>
        <v>-9.0961359976417744E-2</v>
      </c>
      <c r="E114" s="47">
        <f>'7stocks_data'!N115</f>
        <v>0.14421556368614472</v>
      </c>
      <c r="F114" s="47">
        <f>'7stocks_data'!O115</f>
        <v>1.7564366933894678E-2</v>
      </c>
      <c r="G114" s="47">
        <f>'7stocks_data'!P115</f>
        <v>-1.4583562941255753E-2</v>
      </c>
      <c r="H114" s="47">
        <f>'7stocks_data'!Q115</f>
        <v>5.8379885728319899E-3</v>
      </c>
    </row>
    <row r="115" spans="1:8" x14ac:dyDescent="0.2">
      <c r="A115" s="45">
        <f>'7stocks_data'!J116</f>
        <v>202405</v>
      </c>
      <c r="B115" s="47">
        <f>'7stocks_data'!K116</f>
        <v>0.12105880810818546</v>
      </c>
      <c r="C115" s="47">
        <f>'7stocks_data'!L116</f>
        <v>7.744131945074724E-2</v>
      </c>
      <c r="D115" s="47">
        <f>'7stocks_data'!M116</f>
        <v>1.5375712994672355E-2</v>
      </c>
      <c r="E115" s="47">
        <f>'7stocks_data'!N116</f>
        <v>2.2086171594204791E-2</v>
      </c>
      <c r="F115" s="47">
        <f>'7stocks_data'!O116</f>
        <v>1.860523787557853E-2</v>
      </c>
      <c r="G115" s="47">
        <f>'7stocks_data'!P116</f>
        <v>-2.8891967401815977E-2</v>
      </c>
      <c r="H115" s="47">
        <f>'7stocks_data'!Q116</f>
        <v>1.4613717029690471E-2</v>
      </c>
    </row>
    <row r="116" spans="1:8" x14ac:dyDescent="0.2">
      <c r="A116" s="45">
        <f>'7stocks_data'!J117</f>
        <v>202406</v>
      </c>
      <c r="B116" s="47">
        <f>'7stocks_data'!K117</f>
        <v>9.261436040885665E-2</v>
      </c>
      <c r="C116" s="47">
        <f>'7stocks_data'!L117</f>
        <v>-5.516594779806999E-3</v>
      </c>
      <c r="D116" s="47">
        <f>'7stocks_data'!M117</f>
        <v>-1.6140412730307998E-2</v>
      </c>
      <c r="E116" s="47">
        <f>'7stocks_data'!N117</f>
        <v>-3.8078167936036744E-2</v>
      </c>
      <c r="F116" s="47">
        <f>'7stocks_data'!O117</f>
        <v>1.1376268869423146E-2</v>
      </c>
      <c r="G116" s="47">
        <f>'7stocks_data'!P117</f>
        <v>-1.3957076737999516E-2</v>
      </c>
      <c r="H116" s="47">
        <f>'7stocks_data'!Q117</f>
        <v>2.3068113189955229E-3</v>
      </c>
    </row>
    <row r="117" spans="1:8" x14ac:dyDescent="0.2">
      <c r="A117" s="45">
        <f>'7stocks_data'!J118</f>
        <v>202407</v>
      </c>
      <c r="B117" s="47">
        <f>'7stocks_data'!K118</f>
        <v>5.2982201469930046E-2</v>
      </c>
      <c r="C117" s="47">
        <f>'7stocks_data'!L118</f>
        <v>1.9550435570832726E-2</v>
      </c>
      <c r="D117" s="47">
        <f>'7stocks_data'!M118</f>
        <v>3.8573969191223793E-2</v>
      </c>
      <c r="E117" s="47">
        <f>'7stocks_data'!N118</f>
        <v>6.8258826238328116E-2</v>
      </c>
      <c r="F117" s="47">
        <f>'7stocks_data'!O118</f>
        <v>5.5134557754089528E-2</v>
      </c>
      <c r="G117" s="47">
        <f>'7stocks_data'!P118</f>
        <v>-8.4165153859155267E-2</v>
      </c>
      <c r="H117" s="47">
        <f>'7stocks_data'!Q118</f>
        <v>-2.5548037446974651E-2</v>
      </c>
    </row>
    <row r="118" spans="1:8" x14ac:dyDescent="0.2">
      <c r="A118" s="45">
        <f>'7stocks_data'!J119</f>
        <v>202408</v>
      </c>
      <c r="B118" s="47">
        <f>'7stocks_data'!K119</f>
        <v>3.068432528449587E-2</v>
      </c>
      <c r="C118" s="47">
        <f>'7stocks_data'!L119</f>
        <v>1.0856233835295935E-2</v>
      </c>
      <c r="D118" s="47">
        <f>'7stocks_data'!M119</f>
        <v>3.2259248976262693E-2</v>
      </c>
      <c r="E118" s="47">
        <f>'7stocks_data'!N119</f>
        <v>2.7329179040059558E-2</v>
      </c>
      <c r="F118" s="47">
        <f>'7stocks_data'!O119</f>
        <v>8.2368234602207754E-2</v>
      </c>
      <c r="G118" s="47">
        <f>'7stocks_data'!P119</f>
        <v>4.5953254097950855E-2</v>
      </c>
      <c r="H118" s="47">
        <f>'7stocks_data'!Q119</f>
        <v>7.0900253584848624E-2</v>
      </c>
    </row>
    <row r="119" spans="1:8" x14ac:dyDescent="0.2">
      <c r="A119" s="45">
        <f>'7stocks_data'!J120</f>
        <v>202409</v>
      </c>
      <c r="B119" s="47">
        <f>'7stocks_data'!K120</f>
        <v>1.8473307257746239E-2</v>
      </c>
      <c r="C119" s="47">
        <f>'7stocks_data'!L120</f>
        <v>-2.6608499581717591E-2</v>
      </c>
      <c r="D119" s="47">
        <f>'7stocks_data'!M120</f>
        <v>9.3802768647548398E-2</v>
      </c>
      <c r="E119" s="47">
        <f>'7stocks_data'!N120</f>
        <v>7.6910161089547596E-2</v>
      </c>
      <c r="F119" s="47">
        <f>'7stocks_data'!O120</f>
        <v>-8.4529268210520245E-3</v>
      </c>
      <c r="G119" s="47">
        <f>'7stocks_data'!P120</f>
        <v>-4.2159576173442084E-2</v>
      </c>
      <c r="H119" s="47">
        <f>'7stocks_data'!Q120</f>
        <v>9.6305772705792252E-3</v>
      </c>
    </row>
    <row r="120" spans="1:8" x14ac:dyDescent="0.2">
      <c r="A120" s="45">
        <f>'7stocks_data'!J121</f>
        <v>202410</v>
      </c>
      <c r="B120" s="47">
        <f>'7stocks_data'!K121</f>
        <v>-3.0901773298419918E-2</v>
      </c>
      <c r="C120" s="47">
        <f>'7stocks_data'!L121</f>
        <v>5.9025767261781055E-2</v>
      </c>
      <c r="D120" s="47">
        <f>'7stocks_data'!M121</f>
        <v>-3.8893424648374197E-2</v>
      </c>
      <c r="E120" s="47">
        <f>'7stocks_data'!N121</f>
        <v>-9.1827792570161437E-2</v>
      </c>
      <c r="F120" s="47">
        <f>'7stocks_data'!O121</f>
        <v>-8.8742444326000466E-2</v>
      </c>
      <c r="G120" s="47">
        <f>'7stocks_data'!P121</f>
        <v>-9.7558003930316314E-2</v>
      </c>
      <c r="H120" s="47">
        <f>'7stocks_data'!Q121</f>
        <v>-4.7411152096488635E-2</v>
      </c>
    </row>
    <row r="121" spans="1:8" x14ac:dyDescent="0.2">
      <c r="A121" s="45">
        <f>'7stocks_data'!J122</f>
        <v>202411</v>
      </c>
      <c r="B121" s="47">
        <f>'7stocks_data'!K122</f>
        <v>4.9314915921186968E-2</v>
      </c>
      <c r="C121" s="47">
        <f>'7stocks_data'!L122</f>
        <v>0.12756552953868594</v>
      </c>
      <c r="D121" s="47">
        <f>'7stocks_data'!M122</f>
        <v>8.0089438718327827E-2</v>
      </c>
      <c r="E121" s="47">
        <f>'7stocks_data'!N122</f>
        <v>5.867089950184378E-2</v>
      </c>
      <c r="F121" s="47">
        <f>'7stocks_data'!O122</f>
        <v>-1.9012803983068011E-2</v>
      </c>
      <c r="G121" s="47">
        <f>'7stocks_data'!P122</f>
        <v>-6.6679861882750439E-3</v>
      </c>
      <c r="H121" s="47">
        <f>'7stocks_data'!Q122</f>
        <v>8.7663691897871002E-2</v>
      </c>
    </row>
    <row r="122" spans="1:8" x14ac:dyDescent="0.2">
      <c r="A122" s="45">
        <f>'7stocks_data'!J123</f>
        <v>202412</v>
      </c>
      <c r="B122" s="47">
        <f>'7stocks_data'!K123</f>
        <v>5.4787484756042629E-2</v>
      </c>
      <c r="C122" s="47">
        <f>'7stocks_data'!L123</f>
        <v>-7.7887499857200768E-2</v>
      </c>
      <c r="D122" s="47">
        <f>'7stocks_data'!M123</f>
        <v>-0.11288258171795952</v>
      </c>
      <c r="E122" s="47">
        <f>'7stocks_data'!N123</f>
        <v>-8.814997691313925E-2</v>
      </c>
      <c r="F122" s="47">
        <f>'7stocks_data'!O123</f>
        <v>-2.1257180288800713E-2</v>
      </c>
      <c r="G122" s="47">
        <f>'7stocks_data'!P123</f>
        <v>-2.1480443682066364E-2</v>
      </c>
      <c r="H122" s="47">
        <f>'7stocks_data'!Q123</f>
        <v>-6.6958751869914943E-2</v>
      </c>
    </row>
  </sheetData>
  <phoneticPr fontId="5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R123"/>
  <sheetViews>
    <sheetView tabSelected="1" workbookViewId="0">
      <selection activeCell="I4" sqref="I4"/>
    </sheetView>
  </sheetViews>
  <sheetFormatPr baseColWidth="10" defaultColWidth="8.83203125" defaultRowHeight="15" x14ac:dyDescent="0.2"/>
  <cols>
    <col min="1" max="1" width="11" style="81" customWidth="1"/>
    <col min="2" max="7" width="7.5" style="81" customWidth="1"/>
    <col min="8" max="8" width="8.6640625" style="81"/>
    <col min="9" max="9" width="11.6640625" style="81" customWidth="1"/>
    <col min="10" max="10" width="11" style="81" customWidth="1"/>
    <col min="11" max="18" width="8.83203125" style="81"/>
    <col min="19" max="16384" width="8.83203125" style="80"/>
  </cols>
  <sheetData>
    <row r="1" spans="1:18" ht="42" customHeight="1" x14ac:dyDescent="0.2">
      <c r="A1" s="108" t="s">
        <v>160</v>
      </c>
      <c r="B1" s="108"/>
      <c r="C1" s="108"/>
      <c r="D1" s="108"/>
      <c r="E1" s="108"/>
      <c r="F1" s="108"/>
      <c r="G1" s="108"/>
      <c r="H1" s="108"/>
      <c r="J1" s="108" t="s">
        <v>161</v>
      </c>
      <c r="K1" s="108"/>
      <c r="L1" s="108"/>
      <c r="M1" s="108"/>
      <c r="N1" s="108"/>
      <c r="O1" s="108"/>
      <c r="P1" s="108"/>
      <c r="Q1" s="108"/>
    </row>
    <row r="2" spans="1:18" ht="16" x14ac:dyDescent="0.2">
      <c r="A2" s="82" t="s">
        <v>0</v>
      </c>
      <c r="B2" s="82" t="s">
        <v>98</v>
      </c>
      <c r="C2" s="82" t="s">
        <v>97</v>
      </c>
      <c r="D2" s="82" t="s">
        <v>162</v>
      </c>
      <c r="E2" s="82" t="s">
        <v>96</v>
      </c>
      <c r="F2" s="82" t="s">
        <v>163</v>
      </c>
      <c r="G2" s="82" t="s">
        <v>164</v>
      </c>
      <c r="H2" s="82" t="s">
        <v>165</v>
      </c>
      <c r="I2" s="83"/>
      <c r="J2" s="83" t="s">
        <v>166</v>
      </c>
      <c r="K2" s="83" t="s">
        <v>98</v>
      </c>
      <c r="L2" s="83" t="s">
        <v>97</v>
      </c>
      <c r="M2" s="83" t="s">
        <v>162</v>
      </c>
      <c r="N2" s="83" t="s">
        <v>96</v>
      </c>
      <c r="O2" s="83" t="s">
        <v>163</v>
      </c>
      <c r="P2" s="83" t="s">
        <v>164</v>
      </c>
      <c r="Q2" s="83" t="s">
        <v>165</v>
      </c>
      <c r="R2" s="84"/>
    </row>
    <row r="3" spans="1:18" x14ac:dyDescent="0.2">
      <c r="A3" s="85">
        <v>41974</v>
      </c>
      <c r="B3" s="86">
        <v>24.55400276184082</v>
      </c>
      <c r="C3" s="86">
        <v>14.482148170471191</v>
      </c>
      <c r="D3" s="86">
        <v>69.843086242675781</v>
      </c>
      <c r="E3" s="86">
        <v>103.05869293212891</v>
      </c>
      <c r="F3" s="86">
        <v>30.720331192016602</v>
      </c>
      <c r="G3" s="86">
        <v>39.645847320556641</v>
      </c>
      <c r="H3" s="86">
        <v>68.349708557128906</v>
      </c>
      <c r="J3" s="81">
        <f>YEAR(A3)*100+MONTH(A3)</f>
        <v>201412</v>
      </c>
      <c r="K3" s="55"/>
    </row>
    <row r="4" spans="1:18" x14ac:dyDescent="0.2">
      <c r="A4" s="85">
        <v>42005</v>
      </c>
      <c r="B4" s="86">
        <v>26.062210083007812</v>
      </c>
      <c r="C4" s="86">
        <v>12.299945831298828</v>
      </c>
      <c r="D4" s="86">
        <v>61.022106170654297</v>
      </c>
      <c r="E4" s="86">
        <v>98.347923278808594</v>
      </c>
      <c r="F4" s="86">
        <v>29.956327438354492</v>
      </c>
      <c r="G4" s="86">
        <v>42.400371551513672</v>
      </c>
      <c r="H4" s="86">
        <v>63.247283935546875</v>
      </c>
      <c r="J4" s="81">
        <f t="shared" ref="J4:J67" si="0">YEAR(A4)*100+MONTH(A4)</f>
        <v>201501</v>
      </c>
      <c r="K4" s="87">
        <f>LN(B4/B3)</f>
        <v>5.9611489344856848E-2</v>
      </c>
      <c r="L4" s="87">
        <f t="shared" ref="L4:Q19" si="1">LN(C4/C3)</f>
        <v>-0.16332187185923652</v>
      </c>
      <c r="M4" s="87">
        <f t="shared" si="1"/>
        <v>-0.13501490597832549</v>
      </c>
      <c r="N4" s="87">
        <f t="shared" si="1"/>
        <v>-4.6787231235747587E-2</v>
      </c>
      <c r="O4" s="87">
        <f t="shared" si="1"/>
        <v>-2.5184120240672361E-2</v>
      </c>
      <c r="P4" s="87">
        <f t="shared" si="1"/>
        <v>6.7170916014347354E-2</v>
      </c>
      <c r="Q4" s="87">
        <f t="shared" si="1"/>
        <v>-7.758511422811365E-2</v>
      </c>
      <c r="R4" s="55"/>
    </row>
    <row r="5" spans="1:18" x14ac:dyDescent="0.2">
      <c r="A5" s="85">
        <v>42036</v>
      </c>
      <c r="B5" s="86">
        <v>28.575897216796875</v>
      </c>
      <c r="C5" s="86">
        <v>12.835788726806641</v>
      </c>
      <c r="D5" s="86">
        <v>63.77655029296875</v>
      </c>
      <c r="E5" s="86">
        <v>106.99298858642578</v>
      </c>
      <c r="F5" s="86">
        <v>31.506153106689453</v>
      </c>
      <c r="G5" s="86">
        <v>41.176467895507812</v>
      </c>
      <c r="H5" s="86">
        <v>64.331886291503906</v>
      </c>
      <c r="J5" s="81">
        <f t="shared" si="0"/>
        <v>201502</v>
      </c>
      <c r="K5" s="87">
        <f t="shared" ref="K5:Q54" si="2">LN(B5/B4)</f>
        <v>9.2077232267224737E-2</v>
      </c>
      <c r="L5" s="87">
        <f t="shared" si="1"/>
        <v>4.264240527682777E-2</v>
      </c>
      <c r="M5" s="87">
        <f t="shared" si="1"/>
        <v>4.4149377756753136E-2</v>
      </c>
      <c r="N5" s="87">
        <f t="shared" si="1"/>
        <v>8.425187609274562E-2</v>
      </c>
      <c r="O5" s="87">
        <f t="shared" si="1"/>
        <v>5.0442294505345965E-2</v>
      </c>
      <c r="P5" s="87">
        <f t="shared" si="1"/>
        <v>-2.9290199614538895E-2</v>
      </c>
      <c r="Q5" s="87">
        <f t="shared" si="1"/>
        <v>1.7003222150506807E-2</v>
      </c>
    </row>
    <row r="6" spans="1:18" x14ac:dyDescent="0.2">
      <c r="A6" s="85">
        <v>42064</v>
      </c>
      <c r="B6" s="86">
        <v>27.788663864135742</v>
      </c>
      <c r="C6" s="86">
        <v>12.494797706604004</v>
      </c>
      <c r="D6" s="86">
        <v>61.568607330322266</v>
      </c>
      <c r="E6" s="86">
        <v>103.07418060302734</v>
      </c>
      <c r="F6" s="86">
        <v>29.505191802978516</v>
      </c>
      <c r="G6" s="86">
        <v>40.430877685546875</v>
      </c>
      <c r="H6" s="86">
        <v>61.921241760253906</v>
      </c>
      <c r="J6" s="81">
        <f t="shared" si="0"/>
        <v>201503</v>
      </c>
      <c r="K6" s="87">
        <f t="shared" si="2"/>
        <v>-2.7935444988488989E-2</v>
      </c>
      <c r="L6" s="87">
        <f t="shared" si="1"/>
        <v>-2.6924889477858937E-2</v>
      </c>
      <c r="M6" s="87">
        <f t="shared" si="1"/>
        <v>-3.5233453143219989E-2</v>
      </c>
      <c r="N6" s="87">
        <f t="shared" si="1"/>
        <v>-3.7314376045799104E-2</v>
      </c>
      <c r="O6" s="87">
        <f t="shared" si="1"/>
        <v>-6.5616622294082466E-2</v>
      </c>
      <c r="P6" s="87">
        <f t="shared" si="1"/>
        <v>-1.827313340592783E-2</v>
      </c>
      <c r="Q6" s="87">
        <f t="shared" si="1"/>
        <v>-3.8192123757575698E-2</v>
      </c>
    </row>
    <row r="7" spans="1:18" x14ac:dyDescent="0.2">
      <c r="A7" s="85">
        <v>42095</v>
      </c>
      <c r="B7" s="86">
        <v>27.949460983276367</v>
      </c>
      <c r="C7" s="86">
        <v>12.973653793334961</v>
      </c>
      <c r="D7" s="86">
        <v>66.838462829589844</v>
      </c>
      <c r="E7" s="86">
        <v>112.50498962402344</v>
      </c>
      <c r="F7" s="86">
        <v>29.757349014282227</v>
      </c>
      <c r="G7" s="86">
        <v>42.232925415039062</v>
      </c>
      <c r="H7" s="86">
        <v>60.084922790527344</v>
      </c>
      <c r="J7" s="81">
        <f t="shared" si="0"/>
        <v>201504</v>
      </c>
      <c r="K7" s="87">
        <f t="shared" si="2"/>
        <v>5.769751517799274E-3</v>
      </c>
      <c r="L7" s="87">
        <f t="shared" si="1"/>
        <v>3.7608295575395065E-2</v>
      </c>
      <c r="M7" s="87">
        <f t="shared" si="1"/>
        <v>8.2126586323347489E-2</v>
      </c>
      <c r="N7" s="87">
        <f t="shared" si="1"/>
        <v>8.7548643835047374E-2</v>
      </c>
      <c r="O7" s="87">
        <f t="shared" si="1"/>
        <v>8.5098859939036382E-3</v>
      </c>
      <c r="P7" s="87">
        <f t="shared" si="1"/>
        <v>4.3606347744889064E-2</v>
      </c>
      <c r="Q7" s="87">
        <f t="shared" si="1"/>
        <v>-3.0104341989738256E-2</v>
      </c>
    </row>
    <row r="8" spans="1:18" x14ac:dyDescent="0.2">
      <c r="A8" s="85">
        <v>42125</v>
      </c>
      <c r="B8" s="86">
        <v>29.095125198364258</v>
      </c>
      <c r="C8" s="86">
        <v>13.437872886657715</v>
      </c>
      <c r="D8" s="86">
        <v>66.182289123535156</v>
      </c>
      <c r="E8" s="86">
        <v>113.29435729980469</v>
      </c>
      <c r="F8" s="86">
        <v>30.050823211669922</v>
      </c>
      <c r="G8" s="86">
        <v>43.176013946533203</v>
      </c>
      <c r="H8" s="86">
        <v>59.715042114257812</v>
      </c>
      <c r="J8" s="81">
        <f t="shared" si="0"/>
        <v>201505</v>
      </c>
      <c r="K8" s="87">
        <f t="shared" si="2"/>
        <v>4.0172726807709835E-2</v>
      </c>
      <c r="L8" s="87">
        <f t="shared" si="1"/>
        <v>3.5156385424032405E-2</v>
      </c>
      <c r="M8" s="87">
        <f t="shared" si="1"/>
        <v>-9.8658144501797915E-3</v>
      </c>
      <c r="N8" s="87">
        <f t="shared" si="1"/>
        <v>6.9917907401259981E-3</v>
      </c>
      <c r="O8" s="87">
        <f t="shared" si="1"/>
        <v>9.8139281611245421E-3</v>
      </c>
      <c r="P8" s="87">
        <f t="shared" si="1"/>
        <v>2.2084968400822011E-2</v>
      </c>
      <c r="Q8" s="87">
        <f t="shared" si="1"/>
        <v>-6.1749909839195804E-3</v>
      </c>
    </row>
    <row r="9" spans="1:18" x14ac:dyDescent="0.2">
      <c r="A9" s="85">
        <v>42156</v>
      </c>
      <c r="B9" s="86">
        <v>28.128999710083008</v>
      </c>
      <c r="C9" s="86">
        <v>13.861364364624023</v>
      </c>
      <c r="D9" s="86">
        <v>65.794479370117188</v>
      </c>
      <c r="E9" s="86">
        <v>110.38617706298828</v>
      </c>
      <c r="F9" s="86">
        <v>28.781576156616211</v>
      </c>
      <c r="G9" s="86">
        <v>40.368049621582031</v>
      </c>
      <c r="H9" s="86">
        <v>59.60076904296875</v>
      </c>
      <c r="J9" s="81">
        <f t="shared" si="0"/>
        <v>201506</v>
      </c>
      <c r="K9" s="87">
        <f t="shared" si="2"/>
        <v>-3.3769578860533417E-2</v>
      </c>
      <c r="L9" s="87">
        <f t="shared" si="1"/>
        <v>3.1028372715392556E-2</v>
      </c>
      <c r="M9" s="87">
        <f t="shared" si="1"/>
        <v>-5.876956589326977E-3</v>
      </c>
      <c r="N9" s="87">
        <f t="shared" si="1"/>
        <v>-2.6004445373550809E-2</v>
      </c>
      <c r="O9" s="87">
        <f t="shared" si="1"/>
        <v>-4.3154589685448289E-2</v>
      </c>
      <c r="P9" s="87">
        <f t="shared" si="1"/>
        <v>-6.724648720358406E-2</v>
      </c>
      <c r="Q9" s="87">
        <f t="shared" si="1"/>
        <v>-1.9154729808242622E-3</v>
      </c>
    </row>
    <row r="10" spans="1:18" x14ac:dyDescent="0.2">
      <c r="A10" s="85">
        <v>42186</v>
      </c>
      <c r="B10" s="86">
        <v>27.202804565429688</v>
      </c>
      <c r="C10" s="86">
        <v>14.605442047119141</v>
      </c>
      <c r="D10" s="86">
        <v>60.992904663085938</v>
      </c>
      <c r="E10" s="86">
        <v>109.35585784912109</v>
      </c>
      <c r="F10" s="86">
        <v>30.387500762939453</v>
      </c>
      <c r="G10" s="86">
        <v>42.125484466552734</v>
      </c>
      <c r="H10" s="86">
        <v>58.427650451660156</v>
      </c>
      <c r="J10" s="81">
        <f t="shared" si="0"/>
        <v>201507</v>
      </c>
      <c r="K10" s="87">
        <f t="shared" si="2"/>
        <v>-3.3480985317759102E-2</v>
      </c>
      <c r="L10" s="87">
        <f t="shared" si="1"/>
        <v>5.2288774293241261E-2</v>
      </c>
      <c r="M10" s="87">
        <f t="shared" si="1"/>
        <v>-7.5778394251888995E-2</v>
      </c>
      <c r="N10" s="87">
        <f t="shared" si="1"/>
        <v>-9.3776028309043545E-3</v>
      </c>
      <c r="O10" s="87">
        <f t="shared" si="1"/>
        <v>5.4295899097605987E-2</v>
      </c>
      <c r="P10" s="87">
        <f t="shared" si="1"/>
        <v>4.2614268167497041E-2</v>
      </c>
      <c r="Q10" s="87">
        <f t="shared" si="1"/>
        <v>-1.9879232971336168E-2</v>
      </c>
    </row>
    <row r="11" spans="1:18" x14ac:dyDescent="0.2">
      <c r="A11" s="85">
        <v>42217</v>
      </c>
      <c r="B11" s="86">
        <v>25.287618637084961</v>
      </c>
      <c r="C11" s="86">
        <v>13.347478866577148</v>
      </c>
      <c r="D11" s="86">
        <v>59.841670989990234</v>
      </c>
      <c r="E11" s="86">
        <v>103.99282836914062</v>
      </c>
      <c r="F11" s="86">
        <v>29.085605621337891</v>
      </c>
      <c r="G11" s="86">
        <v>38.474521636962891</v>
      </c>
      <c r="H11" s="86">
        <v>54.274993896484375</v>
      </c>
      <c r="J11" s="81">
        <f t="shared" si="0"/>
        <v>201508</v>
      </c>
      <c r="K11" s="87">
        <f t="shared" si="2"/>
        <v>-7.3005182996079027E-2</v>
      </c>
      <c r="L11" s="87">
        <f t="shared" si="1"/>
        <v>-9.0066684149740575E-2</v>
      </c>
      <c r="M11" s="87">
        <f t="shared" si="1"/>
        <v>-1.905528283506238E-2</v>
      </c>
      <c r="N11" s="87">
        <f t="shared" si="1"/>
        <v>-5.0285376635528296E-2</v>
      </c>
      <c r="O11" s="87">
        <f t="shared" si="1"/>
        <v>-4.3787965140264444E-2</v>
      </c>
      <c r="P11" s="87">
        <f t="shared" si="1"/>
        <v>-9.0656642735805357E-2</v>
      </c>
      <c r="Q11" s="87">
        <f t="shared" si="1"/>
        <v>-7.372564111326417E-2</v>
      </c>
    </row>
    <row r="12" spans="1:18" x14ac:dyDescent="0.2">
      <c r="A12" s="85">
        <v>42248</v>
      </c>
      <c r="B12" s="86">
        <v>24.847900390625</v>
      </c>
      <c r="C12" s="86">
        <v>12.726668357849121</v>
      </c>
      <c r="D12" s="86">
        <v>51.167583465576172</v>
      </c>
      <c r="E12" s="86">
        <v>105.66879272460938</v>
      </c>
      <c r="F12" s="86">
        <v>29.677375793457031</v>
      </c>
      <c r="G12" s="86">
        <v>35.287960052490234</v>
      </c>
      <c r="H12" s="86">
        <v>55.250392913818359</v>
      </c>
      <c r="J12" s="81">
        <f t="shared" si="0"/>
        <v>201509</v>
      </c>
      <c r="K12" s="87">
        <f t="shared" si="2"/>
        <v>-1.7541636363545735E-2</v>
      </c>
      <c r="L12" s="87">
        <f t="shared" si="1"/>
        <v>-4.7627855552086783E-2</v>
      </c>
      <c r="M12" s="87">
        <f t="shared" si="1"/>
        <v>-0.15659606148169555</v>
      </c>
      <c r="N12" s="87">
        <f t="shared" si="1"/>
        <v>1.5987666654299886E-2</v>
      </c>
      <c r="O12" s="87">
        <f t="shared" si="1"/>
        <v>2.0141598118704005E-2</v>
      </c>
      <c r="P12" s="87">
        <f t="shared" si="1"/>
        <v>-8.6454415800600093E-2</v>
      </c>
      <c r="Q12" s="87">
        <f t="shared" si="1"/>
        <v>1.7811848625926937E-2</v>
      </c>
    </row>
    <row r="13" spans="1:18" x14ac:dyDescent="0.2">
      <c r="A13" s="85">
        <v>42278</v>
      </c>
      <c r="B13" s="86">
        <v>26.920438766479492</v>
      </c>
      <c r="C13" s="86">
        <v>13.751023292541504</v>
      </c>
      <c r="D13" s="86">
        <v>57.140785217285156</v>
      </c>
      <c r="E13" s="86">
        <v>122.25571441650391</v>
      </c>
      <c r="F13" s="86">
        <v>31.598348617553711</v>
      </c>
      <c r="G13" s="86">
        <v>39.389469146728516</v>
      </c>
      <c r="H13" s="86">
        <v>58.660324096679688</v>
      </c>
      <c r="J13" s="81">
        <f t="shared" si="0"/>
        <v>201510</v>
      </c>
      <c r="K13" s="87">
        <f t="shared" si="2"/>
        <v>8.0112545896992876E-2</v>
      </c>
      <c r="L13" s="87">
        <f t="shared" si="1"/>
        <v>7.7413580104768065E-2</v>
      </c>
      <c r="M13" s="87">
        <f t="shared" si="1"/>
        <v>0.1104119426051809</v>
      </c>
      <c r="N13" s="87">
        <f t="shared" si="1"/>
        <v>0.14580526552688375</v>
      </c>
      <c r="O13" s="87">
        <f t="shared" si="1"/>
        <v>6.2719862561449569E-2</v>
      </c>
      <c r="P13" s="87">
        <f t="shared" si="1"/>
        <v>0.1099566692785261</v>
      </c>
      <c r="Q13" s="87">
        <f t="shared" si="1"/>
        <v>5.9888136602207008E-2</v>
      </c>
    </row>
    <row r="14" spans="1:18" x14ac:dyDescent="0.2">
      <c r="A14" s="85">
        <v>42309</v>
      </c>
      <c r="B14" s="86">
        <v>26.650108337402344</v>
      </c>
      <c r="C14" s="86">
        <v>14.283694267272949</v>
      </c>
      <c r="D14" s="86">
        <v>57.510227203369141</v>
      </c>
      <c r="E14" s="86">
        <v>126.56768798828125</v>
      </c>
      <c r="F14" s="86">
        <v>31.7998046875</v>
      </c>
      <c r="G14" s="86">
        <v>38.200435638427734</v>
      </c>
      <c r="H14" s="86">
        <v>57.994194030761719</v>
      </c>
      <c r="J14" s="81">
        <f t="shared" si="0"/>
        <v>201511</v>
      </c>
      <c r="K14" s="87">
        <f t="shared" si="2"/>
        <v>-1.0092587750175687E-2</v>
      </c>
      <c r="L14" s="87">
        <f t="shared" si="1"/>
        <v>3.800538302457919E-2</v>
      </c>
      <c r="M14" s="87">
        <f t="shared" si="1"/>
        <v>6.4446576959299165E-3</v>
      </c>
      <c r="N14" s="87">
        <f t="shared" si="1"/>
        <v>3.4662377017262415E-2</v>
      </c>
      <c r="O14" s="87">
        <f t="shared" si="1"/>
        <v>6.3552875756070475E-3</v>
      </c>
      <c r="P14" s="87">
        <f t="shared" si="1"/>
        <v>-3.0651580343367596E-2</v>
      </c>
      <c r="Q14" s="87">
        <f t="shared" si="1"/>
        <v>-1.1420685919218911E-2</v>
      </c>
    </row>
    <row r="15" spans="1:18" x14ac:dyDescent="0.2">
      <c r="A15" s="85">
        <v>42339</v>
      </c>
      <c r="B15" s="86">
        <v>23.814020156860352</v>
      </c>
      <c r="C15" s="86">
        <v>13.79200267791748</v>
      </c>
      <c r="D15" s="86">
        <v>53.797588348388672</v>
      </c>
      <c r="E15" s="86">
        <v>131.68278503417969</v>
      </c>
      <c r="F15" s="86">
        <v>32.299308776855469</v>
      </c>
      <c r="G15" s="86">
        <v>38.063514709472656</v>
      </c>
      <c r="H15" s="86">
        <v>61.535507202148438</v>
      </c>
      <c r="J15" s="81">
        <f t="shared" si="0"/>
        <v>201512</v>
      </c>
      <c r="K15" s="87">
        <f t="shared" si="2"/>
        <v>-0.1125187263392932</v>
      </c>
      <c r="L15" s="87">
        <f t="shared" si="1"/>
        <v>-3.5029717557910532E-2</v>
      </c>
      <c r="M15" s="87">
        <f t="shared" si="1"/>
        <v>-6.6734156468842329E-2</v>
      </c>
      <c r="N15" s="87">
        <f t="shared" si="1"/>
        <v>3.961863874857921E-2</v>
      </c>
      <c r="O15" s="87">
        <f t="shared" si="1"/>
        <v>1.5585682037517746E-2</v>
      </c>
      <c r="P15" s="87">
        <f t="shared" si="1"/>
        <v>-3.5907155462911685E-3</v>
      </c>
      <c r="Q15" s="87">
        <f t="shared" si="1"/>
        <v>5.9271458470996893E-2</v>
      </c>
    </row>
    <row r="16" spans="1:18" x14ac:dyDescent="0.2">
      <c r="A16" s="85">
        <v>42370</v>
      </c>
      <c r="B16" s="86">
        <v>22.022190093994141</v>
      </c>
      <c r="C16" s="86">
        <v>11.620201110839844</v>
      </c>
      <c r="D16" s="86">
        <v>49.269584655761719</v>
      </c>
      <c r="E16" s="86">
        <v>123.93681335449219</v>
      </c>
      <c r="F16" s="86">
        <v>32.269229888916016</v>
      </c>
      <c r="G16" s="86">
        <v>36.829715728759766</v>
      </c>
      <c r="H16" s="86">
        <v>63.302318572998047</v>
      </c>
      <c r="J16" s="81">
        <f t="shared" si="0"/>
        <v>201601</v>
      </c>
      <c r="K16" s="87">
        <f t="shared" si="2"/>
        <v>-7.8223903799394104E-2</v>
      </c>
      <c r="L16" s="87">
        <f t="shared" si="1"/>
        <v>-0.17134384951068199</v>
      </c>
      <c r="M16" s="87">
        <f t="shared" si="1"/>
        <v>-8.7921693366758674E-2</v>
      </c>
      <c r="N16" s="87">
        <f t="shared" si="1"/>
        <v>-6.0624020713227214E-2</v>
      </c>
      <c r="O16" s="87">
        <f t="shared" si="1"/>
        <v>-9.3168873686195965E-4</v>
      </c>
      <c r="P16" s="87">
        <f t="shared" si="1"/>
        <v>-3.2951192191080218E-2</v>
      </c>
      <c r="Q16" s="87">
        <f t="shared" si="1"/>
        <v>2.830759571585002E-2</v>
      </c>
    </row>
    <row r="17" spans="1:17" x14ac:dyDescent="0.2">
      <c r="A17" s="85">
        <v>42401</v>
      </c>
      <c r="B17" s="86">
        <v>21.875143051147461</v>
      </c>
      <c r="C17" s="86">
        <v>10.28888988494873</v>
      </c>
      <c r="D17" s="86">
        <v>54.262760162353516</v>
      </c>
      <c r="E17" s="86">
        <v>124.10717010498047</v>
      </c>
      <c r="F17" s="86">
        <v>32.427120208740234</v>
      </c>
      <c r="G17" s="86">
        <v>36.495353698730469</v>
      </c>
      <c r="H17" s="86">
        <v>62.759742736816406</v>
      </c>
      <c r="J17" s="81">
        <f t="shared" si="0"/>
        <v>201602</v>
      </c>
      <c r="K17" s="87">
        <f t="shared" si="2"/>
        <v>-6.6996139549144974E-3</v>
      </c>
      <c r="L17" s="87">
        <f t="shared" si="1"/>
        <v>-0.12168039745000547</v>
      </c>
      <c r="M17" s="87">
        <f t="shared" si="1"/>
        <v>9.6531228570785624E-2</v>
      </c>
      <c r="N17" s="87">
        <f t="shared" si="1"/>
        <v>1.3736013661592192E-3</v>
      </c>
      <c r="O17" s="87">
        <f t="shared" si="1"/>
        <v>4.8809749869841374E-3</v>
      </c>
      <c r="P17" s="87">
        <f t="shared" si="1"/>
        <v>-9.1200553970149732E-3</v>
      </c>
      <c r="Q17" s="87">
        <f t="shared" si="1"/>
        <v>-8.6081281067414313E-3</v>
      </c>
    </row>
    <row r="18" spans="1:17" x14ac:dyDescent="0.2">
      <c r="A18" s="85">
        <v>42430</v>
      </c>
      <c r="B18" s="86">
        <v>24.791690826416016</v>
      </c>
      <c r="C18" s="86">
        <v>11.110686302185059</v>
      </c>
      <c r="D18" s="86">
        <v>61.348175048828125</v>
      </c>
      <c r="E18" s="86">
        <v>136.4774169921875</v>
      </c>
      <c r="F18" s="86">
        <v>34.878135681152344</v>
      </c>
      <c r="G18" s="86">
        <v>38.457866668701172</v>
      </c>
      <c r="H18" s="86">
        <v>64.338676452636719</v>
      </c>
      <c r="J18" s="81">
        <f t="shared" si="0"/>
        <v>201603</v>
      </c>
      <c r="K18" s="87">
        <f t="shared" si="2"/>
        <v>0.12515757800478472</v>
      </c>
      <c r="L18" s="87">
        <f t="shared" si="1"/>
        <v>7.6842713992453474E-2</v>
      </c>
      <c r="M18" s="87">
        <f t="shared" si="1"/>
        <v>0.12272724903020302</v>
      </c>
      <c r="N18" s="87">
        <f t="shared" si="1"/>
        <v>9.5013690282501298E-2</v>
      </c>
      <c r="O18" s="87">
        <f t="shared" si="1"/>
        <v>7.2865031951662274E-2</v>
      </c>
      <c r="P18" s="87">
        <f t="shared" si="1"/>
        <v>5.2378313229218938E-2</v>
      </c>
      <c r="Q18" s="87">
        <f t="shared" si="1"/>
        <v>2.4847121757947361E-2</v>
      </c>
    </row>
    <row r="19" spans="1:17" x14ac:dyDescent="0.2">
      <c r="A19" s="85">
        <v>42461</v>
      </c>
      <c r="B19" s="86">
        <v>21.322805404663086</v>
      </c>
      <c r="C19" s="86">
        <v>12.010884284973145</v>
      </c>
      <c r="D19" s="86">
        <v>62.293968200683594</v>
      </c>
      <c r="E19" s="86">
        <v>132.0125732421875</v>
      </c>
      <c r="F19" s="86">
        <v>33.945381164550781</v>
      </c>
      <c r="G19" s="86">
        <v>40.209407806396484</v>
      </c>
      <c r="H19" s="86">
        <v>62.626827239990234</v>
      </c>
      <c r="J19" s="81">
        <f t="shared" si="0"/>
        <v>201604</v>
      </c>
      <c r="K19" s="87">
        <f t="shared" si="2"/>
        <v>-0.15073137348251478</v>
      </c>
      <c r="L19" s="87">
        <f t="shared" si="1"/>
        <v>7.7905887320652456E-2</v>
      </c>
      <c r="M19" s="87">
        <f t="shared" si="1"/>
        <v>1.529917833845936E-2</v>
      </c>
      <c r="N19" s="87">
        <f t="shared" si="1"/>
        <v>-3.3261987772130817E-2</v>
      </c>
      <c r="O19" s="87">
        <f t="shared" si="1"/>
        <v>-2.7107351527032097E-2</v>
      </c>
      <c r="P19" s="87">
        <f t="shared" si="1"/>
        <v>4.453772349046875E-2</v>
      </c>
      <c r="Q19" s="87">
        <f t="shared" si="1"/>
        <v>-2.6967213991690907E-2</v>
      </c>
    </row>
    <row r="20" spans="1:17" x14ac:dyDescent="0.2">
      <c r="A20" s="85">
        <v>42491</v>
      </c>
      <c r="B20" s="86">
        <v>22.714914321899414</v>
      </c>
      <c r="C20" s="86">
        <v>12.200617790222168</v>
      </c>
      <c r="D20" s="86">
        <v>58.684749603271484</v>
      </c>
      <c r="E20" s="86">
        <v>129.78016662597656</v>
      </c>
      <c r="F20" s="86">
        <v>33.793838500976562</v>
      </c>
      <c r="G20" s="86">
        <v>41.250576019287109</v>
      </c>
      <c r="H20" s="86">
        <v>63.864894866943359</v>
      </c>
      <c r="J20" s="81">
        <f t="shared" si="0"/>
        <v>201605</v>
      </c>
      <c r="K20" s="87">
        <f t="shared" si="2"/>
        <v>6.3244551105423069E-2</v>
      </c>
      <c r="L20" s="87">
        <f t="shared" si="2"/>
        <v>1.5673326561636249E-2</v>
      </c>
      <c r="M20" s="87">
        <f t="shared" si="2"/>
        <v>-5.9684711747270511E-2</v>
      </c>
      <c r="N20" s="87">
        <f t="shared" si="2"/>
        <v>-1.7055176781704744E-2</v>
      </c>
      <c r="O20" s="87">
        <f t="shared" si="2"/>
        <v>-4.4743035759315574E-3</v>
      </c>
      <c r="P20" s="87">
        <f t="shared" si="2"/>
        <v>2.556408350699577E-2</v>
      </c>
      <c r="Q20" s="87">
        <f t="shared" si="2"/>
        <v>1.9576097852723538E-2</v>
      </c>
    </row>
    <row r="21" spans="1:17" x14ac:dyDescent="0.2">
      <c r="A21" s="85">
        <v>42522</v>
      </c>
      <c r="B21" s="86">
        <v>21.878301620483398</v>
      </c>
      <c r="C21" s="86">
        <v>10.946734428405762</v>
      </c>
      <c r="D21" s="86">
        <v>61.355537414550781</v>
      </c>
      <c r="E21" s="86">
        <v>135.14651489257812</v>
      </c>
      <c r="F21" s="86">
        <v>34.346958160400391</v>
      </c>
      <c r="G21" s="86">
        <v>42.240425109863281</v>
      </c>
      <c r="H21" s="86">
        <v>66.725563049316406</v>
      </c>
      <c r="J21" s="81">
        <f t="shared" si="0"/>
        <v>201606</v>
      </c>
      <c r="K21" s="87">
        <f t="shared" si="2"/>
        <v>-3.7526375254210348E-2</v>
      </c>
      <c r="L21" s="87">
        <f t="shared" si="2"/>
        <v>-0.10844540293191496</v>
      </c>
      <c r="M21" s="87">
        <f t="shared" si="2"/>
        <v>4.4505535739363132E-2</v>
      </c>
      <c r="N21" s="87">
        <f t="shared" si="2"/>
        <v>4.051749232835878E-2</v>
      </c>
      <c r="O21" s="87">
        <f t="shared" si="2"/>
        <v>1.6234967463728257E-2</v>
      </c>
      <c r="P21" s="87">
        <f t="shared" si="2"/>
        <v>2.3712626714200321E-2</v>
      </c>
      <c r="Q21" s="87">
        <f t="shared" si="2"/>
        <v>4.3818299294197727E-2</v>
      </c>
    </row>
    <row r="22" spans="1:17" x14ac:dyDescent="0.2">
      <c r="A22" s="85">
        <v>42552</v>
      </c>
      <c r="B22" s="86">
        <v>23.848718643188477</v>
      </c>
      <c r="C22" s="86">
        <v>11.993686676025391</v>
      </c>
      <c r="D22" s="86">
        <v>66.98040771484375</v>
      </c>
      <c r="E22" s="86">
        <v>134.69969177246094</v>
      </c>
      <c r="F22" s="86">
        <v>33.312366485595703</v>
      </c>
      <c r="G22" s="86">
        <v>43.361392974853516</v>
      </c>
      <c r="H22" s="86">
        <v>67.450592041015625</v>
      </c>
      <c r="J22" s="81">
        <f t="shared" si="0"/>
        <v>201607</v>
      </c>
      <c r="K22" s="87">
        <f t="shared" si="2"/>
        <v>8.623513816179551E-2</v>
      </c>
      <c r="L22" s="87">
        <f t="shared" si="2"/>
        <v>9.1339214944173519E-2</v>
      </c>
      <c r="M22" s="87">
        <f t="shared" si="2"/>
        <v>8.7714727971090062E-2</v>
      </c>
      <c r="N22" s="87">
        <f t="shared" si="2"/>
        <v>-3.3116902698709376E-3</v>
      </c>
      <c r="O22" s="87">
        <f t="shared" si="2"/>
        <v>-3.0584766483878673E-2</v>
      </c>
      <c r="P22" s="87">
        <f t="shared" si="2"/>
        <v>2.61917789178625E-2</v>
      </c>
      <c r="Q22" s="87">
        <f t="shared" si="2"/>
        <v>1.0807226483919692E-2</v>
      </c>
    </row>
    <row r="23" spans="1:17" x14ac:dyDescent="0.2">
      <c r="A23" s="85">
        <v>42583</v>
      </c>
      <c r="B23" s="86">
        <v>24.281248092651367</v>
      </c>
      <c r="C23" s="86">
        <v>13.359427452087402</v>
      </c>
      <c r="D23" s="86">
        <v>66.963760375976562</v>
      </c>
      <c r="E23" s="86">
        <v>135.13224792480469</v>
      </c>
      <c r="F23" s="86">
        <v>33.159671783447266</v>
      </c>
      <c r="G23" s="86">
        <v>46.414299011230469</v>
      </c>
      <c r="H23" s="86">
        <v>69.345252990722656</v>
      </c>
      <c r="J23" s="81">
        <f t="shared" si="0"/>
        <v>201608</v>
      </c>
      <c r="K23" s="87">
        <f t="shared" si="2"/>
        <v>1.7973878776992358E-2</v>
      </c>
      <c r="L23" s="87">
        <f t="shared" si="2"/>
        <v>0.10784191079531978</v>
      </c>
      <c r="M23" s="87">
        <f t="shared" si="2"/>
        <v>-2.4857131430489608E-4</v>
      </c>
      <c r="N23" s="87">
        <f t="shared" si="2"/>
        <v>3.2061180255853034E-3</v>
      </c>
      <c r="O23" s="87">
        <f t="shared" si="2"/>
        <v>-4.5942617288381865E-3</v>
      </c>
      <c r="P23" s="87">
        <f t="shared" si="2"/>
        <v>6.8038097684396906E-2</v>
      </c>
      <c r="Q23" s="87">
        <f t="shared" si="2"/>
        <v>2.7702334297312833E-2</v>
      </c>
    </row>
    <row r="24" spans="1:17" x14ac:dyDescent="0.2">
      <c r="A24" s="85">
        <v>42614</v>
      </c>
      <c r="B24" s="86">
        <v>26.011928558349609</v>
      </c>
      <c r="C24" s="86">
        <v>13.014127731323242</v>
      </c>
      <c r="D24" s="86">
        <v>72.536582946777344</v>
      </c>
      <c r="E24" s="86">
        <v>128.12472534179688</v>
      </c>
      <c r="F24" s="86">
        <v>32.312168121337891</v>
      </c>
      <c r="G24" s="86">
        <v>46.133392333984375</v>
      </c>
      <c r="H24" s="86">
        <v>71.283187866210938</v>
      </c>
      <c r="J24" s="81">
        <f t="shared" si="0"/>
        <v>201609</v>
      </c>
      <c r="K24" s="87">
        <f t="shared" si="2"/>
        <v>6.8850854499366329E-2</v>
      </c>
      <c r="L24" s="87">
        <f t="shared" si="2"/>
        <v>-2.6186795866382541E-2</v>
      </c>
      <c r="M24" s="87">
        <f t="shared" si="2"/>
        <v>7.9939443819599859E-2</v>
      </c>
      <c r="N24" s="87">
        <f t="shared" si="2"/>
        <v>-5.3249706970730691E-2</v>
      </c>
      <c r="O24" s="87">
        <f t="shared" si="2"/>
        <v>-2.5890550942572838E-2</v>
      </c>
      <c r="P24" s="87">
        <f t="shared" si="2"/>
        <v>-6.0705466730944053E-3</v>
      </c>
      <c r="Q24" s="87">
        <f t="shared" si="2"/>
        <v>2.7562810921209019E-2</v>
      </c>
    </row>
    <row r="25" spans="1:17" x14ac:dyDescent="0.2">
      <c r="A25" s="85">
        <v>42644</v>
      </c>
      <c r="B25" s="86">
        <v>26.124671936035156</v>
      </c>
      <c r="C25" s="86">
        <v>13.720968246459961</v>
      </c>
      <c r="D25" s="86">
        <v>68.197639465332031</v>
      </c>
      <c r="E25" s="86">
        <v>126.85781097412109</v>
      </c>
      <c r="F25" s="86">
        <v>32.637729644775391</v>
      </c>
      <c r="G25" s="86">
        <v>43.724033355712891</v>
      </c>
      <c r="H25" s="86">
        <v>68.940177917480469</v>
      </c>
      <c r="J25" s="81">
        <f t="shared" si="0"/>
        <v>201610</v>
      </c>
      <c r="K25" s="87">
        <f t="shared" si="2"/>
        <v>4.3249292188314607E-3</v>
      </c>
      <c r="L25" s="87">
        <f t="shared" si="2"/>
        <v>5.288967576595436E-2</v>
      </c>
      <c r="M25" s="87">
        <f t="shared" si="2"/>
        <v>-6.1681074660920196E-2</v>
      </c>
      <c r="N25" s="87">
        <f t="shared" si="2"/>
        <v>-9.9373456057151397E-3</v>
      </c>
      <c r="O25" s="87">
        <f t="shared" si="2"/>
        <v>1.0025088915409293E-2</v>
      </c>
      <c r="P25" s="87">
        <f t="shared" si="2"/>
        <v>-5.3639120129532786E-2</v>
      </c>
      <c r="Q25" s="87">
        <f t="shared" si="2"/>
        <v>-3.3421363469874427E-2</v>
      </c>
    </row>
    <row r="26" spans="1:17" x14ac:dyDescent="0.2">
      <c r="A26" s="85">
        <v>42675</v>
      </c>
      <c r="B26" s="86">
        <v>25.429792404174805</v>
      </c>
      <c r="C26" s="86">
        <v>17.562839508056641</v>
      </c>
      <c r="D26" s="86">
        <v>78.774200439453125</v>
      </c>
      <c r="E26" s="86">
        <v>134.09442138671875</v>
      </c>
      <c r="F26" s="86">
        <v>31.059724807739258</v>
      </c>
      <c r="G26" s="86">
        <v>45.563255310058594</v>
      </c>
      <c r="H26" s="86">
        <v>65.998817443847656</v>
      </c>
      <c r="J26" s="81">
        <f t="shared" si="0"/>
        <v>201611</v>
      </c>
      <c r="K26" s="87">
        <f t="shared" si="2"/>
        <v>-2.695873675523042E-2</v>
      </c>
      <c r="L26" s="87">
        <f t="shared" si="2"/>
        <v>0.24686008661963643</v>
      </c>
      <c r="M26" s="87">
        <f t="shared" si="2"/>
        <v>0.144175585359094</v>
      </c>
      <c r="N26" s="87">
        <f t="shared" si="2"/>
        <v>5.5477328414108178E-2</v>
      </c>
      <c r="O26" s="87">
        <f t="shared" si="2"/>
        <v>-4.9557012564922502E-2</v>
      </c>
      <c r="P26" s="87">
        <f t="shared" si="2"/>
        <v>4.1203673780362909E-2</v>
      </c>
      <c r="Q26" s="87">
        <f t="shared" si="2"/>
        <v>-4.3602317495291337E-2</v>
      </c>
    </row>
    <row r="27" spans="1:17" x14ac:dyDescent="0.2">
      <c r="A27" s="85">
        <v>42705</v>
      </c>
      <c r="B27" s="86">
        <v>26.786106109619141</v>
      </c>
      <c r="C27" s="86">
        <v>18.445966720581055</v>
      </c>
      <c r="D27" s="86">
        <v>76.449539184570312</v>
      </c>
      <c r="E27" s="86">
        <v>137.75625610351562</v>
      </c>
      <c r="F27" s="86">
        <v>32.183963775634766</v>
      </c>
      <c r="G27" s="86">
        <v>43.835731506347656</v>
      </c>
      <c r="H27" s="86">
        <v>67.295433044433594</v>
      </c>
      <c r="J27" s="81">
        <f t="shared" si="0"/>
        <v>201612</v>
      </c>
      <c r="K27" s="87">
        <f t="shared" si="2"/>
        <v>5.1961908362050134E-2</v>
      </c>
      <c r="L27" s="87">
        <f t="shared" si="2"/>
        <v>4.9060462331500569E-2</v>
      </c>
      <c r="M27" s="87">
        <f t="shared" si="2"/>
        <v>-2.9954632978081396E-2</v>
      </c>
      <c r="N27" s="87">
        <f t="shared" si="2"/>
        <v>2.6941674336204806E-2</v>
      </c>
      <c r="O27" s="87">
        <f t="shared" si="2"/>
        <v>3.5556351447274918E-2</v>
      </c>
      <c r="P27" s="87">
        <f t="shared" si="2"/>
        <v>-3.8652314456780801E-2</v>
      </c>
      <c r="Q27" s="87">
        <f t="shared" si="2"/>
        <v>1.9455550333002832E-2</v>
      </c>
    </row>
    <row r="28" spans="1:17" x14ac:dyDescent="0.2">
      <c r="A28" s="85">
        <v>42736</v>
      </c>
      <c r="B28" s="86">
        <v>28.065046310424805</v>
      </c>
      <c r="C28" s="86">
        <v>18.896684646606445</v>
      </c>
      <c r="D28" s="86">
        <v>78.856643676757812</v>
      </c>
      <c r="E28" s="86">
        <v>130.44786071777344</v>
      </c>
      <c r="F28" s="86">
        <v>32.269359588623047</v>
      </c>
      <c r="G28" s="86">
        <v>46.513149261474609</v>
      </c>
      <c r="H28" s="86">
        <v>70.112747192382812</v>
      </c>
      <c r="J28" s="81">
        <f t="shared" si="0"/>
        <v>201701</v>
      </c>
      <c r="K28" s="87">
        <f t="shared" si="2"/>
        <v>4.6641574165313872E-2</v>
      </c>
      <c r="L28" s="87">
        <f t="shared" si="2"/>
        <v>2.4140750496815161E-2</v>
      </c>
      <c r="M28" s="87">
        <f t="shared" si="2"/>
        <v>3.1000662329560412E-2</v>
      </c>
      <c r="N28" s="87">
        <f t="shared" si="2"/>
        <v>-5.4512251163415161E-2</v>
      </c>
      <c r="O28" s="87">
        <f t="shared" si="2"/>
        <v>2.6498513497712158E-3</v>
      </c>
      <c r="P28" s="87">
        <f t="shared" si="2"/>
        <v>5.9285779810754863E-2</v>
      </c>
      <c r="Q28" s="87">
        <f t="shared" si="2"/>
        <v>4.1012245800317822E-2</v>
      </c>
    </row>
    <row r="29" spans="1:17" x14ac:dyDescent="0.2">
      <c r="A29" s="85">
        <v>42767</v>
      </c>
      <c r="B29" s="86">
        <v>31.682180404663086</v>
      </c>
      <c r="C29" s="86">
        <v>20.599382400512695</v>
      </c>
      <c r="D29" s="86">
        <v>80.342132568359375</v>
      </c>
      <c r="E29" s="86">
        <v>130.93101501464844</v>
      </c>
      <c r="F29" s="86">
        <v>32.572101593017578</v>
      </c>
      <c r="G29" s="86">
        <v>49.424427032470703</v>
      </c>
      <c r="H29" s="86">
        <v>73.467689514160156</v>
      </c>
      <c r="J29" s="81">
        <f t="shared" si="0"/>
        <v>201702</v>
      </c>
      <c r="K29" s="87">
        <f t="shared" si="2"/>
        <v>0.12122949197667585</v>
      </c>
      <c r="L29" s="87">
        <f t="shared" si="2"/>
        <v>8.6274603633447633E-2</v>
      </c>
      <c r="M29" s="87">
        <f t="shared" si="2"/>
        <v>1.8662605854392875E-2</v>
      </c>
      <c r="N29" s="87">
        <f t="shared" si="2"/>
        <v>3.6969693577336574E-3</v>
      </c>
      <c r="O29" s="87">
        <f t="shared" si="2"/>
        <v>9.3379821721101142E-3</v>
      </c>
      <c r="P29" s="87">
        <f t="shared" si="2"/>
        <v>6.0709723887944975E-2</v>
      </c>
      <c r="Q29" s="87">
        <f t="shared" si="2"/>
        <v>4.6741090638501001E-2</v>
      </c>
    </row>
    <row r="30" spans="1:17" x14ac:dyDescent="0.2">
      <c r="A30" s="85">
        <v>42795</v>
      </c>
      <c r="B30" s="86">
        <v>33.368808746337891</v>
      </c>
      <c r="C30" s="86">
        <v>19.689607620239258</v>
      </c>
      <c r="D30" s="86">
        <v>77.100509643554688</v>
      </c>
      <c r="E30" s="86">
        <v>131.9310302734375</v>
      </c>
      <c r="F30" s="86">
        <v>32.9447021484375</v>
      </c>
      <c r="G30" s="86">
        <v>47.676174163818359</v>
      </c>
      <c r="H30" s="86">
        <v>72.4835205078125</v>
      </c>
      <c r="J30" s="81">
        <f t="shared" si="0"/>
        <v>201703</v>
      </c>
      <c r="K30" s="87">
        <f t="shared" si="2"/>
        <v>5.1867203301793938E-2</v>
      </c>
      <c r="L30" s="87">
        <f t="shared" si="2"/>
        <v>-4.5170130206024318E-2</v>
      </c>
      <c r="M30" s="87">
        <f t="shared" si="2"/>
        <v>-4.1184282159823851E-2</v>
      </c>
      <c r="N30" s="87">
        <f t="shared" si="2"/>
        <v>7.60870655274713E-3</v>
      </c>
      <c r="O30" s="87">
        <f t="shared" si="2"/>
        <v>1.1374320822694359E-2</v>
      </c>
      <c r="P30" s="87">
        <f t="shared" si="2"/>
        <v>-3.6012996638335071E-2</v>
      </c>
      <c r="Q30" s="87">
        <f t="shared" si="2"/>
        <v>-1.3486478437474645E-2</v>
      </c>
    </row>
    <row r="31" spans="1:17" x14ac:dyDescent="0.2">
      <c r="A31" s="85">
        <v>42826</v>
      </c>
      <c r="B31" s="86">
        <v>33.366470336914062</v>
      </c>
      <c r="C31" s="86">
        <v>19.540323257446289</v>
      </c>
      <c r="D31" s="86">
        <v>84.996757507324219</v>
      </c>
      <c r="E31" s="86">
        <v>128.34500122070312</v>
      </c>
      <c r="F31" s="86">
        <v>33.791511535644531</v>
      </c>
      <c r="G31" s="86">
        <v>47.105754852294922</v>
      </c>
      <c r="H31" s="86">
        <v>70.450584411621094</v>
      </c>
      <c r="J31" s="81">
        <f t="shared" si="0"/>
        <v>201704</v>
      </c>
      <c r="K31" s="87">
        <f t="shared" si="2"/>
        <v>-7.008015720942608E-5</v>
      </c>
      <c r="L31" s="87">
        <f t="shared" si="2"/>
        <v>-7.6107747348320796E-3</v>
      </c>
      <c r="M31" s="87">
        <f t="shared" si="2"/>
        <v>9.7503218079772649E-2</v>
      </c>
      <c r="N31" s="87">
        <f t="shared" si="2"/>
        <v>-2.7557328018547374E-2</v>
      </c>
      <c r="O31" s="87">
        <f t="shared" si="2"/>
        <v>2.537916949799425E-2</v>
      </c>
      <c r="P31" s="87">
        <f t="shared" si="2"/>
        <v>-1.2036602425821443E-2</v>
      </c>
      <c r="Q31" s="87">
        <f t="shared" si="2"/>
        <v>-2.8447698962700028E-2</v>
      </c>
    </row>
    <row r="32" spans="1:17" x14ac:dyDescent="0.2">
      <c r="A32" s="85">
        <v>42856</v>
      </c>
      <c r="B32" s="86">
        <v>35.482509613037109</v>
      </c>
      <c r="C32" s="86">
        <v>18.761724472045898</v>
      </c>
      <c r="D32" s="86">
        <v>88.359489440917969</v>
      </c>
      <c r="E32" s="86">
        <v>121.2171630859375</v>
      </c>
      <c r="F32" s="86">
        <v>35.60833740234375</v>
      </c>
      <c r="G32" s="86">
        <v>49.206737518310547</v>
      </c>
      <c r="H32" s="86">
        <v>71.60784912109375</v>
      </c>
      <c r="J32" s="81">
        <f t="shared" si="0"/>
        <v>201705</v>
      </c>
      <c r="K32" s="87">
        <f t="shared" si="2"/>
        <v>6.1488374487385741E-2</v>
      </c>
      <c r="L32" s="87">
        <f t="shared" si="2"/>
        <v>-4.0661327677236021E-2</v>
      </c>
      <c r="M32" s="87">
        <f t="shared" si="2"/>
        <v>3.8800491575393732E-2</v>
      </c>
      <c r="N32" s="87">
        <f t="shared" si="2"/>
        <v>-5.7138286860245614E-2</v>
      </c>
      <c r="O32" s="87">
        <f t="shared" si="2"/>
        <v>5.2370174183406261E-2</v>
      </c>
      <c r="P32" s="87">
        <f t="shared" si="2"/>
        <v>4.36353782926363E-2</v>
      </c>
      <c r="Q32" s="87">
        <f t="shared" si="2"/>
        <v>1.6293158834452093E-2</v>
      </c>
    </row>
    <row r="33" spans="1:17" x14ac:dyDescent="0.2">
      <c r="A33" s="85">
        <v>42887</v>
      </c>
      <c r="B33" s="86">
        <v>33.590518951416016</v>
      </c>
      <c r="C33" s="86">
        <v>20.377256393432617</v>
      </c>
      <c r="D33" s="86">
        <v>90.060798645019531</v>
      </c>
      <c r="E33" s="86">
        <v>119.57908630371094</v>
      </c>
      <c r="F33" s="86">
        <v>35.122798919677734</v>
      </c>
      <c r="G33" s="86">
        <v>48.435874938964844</v>
      </c>
      <c r="H33" s="86">
        <v>70.843719482421875</v>
      </c>
      <c r="J33" s="81">
        <f t="shared" si="0"/>
        <v>201706</v>
      </c>
      <c r="K33" s="87">
        <f t="shared" si="2"/>
        <v>-5.4796035029003667E-2</v>
      </c>
      <c r="L33" s="87">
        <f t="shared" si="2"/>
        <v>8.260053406092259E-2</v>
      </c>
      <c r="M33" s="87">
        <f t="shared" si="2"/>
        <v>1.9071382390268711E-2</v>
      </c>
      <c r="N33" s="87">
        <f t="shared" si="2"/>
        <v>-1.3605710684716032E-2</v>
      </c>
      <c r="O33" s="87">
        <f t="shared" si="2"/>
        <v>-1.372934565130572E-2</v>
      </c>
      <c r="P33" s="87">
        <f t="shared" si="2"/>
        <v>-1.5789798648130675E-2</v>
      </c>
      <c r="Q33" s="87">
        <f t="shared" si="2"/>
        <v>-1.0728375619882796E-2</v>
      </c>
    </row>
    <row r="34" spans="1:17" x14ac:dyDescent="0.2">
      <c r="A34" s="85">
        <v>42917</v>
      </c>
      <c r="B34" s="86">
        <v>34.689037322998047</v>
      </c>
      <c r="C34" s="86">
        <v>20.259670257568359</v>
      </c>
      <c r="D34" s="86">
        <v>95.5</v>
      </c>
      <c r="E34" s="86">
        <v>114.33748626708984</v>
      </c>
      <c r="F34" s="86">
        <v>36.193511962890625</v>
      </c>
      <c r="G34" s="86">
        <v>48.632148742675781</v>
      </c>
      <c r="H34" s="86">
        <v>73.827049255371094</v>
      </c>
      <c r="J34" s="81">
        <f t="shared" si="0"/>
        <v>201707</v>
      </c>
      <c r="K34" s="87">
        <f t="shared" si="2"/>
        <v>3.2179856660584157E-2</v>
      </c>
      <c r="L34" s="87">
        <f t="shared" si="2"/>
        <v>-5.7871730827819511E-3</v>
      </c>
      <c r="M34" s="87">
        <f t="shared" si="2"/>
        <v>5.8641264730976222E-2</v>
      </c>
      <c r="N34" s="87">
        <f t="shared" si="2"/>
        <v>-4.4823481670812723E-2</v>
      </c>
      <c r="O34" s="87">
        <f t="shared" si="2"/>
        <v>3.0029413742128537E-2</v>
      </c>
      <c r="P34" s="87">
        <f t="shared" si="2"/>
        <v>4.0440520731919276E-3</v>
      </c>
      <c r="Q34" s="87">
        <f t="shared" si="2"/>
        <v>4.1248868594813012E-2</v>
      </c>
    </row>
    <row r="35" spans="1:17" x14ac:dyDescent="0.2">
      <c r="A35" s="85">
        <v>42948</v>
      </c>
      <c r="B35" s="86">
        <v>38.250541687011719</v>
      </c>
      <c r="C35" s="86">
        <v>20.066478729248047</v>
      </c>
      <c r="D35" s="86">
        <v>99.177581787109375</v>
      </c>
      <c r="E35" s="86">
        <v>109.60500335693359</v>
      </c>
      <c r="F35" s="86">
        <v>35.964530944824219</v>
      </c>
      <c r="G35" s="86">
        <v>48.616916656494141</v>
      </c>
      <c r="H35" s="86">
        <v>75.594184875488281</v>
      </c>
      <c r="J35" s="81">
        <f t="shared" si="0"/>
        <v>201708</v>
      </c>
      <c r="K35" s="87">
        <f t="shared" si="2"/>
        <v>9.7734012178057689E-2</v>
      </c>
      <c r="L35" s="87">
        <f t="shared" si="2"/>
        <v>-9.5815251978047071E-3</v>
      </c>
      <c r="M35" s="87">
        <f t="shared" si="2"/>
        <v>3.778575121524274E-2</v>
      </c>
      <c r="N35" s="87">
        <f t="shared" si="2"/>
        <v>-4.2271456335086749E-2</v>
      </c>
      <c r="O35" s="87">
        <f t="shared" si="2"/>
        <v>-6.3466739799707631E-3</v>
      </c>
      <c r="P35" s="87">
        <f t="shared" si="2"/>
        <v>-3.1325928416240284E-4</v>
      </c>
      <c r="Q35" s="87">
        <f t="shared" si="2"/>
        <v>2.3654175061147503E-2</v>
      </c>
    </row>
    <row r="36" spans="1:17" x14ac:dyDescent="0.2">
      <c r="A36" s="85">
        <v>42979</v>
      </c>
      <c r="B36" s="86">
        <v>36.087345123291016</v>
      </c>
      <c r="C36" s="86">
        <v>21.393281936645508</v>
      </c>
      <c r="D36" s="86">
        <v>105.27223205566406</v>
      </c>
      <c r="E36" s="86">
        <v>107.95313262939453</v>
      </c>
      <c r="F36" s="86">
        <v>35.538181304931641</v>
      </c>
      <c r="G36" s="86">
        <v>48.746341705322266</v>
      </c>
      <c r="H36" s="86">
        <v>74.537330627441406</v>
      </c>
      <c r="J36" s="81">
        <f t="shared" si="0"/>
        <v>201709</v>
      </c>
      <c r="K36" s="87">
        <f t="shared" si="2"/>
        <v>-5.8215468643955222E-2</v>
      </c>
      <c r="L36" s="87">
        <f t="shared" si="2"/>
        <v>6.4026246597183076E-2</v>
      </c>
      <c r="M36" s="87">
        <f t="shared" si="2"/>
        <v>5.9637682487126219E-2</v>
      </c>
      <c r="N36" s="87">
        <f t="shared" si="2"/>
        <v>-1.5185848736512606E-2</v>
      </c>
      <c r="O36" s="87">
        <f t="shared" si="2"/>
        <v>-1.192555301407486E-2</v>
      </c>
      <c r="P36" s="87">
        <f t="shared" si="2"/>
        <v>2.6586029933455095E-3</v>
      </c>
      <c r="Q36" s="87">
        <f t="shared" si="2"/>
        <v>-1.4079278457359861E-2</v>
      </c>
    </row>
    <row r="37" spans="1:17" x14ac:dyDescent="0.2">
      <c r="A37" s="85">
        <v>43009</v>
      </c>
      <c r="B37" s="86">
        <v>39.580875396728516</v>
      </c>
      <c r="C37" s="86">
        <v>23.123992919921875</v>
      </c>
      <c r="D37" s="86">
        <v>114.63370513916016</v>
      </c>
      <c r="E37" s="86">
        <v>90.904899597167969</v>
      </c>
      <c r="F37" s="86">
        <v>36.592918395996094</v>
      </c>
      <c r="G37" s="86">
        <v>42.243625640869141</v>
      </c>
      <c r="H37" s="86">
        <v>70.735931396484375</v>
      </c>
      <c r="J37" s="81">
        <f t="shared" si="0"/>
        <v>201710</v>
      </c>
      <c r="K37" s="87">
        <f t="shared" si="2"/>
        <v>9.240380379785551E-2</v>
      </c>
      <c r="L37" s="87">
        <f t="shared" si="2"/>
        <v>7.7793788493501936E-2</v>
      </c>
      <c r="M37" s="87">
        <f t="shared" si="2"/>
        <v>8.51921910113322E-2</v>
      </c>
      <c r="N37" s="87">
        <f t="shared" si="2"/>
        <v>-0.17188327511256443</v>
      </c>
      <c r="O37" s="87">
        <f t="shared" si="2"/>
        <v>2.9247087008162542E-2</v>
      </c>
      <c r="P37" s="87">
        <f t="shared" si="2"/>
        <v>-0.14317668267062886</v>
      </c>
      <c r="Q37" s="87">
        <f t="shared" si="2"/>
        <v>-5.2346414902757613E-2</v>
      </c>
    </row>
    <row r="38" spans="1:17" x14ac:dyDescent="0.2">
      <c r="A38" s="85">
        <v>43040</v>
      </c>
      <c r="B38" s="86">
        <v>40.238845825195312</v>
      </c>
      <c r="C38" s="86">
        <v>23.782506942749023</v>
      </c>
      <c r="D38" s="86">
        <v>119.86054992675781</v>
      </c>
      <c r="E38" s="86">
        <v>82.472732543945312</v>
      </c>
      <c r="F38" s="86">
        <v>36.425796508789062</v>
      </c>
      <c r="G38" s="86">
        <v>42.381656646728516</v>
      </c>
      <c r="H38" s="86">
        <v>74.278709411621094</v>
      </c>
      <c r="J38" s="81">
        <f t="shared" si="0"/>
        <v>201711</v>
      </c>
      <c r="K38" s="87">
        <f t="shared" si="2"/>
        <v>1.6486786025572076E-2</v>
      </c>
      <c r="L38" s="87">
        <f t="shared" si="2"/>
        <v>2.8079574983826204E-2</v>
      </c>
      <c r="M38" s="87">
        <f t="shared" si="2"/>
        <v>4.4587110894865029E-2</v>
      </c>
      <c r="N38" s="87">
        <f t="shared" si="2"/>
        <v>-9.7346176599976394E-2</v>
      </c>
      <c r="O38" s="87">
        <f t="shared" si="2"/>
        <v>-4.577516305038349E-3</v>
      </c>
      <c r="P38" s="87">
        <f t="shared" si="2"/>
        <v>3.262172356438219E-3</v>
      </c>
      <c r="Q38" s="87">
        <f t="shared" si="2"/>
        <v>4.8870694461448247E-2</v>
      </c>
    </row>
    <row r="39" spans="1:17" x14ac:dyDescent="0.2">
      <c r="A39" s="85">
        <v>43070</v>
      </c>
      <c r="B39" s="86">
        <v>39.767807006835938</v>
      </c>
      <c r="C39" s="86">
        <v>25.0284423828125</v>
      </c>
      <c r="D39" s="86">
        <v>133.81245422363281</v>
      </c>
      <c r="E39" s="86">
        <v>78.685043334960938</v>
      </c>
      <c r="F39" s="86">
        <v>36.812698364257812</v>
      </c>
      <c r="G39" s="86">
        <v>43.148468017578125</v>
      </c>
      <c r="H39" s="86">
        <v>75.838737487792969</v>
      </c>
      <c r="J39" s="81">
        <f t="shared" si="0"/>
        <v>201712</v>
      </c>
      <c r="K39" s="87">
        <f t="shared" si="2"/>
        <v>-1.1775127299449644E-2</v>
      </c>
      <c r="L39" s="87">
        <f t="shared" si="2"/>
        <v>5.1062565470600896E-2</v>
      </c>
      <c r="M39" s="87">
        <f t="shared" si="2"/>
        <v>0.11011024116123642</v>
      </c>
      <c r="N39" s="87">
        <f t="shared" si="2"/>
        <v>-4.7014633297322618E-2</v>
      </c>
      <c r="O39" s="87">
        <f t="shared" si="2"/>
        <v>1.0565630966876013E-2</v>
      </c>
      <c r="P39" s="87">
        <f t="shared" si="2"/>
        <v>1.7931270879149447E-2</v>
      </c>
      <c r="Q39" s="87">
        <f t="shared" si="2"/>
        <v>2.0784849067106738E-2</v>
      </c>
    </row>
    <row r="40" spans="1:17" x14ac:dyDescent="0.2">
      <c r="A40" s="85">
        <v>43101</v>
      </c>
      <c r="B40" s="86">
        <v>39.344818115234375</v>
      </c>
      <c r="C40" s="86">
        <v>27.131105422973633</v>
      </c>
      <c r="D40" s="86">
        <v>138.22813415527344</v>
      </c>
      <c r="E40" s="86">
        <v>73.416732788085938</v>
      </c>
      <c r="F40" s="86">
        <v>38.184745788574219</v>
      </c>
      <c r="G40" s="86">
        <v>45.820034027099609</v>
      </c>
      <c r="H40" s="86">
        <v>71.265975952148438</v>
      </c>
      <c r="J40" s="81">
        <f t="shared" si="0"/>
        <v>201801</v>
      </c>
      <c r="K40" s="87">
        <f t="shared" si="2"/>
        <v>-1.0693436645751691E-2</v>
      </c>
      <c r="L40" s="87">
        <f t="shared" si="2"/>
        <v>8.0667997754951898E-2</v>
      </c>
      <c r="M40" s="87">
        <f t="shared" si="2"/>
        <v>3.2466242011579653E-2</v>
      </c>
      <c r="N40" s="87">
        <f t="shared" si="2"/>
        <v>-6.9301214012428045E-2</v>
      </c>
      <c r="O40" s="87">
        <f t="shared" si="2"/>
        <v>3.659326105462677E-2</v>
      </c>
      <c r="P40" s="87">
        <f t="shared" si="2"/>
        <v>6.0074506399636095E-2</v>
      </c>
      <c r="Q40" s="87">
        <f t="shared" si="2"/>
        <v>-6.2190192854916074E-2</v>
      </c>
    </row>
    <row r="41" spans="1:17" x14ac:dyDescent="0.2">
      <c r="A41" s="85">
        <v>43132</v>
      </c>
      <c r="B41" s="86">
        <v>41.856899261474609</v>
      </c>
      <c r="C41" s="86">
        <v>27.215888977050781</v>
      </c>
      <c r="D41" s="86">
        <v>131.91683959960938</v>
      </c>
      <c r="E41" s="86">
        <v>64.063690185546875</v>
      </c>
      <c r="F41" s="86">
        <v>34.678390502929688</v>
      </c>
      <c r="G41" s="86">
        <v>41.930152893066406</v>
      </c>
      <c r="H41" s="86">
        <v>65.305351257324219</v>
      </c>
      <c r="J41" s="81">
        <f t="shared" si="0"/>
        <v>201802</v>
      </c>
      <c r="K41" s="87">
        <f t="shared" si="2"/>
        <v>6.1892361094606989E-2</v>
      </c>
      <c r="L41" s="87">
        <f t="shared" si="2"/>
        <v>3.1200850679340563E-3</v>
      </c>
      <c r="M41" s="87">
        <f t="shared" si="2"/>
        <v>-4.6733745250258807E-2</v>
      </c>
      <c r="N41" s="87">
        <f t="shared" si="2"/>
        <v>-0.13627412911379863</v>
      </c>
      <c r="O41" s="87">
        <f t="shared" si="2"/>
        <v>-9.6319370069431393E-2</v>
      </c>
      <c r="P41" s="87">
        <f t="shared" si="2"/>
        <v>-8.8716212086114077E-2</v>
      </c>
      <c r="Q41" s="87">
        <f t="shared" si="2"/>
        <v>-8.7345036168900103E-2</v>
      </c>
    </row>
    <row r="42" spans="1:17" x14ac:dyDescent="0.2">
      <c r="A42" s="85">
        <v>43160</v>
      </c>
      <c r="B42" s="86">
        <v>39.587825775146484</v>
      </c>
      <c r="C42" s="86">
        <v>25.426931381225586</v>
      </c>
      <c r="D42" s="86">
        <v>125.73177337646484</v>
      </c>
      <c r="E42" s="86">
        <v>61.709823608398438</v>
      </c>
      <c r="F42" s="86">
        <v>34.846893310546875</v>
      </c>
      <c r="G42" s="86">
        <v>42.123489379882812</v>
      </c>
      <c r="H42" s="86">
        <v>65.937431335449219</v>
      </c>
      <c r="J42" s="81">
        <f t="shared" si="0"/>
        <v>201803</v>
      </c>
      <c r="K42" s="87">
        <f t="shared" si="2"/>
        <v>-5.5734999179460801E-2</v>
      </c>
      <c r="L42" s="87">
        <f t="shared" si="2"/>
        <v>-6.7992053405853015E-2</v>
      </c>
      <c r="M42" s="87">
        <f t="shared" si="2"/>
        <v>-4.8020865871570124E-2</v>
      </c>
      <c r="N42" s="87">
        <f t="shared" si="2"/>
        <v>-3.7434613733103493E-2</v>
      </c>
      <c r="O42" s="87">
        <f t="shared" si="2"/>
        <v>4.8472477435678712E-3</v>
      </c>
      <c r="P42" s="87">
        <f t="shared" si="2"/>
        <v>4.6003200468713078E-3</v>
      </c>
      <c r="Q42" s="87">
        <f t="shared" si="2"/>
        <v>9.6323005764841676E-3</v>
      </c>
    </row>
    <row r="43" spans="1:17" x14ac:dyDescent="0.2">
      <c r="A43" s="85">
        <v>43191</v>
      </c>
      <c r="B43" s="86">
        <v>38.993221282958984</v>
      </c>
      <c r="C43" s="86">
        <v>25.462774276733398</v>
      </c>
      <c r="D43" s="86">
        <v>123.15538024902344</v>
      </c>
      <c r="E43" s="86">
        <v>64.410751342773438</v>
      </c>
      <c r="F43" s="86">
        <v>34.976413726806641</v>
      </c>
      <c r="G43" s="86">
        <v>45.924278259277344</v>
      </c>
      <c r="H43" s="86">
        <v>60.165420532226562</v>
      </c>
      <c r="J43" s="81">
        <f t="shared" si="0"/>
        <v>201804</v>
      </c>
      <c r="K43" s="87">
        <f t="shared" si="2"/>
        <v>-1.5133823308716224E-2</v>
      </c>
      <c r="L43" s="87">
        <f t="shared" si="2"/>
        <v>1.4086503732455981E-3</v>
      </c>
      <c r="M43" s="87">
        <f t="shared" si="2"/>
        <v>-2.0704042950790109E-2</v>
      </c>
      <c r="N43" s="87">
        <f t="shared" si="2"/>
        <v>4.2837431559537134E-2</v>
      </c>
      <c r="O43" s="87">
        <f t="shared" si="2"/>
        <v>3.7099521724918635E-3</v>
      </c>
      <c r="P43" s="87">
        <f t="shared" si="2"/>
        <v>8.6388387727349455E-2</v>
      </c>
      <c r="Q43" s="87">
        <f t="shared" si="2"/>
        <v>-9.1608504797120738E-2</v>
      </c>
    </row>
    <row r="44" spans="1:17" x14ac:dyDescent="0.2">
      <c r="A44" s="85">
        <v>43221</v>
      </c>
      <c r="B44" s="86">
        <v>44.092113494873047</v>
      </c>
      <c r="C44" s="86">
        <v>24.713869094848633</v>
      </c>
      <c r="D44" s="86">
        <v>130.24884033203125</v>
      </c>
      <c r="E44" s="86">
        <v>64.45654296875</v>
      </c>
      <c r="F44" s="86">
        <v>34.806442260742188</v>
      </c>
      <c r="G44" s="86">
        <v>46.439140319824219</v>
      </c>
      <c r="H44" s="86">
        <v>61.418876647949219</v>
      </c>
      <c r="J44" s="81">
        <f t="shared" si="0"/>
        <v>201805</v>
      </c>
      <c r="K44" s="87">
        <f t="shared" si="2"/>
        <v>0.12289311637968155</v>
      </c>
      <c r="L44" s="87">
        <f t="shared" si="2"/>
        <v>-2.9852965419600488E-2</v>
      </c>
      <c r="M44" s="87">
        <f t="shared" si="2"/>
        <v>5.5999964997481347E-2</v>
      </c>
      <c r="N44" s="87">
        <f t="shared" si="2"/>
        <v>7.1067881340292093E-4</v>
      </c>
      <c r="O44" s="87">
        <f t="shared" si="2"/>
        <v>-4.8714487187960778E-3</v>
      </c>
      <c r="P44" s="87">
        <f t="shared" si="2"/>
        <v>1.114872968799324E-2</v>
      </c>
      <c r="Q44" s="87">
        <f t="shared" si="2"/>
        <v>2.0619447652355311E-2</v>
      </c>
    </row>
    <row r="45" spans="1:17" x14ac:dyDescent="0.2">
      <c r="A45" s="85">
        <v>43252</v>
      </c>
      <c r="B45" s="86">
        <v>43.845264434814453</v>
      </c>
      <c r="C45" s="86">
        <v>24.08851432800293</v>
      </c>
      <c r="D45" s="86">
        <v>116.32456207275391</v>
      </c>
      <c r="E45" s="86">
        <v>62.304946899414062</v>
      </c>
      <c r="F45" s="86">
        <v>35.5025634765625</v>
      </c>
      <c r="G45" s="86">
        <v>47.351848602294922</v>
      </c>
      <c r="H45" s="86">
        <v>65.523536682128906</v>
      </c>
      <c r="J45" s="81">
        <f t="shared" si="0"/>
        <v>201806</v>
      </c>
      <c r="K45" s="87">
        <f t="shared" si="2"/>
        <v>-5.6142158032929648E-3</v>
      </c>
      <c r="L45" s="87">
        <f t="shared" si="2"/>
        <v>-2.5629444872393648E-2</v>
      </c>
      <c r="M45" s="87">
        <f t="shared" si="2"/>
        <v>-0.11306254415656831</v>
      </c>
      <c r="N45" s="87">
        <f t="shared" si="2"/>
        <v>-3.395041718006786E-2</v>
      </c>
      <c r="O45" s="87">
        <f t="shared" si="2"/>
        <v>1.9802412399198676E-2</v>
      </c>
      <c r="P45" s="87">
        <f t="shared" si="2"/>
        <v>1.9463215074491332E-2</v>
      </c>
      <c r="Q45" s="87">
        <f t="shared" si="2"/>
        <v>6.4692191586027514E-2</v>
      </c>
    </row>
    <row r="46" spans="1:17" x14ac:dyDescent="0.2">
      <c r="A46" s="85">
        <v>43282</v>
      </c>
      <c r="B46" s="86">
        <v>45.072208404541016</v>
      </c>
      <c r="C46" s="86">
        <v>26.38713264465332</v>
      </c>
      <c r="D46" s="86">
        <v>123.29528045654297</v>
      </c>
      <c r="E46" s="86">
        <v>62.9503173828125</v>
      </c>
      <c r="F46" s="86">
        <v>38.080902099609375</v>
      </c>
      <c r="G46" s="86">
        <v>51.782058715820312</v>
      </c>
      <c r="H46" s="86">
        <v>67.890655517578125</v>
      </c>
      <c r="J46" s="81">
        <f t="shared" si="0"/>
        <v>201807</v>
      </c>
      <c r="K46" s="87">
        <f t="shared" si="2"/>
        <v>2.7599116595949075E-2</v>
      </c>
      <c r="L46" s="87">
        <f t="shared" si="2"/>
        <v>9.1141348516515522E-2</v>
      </c>
      <c r="M46" s="87">
        <f t="shared" si="2"/>
        <v>5.81978994876758E-2</v>
      </c>
      <c r="N46" s="87">
        <f t="shared" si="2"/>
        <v>1.030497517549914E-2</v>
      </c>
      <c r="O46" s="87">
        <f t="shared" si="2"/>
        <v>7.0107994751448799E-2</v>
      </c>
      <c r="P46" s="87">
        <f t="shared" si="2"/>
        <v>8.943787233146111E-2</v>
      </c>
      <c r="Q46" s="87">
        <f t="shared" si="2"/>
        <v>3.5488987097662301E-2</v>
      </c>
    </row>
    <row r="47" spans="1:17" x14ac:dyDescent="0.2">
      <c r="A47" s="85">
        <v>43313</v>
      </c>
      <c r="B47" s="86">
        <v>53.916599273681641</v>
      </c>
      <c r="C47" s="86">
        <v>26.429861068725586</v>
      </c>
      <c r="D47" s="86">
        <v>119.78107452392578</v>
      </c>
      <c r="E47" s="86">
        <v>59.763534545898438</v>
      </c>
      <c r="F47" s="86">
        <v>36.398578643798828</v>
      </c>
      <c r="G47" s="86">
        <v>53.920322418212891</v>
      </c>
      <c r="H47" s="86">
        <v>70.260124206542969</v>
      </c>
      <c r="J47" s="81">
        <f t="shared" si="0"/>
        <v>201808</v>
      </c>
      <c r="K47" s="87">
        <f t="shared" si="2"/>
        <v>0.17917255982769981</v>
      </c>
      <c r="L47" s="87">
        <f t="shared" si="2"/>
        <v>1.6179805168602091E-3</v>
      </c>
      <c r="M47" s="87">
        <f t="shared" si="2"/>
        <v>-2.8916434915419818E-2</v>
      </c>
      <c r="N47" s="87">
        <f t="shared" si="2"/>
        <v>-5.1950117544957923E-2</v>
      </c>
      <c r="O47" s="87">
        <f t="shared" si="2"/>
        <v>-4.5183173600145635E-2</v>
      </c>
      <c r="P47" s="87">
        <f t="shared" si="2"/>
        <v>4.0463713719828306E-2</v>
      </c>
      <c r="Q47" s="87">
        <f t="shared" si="2"/>
        <v>3.4306010798489335E-2</v>
      </c>
    </row>
    <row r="48" spans="1:17" x14ac:dyDescent="0.2">
      <c r="A48" s="85">
        <v>43344</v>
      </c>
      <c r="B48" s="86">
        <v>53.656440734863281</v>
      </c>
      <c r="C48" s="86">
        <v>25.173734664916992</v>
      </c>
      <c r="D48" s="86">
        <v>131.54783630371094</v>
      </c>
      <c r="E48" s="86">
        <v>52.142997741699219</v>
      </c>
      <c r="F48" s="86">
        <v>37.721569061279297</v>
      </c>
      <c r="G48" s="86">
        <v>55.767704010009766</v>
      </c>
      <c r="H48" s="86">
        <v>70.497306823730469</v>
      </c>
      <c r="J48" s="81">
        <f t="shared" si="0"/>
        <v>201809</v>
      </c>
      <c r="K48" s="87">
        <f t="shared" si="2"/>
        <v>-4.8368819177648714E-3</v>
      </c>
      <c r="L48" s="87">
        <f t="shared" si="2"/>
        <v>-4.8693296258332609E-2</v>
      </c>
      <c r="M48" s="87">
        <f t="shared" si="2"/>
        <v>9.3704862032126898E-2</v>
      </c>
      <c r="N48" s="87">
        <f t="shared" si="2"/>
        <v>-0.13640578381686413</v>
      </c>
      <c r="O48" s="87">
        <f t="shared" si="2"/>
        <v>3.5702328861984545E-2</v>
      </c>
      <c r="P48" s="87">
        <f t="shared" si="2"/>
        <v>3.3687474493722849E-2</v>
      </c>
      <c r="Q48" s="87">
        <f t="shared" si="2"/>
        <v>3.3700933575646305E-3</v>
      </c>
    </row>
    <row r="49" spans="1:17" x14ac:dyDescent="0.2">
      <c r="A49" s="85">
        <v>43374</v>
      </c>
      <c r="B49" s="86">
        <v>52.021121978759766</v>
      </c>
      <c r="C49" s="86">
        <v>23.612497329711914</v>
      </c>
      <c r="D49" s="86">
        <v>104.65853881835938</v>
      </c>
      <c r="E49" s="86">
        <v>47.091579437255859</v>
      </c>
      <c r="F49" s="86">
        <v>39.434333801269531</v>
      </c>
      <c r="G49" s="86">
        <v>58.261497497558594</v>
      </c>
      <c r="H49" s="86">
        <v>75.113533020019531</v>
      </c>
      <c r="J49" s="81">
        <f t="shared" si="0"/>
        <v>201810</v>
      </c>
      <c r="K49" s="87">
        <f t="shared" si="2"/>
        <v>-3.0951684840125442E-2</v>
      </c>
      <c r="L49" s="87">
        <f t="shared" si="2"/>
        <v>-6.4025056029437213E-2</v>
      </c>
      <c r="M49" s="87">
        <f t="shared" si="2"/>
        <v>-0.22866752001753651</v>
      </c>
      <c r="N49" s="87">
        <f t="shared" si="2"/>
        <v>-0.10189569642581661</v>
      </c>
      <c r="O49" s="87">
        <f t="shared" si="2"/>
        <v>4.4404798622040269E-2</v>
      </c>
      <c r="P49" s="87">
        <f t="shared" si="2"/>
        <v>4.3746534254736062E-2</v>
      </c>
      <c r="Q49" s="87">
        <f t="shared" si="2"/>
        <v>6.3426234529573564E-2</v>
      </c>
    </row>
    <row r="50" spans="1:17" x14ac:dyDescent="0.2">
      <c r="A50" s="85">
        <v>43405</v>
      </c>
      <c r="B50" s="86">
        <v>42.446914672851562</v>
      </c>
      <c r="C50" s="86">
        <v>24.385265350341797</v>
      </c>
      <c r="D50" s="86">
        <v>117.78369140625</v>
      </c>
      <c r="E50" s="86">
        <v>34.968990325927734</v>
      </c>
      <c r="F50" s="86">
        <v>41.509819030761719</v>
      </c>
      <c r="G50" s="86">
        <v>62.796741485595703</v>
      </c>
      <c r="H50" s="86">
        <v>80.758987426757812</v>
      </c>
      <c r="J50" s="81">
        <f t="shared" si="0"/>
        <v>201811</v>
      </c>
      <c r="K50" s="87">
        <f t="shared" si="2"/>
        <v>-0.20339559933160578</v>
      </c>
      <c r="L50" s="87">
        <f t="shared" si="2"/>
        <v>3.2202951066671009E-2</v>
      </c>
      <c r="M50" s="87">
        <f t="shared" si="2"/>
        <v>0.11814677893926993</v>
      </c>
      <c r="N50" s="87">
        <f t="shared" si="2"/>
        <v>-0.29763252643397275</v>
      </c>
      <c r="O50" s="87">
        <f t="shared" si="2"/>
        <v>5.1293149284393998E-2</v>
      </c>
      <c r="P50" s="87">
        <f t="shared" si="2"/>
        <v>7.4961730055028597E-2</v>
      </c>
      <c r="Q50" s="87">
        <f t="shared" si="2"/>
        <v>7.2468512775741151E-2</v>
      </c>
    </row>
    <row r="51" spans="1:17" x14ac:dyDescent="0.2">
      <c r="A51" s="85">
        <v>43435</v>
      </c>
      <c r="B51" s="86">
        <v>37.624252319335938</v>
      </c>
      <c r="C51" s="86">
        <v>21.156797409057617</v>
      </c>
      <c r="D51" s="86">
        <v>110.31748962402344</v>
      </c>
      <c r="E51" s="86">
        <v>35.295368194580078</v>
      </c>
      <c r="F51" s="86">
        <v>39.306194305419922</v>
      </c>
      <c r="G51" s="86">
        <v>60.477653503417969</v>
      </c>
      <c r="H51" s="86">
        <v>78.54583740234375</v>
      </c>
      <c r="J51" s="81">
        <f t="shared" si="0"/>
        <v>201812</v>
      </c>
      <c r="K51" s="87">
        <f t="shared" si="2"/>
        <v>-0.1206053777151975</v>
      </c>
      <c r="L51" s="87">
        <f t="shared" si="2"/>
        <v>-0.14201782644978894</v>
      </c>
      <c r="M51" s="87">
        <f t="shared" si="2"/>
        <v>-6.5487340738591734E-2</v>
      </c>
      <c r="N51" s="87">
        <f t="shared" si="2"/>
        <v>9.2900646320914996E-3</v>
      </c>
      <c r="O51" s="87">
        <f t="shared" si="2"/>
        <v>-5.4547880032300905E-2</v>
      </c>
      <c r="P51" s="87">
        <f t="shared" si="2"/>
        <v>-3.7629251730525733E-2</v>
      </c>
      <c r="Q51" s="87">
        <f t="shared" si="2"/>
        <v>-2.7786884982820018E-2</v>
      </c>
    </row>
    <row r="52" spans="1:17" x14ac:dyDescent="0.2">
      <c r="A52" s="85">
        <v>43466</v>
      </c>
      <c r="B52" s="86">
        <v>39.699371337890625</v>
      </c>
      <c r="C52" s="86">
        <v>24.581991195678711</v>
      </c>
      <c r="D52" s="86">
        <v>115.60462951660156</v>
      </c>
      <c r="E52" s="86">
        <v>47.436496734619141</v>
      </c>
      <c r="F52" s="86">
        <v>39.953685760498047</v>
      </c>
      <c r="G52" s="86">
        <v>59.323482513427734</v>
      </c>
      <c r="H52" s="86">
        <v>82.433830261230469</v>
      </c>
      <c r="J52" s="81">
        <f t="shared" si="0"/>
        <v>201901</v>
      </c>
      <c r="K52" s="87">
        <f t="shared" si="2"/>
        <v>5.3686501289894752E-2</v>
      </c>
      <c r="L52" s="87">
        <f t="shared" si="2"/>
        <v>0.15005286527481468</v>
      </c>
      <c r="M52" s="87">
        <f t="shared" si="2"/>
        <v>4.6813525333970096E-2</v>
      </c>
      <c r="N52" s="87">
        <f t="shared" si="2"/>
        <v>0.29564016301586721</v>
      </c>
      <c r="O52" s="87">
        <f t="shared" si="2"/>
        <v>1.6338804924149342E-2</v>
      </c>
      <c r="P52" s="87">
        <f t="shared" si="2"/>
        <v>-1.926871043969677E-2</v>
      </c>
      <c r="Q52" s="87">
        <f t="shared" si="2"/>
        <v>4.8313543751645503E-2</v>
      </c>
    </row>
    <row r="53" spans="1:17" x14ac:dyDescent="0.2">
      <c r="A53" s="85">
        <v>43497</v>
      </c>
      <c r="B53" s="86">
        <v>41.299854278564453</v>
      </c>
      <c r="C53" s="86">
        <v>25.108686447143555</v>
      </c>
      <c r="D53" s="86">
        <v>120.00059509277344</v>
      </c>
      <c r="E53" s="86">
        <v>50.450756072998047</v>
      </c>
      <c r="F53" s="86">
        <v>37.637649536132812</v>
      </c>
      <c r="G53" s="86">
        <v>64.7911376953125</v>
      </c>
      <c r="H53" s="86">
        <v>84.877227783203125</v>
      </c>
      <c r="J53" s="81">
        <f t="shared" si="0"/>
        <v>201902</v>
      </c>
      <c r="K53" s="87">
        <f t="shared" si="2"/>
        <v>3.9523619346557376E-2</v>
      </c>
      <c r="L53" s="87">
        <f t="shared" si="2"/>
        <v>2.1199750228045842E-2</v>
      </c>
      <c r="M53" s="87">
        <f t="shared" si="2"/>
        <v>3.7320698718339658E-2</v>
      </c>
      <c r="N53" s="87">
        <f t="shared" si="2"/>
        <v>6.160582754019301E-2</v>
      </c>
      <c r="O53" s="87">
        <f t="shared" si="2"/>
        <v>-5.9716060431001909E-2</v>
      </c>
      <c r="P53" s="87">
        <f t="shared" si="2"/>
        <v>8.8163607258257046E-2</v>
      </c>
      <c r="Q53" s="87">
        <f t="shared" si="2"/>
        <v>2.9209919267426915E-2</v>
      </c>
    </row>
    <row r="54" spans="1:17" x14ac:dyDescent="0.2">
      <c r="A54" s="85">
        <v>43525</v>
      </c>
      <c r="B54" s="86">
        <v>45.501312255859375</v>
      </c>
      <c r="C54" s="86">
        <v>23.943790435791016</v>
      </c>
      <c r="D54" s="86">
        <v>118.38414764404297</v>
      </c>
      <c r="E54" s="86">
        <v>48.508480072021484</v>
      </c>
      <c r="F54" s="86">
        <v>38.899440765380859</v>
      </c>
      <c r="G54" s="86">
        <v>66.289581298828125</v>
      </c>
      <c r="H54" s="86">
        <v>89.614173889160156</v>
      </c>
      <c r="J54" s="81">
        <f t="shared" si="0"/>
        <v>201903</v>
      </c>
      <c r="K54" s="87">
        <f t="shared" si="2"/>
        <v>9.6882194732429858E-2</v>
      </c>
      <c r="L54" s="87">
        <f t="shared" si="2"/>
        <v>-4.7504841611355778E-2</v>
      </c>
      <c r="M54" s="87">
        <f t="shared" ref="M54:Q104" si="3">LN(D54/D53)</f>
        <v>-1.3561876531635994E-2</v>
      </c>
      <c r="N54" s="87">
        <f t="shared" si="3"/>
        <v>-3.9259103762741498E-2</v>
      </c>
      <c r="O54" s="87">
        <f t="shared" si="3"/>
        <v>3.297500744750019E-2</v>
      </c>
      <c r="P54" s="87">
        <f t="shared" si="3"/>
        <v>2.2863909985262526E-2</v>
      </c>
      <c r="Q54" s="87">
        <f t="shared" si="3"/>
        <v>5.4307664849011977E-2</v>
      </c>
    </row>
    <row r="55" spans="1:17" x14ac:dyDescent="0.2">
      <c r="A55" s="85">
        <v>43556</v>
      </c>
      <c r="B55" s="86">
        <v>48.069210052490234</v>
      </c>
      <c r="C55" s="86">
        <v>26.538640975952148</v>
      </c>
      <c r="D55" s="86">
        <v>121.8179931640625</v>
      </c>
      <c r="E55" s="86">
        <v>49.434814453125</v>
      </c>
      <c r="F55" s="86">
        <v>41.081226348876953</v>
      </c>
      <c r="G55" s="86">
        <v>63.1605224609375</v>
      </c>
      <c r="H55" s="86">
        <v>91.707038879394531</v>
      </c>
      <c r="J55" s="81">
        <f t="shared" si="0"/>
        <v>201904</v>
      </c>
      <c r="K55" s="87">
        <f t="shared" ref="K55:Q118" si="4">LN(B55/B54)</f>
        <v>5.4900682167111615E-2</v>
      </c>
      <c r="L55" s="87">
        <f t="shared" si="4"/>
        <v>0.10289280271154831</v>
      </c>
      <c r="M55" s="87">
        <f t="shared" si="3"/>
        <v>2.859324614761009E-2</v>
      </c>
      <c r="N55" s="87">
        <f t="shared" si="3"/>
        <v>1.8916292486380368E-2</v>
      </c>
      <c r="O55" s="87">
        <f t="shared" si="3"/>
        <v>5.4571363004050986E-2</v>
      </c>
      <c r="P55" s="87">
        <f t="shared" si="3"/>
        <v>-4.8353278653550089E-2</v>
      </c>
      <c r="Q55" s="87">
        <f t="shared" si="3"/>
        <v>2.3085637981782554E-2</v>
      </c>
    </row>
    <row r="56" spans="1:17" x14ac:dyDescent="0.2">
      <c r="A56" s="85">
        <v>43586</v>
      </c>
      <c r="B56" s="86">
        <v>41.936904907226562</v>
      </c>
      <c r="C56" s="86">
        <v>23.084627151489258</v>
      </c>
      <c r="D56" s="86">
        <v>105.31832885742188</v>
      </c>
      <c r="E56" s="86">
        <v>45.886402130126953</v>
      </c>
      <c r="F56" s="86">
        <v>41.139839172363281</v>
      </c>
      <c r="G56" s="86">
        <v>63.561748504638672</v>
      </c>
      <c r="H56" s="86">
        <v>89.258049011230469</v>
      </c>
      <c r="J56" s="81">
        <f t="shared" si="0"/>
        <v>201905</v>
      </c>
      <c r="K56" s="87">
        <f t="shared" si="4"/>
        <v>-0.13647562385664228</v>
      </c>
      <c r="L56" s="87">
        <f t="shared" si="4"/>
        <v>-0.13943491624704107</v>
      </c>
      <c r="M56" s="87">
        <f t="shared" si="3"/>
        <v>-0.14554060427610485</v>
      </c>
      <c r="N56" s="87">
        <f t="shared" si="3"/>
        <v>-7.4486098704162382E-2</v>
      </c>
      <c r="O56" s="87">
        <f t="shared" si="3"/>
        <v>1.4257376268091864E-3</v>
      </c>
      <c r="P56" s="87">
        <f t="shared" si="3"/>
        <v>6.3323894273444618E-3</v>
      </c>
      <c r="Q56" s="87">
        <f t="shared" si="3"/>
        <v>-2.7067534585960399E-2</v>
      </c>
    </row>
    <row r="57" spans="1:17" x14ac:dyDescent="0.2">
      <c r="A57" s="85">
        <v>43617</v>
      </c>
      <c r="B57" s="86">
        <v>47.593048095703125</v>
      </c>
      <c r="C57" s="86">
        <v>25.167448043823242</v>
      </c>
      <c r="D57" s="86">
        <v>119.80496978759766</v>
      </c>
      <c r="E57" s="86">
        <v>51.038902282714844</v>
      </c>
      <c r="F57" s="86">
        <v>42.638729095458984</v>
      </c>
      <c r="G57" s="86">
        <v>67.285087585449219</v>
      </c>
      <c r="H57" s="86">
        <v>95.103897094726562</v>
      </c>
      <c r="J57" s="81">
        <f t="shared" si="0"/>
        <v>201906</v>
      </c>
      <c r="K57" s="87">
        <f t="shared" si="4"/>
        <v>0.12652047752206397</v>
      </c>
      <c r="L57" s="87">
        <f t="shared" si="4"/>
        <v>8.6384510491210528E-2</v>
      </c>
      <c r="M57" s="87">
        <f t="shared" si="3"/>
        <v>0.1288777016415541</v>
      </c>
      <c r="N57" s="87">
        <f t="shared" si="3"/>
        <v>0.10641930851762348</v>
      </c>
      <c r="O57" s="87">
        <f t="shared" si="3"/>
        <v>3.5785999019176007E-2</v>
      </c>
      <c r="P57" s="87">
        <f t="shared" si="3"/>
        <v>5.6926780098034577E-2</v>
      </c>
      <c r="Q57" s="87">
        <f t="shared" si="3"/>
        <v>6.3438346032679185E-2</v>
      </c>
    </row>
    <row r="58" spans="1:17" x14ac:dyDescent="0.2">
      <c r="A58" s="85">
        <v>43647</v>
      </c>
      <c r="B58" s="86">
        <v>51.228900909423828</v>
      </c>
      <c r="C58" s="86">
        <v>26.769296646118164</v>
      </c>
      <c r="D58" s="86">
        <v>115.74380493164062</v>
      </c>
      <c r="E58" s="86">
        <v>50.844745635986328</v>
      </c>
      <c r="F58" s="86">
        <v>44.414657592773438</v>
      </c>
      <c r="G58" s="86">
        <v>67.039756774902344</v>
      </c>
      <c r="H58" s="86">
        <v>102.38090515136719</v>
      </c>
      <c r="J58" s="81">
        <f t="shared" si="0"/>
        <v>201907</v>
      </c>
      <c r="K58" s="87">
        <f t="shared" si="4"/>
        <v>7.3617141517212992E-2</v>
      </c>
      <c r="L58" s="87">
        <f t="shared" si="4"/>
        <v>6.1704168024292926E-2</v>
      </c>
      <c r="M58" s="87">
        <f t="shared" si="3"/>
        <v>-3.4485998432516957E-2</v>
      </c>
      <c r="N58" s="87">
        <f t="shared" si="3"/>
        <v>-3.8113453086352105E-3</v>
      </c>
      <c r="O58" s="87">
        <f t="shared" si="3"/>
        <v>4.0806566962149467E-2</v>
      </c>
      <c r="P58" s="87">
        <f t="shared" si="3"/>
        <v>-3.6528027931368224E-3</v>
      </c>
      <c r="Q58" s="87">
        <f t="shared" si="3"/>
        <v>7.3730274460165404E-2</v>
      </c>
    </row>
    <row r="59" spans="1:17" x14ac:dyDescent="0.2">
      <c r="A59" s="85">
        <v>43678</v>
      </c>
      <c r="B59" s="86">
        <v>50.194900512695312</v>
      </c>
      <c r="C59" s="86">
        <v>24.003372192382812</v>
      </c>
      <c r="D59" s="86">
        <v>105.41120147705078</v>
      </c>
      <c r="E59" s="86">
        <v>40.140586853027344</v>
      </c>
      <c r="F59" s="86">
        <v>46.448474884033203</v>
      </c>
      <c r="G59" s="86">
        <v>69.850929260253906</v>
      </c>
      <c r="H59" s="86">
        <v>104.95569610595703</v>
      </c>
      <c r="J59" s="81">
        <f t="shared" si="0"/>
        <v>201908</v>
      </c>
      <c r="K59" s="87">
        <f t="shared" si="4"/>
        <v>-2.0390405553586347E-2</v>
      </c>
      <c r="L59" s="87">
        <f t="shared" si="4"/>
        <v>-0.10906125473454745</v>
      </c>
      <c r="M59" s="87">
        <f t="shared" si="3"/>
        <v>-9.351026409137303E-2</v>
      </c>
      <c r="N59" s="87">
        <f t="shared" si="3"/>
        <v>-0.23638882308006007</v>
      </c>
      <c r="O59" s="87">
        <f t="shared" si="3"/>
        <v>4.4774090301187168E-2</v>
      </c>
      <c r="P59" s="87">
        <f t="shared" si="3"/>
        <v>4.1077561160879357E-2</v>
      </c>
      <c r="Q59" s="87">
        <f t="shared" si="3"/>
        <v>2.4838097181033855E-2</v>
      </c>
    </row>
    <row r="60" spans="1:17" x14ac:dyDescent="0.2">
      <c r="A60" s="85">
        <v>43709</v>
      </c>
      <c r="B60" s="86">
        <v>54.061820983886719</v>
      </c>
      <c r="C60" s="86">
        <v>25.451774597167969</v>
      </c>
      <c r="D60" s="86">
        <v>111.88644409179688</v>
      </c>
      <c r="E60" s="86">
        <v>43.497795104980469</v>
      </c>
      <c r="F60" s="86">
        <v>45.942123413085938</v>
      </c>
      <c r="G60" s="86">
        <v>68.001029968261719</v>
      </c>
      <c r="H60" s="86">
        <v>108.57845306396484</v>
      </c>
      <c r="J60" s="81">
        <f t="shared" si="0"/>
        <v>201909</v>
      </c>
      <c r="K60" s="87">
        <f t="shared" si="4"/>
        <v>7.4214786652305978E-2</v>
      </c>
      <c r="L60" s="87">
        <f t="shared" si="4"/>
        <v>5.8591140840903694E-2</v>
      </c>
      <c r="M60" s="87">
        <f t="shared" si="3"/>
        <v>5.9615558587622693E-2</v>
      </c>
      <c r="N60" s="87">
        <f t="shared" si="3"/>
        <v>8.0322286151709249E-2</v>
      </c>
      <c r="O60" s="87">
        <f t="shared" si="3"/>
        <v>-1.0961213587491013E-2</v>
      </c>
      <c r="P60" s="87">
        <f t="shared" si="3"/>
        <v>-2.6840537615310765E-2</v>
      </c>
      <c r="Q60" s="87">
        <f t="shared" si="3"/>
        <v>3.3934662138530559E-2</v>
      </c>
    </row>
    <row r="61" spans="1:17" x14ac:dyDescent="0.2">
      <c r="A61" s="85">
        <v>43739</v>
      </c>
      <c r="B61" s="86">
        <v>60.045627593994141</v>
      </c>
      <c r="C61" s="86">
        <v>27.463924407958984</v>
      </c>
      <c r="D61" s="86">
        <v>122.06437683105469</v>
      </c>
      <c r="E61" s="86">
        <v>48.610443115234375</v>
      </c>
      <c r="F61" s="86">
        <v>46.269523620605469</v>
      </c>
      <c r="G61" s="86">
        <v>70.469635009765625</v>
      </c>
      <c r="H61" s="86">
        <v>108.69194793701172</v>
      </c>
      <c r="J61" s="81">
        <f t="shared" si="0"/>
        <v>201910</v>
      </c>
      <c r="K61" s="87">
        <f t="shared" si="4"/>
        <v>0.10497650834127971</v>
      </c>
      <c r="L61" s="87">
        <f t="shared" si="4"/>
        <v>7.608783441249059E-2</v>
      </c>
      <c r="M61" s="87">
        <f t="shared" si="3"/>
        <v>8.7064119581400312E-2</v>
      </c>
      <c r="N61" s="87">
        <f t="shared" si="3"/>
        <v>0.11112813716939988</v>
      </c>
      <c r="O61" s="87">
        <f t="shared" si="3"/>
        <v>7.1010895874059335E-3</v>
      </c>
      <c r="P61" s="87">
        <f t="shared" si="3"/>
        <v>3.5659056301603438E-2</v>
      </c>
      <c r="Q61" s="87">
        <f t="shared" si="3"/>
        <v>1.0447339614324299E-3</v>
      </c>
    </row>
    <row r="62" spans="1:17" x14ac:dyDescent="0.2">
      <c r="A62" s="85">
        <v>43770</v>
      </c>
      <c r="B62" s="86">
        <v>64.508743286132812</v>
      </c>
      <c r="C62" s="86">
        <v>29.264406204223633</v>
      </c>
      <c r="D62" s="86">
        <v>129.21073913574219</v>
      </c>
      <c r="E62" s="86">
        <v>54.893756866455078</v>
      </c>
      <c r="F62" s="86">
        <v>45.393951416015625</v>
      </c>
      <c r="G62" s="86">
        <v>70.892478942871094</v>
      </c>
      <c r="H62" s="86">
        <v>107.23387145996094</v>
      </c>
      <c r="J62" s="81">
        <f t="shared" si="0"/>
        <v>201911</v>
      </c>
      <c r="K62" s="87">
        <f t="shared" si="4"/>
        <v>7.1696036319885526E-2</v>
      </c>
      <c r="L62" s="87">
        <f t="shared" si="4"/>
        <v>6.3498668485351031E-2</v>
      </c>
      <c r="M62" s="87">
        <f t="shared" si="3"/>
        <v>5.6896123637136441E-2</v>
      </c>
      <c r="N62" s="87">
        <f t="shared" si="3"/>
        <v>0.12156123703199609</v>
      </c>
      <c r="O62" s="87">
        <f t="shared" si="3"/>
        <v>-1.9104639773615779E-2</v>
      </c>
      <c r="P62" s="87">
        <f t="shared" si="3"/>
        <v>5.9824401658845972E-3</v>
      </c>
      <c r="Q62" s="87">
        <f t="shared" si="3"/>
        <v>-1.3505551525134833E-2</v>
      </c>
    </row>
    <row r="63" spans="1:17" x14ac:dyDescent="0.2">
      <c r="A63" s="85">
        <v>43800</v>
      </c>
      <c r="B63" s="86">
        <v>71.093963623046875</v>
      </c>
      <c r="C63" s="86">
        <v>30.933143615722656</v>
      </c>
      <c r="D63" s="86">
        <v>131.84440612792969</v>
      </c>
      <c r="E63" s="86">
        <v>54.357963562011719</v>
      </c>
      <c r="F63" s="86">
        <v>47.403041839599609</v>
      </c>
      <c r="G63" s="86">
        <v>73.9581298828125</v>
      </c>
      <c r="H63" s="86">
        <v>109.72889709472656</v>
      </c>
      <c r="J63" s="81">
        <f t="shared" si="0"/>
        <v>201912</v>
      </c>
      <c r="K63" s="87">
        <f t="shared" si="4"/>
        <v>9.7201663949735784E-2</v>
      </c>
      <c r="L63" s="87">
        <f t="shared" si="4"/>
        <v>5.5456245760508761E-2</v>
      </c>
      <c r="M63" s="87">
        <f t="shared" si="3"/>
        <v>2.0177777729286108E-2</v>
      </c>
      <c r="N63" s="87">
        <f t="shared" si="3"/>
        <v>-9.8084972558234087E-3</v>
      </c>
      <c r="O63" s="87">
        <f t="shared" si="3"/>
        <v>4.330753302374906E-2</v>
      </c>
      <c r="P63" s="87">
        <f t="shared" si="3"/>
        <v>4.2334772556534866E-2</v>
      </c>
      <c r="Q63" s="87">
        <f t="shared" si="3"/>
        <v>2.3000588027966142E-2</v>
      </c>
    </row>
    <row r="64" spans="1:17" x14ac:dyDescent="0.2">
      <c r="A64" s="85">
        <v>43831</v>
      </c>
      <c r="B64" s="86">
        <v>74.933738708496094</v>
      </c>
      <c r="C64" s="86">
        <v>28.991466522216797</v>
      </c>
      <c r="D64" s="86">
        <v>117.26548767089844</v>
      </c>
      <c r="E64" s="86">
        <v>60.696262359619141</v>
      </c>
      <c r="F64" s="86">
        <v>50.015151977539062</v>
      </c>
      <c r="G64" s="86">
        <v>69.953964233398438</v>
      </c>
      <c r="H64" s="86">
        <v>109.48290252685547</v>
      </c>
      <c r="J64" s="81">
        <f t="shared" si="0"/>
        <v>202001</v>
      </c>
      <c r="K64" s="87">
        <f t="shared" si="4"/>
        <v>5.2601805759182149E-2</v>
      </c>
      <c r="L64" s="87">
        <f t="shared" si="4"/>
        <v>-6.4826689163280021E-2</v>
      </c>
      <c r="M64" s="87">
        <f t="shared" si="3"/>
        <v>-0.11718199625623958</v>
      </c>
      <c r="N64" s="87">
        <f t="shared" si="3"/>
        <v>0.11029099403178814</v>
      </c>
      <c r="O64" s="87">
        <f t="shared" si="3"/>
        <v>5.3639598598522957E-2</v>
      </c>
      <c r="P64" s="87">
        <f t="shared" si="3"/>
        <v>-5.5661748785866355E-2</v>
      </c>
      <c r="Q64" s="87">
        <f t="shared" si="3"/>
        <v>-2.2443561118033802E-3</v>
      </c>
    </row>
    <row r="65" spans="1:17" x14ac:dyDescent="0.2">
      <c r="A65" s="85">
        <v>43862</v>
      </c>
      <c r="B65" s="86">
        <v>66.181678771972656</v>
      </c>
      <c r="C65" s="86">
        <v>25.167734146118164</v>
      </c>
      <c r="D65" s="86">
        <v>111.69587707519531</v>
      </c>
      <c r="E65" s="86">
        <v>53.042194366455078</v>
      </c>
      <c r="F65" s="86">
        <v>45.810096740722656</v>
      </c>
      <c r="G65" s="86">
        <v>62.683486938476562</v>
      </c>
      <c r="H65" s="86">
        <v>100.06741333007812</v>
      </c>
      <c r="J65" s="81">
        <f t="shared" si="0"/>
        <v>202002</v>
      </c>
      <c r="K65" s="87">
        <f t="shared" si="4"/>
        <v>-0.12420057021903354</v>
      </c>
      <c r="L65" s="87">
        <f t="shared" si="4"/>
        <v>-0.14143874574017798</v>
      </c>
      <c r="M65" s="87">
        <f t="shared" si="3"/>
        <v>-4.866069491554624E-2</v>
      </c>
      <c r="N65" s="87">
        <f t="shared" si="3"/>
        <v>-0.13479440360714237</v>
      </c>
      <c r="O65" s="87">
        <f t="shared" si="3"/>
        <v>-8.7821479393530841E-2</v>
      </c>
      <c r="P65" s="87">
        <f t="shared" si="3"/>
        <v>-0.10973932515223014</v>
      </c>
      <c r="Q65" s="87">
        <f t="shared" si="3"/>
        <v>-8.9924303594887858E-2</v>
      </c>
    </row>
    <row r="66" spans="1:17" x14ac:dyDescent="0.2">
      <c r="A66" s="85">
        <v>43891</v>
      </c>
      <c r="B66" s="86">
        <v>61.710834503173828</v>
      </c>
      <c r="C66" s="86">
        <v>18.747753143310547</v>
      </c>
      <c r="D66" s="86">
        <v>104.32383728027344</v>
      </c>
      <c r="E66" s="86">
        <v>38.709110260009766</v>
      </c>
      <c r="F66" s="86">
        <v>37.896739959716797</v>
      </c>
      <c r="G66" s="86">
        <v>62.994583129882812</v>
      </c>
      <c r="H66" s="86">
        <v>97.212875366210938</v>
      </c>
      <c r="J66" s="81">
        <f t="shared" si="0"/>
        <v>202003</v>
      </c>
      <c r="K66" s="87">
        <f t="shared" si="4"/>
        <v>-6.9944153705845433E-2</v>
      </c>
      <c r="L66" s="87">
        <f t="shared" si="4"/>
        <v>-0.29448887021018694</v>
      </c>
      <c r="M66" s="87">
        <f t="shared" si="3"/>
        <v>-6.8279913450598084E-2</v>
      </c>
      <c r="N66" s="87">
        <f t="shared" si="3"/>
        <v>-0.31501273737119179</v>
      </c>
      <c r="O66" s="87">
        <f t="shared" si="3"/>
        <v>-0.18963942818348642</v>
      </c>
      <c r="P66" s="87">
        <f t="shared" si="3"/>
        <v>4.9506938901021915E-3</v>
      </c>
      <c r="Q66" s="87">
        <f t="shared" si="3"/>
        <v>-2.8940926853753917E-2</v>
      </c>
    </row>
    <row r="67" spans="1:17" x14ac:dyDescent="0.2">
      <c r="A67" s="85">
        <v>43922</v>
      </c>
      <c r="B67" s="86">
        <v>71.299110412597656</v>
      </c>
      <c r="C67" s="86">
        <v>21.373544692993164</v>
      </c>
      <c r="D67" s="86">
        <v>104.62949371337891</v>
      </c>
      <c r="E67" s="86">
        <v>33.184291839599609</v>
      </c>
      <c r="F67" s="86">
        <v>39.645950317382812</v>
      </c>
      <c r="G67" s="86">
        <v>65.496246337890625</v>
      </c>
      <c r="H67" s="86">
        <v>104.16801452636719</v>
      </c>
      <c r="J67" s="81">
        <f t="shared" si="0"/>
        <v>202004</v>
      </c>
      <c r="K67" s="87">
        <f t="shared" si="4"/>
        <v>0.1444243354379508</v>
      </c>
      <c r="L67" s="87">
        <f t="shared" si="4"/>
        <v>0.13108001508745651</v>
      </c>
      <c r="M67" s="87">
        <f t="shared" si="3"/>
        <v>2.9255973060053177E-3</v>
      </c>
      <c r="N67" s="87">
        <f t="shared" si="3"/>
        <v>-0.153998352971009</v>
      </c>
      <c r="O67" s="87">
        <f t="shared" si="3"/>
        <v>4.5123715616675476E-2</v>
      </c>
      <c r="P67" s="87">
        <f t="shared" si="3"/>
        <v>3.8944092551075844E-2</v>
      </c>
      <c r="Q67" s="87">
        <f t="shared" si="3"/>
        <v>6.9101954568422733E-2</v>
      </c>
    </row>
    <row r="68" spans="1:17" x14ac:dyDescent="0.2">
      <c r="A68" s="85">
        <v>43952</v>
      </c>
      <c r="B68" s="86">
        <v>77.157371520996094</v>
      </c>
      <c r="C68" s="86">
        <v>21.435756683349609</v>
      </c>
      <c r="D68" s="86">
        <v>108.99240875244141</v>
      </c>
      <c r="E68" s="86">
        <v>32.061885833740234</v>
      </c>
      <c r="F68" s="86">
        <v>40.328460693359375</v>
      </c>
      <c r="G68" s="86">
        <v>66.635467529296875</v>
      </c>
      <c r="H68" s="86">
        <v>103.12791442871094</v>
      </c>
      <c r="J68" s="81">
        <f t="shared" ref="J68:J123" si="5">YEAR(A68)*100+MONTH(A68)</f>
        <v>202005</v>
      </c>
      <c r="K68" s="87">
        <f t="shared" si="4"/>
        <v>7.8963271490628109E-2</v>
      </c>
      <c r="L68" s="87">
        <f t="shared" si="4"/>
        <v>2.9064727594878396E-3</v>
      </c>
      <c r="M68" s="87">
        <f t="shared" si="3"/>
        <v>4.0852756778044987E-2</v>
      </c>
      <c r="N68" s="87">
        <f t="shared" si="3"/>
        <v>-3.4408659131618148E-2</v>
      </c>
      <c r="O68" s="87">
        <f t="shared" si="3"/>
        <v>1.7068633263677954E-2</v>
      </c>
      <c r="P68" s="87">
        <f t="shared" si="3"/>
        <v>1.7244148098671978E-2</v>
      </c>
      <c r="Q68" s="87">
        <f t="shared" si="3"/>
        <v>-1.0035014495356572E-2</v>
      </c>
    </row>
    <row r="69" spans="1:17" x14ac:dyDescent="0.2">
      <c r="A69" s="85">
        <v>43983</v>
      </c>
      <c r="B69" s="86">
        <v>88.768966674804688</v>
      </c>
      <c r="C69" s="86">
        <v>21.10693359375</v>
      </c>
      <c r="D69" s="86">
        <v>114.77183532714844</v>
      </c>
      <c r="E69" s="86">
        <v>33.330696105957031</v>
      </c>
      <c r="F69" s="86">
        <v>38.600589752197266</v>
      </c>
      <c r="G69" s="86">
        <v>63.836956024169922</v>
      </c>
      <c r="H69" s="86">
        <v>106.37509918212891</v>
      </c>
      <c r="J69" s="81">
        <f t="shared" si="5"/>
        <v>202006</v>
      </c>
      <c r="K69" s="87">
        <f t="shared" si="4"/>
        <v>0.14018999238350693</v>
      </c>
      <c r="L69" s="87">
        <f t="shared" si="4"/>
        <v>-1.5458807884477486E-2</v>
      </c>
      <c r="M69" s="87">
        <f t="shared" si="3"/>
        <v>5.1667881583083032E-2</v>
      </c>
      <c r="N69" s="87">
        <f t="shared" si="3"/>
        <v>3.8810809904223892E-2</v>
      </c>
      <c r="O69" s="87">
        <f t="shared" si="3"/>
        <v>-4.378988546665024E-2</v>
      </c>
      <c r="P69" s="87">
        <f t="shared" si="3"/>
        <v>-4.2904710600155174E-2</v>
      </c>
      <c r="Q69" s="87">
        <f t="shared" si="3"/>
        <v>3.1001413892643024E-2</v>
      </c>
    </row>
    <row r="70" spans="1:17" x14ac:dyDescent="0.2">
      <c r="A70" s="85">
        <v>44013</v>
      </c>
      <c r="B70" s="86">
        <v>103.42749786376953</v>
      </c>
      <c r="C70" s="86">
        <v>22.265386581420898</v>
      </c>
      <c r="D70" s="86">
        <v>120.56031799316406</v>
      </c>
      <c r="E70" s="86">
        <v>29.666271209716797</v>
      </c>
      <c r="F70" s="86">
        <v>41.183040618896484</v>
      </c>
      <c r="G70" s="86">
        <v>66.765739440917969</v>
      </c>
      <c r="H70" s="86">
        <v>116.65054321289062</v>
      </c>
      <c r="J70" s="81">
        <f t="shared" si="5"/>
        <v>202007</v>
      </c>
      <c r="K70" s="87">
        <f t="shared" si="4"/>
        <v>0.15283374897145774</v>
      </c>
      <c r="L70" s="87">
        <f t="shared" si="4"/>
        <v>5.3431708521954432E-2</v>
      </c>
      <c r="M70" s="87">
        <f t="shared" si="3"/>
        <v>4.9204075034912927E-2</v>
      </c>
      <c r="N70" s="87">
        <f t="shared" si="3"/>
        <v>-0.11646802640315326</v>
      </c>
      <c r="O70" s="87">
        <f t="shared" si="3"/>
        <v>6.475898123826633E-2</v>
      </c>
      <c r="P70" s="87">
        <f t="shared" si="3"/>
        <v>4.4857795673228118E-2</v>
      </c>
      <c r="Q70" s="87">
        <f t="shared" si="3"/>
        <v>9.2211135957297033E-2</v>
      </c>
    </row>
    <row r="71" spans="1:17" x14ac:dyDescent="0.2">
      <c r="A71" s="85">
        <v>44044</v>
      </c>
      <c r="B71" s="86">
        <v>125.60028076171875</v>
      </c>
      <c r="C71" s="86">
        <v>23.035007476806641</v>
      </c>
      <c r="D71" s="86">
        <v>130.08299255371094</v>
      </c>
      <c r="E71" s="86">
        <v>30.985857009887695</v>
      </c>
      <c r="F71" s="86">
        <v>43.179420471191406</v>
      </c>
      <c r="G71" s="86">
        <v>70.951072692871094</v>
      </c>
      <c r="H71" s="86">
        <v>123.84148406982422</v>
      </c>
      <c r="J71" s="81">
        <f t="shared" si="5"/>
        <v>202008</v>
      </c>
      <c r="K71" s="87">
        <f t="shared" si="4"/>
        <v>0.1942336258892538</v>
      </c>
      <c r="L71" s="87">
        <f t="shared" si="4"/>
        <v>3.3981821608844373E-2</v>
      </c>
      <c r="M71" s="87">
        <f t="shared" si="3"/>
        <v>7.6022459072749654E-2</v>
      </c>
      <c r="N71" s="87">
        <f t="shared" si="3"/>
        <v>4.3520123929502122E-2</v>
      </c>
      <c r="O71" s="87">
        <f t="shared" si="3"/>
        <v>4.733746761767603E-2</v>
      </c>
      <c r="P71" s="87">
        <f t="shared" si="3"/>
        <v>6.0800456136907363E-2</v>
      </c>
      <c r="Q71" s="87">
        <f t="shared" si="3"/>
        <v>5.9819738305231594E-2</v>
      </c>
    </row>
    <row r="72" spans="1:17" x14ac:dyDescent="0.2">
      <c r="A72" s="85">
        <v>44075</v>
      </c>
      <c r="B72" s="86">
        <v>112.92620086669922</v>
      </c>
      <c r="C72" s="86">
        <v>21.558404922485352</v>
      </c>
      <c r="D72" s="86">
        <v>136.33531188964844</v>
      </c>
      <c r="E72" s="86">
        <v>30.448251724243164</v>
      </c>
      <c r="F72" s="86">
        <v>43.039936065673828</v>
      </c>
      <c r="G72" s="86">
        <v>69.020660400390625</v>
      </c>
      <c r="H72" s="86">
        <v>124.43238067626953</v>
      </c>
      <c r="J72" s="81">
        <f t="shared" si="5"/>
        <v>202009</v>
      </c>
      <c r="K72" s="87">
        <f t="shared" si="4"/>
        <v>-0.106369973714451</v>
      </c>
      <c r="L72" s="87">
        <f t="shared" si="4"/>
        <v>-6.6249362855674537E-2</v>
      </c>
      <c r="M72" s="87">
        <f t="shared" si="3"/>
        <v>4.6944728885806919E-2</v>
      </c>
      <c r="N72" s="87">
        <f t="shared" si="3"/>
        <v>-1.7502297026494841E-2</v>
      </c>
      <c r="O72" s="87">
        <f t="shared" si="3"/>
        <v>-3.2355733748878324E-3</v>
      </c>
      <c r="P72" s="87">
        <f t="shared" si="3"/>
        <v>-2.758463661840814E-2</v>
      </c>
      <c r="Q72" s="87">
        <f t="shared" si="3"/>
        <v>4.760047722003594E-3</v>
      </c>
    </row>
    <row r="73" spans="1:17" x14ac:dyDescent="0.2">
      <c r="A73" s="85">
        <v>44105</v>
      </c>
      <c r="B73" s="86">
        <v>106.14923858642578</v>
      </c>
      <c r="C73" s="86">
        <v>21.357135772705078</v>
      </c>
      <c r="D73" s="86">
        <v>143.55662536621094</v>
      </c>
      <c r="E73" s="86">
        <v>36.324138641357422</v>
      </c>
      <c r="F73" s="86">
        <v>42.237060546875</v>
      </c>
      <c r="G73" s="86">
        <v>63.035545349121094</v>
      </c>
      <c r="H73" s="86">
        <v>122.74033355712891</v>
      </c>
      <c r="J73" s="81">
        <f t="shared" si="5"/>
        <v>202010</v>
      </c>
      <c r="K73" s="87">
        <f t="shared" si="4"/>
        <v>-6.188850055407262E-2</v>
      </c>
      <c r="L73" s="87">
        <f t="shared" si="4"/>
        <v>-9.379848054202505E-3</v>
      </c>
      <c r="M73" s="87">
        <f t="shared" si="3"/>
        <v>5.1612179312574551E-2</v>
      </c>
      <c r="N73" s="87">
        <f t="shared" si="3"/>
        <v>0.17645391874929045</v>
      </c>
      <c r="O73" s="87">
        <f t="shared" si="3"/>
        <v>-1.883038273877637E-2</v>
      </c>
      <c r="P73" s="87">
        <f t="shared" si="3"/>
        <v>-9.070710669617213E-2</v>
      </c>
      <c r="Q73" s="87">
        <f t="shared" si="3"/>
        <v>-1.3691426711240001E-2</v>
      </c>
    </row>
    <row r="74" spans="1:17" x14ac:dyDescent="0.2">
      <c r="A74" s="85">
        <v>44136</v>
      </c>
      <c r="B74" s="86">
        <v>116.08550262451172</v>
      </c>
      <c r="C74" s="86">
        <v>25.376235961914062</v>
      </c>
      <c r="D74" s="86">
        <v>159.64469909667969</v>
      </c>
      <c r="E74" s="86">
        <v>49.835559844970703</v>
      </c>
      <c r="F74" s="86">
        <v>45.348159790039062</v>
      </c>
      <c r="G74" s="86">
        <v>67.377059936523438</v>
      </c>
      <c r="H74" s="86">
        <v>125.01525115966797</v>
      </c>
      <c r="J74" s="81">
        <f t="shared" si="5"/>
        <v>202011</v>
      </c>
      <c r="K74" s="87">
        <f t="shared" si="4"/>
        <v>8.9480996051311837E-2</v>
      </c>
      <c r="L74" s="87">
        <f t="shared" si="4"/>
        <v>0.17242723197187734</v>
      </c>
      <c r="M74" s="87">
        <f t="shared" si="3"/>
        <v>0.10622115611166022</v>
      </c>
      <c r="N74" s="87">
        <f t="shared" si="3"/>
        <v>0.31624628570990249</v>
      </c>
      <c r="O74" s="87">
        <f t="shared" si="3"/>
        <v>7.1071550138735867E-2</v>
      </c>
      <c r="P74" s="87">
        <f t="shared" si="3"/>
        <v>6.6605823784129353E-2</v>
      </c>
      <c r="Q74" s="87">
        <f t="shared" si="3"/>
        <v>1.8364724588782039E-2</v>
      </c>
    </row>
    <row r="75" spans="1:17" x14ac:dyDescent="0.2">
      <c r="A75" s="85">
        <v>44166</v>
      </c>
      <c r="B75" s="86">
        <v>129.60908508300781</v>
      </c>
      <c r="C75" s="86">
        <v>27.313703536987305</v>
      </c>
      <c r="D75" s="86">
        <v>167.39750671386719</v>
      </c>
      <c r="E75" s="86">
        <v>52.870716094970703</v>
      </c>
      <c r="F75" s="86">
        <v>48.573490142822266</v>
      </c>
      <c r="G75" s="86">
        <v>68.558799743652344</v>
      </c>
      <c r="H75" s="86">
        <v>125.25832366943359</v>
      </c>
      <c r="J75" s="81">
        <f t="shared" si="5"/>
        <v>202012</v>
      </c>
      <c r="K75" s="87">
        <f t="shared" si="4"/>
        <v>0.11019587123196095</v>
      </c>
      <c r="L75" s="87">
        <f t="shared" si="4"/>
        <v>7.3575393277964793E-2</v>
      </c>
      <c r="M75" s="87">
        <f t="shared" si="3"/>
        <v>4.7420548430433508E-2</v>
      </c>
      <c r="N75" s="87">
        <f t="shared" si="3"/>
        <v>5.9120832275887991E-2</v>
      </c>
      <c r="O75" s="87">
        <f t="shared" si="3"/>
        <v>6.8708313981680369E-2</v>
      </c>
      <c r="P75" s="87">
        <f t="shared" si="3"/>
        <v>1.7387164521313288E-2</v>
      </c>
      <c r="Q75" s="87">
        <f t="shared" si="3"/>
        <v>1.9424550623079373E-3</v>
      </c>
    </row>
    <row r="76" spans="1:17" x14ac:dyDescent="0.2">
      <c r="A76" s="85">
        <v>44197</v>
      </c>
      <c r="B76" s="86">
        <v>128.89602661132812</v>
      </c>
      <c r="C76" s="86">
        <v>26.885473251342773</v>
      </c>
      <c r="D76" s="86">
        <v>168.151611328125</v>
      </c>
      <c r="E76" s="86">
        <v>52.331371307373047</v>
      </c>
      <c r="F76" s="86">
        <v>42.647956848144531</v>
      </c>
      <c r="G76" s="86">
        <v>65.104560852050781</v>
      </c>
      <c r="H76" s="86">
        <v>115.41876983642578</v>
      </c>
      <c r="J76" s="81">
        <f t="shared" si="5"/>
        <v>202101</v>
      </c>
      <c r="K76" s="87">
        <f t="shared" si="4"/>
        <v>-5.5167982985205814E-3</v>
      </c>
      <c r="L76" s="87">
        <f t="shared" si="4"/>
        <v>-1.5802424403286129E-2</v>
      </c>
      <c r="M76" s="87">
        <f t="shared" si="3"/>
        <v>4.4947570611762024E-3</v>
      </c>
      <c r="N76" s="87">
        <f t="shared" si="3"/>
        <v>-1.0253589568248003E-2</v>
      </c>
      <c r="O76" s="87">
        <f t="shared" si="3"/>
        <v>-0.13009854406543006</v>
      </c>
      <c r="P76" s="87">
        <f t="shared" si="3"/>
        <v>-5.1697161548320339E-2</v>
      </c>
      <c r="Q76" s="87">
        <f t="shared" si="3"/>
        <v>-8.181120312254847E-2</v>
      </c>
    </row>
    <row r="77" spans="1:17" x14ac:dyDescent="0.2">
      <c r="A77" s="85">
        <v>44228</v>
      </c>
      <c r="B77" s="86">
        <v>118.44446563720703</v>
      </c>
      <c r="C77" s="86">
        <v>31.473691940307617</v>
      </c>
      <c r="D77" s="86">
        <v>199.59368896484375</v>
      </c>
      <c r="E77" s="86">
        <v>61.445266723632812</v>
      </c>
      <c r="F77" s="86">
        <v>43.391963958740234</v>
      </c>
      <c r="G77" s="86">
        <v>61.345417022705078</v>
      </c>
      <c r="H77" s="86">
        <v>111.87644958496094</v>
      </c>
      <c r="J77" s="81">
        <f t="shared" si="5"/>
        <v>202102</v>
      </c>
      <c r="K77" s="87">
        <f t="shared" si="4"/>
        <v>-8.4561877796513987E-2</v>
      </c>
      <c r="L77" s="87">
        <f t="shared" si="4"/>
        <v>0.15756590747009602</v>
      </c>
      <c r="M77" s="87">
        <f t="shared" si="3"/>
        <v>0.17141772414164722</v>
      </c>
      <c r="N77" s="87">
        <f t="shared" si="3"/>
        <v>0.16055078154336175</v>
      </c>
      <c r="O77" s="87">
        <f t="shared" si="3"/>
        <v>1.7294894015039995E-2</v>
      </c>
      <c r="P77" s="87">
        <f t="shared" si="3"/>
        <v>-5.9474139721602405E-2</v>
      </c>
      <c r="Q77" s="87">
        <f t="shared" si="3"/>
        <v>-3.1171857381793538E-2</v>
      </c>
    </row>
    <row r="78" spans="1:17" x14ac:dyDescent="0.2">
      <c r="A78" s="85">
        <v>44256</v>
      </c>
      <c r="B78" s="86">
        <v>119.49210357666016</v>
      </c>
      <c r="C78" s="86">
        <v>35.082603454589844</v>
      </c>
      <c r="D78" s="86">
        <v>214.37736511230469</v>
      </c>
      <c r="E78" s="86">
        <v>64.336219787597656</v>
      </c>
      <c r="F78" s="86">
        <v>46.686885833740234</v>
      </c>
      <c r="G78" s="86">
        <v>65.121452331542969</v>
      </c>
      <c r="H78" s="86">
        <v>122.65383911132812</v>
      </c>
      <c r="J78" s="81">
        <f t="shared" si="5"/>
        <v>202103</v>
      </c>
      <c r="K78" s="87">
        <f t="shared" si="4"/>
        <v>8.8060840165438137E-3</v>
      </c>
      <c r="L78" s="87">
        <f t="shared" si="4"/>
        <v>0.10855335915404508</v>
      </c>
      <c r="M78" s="87">
        <f t="shared" si="3"/>
        <v>7.145410548830225E-2</v>
      </c>
      <c r="N78" s="87">
        <f t="shared" si="3"/>
        <v>4.5975959816164362E-2</v>
      </c>
      <c r="O78" s="87">
        <f t="shared" si="3"/>
        <v>7.3189046252930656E-2</v>
      </c>
      <c r="P78" s="87">
        <f t="shared" si="3"/>
        <v>5.9733557623970472E-2</v>
      </c>
      <c r="Q78" s="87">
        <f t="shared" si="3"/>
        <v>9.1970937875656869E-2</v>
      </c>
    </row>
    <row r="79" spans="1:17" x14ac:dyDescent="0.2">
      <c r="A79" s="85">
        <v>44287</v>
      </c>
      <c r="B79" s="86">
        <v>128.59954833984375</v>
      </c>
      <c r="C79" s="86">
        <v>36.933578491210938</v>
      </c>
      <c r="D79" s="86">
        <v>210.90103149414062</v>
      </c>
      <c r="E79" s="86">
        <v>64.334640502929688</v>
      </c>
      <c r="F79" s="86">
        <v>48.209720611572266</v>
      </c>
      <c r="G79" s="86">
        <v>63.486518859863281</v>
      </c>
      <c r="H79" s="86">
        <v>120.83346557617188</v>
      </c>
      <c r="J79" s="81">
        <f t="shared" si="5"/>
        <v>202104</v>
      </c>
      <c r="K79" s="87">
        <f t="shared" si="4"/>
        <v>7.3453009333637659E-2</v>
      </c>
      <c r="L79" s="87">
        <f t="shared" si="4"/>
        <v>5.1415743938450567E-2</v>
      </c>
      <c r="M79" s="87">
        <f t="shared" si="3"/>
        <v>-1.6348872064625992E-2</v>
      </c>
      <c r="N79" s="87">
        <f t="shared" si="3"/>
        <v>-2.4547666262311344E-5</v>
      </c>
      <c r="O79" s="87">
        <f t="shared" si="3"/>
        <v>3.2097365189023314E-2</v>
      </c>
      <c r="P79" s="87">
        <f t="shared" si="3"/>
        <v>-2.5426441894115744E-2</v>
      </c>
      <c r="Q79" s="87">
        <f t="shared" si="3"/>
        <v>-1.4952791521228824E-2</v>
      </c>
    </row>
    <row r="80" spans="1:17" x14ac:dyDescent="0.2">
      <c r="A80" s="85">
        <v>44317</v>
      </c>
      <c r="B80" s="86">
        <v>121.89857482910156</v>
      </c>
      <c r="C80" s="86">
        <v>38.628532409667969</v>
      </c>
      <c r="D80" s="86">
        <v>223.90007019042969</v>
      </c>
      <c r="E80" s="86">
        <v>68.943977355957031</v>
      </c>
      <c r="F80" s="86">
        <v>49.379688262939453</v>
      </c>
      <c r="G80" s="86">
        <v>64.671012878417969</v>
      </c>
      <c r="H80" s="86">
        <v>122.90994262695312</v>
      </c>
      <c r="J80" s="81">
        <f t="shared" si="5"/>
        <v>202105</v>
      </c>
      <c r="K80" s="87">
        <f t="shared" si="4"/>
        <v>-5.3513954558334999E-2</v>
      </c>
      <c r="L80" s="87">
        <f t="shared" si="4"/>
        <v>4.4870061536521316E-2</v>
      </c>
      <c r="M80" s="87">
        <f t="shared" si="3"/>
        <v>5.9810858706182649E-2</v>
      </c>
      <c r="N80" s="87">
        <f t="shared" si="3"/>
        <v>6.9196033703588664E-2</v>
      </c>
      <c r="O80" s="87">
        <f t="shared" si="3"/>
        <v>2.3978497711753314E-2</v>
      </c>
      <c r="P80" s="87">
        <f t="shared" si="3"/>
        <v>1.8485495656801933E-2</v>
      </c>
      <c r="Q80" s="87">
        <f t="shared" si="3"/>
        <v>1.7038633388179632E-2</v>
      </c>
    </row>
    <row r="81" spans="1:17" x14ac:dyDescent="0.2">
      <c r="A81" s="85">
        <v>44348</v>
      </c>
      <c r="B81" s="86">
        <v>134.20742797851562</v>
      </c>
      <c r="C81" s="86">
        <v>37.571464538574219</v>
      </c>
      <c r="D81" s="86">
        <v>202.12123107910156</v>
      </c>
      <c r="E81" s="86">
        <v>66.001838684082031</v>
      </c>
      <c r="F81" s="86">
        <v>48.325828552246094</v>
      </c>
      <c r="G81" s="86">
        <v>69.454216003417969</v>
      </c>
      <c r="H81" s="86">
        <v>122.98284149169922</v>
      </c>
      <c r="J81" s="81">
        <f t="shared" si="5"/>
        <v>202106</v>
      </c>
      <c r="K81" s="87">
        <f t="shared" si="4"/>
        <v>9.6197227962114065E-2</v>
      </c>
      <c r="L81" s="87">
        <f t="shared" si="4"/>
        <v>-2.7746344585788691E-2</v>
      </c>
      <c r="M81" s="87">
        <f t="shared" si="3"/>
        <v>-0.1023321658569033</v>
      </c>
      <c r="N81" s="87">
        <f t="shared" si="3"/>
        <v>-4.3611651944228821E-2</v>
      </c>
      <c r="O81" s="87">
        <f t="shared" si="3"/>
        <v>-2.1573000510629974E-2</v>
      </c>
      <c r="P81" s="87">
        <f t="shared" si="3"/>
        <v>7.1354695353778599E-2</v>
      </c>
      <c r="Q81" s="87">
        <f t="shared" si="3"/>
        <v>5.9293213620012963E-4</v>
      </c>
    </row>
    <row r="82" spans="1:17" x14ac:dyDescent="0.2">
      <c r="A82" s="85">
        <v>44378</v>
      </c>
      <c r="B82" s="86">
        <v>142.92855834960938</v>
      </c>
      <c r="C82" s="86">
        <v>35.103279113769531</v>
      </c>
      <c r="D82" s="86">
        <v>192.01652526855469</v>
      </c>
      <c r="E82" s="86">
        <v>63.549362182617188</v>
      </c>
      <c r="F82" s="86">
        <v>51.317466735839844</v>
      </c>
      <c r="G82" s="86">
        <v>69.240531921386719</v>
      </c>
      <c r="H82" s="86">
        <v>129.63645935058594</v>
      </c>
      <c r="J82" s="81">
        <f t="shared" si="5"/>
        <v>202107</v>
      </c>
      <c r="K82" s="87">
        <f t="shared" si="4"/>
        <v>6.2958340392211737E-2</v>
      </c>
      <c r="L82" s="87">
        <f t="shared" si="4"/>
        <v>-6.7950292269478865E-2</v>
      </c>
      <c r="M82" s="87">
        <f t="shared" si="3"/>
        <v>-5.1286233806735998E-2</v>
      </c>
      <c r="N82" s="87">
        <f t="shared" si="3"/>
        <v>-3.7865639368509819E-2</v>
      </c>
      <c r="O82" s="87">
        <f t="shared" si="3"/>
        <v>6.0065006042150225E-2</v>
      </c>
      <c r="P82" s="87">
        <f t="shared" si="3"/>
        <v>-3.0813603874996491E-3</v>
      </c>
      <c r="Q82" s="87">
        <f t="shared" si="3"/>
        <v>5.268922093020921E-2</v>
      </c>
    </row>
    <row r="83" spans="1:17" x14ac:dyDescent="0.2">
      <c r="A83" s="85">
        <v>44409</v>
      </c>
      <c r="B83" s="86">
        <v>148.77854919433594</v>
      </c>
      <c r="C83" s="86">
        <v>38.205478668212891</v>
      </c>
      <c r="D83" s="86">
        <v>196.8939208984375</v>
      </c>
      <c r="E83" s="86">
        <v>64.659614562988281</v>
      </c>
      <c r="F83" s="86">
        <v>50.669593811035156</v>
      </c>
      <c r="G83" s="86">
        <v>68.718086242675781</v>
      </c>
      <c r="H83" s="86">
        <v>130.59857177734375</v>
      </c>
      <c r="J83" s="81">
        <f t="shared" si="5"/>
        <v>202108</v>
      </c>
      <c r="K83" s="87">
        <f t="shared" si="4"/>
        <v>4.0114039905430866E-2</v>
      </c>
      <c r="L83" s="87">
        <f t="shared" si="4"/>
        <v>8.4684377809650394E-2</v>
      </c>
      <c r="M83" s="87">
        <f t="shared" si="3"/>
        <v>2.5083673681686822E-2</v>
      </c>
      <c r="N83" s="87">
        <f t="shared" si="3"/>
        <v>1.7319850179232679E-2</v>
      </c>
      <c r="O83" s="87">
        <f t="shared" si="3"/>
        <v>-1.27051733103188E-2</v>
      </c>
      <c r="P83" s="87">
        <f t="shared" si="3"/>
        <v>-7.5739838971912088E-3</v>
      </c>
      <c r="Q83" s="87">
        <f t="shared" si="3"/>
        <v>7.394214423484295E-3</v>
      </c>
    </row>
    <row r="84" spans="1:17" x14ac:dyDescent="0.2">
      <c r="A84" s="85">
        <v>44440</v>
      </c>
      <c r="B84" s="86">
        <v>138.86393737792969</v>
      </c>
      <c r="C84" s="86">
        <v>38.846050262451172</v>
      </c>
      <c r="D84" s="86">
        <v>179.24656677246094</v>
      </c>
      <c r="E84" s="86">
        <v>63.199718475341797</v>
      </c>
      <c r="F84" s="86">
        <v>47.2142333984375</v>
      </c>
      <c r="G84" s="86">
        <v>67.65521240234375</v>
      </c>
      <c r="H84" s="86">
        <v>128.22305297851562</v>
      </c>
      <c r="J84" s="81">
        <f t="shared" si="5"/>
        <v>202109</v>
      </c>
      <c r="K84" s="87">
        <f t="shared" si="4"/>
        <v>-6.8964367424851458E-2</v>
      </c>
      <c r="L84" s="87">
        <f t="shared" si="4"/>
        <v>1.662747933649103E-2</v>
      </c>
      <c r="M84" s="87">
        <f t="shared" si="3"/>
        <v>-9.3902785108198092E-2</v>
      </c>
      <c r="N84" s="87">
        <f t="shared" si="3"/>
        <v>-2.2836964660020741E-2</v>
      </c>
      <c r="O84" s="87">
        <f t="shared" si="3"/>
        <v>-7.0630600911049668E-2</v>
      </c>
      <c r="P84" s="87">
        <f t="shared" si="3"/>
        <v>-1.5588027463059385E-2</v>
      </c>
      <c r="Q84" s="87">
        <f t="shared" si="3"/>
        <v>-1.8356932181531616E-2</v>
      </c>
    </row>
    <row r="85" spans="1:17" x14ac:dyDescent="0.2">
      <c r="A85" s="85">
        <v>44470</v>
      </c>
      <c r="B85" s="86">
        <v>147.00930786132812</v>
      </c>
      <c r="C85" s="86">
        <v>43.947589874267578</v>
      </c>
      <c r="D85" s="86">
        <v>190.48858642578125</v>
      </c>
      <c r="E85" s="86">
        <v>64.378425598144531</v>
      </c>
      <c r="F85" s="86">
        <v>51.106391906738281</v>
      </c>
      <c r="G85" s="86">
        <v>80.021659851074219</v>
      </c>
      <c r="H85" s="86">
        <v>131.14888000488281</v>
      </c>
      <c r="J85" s="81">
        <f t="shared" si="5"/>
        <v>202110</v>
      </c>
      <c r="K85" s="87">
        <f t="shared" si="4"/>
        <v>5.7001317616662703E-2</v>
      </c>
      <c r="L85" s="87">
        <f t="shared" si="4"/>
        <v>0.12339137942779936</v>
      </c>
      <c r="M85" s="87">
        <f t="shared" si="3"/>
        <v>6.0829952991834454E-2</v>
      </c>
      <c r="N85" s="87">
        <f t="shared" si="3"/>
        <v>1.8478724104385297E-2</v>
      </c>
      <c r="O85" s="87">
        <f t="shared" si="3"/>
        <v>7.9214173440001798E-2</v>
      </c>
      <c r="P85" s="87">
        <f t="shared" si="3"/>
        <v>0.16787294496378252</v>
      </c>
      <c r="Q85" s="87">
        <f t="shared" si="3"/>
        <v>2.2561817727717249E-2</v>
      </c>
    </row>
    <row r="86" spans="1:17" x14ac:dyDescent="0.2">
      <c r="A86" s="85">
        <v>44501</v>
      </c>
      <c r="B86" s="86">
        <v>162.22053527832031</v>
      </c>
      <c r="C86" s="86">
        <v>40.903087615966797</v>
      </c>
      <c r="D86" s="86">
        <v>181.53192138671875</v>
      </c>
      <c r="E86" s="86">
        <v>58.313190460205078</v>
      </c>
      <c r="F86" s="86">
        <v>47.552440643310547</v>
      </c>
      <c r="G86" s="86">
        <v>68.079765319824219</v>
      </c>
      <c r="H86" s="86">
        <v>133.42926025390625</v>
      </c>
      <c r="J86" s="81">
        <f t="shared" si="5"/>
        <v>202111</v>
      </c>
      <c r="K86" s="87">
        <f t="shared" si="4"/>
        <v>9.8460834784103057E-2</v>
      </c>
      <c r="L86" s="87">
        <f t="shared" si="4"/>
        <v>-7.1792232694589342E-2</v>
      </c>
      <c r="M86" s="87">
        <f t="shared" si="3"/>
        <v>-4.8160765346869576E-2</v>
      </c>
      <c r="N86" s="87">
        <f t="shared" si="3"/>
        <v>-9.8950251516251822E-2</v>
      </c>
      <c r="O86" s="87">
        <f t="shared" si="3"/>
        <v>-7.2076460015374225E-2</v>
      </c>
      <c r="P86" s="87">
        <f t="shared" si="3"/>
        <v>-0.16161730903108512</v>
      </c>
      <c r="Q86" s="87">
        <f t="shared" si="3"/>
        <v>1.7238285188941844E-2</v>
      </c>
    </row>
    <row r="87" spans="1:17" x14ac:dyDescent="0.2">
      <c r="A87" s="85">
        <v>44531</v>
      </c>
      <c r="B87" s="86">
        <v>174.51626586914062</v>
      </c>
      <c r="C87" s="86">
        <v>40.921485900878906</v>
      </c>
      <c r="D87" s="86">
        <v>194.10350036621094</v>
      </c>
      <c r="E87" s="86">
        <v>57.993980407714844</v>
      </c>
      <c r="F87" s="86">
        <v>54.097499847412109</v>
      </c>
      <c r="G87" s="86">
        <v>69.652023315429688</v>
      </c>
      <c r="H87" s="86">
        <v>150.96388244628906</v>
      </c>
      <c r="J87" s="81">
        <f t="shared" si="5"/>
        <v>202112</v>
      </c>
      <c r="K87" s="87">
        <f t="shared" si="4"/>
        <v>7.306121310528127E-2</v>
      </c>
      <c r="L87" s="87">
        <f t="shared" si="4"/>
        <v>4.4970073002277328E-4</v>
      </c>
      <c r="M87" s="87">
        <f t="shared" si="3"/>
        <v>6.6960010191809846E-2</v>
      </c>
      <c r="N87" s="87">
        <f t="shared" si="3"/>
        <v>-5.4891001405482842E-3</v>
      </c>
      <c r="O87" s="87">
        <f t="shared" si="3"/>
        <v>0.12895485563399825</v>
      </c>
      <c r="P87" s="87">
        <f t="shared" si="3"/>
        <v>2.2831712423230378E-2</v>
      </c>
      <c r="Q87" s="87">
        <f t="shared" si="3"/>
        <v>0.1234691674445134</v>
      </c>
    </row>
    <row r="88" spans="1:17" x14ac:dyDescent="0.2">
      <c r="A88" s="85">
        <v>44562</v>
      </c>
      <c r="B88" s="86">
        <v>171.77424621582031</v>
      </c>
      <c r="C88" s="86">
        <v>42.643409729003906</v>
      </c>
      <c r="D88" s="86">
        <v>189.2401123046875</v>
      </c>
      <c r="E88" s="86">
        <v>58.050895690917969</v>
      </c>
      <c r="F88" s="86">
        <v>55.742076873779297</v>
      </c>
      <c r="G88" s="86">
        <v>74.753250122070312</v>
      </c>
      <c r="H88" s="86">
        <v>148.07530212402344</v>
      </c>
      <c r="J88" s="81">
        <f t="shared" si="5"/>
        <v>202201</v>
      </c>
      <c r="K88" s="87">
        <f t="shared" si="4"/>
        <v>-1.5836858747151981E-2</v>
      </c>
      <c r="L88" s="87">
        <f t="shared" si="4"/>
        <v>4.1217489400143678E-2</v>
      </c>
      <c r="M88" s="87">
        <f t="shared" si="3"/>
        <v>-2.537487962748923E-2</v>
      </c>
      <c r="N88" s="87">
        <f t="shared" si="3"/>
        <v>9.8091858391769577E-4</v>
      </c>
      <c r="O88" s="87">
        <f t="shared" si="3"/>
        <v>2.9947310141218372E-2</v>
      </c>
      <c r="P88" s="87">
        <f t="shared" si="3"/>
        <v>7.0680941660698215E-2</v>
      </c>
      <c r="Q88" s="87">
        <f t="shared" si="3"/>
        <v>-1.9319676601700784E-2</v>
      </c>
    </row>
    <row r="89" spans="1:17" x14ac:dyDescent="0.2">
      <c r="A89" s="85">
        <v>44593</v>
      </c>
      <c r="B89" s="86">
        <v>162.28038024902344</v>
      </c>
      <c r="C89" s="86">
        <v>40.850421905517578</v>
      </c>
      <c r="D89" s="86">
        <v>176.96916198730469</v>
      </c>
      <c r="E89" s="86">
        <v>58.683757781982422</v>
      </c>
      <c r="F89" s="86">
        <v>56.865879058837891</v>
      </c>
      <c r="G89" s="86">
        <v>70.257781982421875</v>
      </c>
      <c r="H89" s="86">
        <v>144.64376831054688</v>
      </c>
      <c r="J89" s="81">
        <f t="shared" si="5"/>
        <v>202202</v>
      </c>
      <c r="K89" s="87">
        <f t="shared" si="4"/>
        <v>-5.6855511199185728E-2</v>
      </c>
      <c r="L89" s="87">
        <f t="shared" si="4"/>
        <v>-4.2955592745364819E-2</v>
      </c>
      <c r="M89" s="87">
        <f t="shared" si="3"/>
        <v>-6.7041152879597804E-2</v>
      </c>
      <c r="N89" s="87">
        <f t="shared" si="3"/>
        <v>1.0842852101850622E-2</v>
      </c>
      <c r="O89" s="87">
        <f t="shared" si="3"/>
        <v>1.9960214830093529E-2</v>
      </c>
      <c r="P89" s="87">
        <f t="shared" si="3"/>
        <v>-6.2021613590303636E-2</v>
      </c>
      <c r="Q89" s="87">
        <f t="shared" si="3"/>
        <v>-2.3446993169044774E-2</v>
      </c>
    </row>
    <row r="90" spans="1:17" x14ac:dyDescent="0.2">
      <c r="A90" s="85">
        <v>44621</v>
      </c>
      <c r="B90" s="86">
        <v>171.82579040527344</v>
      </c>
      <c r="C90" s="86">
        <v>38.096260070800781</v>
      </c>
      <c r="D90" s="86">
        <v>210.21574401855469</v>
      </c>
      <c r="E90" s="86">
        <v>56.219917297363281</v>
      </c>
      <c r="F90" s="86">
        <v>56.646595001220703</v>
      </c>
      <c r="G90" s="86">
        <v>75.276199340820312</v>
      </c>
      <c r="H90" s="86">
        <v>141.77668762207031</v>
      </c>
      <c r="J90" s="81">
        <f t="shared" si="5"/>
        <v>202203</v>
      </c>
      <c r="K90" s="87">
        <f t="shared" si="4"/>
        <v>5.7155535555100397E-2</v>
      </c>
      <c r="L90" s="87">
        <f t="shared" si="4"/>
        <v>-6.9801032973930713E-2</v>
      </c>
      <c r="M90" s="87">
        <f t="shared" si="3"/>
        <v>0.17215886448711062</v>
      </c>
      <c r="N90" s="87">
        <f t="shared" si="3"/>
        <v>-4.2891895348513814E-2</v>
      </c>
      <c r="O90" s="87">
        <f t="shared" si="3"/>
        <v>-3.8636164388754658E-3</v>
      </c>
      <c r="P90" s="87">
        <f t="shared" si="3"/>
        <v>6.8992929402390546E-2</v>
      </c>
      <c r="Q90" s="87">
        <f t="shared" si="3"/>
        <v>-2.0020751983551528E-2</v>
      </c>
    </row>
    <row r="91" spans="1:17" x14ac:dyDescent="0.2">
      <c r="A91" s="85">
        <v>44652</v>
      </c>
      <c r="B91" s="86">
        <v>155.13626098632812</v>
      </c>
      <c r="C91" s="86">
        <v>33.137321472167969</v>
      </c>
      <c r="D91" s="86">
        <v>198.63035583496094</v>
      </c>
      <c r="E91" s="86">
        <v>45.846546173095703</v>
      </c>
      <c r="F91" s="86">
        <v>59.483112335205078</v>
      </c>
      <c r="G91" s="86">
        <v>82.091812133789062</v>
      </c>
      <c r="H91" s="86">
        <v>148.96759033203125</v>
      </c>
      <c r="J91" s="81">
        <f t="shared" si="5"/>
        <v>202204</v>
      </c>
      <c r="K91" s="87">
        <f t="shared" si="4"/>
        <v>-0.10217728318488033</v>
      </c>
      <c r="L91" s="87">
        <f t="shared" si="4"/>
        <v>-0.1394559323290035</v>
      </c>
      <c r="M91" s="87">
        <f t="shared" si="3"/>
        <v>-5.6688766771920161E-2</v>
      </c>
      <c r="N91" s="87">
        <f t="shared" si="3"/>
        <v>-0.20397122738959397</v>
      </c>
      <c r="O91" s="87">
        <f t="shared" si="3"/>
        <v>4.8860566190574606E-2</v>
      </c>
      <c r="P91" s="87">
        <f t="shared" si="3"/>
        <v>8.6674274048880048E-2</v>
      </c>
      <c r="Q91" s="87">
        <f t="shared" si="3"/>
        <v>4.9475570382683132E-2</v>
      </c>
    </row>
    <row r="92" spans="1:17" x14ac:dyDescent="0.2">
      <c r="A92" s="85">
        <v>44682</v>
      </c>
      <c r="B92" s="86">
        <v>146.46670532226562</v>
      </c>
      <c r="C92" s="86">
        <v>34.548999786376953</v>
      </c>
      <c r="D92" s="86">
        <v>204.61660766601562</v>
      </c>
      <c r="E92" s="86">
        <v>48.146568298339844</v>
      </c>
      <c r="F92" s="86">
        <v>58.350711822509766</v>
      </c>
      <c r="G92" s="86">
        <v>85.183311462402344</v>
      </c>
      <c r="H92" s="86">
        <v>137.98143005371094</v>
      </c>
      <c r="J92" s="81">
        <f t="shared" si="5"/>
        <v>202205</v>
      </c>
      <c r="K92" s="87">
        <f t="shared" si="4"/>
        <v>-5.7505698668839207E-2</v>
      </c>
      <c r="L92" s="87">
        <f t="shared" si="4"/>
        <v>4.1718415937369989E-2</v>
      </c>
      <c r="M92" s="87">
        <f t="shared" si="3"/>
        <v>2.9692432561986785E-2</v>
      </c>
      <c r="N92" s="87">
        <f t="shared" si="3"/>
        <v>4.8949997607664782E-2</v>
      </c>
      <c r="O92" s="87">
        <f t="shared" si="3"/>
        <v>-1.9220888121932959E-2</v>
      </c>
      <c r="P92" s="87">
        <f t="shared" si="3"/>
        <v>3.6967258714395858E-2</v>
      </c>
      <c r="Q92" s="87">
        <f t="shared" si="3"/>
        <v>-7.6609656461248302E-2</v>
      </c>
    </row>
    <row r="93" spans="1:17" x14ac:dyDescent="0.2">
      <c r="A93" s="85">
        <v>44713</v>
      </c>
      <c r="B93" s="86">
        <v>134.73765563964844</v>
      </c>
      <c r="C93" s="86">
        <v>28.911569595336914</v>
      </c>
      <c r="D93" s="86">
        <v>169.45687866210938</v>
      </c>
      <c r="E93" s="86">
        <v>39.155597686767578</v>
      </c>
      <c r="F93" s="86">
        <v>57.918010711669922</v>
      </c>
      <c r="G93" s="86">
        <v>84.387283325195312</v>
      </c>
      <c r="H93" s="86">
        <v>134.16519165039062</v>
      </c>
      <c r="J93" s="81">
        <f t="shared" si="5"/>
        <v>202206</v>
      </c>
      <c r="K93" s="87">
        <f t="shared" si="4"/>
        <v>-8.3468538963704209E-2</v>
      </c>
      <c r="L93" s="87">
        <f t="shared" si="4"/>
        <v>-0.17813675302607532</v>
      </c>
      <c r="M93" s="87">
        <f t="shared" si="3"/>
        <v>-0.18853953033032581</v>
      </c>
      <c r="N93" s="87">
        <f t="shared" si="3"/>
        <v>-0.20670647192072253</v>
      </c>
      <c r="O93" s="87">
        <f t="shared" si="3"/>
        <v>-7.4431558043150103E-3</v>
      </c>
      <c r="P93" s="87">
        <f t="shared" si="3"/>
        <v>-9.3888210474576943E-3</v>
      </c>
      <c r="Q93" s="87">
        <f t="shared" si="3"/>
        <v>-2.8047297054421379E-2</v>
      </c>
    </row>
    <row r="94" spans="1:17" x14ac:dyDescent="0.2">
      <c r="A94" s="85">
        <v>44743</v>
      </c>
      <c r="B94" s="86">
        <v>160.15370178222656</v>
      </c>
      <c r="C94" s="86">
        <v>31.581438064575195</v>
      </c>
      <c r="D94" s="86">
        <v>187.93257141113281</v>
      </c>
      <c r="E94" s="86">
        <v>45.507240295410156</v>
      </c>
      <c r="F94" s="86">
        <v>59.504859924316406</v>
      </c>
      <c r="G94" s="86">
        <v>83.370201110839844</v>
      </c>
      <c r="H94" s="86">
        <v>129.61186218261719</v>
      </c>
      <c r="J94" s="81">
        <f t="shared" si="5"/>
        <v>202207</v>
      </c>
      <c r="K94" s="87">
        <f t="shared" si="4"/>
        <v>0.17280439401767803</v>
      </c>
      <c r="L94" s="87">
        <f t="shared" si="4"/>
        <v>8.8327697958868592E-2</v>
      </c>
      <c r="M94" s="87">
        <f t="shared" si="3"/>
        <v>0.10348474450722464</v>
      </c>
      <c r="N94" s="87">
        <f t="shared" si="3"/>
        <v>0.15032804794814641</v>
      </c>
      <c r="O94" s="87">
        <f t="shared" si="3"/>
        <v>2.7029586576324569E-2</v>
      </c>
      <c r="P94" s="87">
        <f t="shared" si="3"/>
        <v>-1.2125774059102652E-2</v>
      </c>
      <c r="Q94" s="87">
        <f t="shared" si="3"/>
        <v>-3.452750530344801E-2</v>
      </c>
    </row>
    <row r="95" spans="1:17" x14ac:dyDescent="0.2">
      <c r="A95" s="85">
        <v>44774</v>
      </c>
      <c r="B95" s="86">
        <v>154.9404296875</v>
      </c>
      <c r="C95" s="86">
        <v>31.394624710083008</v>
      </c>
      <c r="D95" s="86">
        <v>176.3167724609375</v>
      </c>
      <c r="E95" s="86">
        <v>45.217845916748047</v>
      </c>
      <c r="F95" s="86">
        <v>57.223697662353516</v>
      </c>
      <c r="G95" s="86">
        <v>79.656166076660156</v>
      </c>
      <c r="H95" s="86">
        <v>129.54231262207031</v>
      </c>
      <c r="J95" s="81">
        <f t="shared" si="5"/>
        <v>202208</v>
      </c>
      <c r="K95" s="87">
        <f t="shared" si="4"/>
        <v>-3.3093271806286337E-2</v>
      </c>
      <c r="L95" s="87">
        <f t="shared" si="4"/>
        <v>-5.9328543013831567E-3</v>
      </c>
      <c r="M95" s="87">
        <f t="shared" si="3"/>
        <v>-6.3801014999640443E-2</v>
      </c>
      <c r="N95" s="87">
        <f t="shared" si="3"/>
        <v>-6.3796105853291627E-3</v>
      </c>
      <c r="O95" s="87">
        <f t="shared" si="3"/>
        <v>-3.9089881230530164E-2</v>
      </c>
      <c r="P95" s="87">
        <f t="shared" si="3"/>
        <v>-4.5571496681260051E-2</v>
      </c>
      <c r="Q95" s="87">
        <f t="shared" si="3"/>
        <v>-5.3674274990187182E-4</v>
      </c>
    </row>
    <row r="96" spans="1:17" x14ac:dyDescent="0.2">
      <c r="A96" s="85">
        <v>44805</v>
      </c>
      <c r="B96" s="86">
        <v>136.38536071777344</v>
      </c>
      <c r="C96" s="86">
        <v>28.209390640258789</v>
      </c>
      <c r="D96" s="86">
        <v>156.62420654296875</v>
      </c>
      <c r="E96" s="86">
        <v>38.118694305419922</v>
      </c>
      <c r="F96" s="86">
        <v>51.947364807128906</v>
      </c>
      <c r="G96" s="86">
        <v>80.365379333496094</v>
      </c>
      <c r="H96" s="86">
        <v>118.56401824951172</v>
      </c>
      <c r="J96" s="81">
        <f t="shared" si="5"/>
        <v>202209</v>
      </c>
      <c r="K96" s="87">
        <f t="shared" si="4"/>
        <v>-0.12755630491737543</v>
      </c>
      <c r="L96" s="87">
        <f t="shared" si="4"/>
        <v>-0.10698176674395285</v>
      </c>
      <c r="M96" s="87">
        <f t="shared" si="3"/>
        <v>-0.118432873551996</v>
      </c>
      <c r="N96" s="87">
        <f t="shared" si="3"/>
        <v>-0.17078700410321421</v>
      </c>
      <c r="O96" s="87">
        <f t="shared" si="3"/>
        <v>-9.6737116687657373E-2</v>
      </c>
      <c r="P96" s="87">
        <f t="shared" si="3"/>
        <v>8.8640301360260812E-3</v>
      </c>
      <c r="Q96" s="87">
        <f t="shared" si="3"/>
        <v>-8.8554513075127336E-2</v>
      </c>
    </row>
    <row r="97" spans="1:17" x14ac:dyDescent="0.2">
      <c r="A97" s="85">
        <v>44835</v>
      </c>
      <c r="B97" s="86">
        <v>151.32655334472656</v>
      </c>
      <c r="C97" s="86">
        <v>33.886257171630859</v>
      </c>
      <c r="D97" s="86">
        <v>206.62403869628906</v>
      </c>
      <c r="E97" s="86">
        <v>47.967960357666016</v>
      </c>
      <c r="F97" s="86">
        <v>55.903549194335938</v>
      </c>
      <c r="G97" s="86">
        <v>95.199043273925781</v>
      </c>
      <c r="H97" s="86">
        <v>126.47139739990234</v>
      </c>
      <c r="J97" s="81">
        <f t="shared" si="5"/>
        <v>202210</v>
      </c>
      <c r="K97" s="87">
        <f t="shared" si="4"/>
        <v>0.10395569314931237</v>
      </c>
      <c r="L97" s="87">
        <f t="shared" si="4"/>
        <v>0.18335461508613368</v>
      </c>
      <c r="M97" s="87">
        <f t="shared" si="3"/>
        <v>0.27705155648609098</v>
      </c>
      <c r="N97" s="87">
        <f t="shared" si="3"/>
        <v>0.22982846950633648</v>
      </c>
      <c r="O97" s="87">
        <f t="shared" si="3"/>
        <v>7.3396879296025425E-2</v>
      </c>
      <c r="P97" s="87">
        <f t="shared" si="3"/>
        <v>0.16938641396012638</v>
      </c>
      <c r="Q97" s="87">
        <f t="shared" si="3"/>
        <v>6.456312199929877E-2</v>
      </c>
    </row>
    <row r="98" spans="1:17" x14ac:dyDescent="0.2">
      <c r="A98" s="85">
        <v>44866</v>
      </c>
      <c r="B98" s="86">
        <v>146.08631896972656</v>
      </c>
      <c r="C98" s="86">
        <v>35.588096618652344</v>
      </c>
      <c r="D98" s="86">
        <v>227.17750549316406</v>
      </c>
      <c r="E98" s="86">
        <v>52.998405456542969</v>
      </c>
      <c r="F98" s="86">
        <v>59.415630340576172</v>
      </c>
      <c r="G98" s="86">
        <v>103.59011077880859</v>
      </c>
      <c r="H98" s="86">
        <v>141.07341003417969</v>
      </c>
      <c r="J98" s="81">
        <f t="shared" si="5"/>
        <v>202211</v>
      </c>
      <c r="K98" s="87">
        <f t="shared" si="4"/>
        <v>-3.5242433859530922E-2</v>
      </c>
      <c r="L98" s="87">
        <f t="shared" si="4"/>
        <v>4.9001678275917483E-2</v>
      </c>
      <c r="M98" s="87">
        <f t="shared" si="3"/>
        <v>9.4830770710135473E-2</v>
      </c>
      <c r="N98" s="87">
        <f t="shared" si="3"/>
        <v>9.9728531887000524E-2</v>
      </c>
      <c r="O98" s="87">
        <f t="shared" si="3"/>
        <v>6.0929458806738605E-2</v>
      </c>
      <c r="P98" s="87">
        <f t="shared" si="3"/>
        <v>8.4471977362996886E-2</v>
      </c>
      <c r="Q98" s="87">
        <f t="shared" si="3"/>
        <v>0.10926421834246437</v>
      </c>
    </row>
    <row r="99" spans="1:17" x14ac:dyDescent="0.2">
      <c r="A99" s="85">
        <v>44896</v>
      </c>
      <c r="B99" s="86">
        <v>128.43666076660156</v>
      </c>
      <c r="C99" s="86">
        <v>31.140758514404297</v>
      </c>
      <c r="D99" s="86">
        <v>230.20451354980469</v>
      </c>
      <c r="E99" s="86">
        <v>51.654483795166016</v>
      </c>
      <c r="F99" s="86">
        <v>59.837009429931641</v>
      </c>
      <c r="G99" s="86">
        <v>104.37088775634766</v>
      </c>
      <c r="H99" s="86">
        <v>143.34327697753906</v>
      </c>
      <c r="J99" s="81">
        <f t="shared" si="5"/>
        <v>202212</v>
      </c>
      <c r="K99" s="87">
        <f t="shared" si="4"/>
        <v>-0.12876180233135848</v>
      </c>
      <c r="L99" s="87">
        <f t="shared" si="4"/>
        <v>-0.13349369299006217</v>
      </c>
      <c r="M99" s="87">
        <f t="shared" si="3"/>
        <v>1.3236428742569882E-2</v>
      </c>
      <c r="N99" s="87">
        <f t="shared" si="3"/>
        <v>-2.5684824440316376E-2</v>
      </c>
      <c r="O99" s="87">
        <f t="shared" si="3"/>
        <v>7.067027512435574E-3</v>
      </c>
      <c r="P99" s="87">
        <f t="shared" si="3"/>
        <v>7.5089141871077063E-3</v>
      </c>
      <c r="Q99" s="87">
        <f t="shared" si="3"/>
        <v>1.5961898441887348E-2</v>
      </c>
    </row>
    <row r="100" spans="1:17" x14ac:dyDescent="0.2">
      <c r="A100" s="85">
        <v>44927</v>
      </c>
      <c r="B100" s="86">
        <v>142.63163757324219</v>
      </c>
      <c r="C100" s="86">
        <v>33.554759979248047</v>
      </c>
      <c r="D100" s="86">
        <v>242.4373779296875</v>
      </c>
      <c r="E100" s="86">
        <v>63.61688232421875</v>
      </c>
      <c r="F100" s="86">
        <v>57.682838439941406</v>
      </c>
      <c r="G100" s="86">
        <v>101.71025085449219</v>
      </c>
      <c r="H100" s="86">
        <v>134.66098022460938</v>
      </c>
      <c r="J100" s="81">
        <f t="shared" si="5"/>
        <v>202301</v>
      </c>
      <c r="K100" s="87">
        <f t="shared" si="4"/>
        <v>0.10482947524543844</v>
      </c>
      <c r="L100" s="87">
        <f t="shared" si="4"/>
        <v>7.4661206218870957E-2</v>
      </c>
      <c r="M100" s="87">
        <f t="shared" si="3"/>
        <v>5.1775338512039012E-2</v>
      </c>
      <c r="N100" s="87">
        <f t="shared" si="3"/>
        <v>0.20830187753742771</v>
      </c>
      <c r="O100" s="87">
        <f t="shared" si="3"/>
        <v>-3.6664654423565174E-2</v>
      </c>
      <c r="P100" s="87">
        <f t="shared" si="3"/>
        <v>-2.5822690648831078E-2</v>
      </c>
      <c r="Q100" s="87">
        <f t="shared" si="3"/>
        <v>-6.2481929528501533E-2</v>
      </c>
    </row>
    <row r="101" spans="1:17" x14ac:dyDescent="0.2">
      <c r="A101" s="85">
        <v>44958</v>
      </c>
      <c r="B101" s="86">
        <v>145.71575927734375</v>
      </c>
      <c r="C101" s="86">
        <v>32.438796997070312</v>
      </c>
      <c r="D101" s="86">
        <v>231.292724609375</v>
      </c>
      <c r="E101" s="86">
        <v>66.960540771484375</v>
      </c>
      <c r="F101" s="86">
        <v>55.980194091796875</v>
      </c>
      <c r="G101" s="86">
        <v>100.60233306884766</v>
      </c>
      <c r="H101" s="86">
        <v>130.91867065429688</v>
      </c>
      <c r="J101" s="81">
        <f t="shared" si="5"/>
        <v>202302</v>
      </c>
      <c r="K101" s="87">
        <f t="shared" si="4"/>
        <v>2.1392524122190937E-2</v>
      </c>
      <c r="L101" s="87">
        <f t="shared" si="4"/>
        <v>-3.3823585907702243E-2</v>
      </c>
      <c r="M101" s="87">
        <f t="shared" si="3"/>
        <v>-4.7059327292569446E-2</v>
      </c>
      <c r="N101" s="87">
        <f t="shared" si="3"/>
        <v>5.1224621715264242E-2</v>
      </c>
      <c r="O101" s="87">
        <f t="shared" si="3"/>
        <v>-2.996175064521241E-2</v>
      </c>
      <c r="P101" s="87">
        <f t="shared" si="3"/>
        <v>-1.0952644068497989E-2</v>
      </c>
      <c r="Q101" s="87">
        <f t="shared" si="3"/>
        <v>-2.8184066643150398E-2</v>
      </c>
    </row>
    <row r="102" spans="1:17" x14ac:dyDescent="0.2">
      <c r="A102" s="85">
        <v>44986</v>
      </c>
      <c r="B102" s="86">
        <v>163.25361633300781</v>
      </c>
      <c r="C102" s="86">
        <v>27.048088073730469</v>
      </c>
      <c r="D102" s="86">
        <v>220.95185852050781</v>
      </c>
      <c r="E102" s="86">
        <v>75.568771362304688</v>
      </c>
      <c r="F102" s="86">
        <v>58.350723266601562</v>
      </c>
      <c r="G102" s="86">
        <v>100.74437713623047</v>
      </c>
      <c r="H102" s="86">
        <v>141.51132202148438</v>
      </c>
      <c r="J102" s="81">
        <f t="shared" si="5"/>
        <v>202303</v>
      </c>
      <c r="K102" s="87">
        <f t="shared" si="4"/>
        <v>0.11364705016809599</v>
      </c>
      <c r="L102" s="87">
        <f t="shared" si="4"/>
        <v>-0.18173882302067393</v>
      </c>
      <c r="M102" s="87">
        <f t="shared" si="3"/>
        <v>-4.5739271355502174E-2</v>
      </c>
      <c r="N102" s="87">
        <f t="shared" si="3"/>
        <v>0.12093961844109043</v>
      </c>
      <c r="O102" s="87">
        <f t="shared" si="3"/>
        <v>4.1473802725738501E-2</v>
      </c>
      <c r="P102" s="87">
        <f t="shared" si="3"/>
        <v>1.4109402711639755E-3</v>
      </c>
      <c r="Q102" s="87">
        <f t="shared" si="3"/>
        <v>7.7803432464964503E-2</v>
      </c>
    </row>
    <row r="103" spans="1:17" x14ac:dyDescent="0.2">
      <c r="A103" s="85">
        <v>45017</v>
      </c>
      <c r="B103" s="86">
        <v>167.98590087890625</v>
      </c>
      <c r="C103" s="86">
        <v>27.870790481567383</v>
      </c>
      <c r="D103" s="86">
        <v>211.25794982910156</v>
      </c>
      <c r="E103" s="86">
        <v>78.305160522460938</v>
      </c>
      <c r="F103" s="86">
        <v>60.807853698730469</v>
      </c>
      <c r="G103" s="86">
        <v>110.10273742675781</v>
      </c>
      <c r="H103" s="86">
        <v>148.830078125</v>
      </c>
      <c r="J103" s="81">
        <f t="shared" si="5"/>
        <v>202304</v>
      </c>
      <c r="K103" s="87">
        <f t="shared" si="4"/>
        <v>2.8575132514034936E-2</v>
      </c>
      <c r="L103" s="87">
        <f t="shared" si="4"/>
        <v>2.9962882660830165E-2</v>
      </c>
      <c r="M103" s="87">
        <f t="shared" si="3"/>
        <v>-4.486494518317144E-2</v>
      </c>
      <c r="N103" s="87">
        <f t="shared" si="3"/>
        <v>3.5570387253278948E-2</v>
      </c>
      <c r="O103" s="87">
        <f t="shared" si="3"/>
        <v>4.1247199336285484E-2</v>
      </c>
      <c r="P103" s="87">
        <f t="shared" si="3"/>
        <v>8.8827517307413062E-2</v>
      </c>
      <c r="Q103" s="87">
        <f t="shared" si="3"/>
        <v>5.0425511740270573E-2</v>
      </c>
    </row>
    <row r="104" spans="1:17" x14ac:dyDescent="0.2">
      <c r="A104" s="85">
        <v>45047</v>
      </c>
      <c r="B104" s="86">
        <v>175.48033142089844</v>
      </c>
      <c r="C104" s="86">
        <v>26.452503204345703</v>
      </c>
      <c r="D104" s="86">
        <v>199.73612976074219</v>
      </c>
      <c r="E104" s="86">
        <v>80.330619812011719</v>
      </c>
      <c r="F104" s="86">
        <v>56.551776885986328</v>
      </c>
      <c r="G104" s="86">
        <v>105.27793884277344</v>
      </c>
      <c r="H104" s="86">
        <v>136.46929931640625</v>
      </c>
      <c r="J104" s="81">
        <f t="shared" si="5"/>
        <v>202305</v>
      </c>
      <c r="K104" s="87">
        <f t="shared" si="4"/>
        <v>4.3646912407973908E-2</v>
      </c>
      <c r="L104" s="87">
        <f t="shared" si="4"/>
        <v>-5.2228411330320343E-2</v>
      </c>
      <c r="M104" s="87">
        <f t="shared" si="3"/>
        <v>-5.608275361463929E-2</v>
      </c>
      <c r="N104" s="87">
        <f t="shared" si="3"/>
        <v>2.5537358097655529E-2</v>
      </c>
      <c r="O104" s="87">
        <f t="shared" si="3"/>
        <v>-7.2562329735200326E-2</v>
      </c>
      <c r="P104" s="87">
        <f t="shared" si="3"/>
        <v>-4.4810016990373666E-2</v>
      </c>
      <c r="Q104" s="87">
        <f t="shared" si="3"/>
        <v>-8.6705564013425468E-2</v>
      </c>
    </row>
    <row r="105" spans="1:17" x14ac:dyDescent="0.2">
      <c r="A105" s="85">
        <v>45078</v>
      </c>
      <c r="B105" s="86">
        <v>192.29901123046875</v>
      </c>
      <c r="C105" s="86">
        <v>27.309186935424805</v>
      </c>
      <c r="D105" s="86">
        <v>238.85821533203125</v>
      </c>
      <c r="E105" s="86">
        <v>86.913398742675781</v>
      </c>
      <c r="F105" s="86">
        <v>57.082607269287109</v>
      </c>
      <c r="G105" s="86">
        <v>110.02645111083984</v>
      </c>
      <c r="H105" s="86">
        <v>145.31822204589844</v>
      </c>
      <c r="J105" s="81">
        <f t="shared" si="5"/>
        <v>202306</v>
      </c>
      <c r="K105" s="87">
        <f t="shared" si="4"/>
        <v>9.1524545824651513E-2</v>
      </c>
      <c r="L105" s="87">
        <f t="shared" si="4"/>
        <v>3.1872370430625289E-2</v>
      </c>
      <c r="M105" s="87">
        <f t="shared" si="4"/>
        <v>0.17887299036402649</v>
      </c>
      <c r="N105" s="87">
        <f t="shared" si="4"/>
        <v>7.8761340169126559E-2</v>
      </c>
      <c r="O105" s="87">
        <f t="shared" si="4"/>
        <v>9.3428454518431538E-3</v>
      </c>
      <c r="P105" s="87">
        <f t="shared" si="4"/>
        <v>4.4116912005262569E-2</v>
      </c>
      <c r="Q105" s="87">
        <f t="shared" si="4"/>
        <v>6.282629663128865E-2</v>
      </c>
    </row>
    <row r="106" spans="1:17" x14ac:dyDescent="0.2">
      <c r="A106" s="85">
        <v>45108</v>
      </c>
      <c r="B106" s="86">
        <v>194.75762939453125</v>
      </c>
      <c r="C106" s="86">
        <v>30.70294189453125</v>
      </c>
      <c r="D106" s="86">
        <v>257.41937255859375</v>
      </c>
      <c r="E106" s="86">
        <v>90.386787414550781</v>
      </c>
      <c r="F106" s="86">
        <v>59.150596618652344</v>
      </c>
      <c r="G106" s="86">
        <v>102.37214660644531</v>
      </c>
      <c r="H106" s="86">
        <v>149.68527221679688</v>
      </c>
      <c r="J106" s="81">
        <f t="shared" si="5"/>
        <v>202307</v>
      </c>
      <c r="K106" s="87">
        <f t="shared" si="4"/>
        <v>1.2704348534180274E-2</v>
      </c>
      <c r="L106" s="87">
        <f t="shared" si="4"/>
        <v>0.1171353138228149</v>
      </c>
      <c r="M106" s="87">
        <f t="shared" si="4"/>
        <v>7.4836420189648103E-2</v>
      </c>
      <c r="N106" s="87">
        <f t="shared" si="4"/>
        <v>3.9185893650021536E-2</v>
      </c>
      <c r="O106" s="87">
        <f t="shared" si="4"/>
        <v>3.5587207887157295E-2</v>
      </c>
      <c r="P106" s="87">
        <f t="shared" si="4"/>
        <v>-7.210613172073764E-2</v>
      </c>
      <c r="Q106" s="87">
        <f t="shared" si="4"/>
        <v>2.9608932073870269E-2</v>
      </c>
    </row>
    <row r="107" spans="1:17" x14ac:dyDescent="0.2">
      <c r="A107" s="85">
        <v>45139</v>
      </c>
      <c r="B107" s="86">
        <v>186.25157165527344</v>
      </c>
      <c r="C107" s="86">
        <v>27.507915496826172</v>
      </c>
      <c r="D107" s="86">
        <v>274.26437377929688</v>
      </c>
      <c r="E107" s="86">
        <v>90.627815246582031</v>
      </c>
      <c r="F107" s="86">
        <v>57.144847869873047</v>
      </c>
      <c r="G107" s="86">
        <v>104.60868835449219</v>
      </c>
      <c r="H107" s="86">
        <v>148.73948669433594</v>
      </c>
      <c r="J107" s="81">
        <f t="shared" si="5"/>
        <v>202308</v>
      </c>
      <c r="K107" s="87">
        <f t="shared" si="4"/>
        <v>-4.4657563666819312E-2</v>
      </c>
      <c r="L107" s="87">
        <f t="shared" si="4"/>
        <v>-0.10988467768160404</v>
      </c>
      <c r="M107" s="87">
        <f t="shared" si="4"/>
        <v>6.3385954214636206E-2</v>
      </c>
      <c r="N107" s="87">
        <f t="shared" si="4"/>
        <v>2.6630776847274594E-3</v>
      </c>
      <c r="O107" s="87">
        <f t="shared" si="4"/>
        <v>-3.4497441741709961E-2</v>
      </c>
      <c r="P107" s="87">
        <f t="shared" si="4"/>
        <v>2.1611941035071157E-2</v>
      </c>
      <c r="Q107" s="87">
        <f t="shared" si="4"/>
        <v>-6.3385403576155745E-3</v>
      </c>
    </row>
    <row r="108" spans="1:17" x14ac:dyDescent="0.2">
      <c r="A108" s="85">
        <v>45170</v>
      </c>
      <c r="B108" s="86">
        <v>169.96429443359375</v>
      </c>
      <c r="C108" s="86">
        <v>26.489120483398438</v>
      </c>
      <c r="D108" s="86">
        <v>266.33291625976562</v>
      </c>
      <c r="E108" s="86">
        <v>87.531929016113281</v>
      </c>
      <c r="F108" s="86">
        <v>53.467628479003906</v>
      </c>
      <c r="G108" s="86">
        <v>98.820556640625</v>
      </c>
      <c r="H108" s="86">
        <v>140.56719970703125</v>
      </c>
      <c r="J108" s="81">
        <f t="shared" si="5"/>
        <v>202309</v>
      </c>
      <c r="K108" s="87">
        <f t="shared" si="4"/>
        <v>-9.1509913394911171E-2</v>
      </c>
      <c r="L108" s="87">
        <f t="shared" si="4"/>
        <v>-3.7739698605772878E-2</v>
      </c>
      <c r="M108" s="87">
        <f t="shared" si="4"/>
        <v>-2.9345417896403637E-2</v>
      </c>
      <c r="N108" s="87">
        <f t="shared" si="4"/>
        <v>-3.4757547638268653E-2</v>
      </c>
      <c r="O108" s="87">
        <f t="shared" si="4"/>
        <v>-6.6512839557322193E-2</v>
      </c>
      <c r="P108" s="87">
        <f t="shared" si="4"/>
        <v>-5.6920964567855302E-2</v>
      </c>
      <c r="Q108" s="87">
        <f t="shared" si="4"/>
        <v>-5.6510700083331596E-2</v>
      </c>
    </row>
    <row r="109" spans="1:17" x14ac:dyDescent="0.2">
      <c r="A109" s="85">
        <v>45200</v>
      </c>
      <c r="B109" s="86">
        <v>169.52749633789062</v>
      </c>
      <c r="C109" s="86">
        <v>25.482959747314453</v>
      </c>
      <c r="D109" s="86">
        <v>220.52951049804688</v>
      </c>
      <c r="E109" s="86">
        <v>86.073600769042969</v>
      </c>
      <c r="F109" s="86">
        <v>54.382808685302734</v>
      </c>
      <c r="G109" s="86">
        <v>99.252632141113281</v>
      </c>
      <c r="H109" s="86">
        <v>144.58586120605469</v>
      </c>
      <c r="J109" s="81">
        <f t="shared" si="5"/>
        <v>202310</v>
      </c>
      <c r="K109" s="87">
        <f t="shared" si="4"/>
        <v>-2.5732482999716731E-3</v>
      </c>
      <c r="L109" s="87">
        <f t="shared" si="4"/>
        <v>-3.872411731239038E-2</v>
      </c>
      <c r="M109" s="87">
        <f t="shared" si="4"/>
        <v>-0.18871557072344974</v>
      </c>
      <c r="N109" s="87">
        <f t="shared" si="4"/>
        <v>-1.6800876702188369E-2</v>
      </c>
      <c r="O109" s="87">
        <f t="shared" si="4"/>
        <v>1.697169149246788E-2</v>
      </c>
      <c r="P109" s="87">
        <f t="shared" si="4"/>
        <v>4.3627932532218812E-3</v>
      </c>
      <c r="Q109" s="87">
        <f t="shared" si="4"/>
        <v>2.8187862126544252E-2</v>
      </c>
    </row>
    <row r="110" spans="1:17" x14ac:dyDescent="0.2">
      <c r="A110" s="85">
        <v>45231</v>
      </c>
      <c r="B110" s="86">
        <v>188.56794738769531</v>
      </c>
      <c r="C110" s="86">
        <v>29.497930526733398</v>
      </c>
      <c r="D110" s="86">
        <v>245.86091613769531</v>
      </c>
      <c r="E110" s="86">
        <v>96.508934020996094</v>
      </c>
      <c r="F110" s="86">
        <v>56.260066986083984</v>
      </c>
      <c r="G110" s="86">
        <v>99.040023803710938</v>
      </c>
      <c r="H110" s="86">
        <v>148.88304138183594</v>
      </c>
      <c r="J110" s="81">
        <f t="shared" si="5"/>
        <v>202311</v>
      </c>
      <c r="K110" s="87">
        <f t="shared" si="4"/>
        <v>0.10644327158511403</v>
      </c>
      <c r="L110" s="87">
        <f t="shared" si="4"/>
        <v>0.14631012566319579</v>
      </c>
      <c r="M110" s="87">
        <f t="shared" si="4"/>
        <v>0.10873447409972865</v>
      </c>
      <c r="N110" s="87">
        <f t="shared" si="4"/>
        <v>0.11443283144633253</v>
      </c>
      <c r="O110" s="87">
        <f t="shared" si="4"/>
        <v>3.3936906609272503E-2</v>
      </c>
      <c r="P110" s="87">
        <f t="shared" si="4"/>
        <v>-2.1443902484536087E-3</v>
      </c>
      <c r="Q110" s="87">
        <f t="shared" si="4"/>
        <v>2.9287514250350172E-2</v>
      </c>
    </row>
    <row r="111" spans="1:17" x14ac:dyDescent="0.2">
      <c r="A111" s="85">
        <v>45261</v>
      </c>
      <c r="B111" s="86">
        <v>191.38096618652344</v>
      </c>
      <c r="C111" s="86">
        <v>32.834445953369141</v>
      </c>
      <c r="D111" s="86">
        <v>289.93975830078125</v>
      </c>
      <c r="E111" s="86">
        <v>101.12836456298828</v>
      </c>
      <c r="F111" s="86">
        <v>57.183521270751953</v>
      </c>
      <c r="G111" s="86">
        <v>105.36048126220703</v>
      </c>
      <c r="H111" s="86">
        <v>142.11387634277344</v>
      </c>
      <c r="J111" s="81">
        <f t="shared" si="5"/>
        <v>202312</v>
      </c>
      <c r="K111" s="87">
        <f t="shared" si="4"/>
        <v>1.4807623330502461E-2</v>
      </c>
      <c r="L111" s="87">
        <f t="shared" si="4"/>
        <v>0.10715803659155221</v>
      </c>
      <c r="M111" s="87">
        <f t="shared" si="4"/>
        <v>0.16490717691448964</v>
      </c>
      <c r="N111" s="87">
        <f t="shared" si="4"/>
        <v>4.6755061564541886E-2</v>
      </c>
      <c r="O111" s="87">
        <f t="shared" si="4"/>
        <v>1.6280773494736493E-2</v>
      </c>
      <c r="P111" s="87">
        <f t="shared" si="4"/>
        <v>6.1863575932521626E-2</v>
      </c>
      <c r="Q111" s="87">
        <f t="shared" si="4"/>
        <v>-4.653235824619268E-2</v>
      </c>
    </row>
    <row r="112" spans="1:17" x14ac:dyDescent="0.2">
      <c r="A112" s="85">
        <v>45292</v>
      </c>
      <c r="B112" s="86">
        <v>183.29948425292969</v>
      </c>
      <c r="C112" s="86">
        <v>33.166011810302734</v>
      </c>
      <c r="D112" s="86">
        <v>294.48983764648438</v>
      </c>
      <c r="E112" s="86">
        <v>104.98963928222656</v>
      </c>
      <c r="F112" s="86">
        <v>57.7269287109375</v>
      </c>
      <c r="G112" s="86">
        <v>117.57094573974609</v>
      </c>
      <c r="H112" s="86">
        <v>152.39370727539062</v>
      </c>
      <c r="J112" s="81">
        <f t="shared" si="5"/>
        <v>202401</v>
      </c>
      <c r="K112" s="87">
        <f t="shared" si="4"/>
        <v>-4.3144687698089594E-2</v>
      </c>
      <c r="L112" s="87">
        <f t="shared" si="4"/>
        <v>1.004746504810187E-2</v>
      </c>
      <c r="M112" s="87">
        <f t="shared" si="4"/>
        <v>1.5571323949239291E-2</v>
      </c>
      <c r="N112" s="87">
        <f t="shared" si="4"/>
        <v>3.7471025633742383E-2</v>
      </c>
      <c r="O112" s="87">
        <f t="shared" si="4"/>
        <v>9.4579995306914386E-3</v>
      </c>
      <c r="P112" s="87">
        <f t="shared" si="4"/>
        <v>0.10965431969080089</v>
      </c>
      <c r="Q112" s="87">
        <f t="shared" si="4"/>
        <v>6.9838669265974374E-2</v>
      </c>
    </row>
    <row r="113" spans="1:17" x14ac:dyDescent="0.2">
      <c r="A113" s="85">
        <v>45323</v>
      </c>
      <c r="B113" s="86">
        <v>179.67127990722656</v>
      </c>
      <c r="C113" s="86">
        <v>33.663360595703125</v>
      </c>
      <c r="D113" s="86">
        <v>329.0048828125</v>
      </c>
      <c r="E113" s="86">
        <v>124.39076232910156</v>
      </c>
      <c r="F113" s="86">
        <v>58.241218566894531</v>
      </c>
      <c r="G113" s="86">
        <v>123.77169799804688</v>
      </c>
      <c r="H113" s="86">
        <v>155.11280822753906</v>
      </c>
      <c r="J113" s="81">
        <f t="shared" si="5"/>
        <v>202402</v>
      </c>
      <c r="K113" s="87">
        <f t="shared" si="4"/>
        <v>-1.9992382589438855E-2</v>
      </c>
      <c r="L113" s="87">
        <f t="shared" si="4"/>
        <v>1.4884412335040495E-2</v>
      </c>
      <c r="M113" s="87">
        <f t="shared" si="4"/>
        <v>0.11082809667703102</v>
      </c>
      <c r="N113" s="87">
        <f t="shared" si="4"/>
        <v>0.16956624795681302</v>
      </c>
      <c r="O113" s="87">
        <f t="shared" si="4"/>
        <v>8.8695601263743505E-3</v>
      </c>
      <c r="P113" s="87">
        <f t="shared" si="4"/>
        <v>5.1396778532960784E-2</v>
      </c>
      <c r="Q113" s="87">
        <f t="shared" si="4"/>
        <v>1.768529566510357E-2</v>
      </c>
    </row>
    <row r="114" spans="1:17" x14ac:dyDescent="0.2">
      <c r="A114" s="85">
        <v>45352</v>
      </c>
      <c r="B114" s="86">
        <v>170.67410278320312</v>
      </c>
      <c r="C114" s="86">
        <v>37.239471435546875</v>
      </c>
      <c r="D114" s="86">
        <v>360.99307250976562</v>
      </c>
      <c r="E114" s="86">
        <v>139.16952514648438</v>
      </c>
      <c r="F114" s="86">
        <v>59.366840362548828</v>
      </c>
      <c r="G114" s="86">
        <v>128.44416809082031</v>
      </c>
      <c r="H114" s="86">
        <v>158.34309387207031</v>
      </c>
      <c r="J114" s="81">
        <f t="shared" si="5"/>
        <v>202403</v>
      </c>
      <c r="K114" s="87">
        <f t="shared" si="4"/>
        <v>-5.1373052157305581E-2</v>
      </c>
      <c r="L114" s="87">
        <f t="shared" si="4"/>
        <v>0.1009592356244934</v>
      </c>
      <c r="M114" s="87">
        <f t="shared" si="4"/>
        <v>9.2786176394495198E-2</v>
      </c>
      <c r="N114" s="87">
        <f t="shared" si="4"/>
        <v>0.11226487564341421</v>
      </c>
      <c r="O114" s="87">
        <f t="shared" si="4"/>
        <v>1.914250057334984E-2</v>
      </c>
      <c r="P114" s="87">
        <f t="shared" si="4"/>
        <v>3.7055596914776126E-2</v>
      </c>
      <c r="Q114" s="87">
        <f t="shared" si="4"/>
        <v>2.0611511753072367E-2</v>
      </c>
    </row>
    <row r="115" spans="1:17" x14ac:dyDescent="0.2">
      <c r="A115" s="85">
        <v>45383</v>
      </c>
      <c r="B115" s="86">
        <v>169.52951049804688</v>
      </c>
      <c r="C115" s="86">
        <v>36.345802307128906</v>
      </c>
      <c r="D115" s="86">
        <v>329.60580444335938</v>
      </c>
      <c r="E115" s="86">
        <v>160.75932312011719</v>
      </c>
      <c r="F115" s="86">
        <v>60.418792724609375</v>
      </c>
      <c r="G115" s="86">
        <v>126.58458709716797</v>
      </c>
      <c r="H115" s="86">
        <v>159.27020263671875</v>
      </c>
      <c r="J115" s="81">
        <f t="shared" si="5"/>
        <v>202404</v>
      </c>
      <c r="K115" s="87">
        <f t="shared" si="4"/>
        <v>-6.7288915179298551E-3</v>
      </c>
      <c r="L115" s="87">
        <f t="shared" si="4"/>
        <v>-2.4290541395751066E-2</v>
      </c>
      <c r="M115" s="87">
        <f t="shared" si="4"/>
        <v>-9.0961359976417744E-2</v>
      </c>
      <c r="N115" s="87">
        <f t="shared" si="4"/>
        <v>0.14421556368614472</v>
      </c>
      <c r="O115" s="87">
        <f t="shared" si="4"/>
        <v>1.7564366933894678E-2</v>
      </c>
      <c r="P115" s="87">
        <f t="shared" si="4"/>
        <v>-1.4583562941255753E-2</v>
      </c>
      <c r="Q115" s="87">
        <f t="shared" si="4"/>
        <v>5.8379885728319899E-3</v>
      </c>
    </row>
    <row r="116" spans="1:17" x14ac:dyDescent="0.2">
      <c r="A116" s="85">
        <v>45413</v>
      </c>
      <c r="B116" s="86">
        <v>191.34648132324219</v>
      </c>
      <c r="C116" s="86">
        <v>39.272323608398438</v>
      </c>
      <c r="D116" s="86">
        <v>334.712890625</v>
      </c>
      <c r="E116" s="86">
        <v>164.34938049316406</v>
      </c>
      <c r="F116" s="86">
        <v>61.553421020507812</v>
      </c>
      <c r="G116" s="86">
        <v>122.97963714599609</v>
      </c>
      <c r="H116" s="86">
        <v>161.61482238769531</v>
      </c>
      <c r="J116" s="81">
        <f t="shared" si="5"/>
        <v>202405</v>
      </c>
      <c r="K116" s="87">
        <f t="shared" si="4"/>
        <v>0.12105880810818546</v>
      </c>
      <c r="L116" s="87">
        <f t="shared" si="4"/>
        <v>7.744131945074724E-2</v>
      </c>
      <c r="M116" s="87">
        <f t="shared" si="4"/>
        <v>1.5375712994672355E-2</v>
      </c>
      <c r="N116" s="87">
        <f t="shared" si="4"/>
        <v>2.2086171594204791E-2</v>
      </c>
      <c r="O116" s="87">
        <f t="shared" si="4"/>
        <v>1.860523787557853E-2</v>
      </c>
      <c r="P116" s="87">
        <f t="shared" si="4"/>
        <v>-2.8891967401815977E-2</v>
      </c>
      <c r="Q116" s="87">
        <f t="shared" si="4"/>
        <v>1.4613717029690471E-2</v>
      </c>
    </row>
    <row r="117" spans="1:17" x14ac:dyDescent="0.2">
      <c r="A117" s="85">
        <v>45444</v>
      </c>
      <c r="B117" s="86">
        <v>209.91447448730469</v>
      </c>
      <c r="C117" s="86">
        <v>39.056270599365234</v>
      </c>
      <c r="D117" s="86">
        <v>329.35385131835938</v>
      </c>
      <c r="E117" s="86">
        <v>158.20890808105469</v>
      </c>
      <c r="F117" s="86">
        <v>62.257667541503906</v>
      </c>
      <c r="G117" s="86">
        <v>121.27512359619141</v>
      </c>
      <c r="H117" s="86">
        <v>161.98806762695312</v>
      </c>
      <c r="J117" s="81">
        <f t="shared" si="5"/>
        <v>202406</v>
      </c>
      <c r="K117" s="87">
        <f t="shared" si="4"/>
        <v>9.261436040885665E-2</v>
      </c>
      <c r="L117" s="87">
        <f t="shared" si="4"/>
        <v>-5.516594779806999E-3</v>
      </c>
      <c r="M117" s="87">
        <f t="shared" si="4"/>
        <v>-1.6140412730307998E-2</v>
      </c>
      <c r="N117" s="87">
        <f t="shared" si="4"/>
        <v>-3.8078167936036744E-2</v>
      </c>
      <c r="O117" s="87">
        <f t="shared" si="4"/>
        <v>1.1376268869423146E-2</v>
      </c>
      <c r="P117" s="87">
        <f t="shared" si="4"/>
        <v>-1.3957076737999516E-2</v>
      </c>
      <c r="Q117" s="87">
        <f t="shared" si="4"/>
        <v>2.3068113189955229E-3</v>
      </c>
    </row>
    <row r="118" spans="1:17" x14ac:dyDescent="0.2">
      <c r="A118" s="85">
        <v>45474</v>
      </c>
      <c r="B118" s="86">
        <v>221.33610534667969</v>
      </c>
      <c r="C118" s="86">
        <v>39.827350616455078</v>
      </c>
      <c r="D118" s="86">
        <v>342.30654907226562</v>
      </c>
      <c r="E118" s="86">
        <v>169.38516235351562</v>
      </c>
      <c r="F118" s="86">
        <v>65.786605834960938</v>
      </c>
      <c r="G118" s="86">
        <v>111.48572540283203</v>
      </c>
      <c r="H118" s="86">
        <v>157.90200805664062</v>
      </c>
      <c r="J118" s="81">
        <f t="shared" si="5"/>
        <v>202407</v>
      </c>
      <c r="K118" s="87">
        <f t="shared" si="4"/>
        <v>5.2982201469930046E-2</v>
      </c>
      <c r="L118" s="87">
        <f t="shared" si="4"/>
        <v>1.9550435570832726E-2</v>
      </c>
      <c r="M118" s="87">
        <f t="shared" si="4"/>
        <v>3.8573969191223793E-2</v>
      </c>
      <c r="N118" s="87">
        <f t="shared" si="4"/>
        <v>6.8258826238328116E-2</v>
      </c>
      <c r="O118" s="87">
        <f t="shared" si="4"/>
        <v>5.5134557754089528E-2</v>
      </c>
      <c r="P118" s="87">
        <f t="shared" si="4"/>
        <v>-8.4165153859155267E-2</v>
      </c>
      <c r="Q118" s="87">
        <f t="shared" si="4"/>
        <v>-2.5548037446974651E-2</v>
      </c>
    </row>
    <row r="119" spans="1:17" x14ac:dyDescent="0.2">
      <c r="A119" s="85">
        <v>45505</v>
      </c>
      <c r="B119" s="86">
        <v>228.23292541503906</v>
      </c>
      <c r="C119" s="86">
        <v>40.262081146240234</v>
      </c>
      <c r="D119" s="86">
        <v>353.52914428710938</v>
      </c>
      <c r="E119" s="86">
        <v>174.07815551757812</v>
      </c>
      <c r="F119" s="86">
        <v>71.43475341796875</v>
      </c>
      <c r="G119" s="86">
        <v>116.7283935546875</v>
      </c>
      <c r="H119" s="86">
        <v>169.50372314453125</v>
      </c>
      <c r="J119" s="81">
        <f t="shared" si="5"/>
        <v>202408</v>
      </c>
      <c r="K119" s="87">
        <f t="shared" ref="K119:Q123" si="6">LN(B119/B118)</f>
        <v>3.068432528449587E-2</v>
      </c>
      <c r="L119" s="87">
        <f t="shared" si="6"/>
        <v>1.0856233835295935E-2</v>
      </c>
      <c r="M119" s="87">
        <f t="shared" si="6"/>
        <v>3.2259248976262693E-2</v>
      </c>
      <c r="N119" s="87">
        <f t="shared" si="6"/>
        <v>2.7329179040059558E-2</v>
      </c>
      <c r="O119" s="87">
        <f t="shared" si="6"/>
        <v>8.2368234602207754E-2</v>
      </c>
      <c r="P119" s="87">
        <f t="shared" si="6"/>
        <v>4.5953254097950855E-2</v>
      </c>
      <c r="Q119" s="87">
        <f t="shared" si="6"/>
        <v>7.0900253584848624E-2</v>
      </c>
    </row>
    <row r="120" spans="1:17" x14ac:dyDescent="0.2">
      <c r="A120" s="85">
        <v>45536</v>
      </c>
      <c r="B120" s="86">
        <v>232.48832702636719</v>
      </c>
      <c r="C120" s="86">
        <v>39.20489501953125</v>
      </c>
      <c r="D120" s="86">
        <v>388.29629516601562</v>
      </c>
      <c r="E120" s="86">
        <v>187.99484252929688</v>
      </c>
      <c r="F120" s="86">
        <v>70.833465576171875</v>
      </c>
      <c r="G120" s="86">
        <v>111.90946960449219</v>
      </c>
      <c r="H120" s="86">
        <v>171.14402770996094</v>
      </c>
      <c r="J120" s="81">
        <f t="shared" si="5"/>
        <v>202409</v>
      </c>
      <c r="K120" s="87">
        <f t="shared" si="6"/>
        <v>1.8473307257746239E-2</v>
      </c>
      <c r="L120" s="87">
        <f t="shared" si="6"/>
        <v>-2.6608499581717591E-2</v>
      </c>
      <c r="M120" s="87">
        <f t="shared" si="6"/>
        <v>9.3802768647548398E-2</v>
      </c>
      <c r="N120" s="87">
        <f t="shared" si="6"/>
        <v>7.6910161089547596E-2</v>
      </c>
      <c r="O120" s="87">
        <f t="shared" si="6"/>
        <v>-8.4529268210520245E-3</v>
      </c>
      <c r="P120" s="87">
        <f t="shared" si="6"/>
        <v>-4.2159576173442084E-2</v>
      </c>
      <c r="Q120" s="87">
        <f t="shared" si="6"/>
        <v>9.6305772705792252E-3</v>
      </c>
    </row>
    <row r="121" spans="1:17" x14ac:dyDescent="0.2">
      <c r="A121" s="85">
        <v>45566</v>
      </c>
      <c r="B121" s="86">
        <v>225.41389465332031</v>
      </c>
      <c r="C121" s="86">
        <v>41.588653564453125</v>
      </c>
      <c r="D121" s="86">
        <v>373.48403930664062</v>
      </c>
      <c r="E121" s="86">
        <v>171.50059509277344</v>
      </c>
      <c r="F121" s="86">
        <v>64.818374633789062</v>
      </c>
      <c r="G121" s="86">
        <v>101.50745391845703</v>
      </c>
      <c r="H121" s="86">
        <v>163.21923828125</v>
      </c>
      <c r="J121" s="81">
        <f t="shared" si="5"/>
        <v>202410</v>
      </c>
      <c r="K121" s="87">
        <f t="shared" si="6"/>
        <v>-3.0901773298419918E-2</v>
      </c>
      <c r="L121" s="87">
        <f t="shared" si="6"/>
        <v>5.9025767261781055E-2</v>
      </c>
      <c r="M121" s="87">
        <f t="shared" si="6"/>
        <v>-3.8893424648374197E-2</v>
      </c>
      <c r="N121" s="87">
        <f t="shared" si="6"/>
        <v>-9.1827792570161437E-2</v>
      </c>
      <c r="O121" s="87">
        <f t="shared" si="6"/>
        <v>-8.8742444326000466E-2</v>
      </c>
      <c r="P121" s="87">
        <f t="shared" si="6"/>
        <v>-9.7558003930316314E-2</v>
      </c>
      <c r="Q121" s="87">
        <f t="shared" si="6"/>
        <v>-4.7411152096488635E-2</v>
      </c>
    </row>
    <row r="122" spans="1:17" x14ac:dyDescent="0.2">
      <c r="A122" s="85">
        <v>45597</v>
      </c>
      <c r="B122" s="86">
        <v>236.80882263183594</v>
      </c>
      <c r="C122" s="86">
        <v>47.247177124023438</v>
      </c>
      <c r="D122" s="86">
        <v>404.62661743164062</v>
      </c>
      <c r="E122" s="86">
        <v>181.86372375488281</v>
      </c>
      <c r="F122" s="86">
        <v>63.597637176513672</v>
      </c>
      <c r="G122" s="86">
        <v>100.83285522460938</v>
      </c>
      <c r="H122" s="86">
        <v>178.17353820800781</v>
      </c>
      <c r="J122" s="81">
        <f t="shared" si="5"/>
        <v>202411</v>
      </c>
      <c r="K122" s="87">
        <f t="shared" si="6"/>
        <v>4.9314915921186968E-2</v>
      </c>
      <c r="L122" s="87">
        <f t="shared" si="6"/>
        <v>0.12756552953868594</v>
      </c>
      <c r="M122" s="87">
        <f t="shared" si="6"/>
        <v>8.0089438718327827E-2</v>
      </c>
      <c r="N122" s="87">
        <f t="shared" si="6"/>
        <v>5.867089950184378E-2</v>
      </c>
      <c r="O122" s="87">
        <f t="shared" si="6"/>
        <v>-1.9012803983068011E-2</v>
      </c>
      <c r="P122" s="87">
        <f t="shared" si="6"/>
        <v>-6.6679861882750439E-3</v>
      </c>
      <c r="Q122" s="87">
        <f t="shared" si="6"/>
        <v>8.7663691897871002E-2</v>
      </c>
    </row>
    <row r="123" spans="1:17" x14ac:dyDescent="0.2">
      <c r="A123" s="85">
        <v>45627</v>
      </c>
      <c r="B123" s="86">
        <v>250.14497375488281</v>
      </c>
      <c r="C123" s="86">
        <v>43.706874847412109</v>
      </c>
      <c r="D123" s="86">
        <v>361.43496704101562</v>
      </c>
      <c r="E123" s="86">
        <v>166.51870727539062</v>
      </c>
      <c r="F123" s="86">
        <v>62.259998321533203</v>
      </c>
      <c r="G123" s="86">
        <v>98.690017700195312</v>
      </c>
      <c r="H123" s="86">
        <v>166.6339111328125</v>
      </c>
      <c r="J123" s="81">
        <f t="shared" si="5"/>
        <v>202412</v>
      </c>
      <c r="K123" s="87">
        <f t="shared" si="6"/>
        <v>5.4787484756042629E-2</v>
      </c>
      <c r="L123" s="87">
        <f t="shared" si="6"/>
        <v>-7.7887499857200768E-2</v>
      </c>
      <c r="M123" s="87">
        <f t="shared" si="6"/>
        <v>-0.11288258171795952</v>
      </c>
      <c r="N123" s="87">
        <f t="shared" si="6"/>
        <v>-8.814997691313925E-2</v>
      </c>
      <c r="O123" s="87">
        <f t="shared" si="6"/>
        <v>-2.1257180288800713E-2</v>
      </c>
      <c r="P123" s="87">
        <f t="shared" si="6"/>
        <v>-2.1480443682066364E-2</v>
      </c>
      <c r="Q123" s="87">
        <f t="shared" si="6"/>
        <v>-6.6958751869914943E-2</v>
      </c>
    </row>
  </sheetData>
  <mergeCells count="2">
    <mergeCell ref="A1:H1"/>
    <mergeCell ref="J1:Q1"/>
  </mergeCells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N38"/>
  <sheetViews>
    <sheetView zoomScaleNormal="100" workbookViewId="0">
      <selection activeCell="C30" sqref="C30"/>
    </sheetView>
  </sheetViews>
  <sheetFormatPr baseColWidth="10" defaultColWidth="8.83203125" defaultRowHeight="15" x14ac:dyDescent="0.2"/>
  <cols>
    <col min="1" max="1" width="8.83203125" style="45"/>
    <col min="2" max="2" width="25.33203125" style="45" customWidth="1"/>
    <col min="3" max="4" width="10.5" style="45" bestFit="1" customWidth="1"/>
    <col min="5" max="5" width="11" style="45" bestFit="1" customWidth="1"/>
    <col min="6" max="6" width="23.33203125" style="45" customWidth="1"/>
    <col min="7" max="7" width="8.83203125" style="45"/>
    <col min="8" max="8" width="22.33203125" style="45" customWidth="1"/>
    <col min="9" max="9" width="12.33203125" style="45" customWidth="1"/>
    <col min="10" max="10" width="11.5" style="45" bestFit="1" customWidth="1"/>
    <col min="11" max="11" width="14.5" style="45" bestFit="1" customWidth="1"/>
    <col min="12" max="14" width="8.5" style="45" customWidth="1"/>
    <col min="15" max="16384" width="8.83203125" style="45"/>
  </cols>
  <sheetData>
    <row r="1" spans="1:14" ht="19" x14ac:dyDescent="0.25">
      <c r="A1" s="63" t="s">
        <v>158</v>
      </c>
    </row>
    <row r="2" spans="1:14" x14ac:dyDescent="0.2">
      <c r="A2" s="10"/>
      <c r="I2" s="10" t="s">
        <v>85</v>
      </c>
    </row>
    <row r="3" spans="1:14" ht="16" x14ac:dyDescent="0.2">
      <c r="A3" s="10" t="s">
        <v>58</v>
      </c>
      <c r="I3" s="25" t="s">
        <v>82</v>
      </c>
      <c r="J3" s="26" t="s">
        <v>83</v>
      </c>
      <c r="K3" s="25" t="s">
        <v>84</v>
      </c>
      <c r="L3" s="26" t="s">
        <v>62</v>
      </c>
      <c r="M3" s="26" t="s">
        <v>64</v>
      </c>
      <c r="N3" s="26" t="s">
        <v>66</v>
      </c>
    </row>
    <row r="4" spans="1:14" x14ac:dyDescent="0.2">
      <c r="A4" s="29" t="s">
        <v>59</v>
      </c>
      <c r="B4" s="65"/>
      <c r="C4" s="65" t="s">
        <v>60</v>
      </c>
      <c r="D4" s="65" t="s">
        <v>61</v>
      </c>
      <c r="E4" s="66"/>
      <c r="I4" s="45">
        <v>0.01</v>
      </c>
      <c r="J4" s="47">
        <v>4.3000061720499062E-2</v>
      </c>
      <c r="K4" s="47">
        <v>9.9999199999996225E-3</v>
      </c>
      <c r="L4" s="47">
        <v>1.0000009999999999</v>
      </c>
      <c r="M4" s="47">
        <v>0</v>
      </c>
      <c r="N4" s="47">
        <v>-1.0000000041866087E-6</v>
      </c>
    </row>
    <row r="5" spans="1:14" x14ac:dyDescent="0.2">
      <c r="A5" s="67"/>
      <c r="B5" s="45" t="s">
        <v>62</v>
      </c>
      <c r="C5" s="36">
        <v>0.01</v>
      </c>
      <c r="D5" s="36">
        <v>4.2999999999999997E-2</v>
      </c>
      <c r="E5" s="68"/>
      <c r="F5" s="9" t="s">
        <v>63</v>
      </c>
      <c r="I5" s="45">
        <v>1.4999999999999999E-2</v>
      </c>
      <c r="J5" s="47">
        <v>4.122822341854962E-2</v>
      </c>
      <c r="K5" s="47">
        <v>1.4999999999999406E-2</v>
      </c>
      <c r="L5" s="47">
        <v>0.93749999999995548</v>
      </c>
      <c r="M5" s="47">
        <v>0</v>
      </c>
      <c r="N5" s="47">
        <v>6.2499999999998342E-2</v>
      </c>
    </row>
    <row r="6" spans="1:14" x14ac:dyDescent="0.2">
      <c r="A6" s="67"/>
      <c r="B6" s="45" t="s">
        <v>64</v>
      </c>
      <c r="C6" s="36">
        <v>2.1000000000000001E-2</v>
      </c>
      <c r="D6" s="36">
        <v>0.10100000000000001</v>
      </c>
      <c r="E6" s="68"/>
      <c r="F6" s="9" t="s">
        <v>65</v>
      </c>
      <c r="I6" s="45">
        <v>0.02</v>
      </c>
      <c r="J6" s="47">
        <v>4.3767074487236352E-2</v>
      </c>
      <c r="K6" s="47">
        <v>2.0000014865276486E-2</v>
      </c>
      <c r="L6" s="47">
        <v>0.87499981418399342</v>
      </c>
      <c r="M6" s="47">
        <v>0</v>
      </c>
      <c r="N6" s="47">
        <v>0.12500018581596167</v>
      </c>
    </row>
    <row r="7" spans="1:14" x14ac:dyDescent="0.2">
      <c r="A7" s="67"/>
      <c r="B7" s="45" t="s">
        <v>66</v>
      </c>
      <c r="C7" s="36">
        <v>0.09</v>
      </c>
      <c r="D7" s="36">
        <v>0.20799999999999999</v>
      </c>
      <c r="E7" s="68"/>
      <c r="F7" s="9" t="s">
        <v>67</v>
      </c>
      <c r="I7" s="45">
        <v>2.5000000000000001E-2</v>
      </c>
      <c r="J7" s="47">
        <v>4.9963663464572046E-2</v>
      </c>
      <c r="K7" s="47">
        <v>2.5000000067921902E-2</v>
      </c>
      <c r="L7" s="47">
        <v>0.81249999932481365</v>
      </c>
      <c r="M7" s="47">
        <v>0</v>
      </c>
      <c r="N7" s="47">
        <v>0.1875000008297085</v>
      </c>
    </row>
    <row r="8" spans="1:14" x14ac:dyDescent="0.2">
      <c r="A8" s="67"/>
      <c r="B8" s="45" t="s">
        <v>68</v>
      </c>
      <c r="C8" s="36">
        <v>8.0000000000000002E-3</v>
      </c>
      <c r="E8" s="68"/>
      <c r="I8" s="45">
        <v>0.03</v>
      </c>
      <c r="J8" s="47">
        <v>5.8670334427128053E-2</v>
      </c>
      <c r="K8" s="47">
        <v>3.0000025000000062E-2</v>
      </c>
      <c r="L8" s="47">
        <v>0.749999688043409</v>
      </c>
      <c r="M8" s="47">
        <v>0</v>
      </c>
      <c r="N8" s="47">
        <v>0.2500003124396219</v>
      </c>
    </row>
    <row r="9" spans="1:14" x14ac:dyDescent="0.2">
      <c r="A9" s="67"/>
      <c r="E9" s="68"/>
      <c r="I9" s="45">
        <v>3.5000000000000003E-2</v>
      </c>
      <c r="J9" s="47">
        <v>6.8942505840053847E-2</v>
      </c>
      <c r="K9" s="47">
        <v>3.5000030000024995E-2</v>
      </c>
      <c r="L9" s="47">
        <v>0.68749963090396315</v>
      </c>
      <c r="M9" s="47">
        <v>0</v>
      </c>
      <c r="N9" s="47">
        <v>0.31250037434428185</v>
      </c>
    </row>
    <row r="10" spans="1:14" x14ac:dyDescent="0.2">
      <c r="A10" s="33" t="s">
        <v>102</v>
      </c>
      <c r="C10" s="45" t="s">
        <v>62</v>
      </c>
      <c r="D10" s="45" t="s">
        <v>64</v>
      </c>
      <c r="E10" s="68" t="s">
        <v>66</v>
      </c>
      <c r="I10" s="45">
        <v>0.04</v>
      </c>
      <c r="J10" s="47">
        <v>8.0180674884911915E-2</v>
      </c>
      <c r="K10" s="47">
        <v>3.9999999999999904E-2</v>
      </c>
      <c r="L10" s="47">
        <v>0.62500000000001366</v>
      </c>
      <c r="M10" s="47">
        <v>0</v>
      </c>
      <c r="N10" s="47">
        <v>0.37499999999999745</v>
      </c>
    </row>
    <row r="11" spans="1:14" x14ac:dyDescent="0.2">
      <c r="A11" s="67"/>
      <c r="B11" s="45" t="s">
        <v>62</v>
      </c>
      <c r="C11" s="37">
        <v>1.8489999999999997E-3</v>
      </c>
      <c r="D11" s="37">
        <v>2.73609E-3</v>
      </c>
      <c r="E11" s="38">
        <v>-8.0495999999999986E-4</v>
      </c>
      <c r="I11" s="45">
        <v>4.5000000000000005E-2</v>
      </c>
      <c r="J11" s="47">
        <v>9.2031851516630653E-2</v>
      </c>
      <c r="K11" s="47">
        <v>4.5000039999999998E-2</v>
      </c>
      <c r="L11" s="47">
        <v>0.56249950000001037</v>
      </c>
      <c r="M11" s="47">
        <v>0</v>
      </c>
      <c r="N11" s="47">
        <v>0.43750049999999885</v>
      </c>
    </row>
    <row r="12" spans="1:14" x14ac:dyDescent="0.2">
      <c r="A12" s="67"/>
      <c r="B12" s="45" t="s">
        <v>64</v>
      </c>
      <c r="C12" s="37">
        <v>2.73609E-3</v>
      </c>
      <c r="D12" s="37">
        <v>1.0201000000000002E-2</v>
      </c>
      <c r="E12" s="38">
        <v>4.8318400000000004E-3</v>
      </c>
      <c r="I12" s="45">
        <v>0.05</v>
      </c>
      <c r="J12" s="47">
        <v>0.10428707153456962</v>
      </c>
      <c r="K12" s="47">
        <v>5.0000045000040003E-2</v>
      </c>
      <c r="L12" s="47">
        <v>0.49999943932781016</v>
      </c>
      <c r="M12" s="47">
        <v>0</v>
      </c>
      <c r="N12" s="47">
        <v>0.50000056229735446</v>
      </c>
    </row>
    <row r="13" spans="1:14" x14ac:dyDescent="0.2">
      <c r="A13" s="69"/>
      <c r="B13" s="70" t="s">
        <v>66</v>
      </c>
      <c r="C13" s="58">
        <v>-8.0495999999999986E-4</v>
      </c>
      <c r="D13" s="58">
        <v>4.8318400000000004E-3</v>
      </c>
      <c r="E13" s="59">
        <v>4.3263999999999997E-2</v>
      </c>
      <c r="I13" s="45">
        <v>5.5E-2</v>
      </c>
      <c r="J13" s="47">
        <v>0.11681929814583324</v>
      </c>
      <c r="K13" s="47">
        <v>5.5000050000045E-2</v>
      </c>
      <c r="L13" s="47">
        <v>0.43749937968012914</v>
      </c>
      <c r="M13" s="47">
        <v>0</v>
      </c>
      <c r="N13" s="47">
        <v>0.56250062448048566</v>
      </c>
    </row>
    <row r="14" spans="1:14" x14ac:dyDescent="0.2">
      <c r="I14" s="45">
        <v>6.0000000000000005E-2</v>
      </c>
      <c r="J14" s="47">
        <v>0.12954816512600437</v>
      </c>
      <c r="K14" s="47">
        <v>6.0000055000049998E-2</v>
      </c>
      <c r="L14" s="47">
        <v>0.37499931984574564</v>
      </c>
      <c r="M14" s="47">
        <v>0</v>
      </c>
      <c r="N14" s="47">
        <v>0.62500068668436159</v>
      </c>
    </row>
    <row r="15" spans="1:14" x14ac:dyDescent="0.2">
      <c r="I15" s="45">
        <v>6.5000000000000002E-2</v>
      </c>
      <c r="J15" s="47">
        <v>0.1424209580586786</v>
      </c>
      <c r="K15" s="47">
        <v>6.5000060000054996E-2</v>
      </c>
      <c r="L15" s="47">
        <v>0.3124992598433301</v>
      </c>
      <c r="M15" s="47">
        <v>0</v>
      </c>
      <c r="N15" s="47">
        <v>0.68750074890690782</v>
      </c>
    </row>
    <row r="16" spans="1:14" x14ac:dyDescent="0.2">
      <c r="A16" s="10" t="s">
        <v>89</v>
      </c>
      <c r="I16" s="45">
        <v>6.9999999999999993E-2</v>
      </c>
      <c r="J16" s="47">
        <v>0.15540186273425813</v>
      </c>
      <c r="K16" s="47">
        <v>7.0000048344204174E-2</v>
      </c>
      <c r="L16" s="47">
        <v>0.24943744319613437</v>
      </c>
      <c r="M16" s="47">
        <v>6.5155323971529007E-4</v>
      </c>
      <c r="N16" s="47">
        <v>0.749911014380098</v>
      </c>
    </row>
    <row r="17" spans="1:14" x14ac:dyDescent="0.2">
      <c r="A17" s="45" t="s">
        <v>79</v>
      </c>
      <c r="C17" s="71">
        <v>0.01</v>
      </c>
      <c r="D17" s="45" t="s">
        <v>81</v>
      </c>
      <c r="I17" s="45">
        <v>7.4999999999999997E-2</v>
      </c>
      <c r="J17" s="47">
        <v>0.16846015524586769</v>
      </c>
      <c r="K17" s="47">
        <v>7.5000000158066904E-2</v>
      </c>
      <c r="L17" s="47">
        <v>0.17227104331007184</v>
      </c>
      <c r="M17" s="47">
        <v>1.7656759396589512E-2</v>
      </c>
      <c r="N17" s="47">
        <v>0.81007219752930892</v>
      </c>
    </row>
    <row r="18" spans="1:14" x14ac:dyDescent="0.2">
      <c r="A18" s="45" t="s">
        <v>80</v>
      </c>
      <c r="C18" s="72">
        <v>5.0000000000000001E-3</v>
      </c>
      <c r="D18" s="45" t="s">
        <v>86</v>
      </c>
      <c r="I18" s="45">
        <v>0.08</v>
      </c>
      <c r="J18" s="47">
        <v>0.18157500424149961</v>
      </c>
      <c r="K18" s="47">
        <v>8.000007498379251E-2</v>
      </c>
      <c r="L18" s="47">
        <v>9.510265565909562E-2</v>
      </c>
      <c r="M18" s="47">
        <v>3.4662501308774504E-2</v>
      </c>
      <c r="N18" s="47">
        <v>0.87023484333019208</v>
      </c>
    </row>
    <row r="19" spans="1:14" x14ac:dyDescent="0.2">
      <c r="A19" s="45" t="s">
        <v>87</v>
      </c>
      <c r="C19" s="48">
        <v>17</v>
      </c>
      <c r="I19" s="45">
        <v>8.4999999999999992E-2</v>
      </c>
      <c r="J19" s="47">
        <v>0.19473433295482323</v>
      </c>
      <c r="K19" s="47">
        <v>8.5000000008329746E-2</v>
      </c>
      <c r="L19" s="47">
        <v>1.7936790047539938E-2</v>
      </c>
      <c r="M19" s="47">
        <v>5.1667490040347687E-2</v>
      </c>
      <c r="N19" s="47">
        <v>0.93039572018896721</v>
      </c>
    </row>
    <row r="20" spans="1:14" x14ac:dyDescent="0.2">
      <c r="A20" s="45" t="s">
        <v>88</v>
      </c>
      <c r="C20" s="73">
        <v>0.09</v>
      </c>
      <c r="I20" s="45">
        <v>0.09</v>
      </c>
      <c r="J20" s="47">
        <v>0.20799999989553966</v>
      </c>
      <c r="K20" s="47">
        <v>8.9999999954800819E-2</v>
      </c>
      <c r="L20" s="47">
        <v>0</v>
      </c>
      <c r="M20" s="47">
        <v>0</v>
      </c>
      <c r="N20" s="47">
        <v>0.99999999949778684</v>
      </c>
    </row>
    <row r="23" spans="1:14" x14ac:dyDescent="0.2">
      <c r="A23" s="10" t="s">
        <v>70</v>
      </c>
      <c r="G23" s="18"/>
    </row>
    <row r="24" spans="1:14" x14ac:dyDescent="0.2">
      <c r="A24" s="18" t="s">
        <v>71</v>
      </c>
      <c r="C24" s="74" t="s">
        <v>72</v>
      </c>
    </row>
    <row r="25" spans="1:14" x14ac:dyDescent="0.2">
      <c r="B25" s="45" t="s">
        <v>62</v>
      </c>
      <c r="C25" s="75">
        <v>0</v>
      </c>
      <c r="D25" s="73"/>
    </row>
    <row r="26" spans="1:14" x14ac:dyDescent="0.2">
      <c r="B26" s="45" t="s">
        <v>64</v>
      </c>
      <c r="C26" s="75">
        <v>0</v>
      </c>
      <c r="D26" s="73"/>
    </row>
    <row r="27" spans="1:14" x14ac:dyDescent="0.2">
      <c r="B27" s="45" t="s">
        <v>66</v>
      </c>
      <c r="C27" s="76">
        <v>0.99999999949778684</v>
      </c>
    </row>
    <row r="28" spans="1:14" x14ac:dyDescent="0.2">
      <c r="B28" s="45" t="s">
        <v>91</v>
      </c>
      <c r="C28" s="56">
        <f>SUM(C25:C27)</f>
        <v>0.99999999949778684</v>
      </c>
      <c r="D28" s="55" t="str" cm="1">
        <f t="array" aca="1" ref="D28" ca="1">GETFORMULA(C28)</f>
        <v>&lt;--  =SUM(C25:C27)</v>
      </c>
    </row>
    <row r="29" spans="1:14" x14ac:dyDescent="0.2">
      <c r="B29" s="77" t="s">
        <v>60</v>
      </c>
      <c r="C29" s="78" cm="1">
        <f t="array" ref="C29">MMULT(TRANSPOSE(C25:C27),$C$5:$C$7)</f>
        <v>8.9999999954800819E-2</v>
      </c>
      <c r="D29" s="55" t="str" cm="1">
        <f t="array" aca="1" ref="D29" ca="1">GETFORMULA(C29)</f>
        <v>&lt;--  =MMULT(TRANSPOSE(C25:C27),$C$5:$C$7)</v>
      </c>
    </row>
    <row r="30" spans="1:14" x14ac:dyDescent="0.2">
      <c r="B30" s="77" t="s">
        <v>73</v>
      </c>
      <c r="C30" s="78" cm="1">
        <f t="array" ref="C30">MMULT(TRANSPOSE(C25:C27),MMULT($C$11:$E$13,C25:C27))</f>
        <v>4.3263999956544494E-2</v>
      </c>
      <c r="D30" s="55" t="str" cm="1">
        <f t="array" aca="1" ref="D30" ca="1">GETFORMULA(C30)</f>
        <v>&lt;--  =MMULT(TRANSPOSE(C25:C27),MMULT($C$11:$E$13,C25:C27))</v>
      </c>
    </row>
    <row r="31" spans="1:14" x14ac:dyDescent="0.2">
      <c r="C31" s="47"/>
      <c r="D31" s="47"/>
    </row>
    <row r="38" spans="1:1" x14ac:dyDescent="0.2">
      <c r="A38" s="10" t="s">
        <v>90</v>
      </c>
    </row>
  </sheetData>
  <phoneticPr fontId="5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30"/>
  <sheetViews>
    <sheetView workbookViewId="0">
      <selection activeCell="B20" sqref="B20"/>
    </sheetView>
  </sheetViews>
  <sheetFormatPr baseColWidth="10" defaultColWidth="8.83203125" defaultRowHeight="15" x14ac:dyDescent="0.2"/>
  <cols>
    <col min="1" max="1" width="15.5" style="105" customWidth="1"/>
    <col min="2" max="16384" width="8.83203125" style="105"/>
  </cols>
  <sheetData>
    <row r="1" spans="1:2" x14ac:dyDescent="0.2">
      <c r="A1" s="104" t="s">
        <v>177</v>
      </c>
    </row>
    <row r="2" spans="1:2" x14ac:dyDescent="0.2">
      <c r="A2" s="104" t="s">
        <v>178</v>
      </c>
    </row>
    <row r="3" spans="1:2" x14ac:dyDescent="0.2">
      <c r="A3" s="104" t="s">
        <v>179</v>
      </c>
    </row>
    <row r="5" spans="1:2" x14ac:dyDescent="0.2">
      <c r="A5" s="104" t="s">
        <v>188</v>
      </c>
    </row>
    <row r="6" spans="1:2" x14ac:dyDescent="0.2">
      <c r="A6" s="106" t="s">
        <v>187</v>
      </c>
    </row>
    <row r="8" spans="1:2" x14ac:dyDescent="0.2">
      <c r="A8" s="105" t="s">
        <v>176</v>
      </c>
      <c r="B8" s="105" t="s">
        <v>141</v>
      </c>
    </row>
    <row r="9" spans="1:2" x14ac:dyDescent="0.2">
      <c r="A9" s="104">
        <v>45292</v>
      </c>
      <c r="B9" s="105">
        <v>5.28</v>
      </c>
    </row>
    <row r="10" spans="1:2" x14ac:dyDescent="0.2">
      <c r="A10" s="104">
        <v>45323</v>
      </c>
      <c r="B10" s="105">
        <v>5.28</v>
      </c>
    </row>
    <row r="11" spans="1:2" x14ac:dyDescent="0.2">
      <c r="A11" s="104">
        <v>45352</v>
      </c>
      <c r="B11" s="105">
        <v>5.28</v>
      </c>
    </row>
    <row r="12" spans="1:2" x14ac:dyDescent="0.2">
      <c r="A12" s="104">
        <v>45383</v>
      </c>
      <c r="B12" s="105">
        <v>5.28</v>
      </c>
    </row>
    <row r="13" spans="1:2" x14ac:dyDescent="0.2">
      <c r="A13" s="104">
        <v>45413</v>
      </c>
      <c r="B13" s="105">
        <v>5.27</v>
      </c>
    </row>
    <row r="14" spans="1:2" x14ac:dyDescent="0.2">
      <c r="A14" s="104">
        <v>45444</v>
      </c>
      <c r="B14" s="105">
        <v>5.25</v>
      </c>
    </row>
    <row r="15" spans="1:2" x14ac:dyDescent="0.2">
      <c r="A15" s="104">
        <v>45474</v>
      </c>
      <c r="B15" s="105">
        <v>5.28</v>
      </c>
    </row>
    <row r="16" spans="1:2" x14ac:dyDescent="0.2">
      <c r="A16" s="104">
        <v>45505</v>
      </c>
      <c r="B16" s="105">
        <v>5.25</v>
      </c>
    </row>
    <row r="17" spans="1:2" x14ac:dyDescent="0.2">
      <c r="A17" s="104">
        <v>45536</v>
      </c>
      <c r="B17" s="105">
        <v>4.8600000000000003</v>
      </c>
    </row>
    <row r="18" spans="1:2" x14ac:dyDescent="0.2">
      <c r="A18" s="104">
        <v>45566</v>
      </c>
      <c r="B18" s="105">
        <v>4.71</v>
      </c>
    </row>
    <row r="19" spans="1:2" x14ac:dyDescent="0.2">
      <c r="A19" s="104">
        <v>45597</v>
      </c>
      <c r="B19" s="105">
        <v>4.53</v>
      </c>
    </row>
    <row r="20" spans="1:2" x14ac:dyDescent="0.2">
      <c r="A20" s="104">
        <v>45627</v>
      </c>
      <c r="B20" s="107">
        <v>4.3099999999999996</v>
      </c>
    </row>
    <row r="21" spans="1:2" x14ac:dyDescent="0.2">
      <c r="A21" s="104"/>
    </row>
    <row r="22" spans="1:2" x14ac:dyDescent="0.2">
      <c r="A22" s="104"/>
    </row>
    <row r="23" spans="1:2" x14ac:dyDescent="0.2">
      <c r="A23" s="104"/>
    </row>
    <row r="24" spans="1:2" x14ac:dyDescent="0.2">
      <c r="A24" s="104"/>
    </row>
    <row r="25" spans="1:2" x14ac:dyDescent="0.2">
      <c r="A25" s="104"/>
    </row>
    <row r="26" spans="1:2" x14ac:dyDescent="0.2">
      <c r="A26" s="104"/>
    </row>
    <row r="27" spans="1:2" x14ac:dyDescent="0.2">
      <c r="A27" s="104"/>
    </row>
    <row r="28" spans="1:2" x14ac:dyDescent="0.2">
      <c r="A28" s="104"/>
    </row>
    <row r="29" spans="1:2" x14ac:dyDescent="0.2">
      <c r="A29" s="104"/>
    </row>
    <row r="30" spans="1:2" x14ac:dyDescent="0.2">
      <c r="A30" s="104"/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2stocks</vt:lpstr>
      <vt:lpstr>2stocks_data</vt:lpstr>
      <vt:lpstr>2stocks_portfolio</vt:lpstr>
      <vt:lpstr>Matrix</vt:lpstr>
      <vt:lpstr>Frontier-Analytic</vt:lpstr>
      <vt:lpstr>Portfolio-Solver</vt:lpstr>
      <vt:lpstr>7stocks</vt:lpstr>
      <vt:lpstr>7stocks_data</vt:lpstr>
      <vt:lpstr>Frontier-ShortSale</vt:lpstr>
      <vt:lpstr>TB4WK</vt:lpstr>
      <vt:lpstr>RetData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Jinghan Meng</dc:creator>
  <cp:lastModifiedBy>jadonng@connect.hku.hk</cp:lastModifiedBy>
  <dcterms:created xsi:type="dcterms:W3CDTF">2017-12-11T23:47:10Z</dcterms:created>
  <dcterms:modified xsi:type="dcterms:W3CDTF">2025-05-05T10:03:11Z</dcterms:modified>
</cp:coreProperties>
</file>